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신세계프로젝트\전시자동화\"/>
    </mc:Choice>
  </mc:AlternateContent>
  <xr:revisionPtr revIDLastSave="0" documentId="13_ncr:1_{0854D2D1-4BBD-40F0-A633-83F67F89B78E}" xr6:coauthVersionLast="47" xr6:coauthVersionMax="47" xr10:uidLastSave="{00000000-0000-0000-0000-000000000000}"/>
  <bookViews>
    <workbookView xWindow="-165" yWindow="-165" windowWidth="29130" windowHeight="15810" activeTab="1" xr2:uid="{91C5B702-F003-4479-BDEE-695D8C8AAB72}"/>
  </bookViews>
  <sheets>
    <sheet name="Notice" sheetId="6" r:id="rId1"/>
    <sheet name="브랜드데이" sheetId="5" r:id="rId2"/>
    <sheet name="오늘특가" sheetId="4" r:id="rId3"/>
    <sheet name="온라인행사" sheetId="3" r:id="rId4"/>
    <sheet name="공구" sheetId="2" r:id="rId5"/>
    <sheet name="Sheet1" sheetId="1" r:id="rId6"/>
  </sheets>
  <externalReferences>
    <externalReference r:id="rId7"/>
    <externalReference r:id="rId8"/>
  </externalReferences>
  <definedNames>
    <definedName name="_xlnm._FilterDatabase" localSheetId="1" hidden="1">브랜드데이!$A$3:$R$3</definedName>
    <definedName name="당월시간당">[1]인덱스!$A$2:$D$7</definedName>
    <definedName name="당평">[1]인덱스!$A$9:$C$33</definedName>
    <definedName name="아이템">[2]Sheet1!$C:$E</definedName>
    <definedName name="차월시간당">[1]인덱스!$F$2:$I$7</definedName>
    <definedName name="차주">[1]인덱스!$F$34:$H$58</definedName>
    <definedName name="차평">[1]인덱스!$F$9:$H$33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76" i="4" l="1"/>
  <c r="N575" i="4"/>
  <c r="N574" i="4"/>
  <c r="L571" i="4"/>
  <c r="N567" i="4"/>
  <c r="N566" i="4"/>
  <c r="N564" i="4"/>
  <c r="N559" i="4"/>
  <c r="N558" i="4"/>
  <c r="N557" i="4"/>
  <c r="L555" i="4"/>
  <c r="N554" i="4"/>
  <c r="N552" i="4"/>
  <c r="N551" i="4"/>
  <c r="N549" i="4"/>
  <c r="L547" i="4"/>
  <c r="N545" i="4"/>
  <c r="N544" i="4"/>
  <c r="N540" i="4"/>
  <c r="N539" i="4"/>
  <c r="N531" i="4"/>
  <c r="N528" i="4"/>
  <c r="N525" i="4"/>
  <c r="N523" i="4"/>
  <c r="N522" i="4"/>
  <c r="N519" i="4"/>
  <c r="N515" i="4"/>
  <c r="N514" i="4"/>
  <c r="N513" i="4"/>
  <c r="L511" i="4"/>
  <c r="N510" i="4"/>
  <c r="L509" i="4"/>
  <c r="N504" i="4"/>
  <c r="N503" i="4"/>
  <c r="N497" i="4"/>
  <c r="N496" i="4"/>
  <c r="N495" i="4"/>
  <c r="L493" i="4"/>
  <c r="N492" i="4"/>
  <c r="N491" i="4"/>
  <c r="N489" i="4"/>
  <c r="N487" i="4"/>
  <c r="N486" i="4"/>
  <c r="N482" i="4"/>
  <c r="L481" i="4"/>
  <c r="N479" i="4"/>
  <c r="N477" i="4"/>
  <c r="N476" i="4"/>
  <c r="N475" i="4"/>
  <c r="N474" i="4"/>
  <c r="N471" i="4"/>
  <c r="N469" i="4"/>
  <c r="N467" i="4"/>
  <c r="N465" i="4"/>
  <c r="N464" i="4"/>
  <c r="N463" i="4"/>
  <c r="N462" i="4"/>
  <c r="L461" i="4"/>
  <c r="N458" i="4"/>
  <c r="N457" i="4"/>
  <c r="N456" i="4"/>
  <c r="N455" i="4"/>
  <c r="N454" i="4"/>
  <c r="N451" i="4"/>
  <c r="N449" i="4"/>
  <c r="N447" i="4"/>
  <c r="N446" i="4"/>
  <c r="N445" i="4"/>
  <c r="N444" i="4"/>
  <c r="N443" i="4"/>
  <c r="N442" i="4"/>
  <c r="N440" i="4"/>
  <c r="N438" i="4"/>
  <c r="N437" i="4"/>
  <c r="N436" i="4"/>
  <c r="N435" i="4"/>
  <c r="N431" i="4"/>
  <c r="N430" i="4"/>
  <c r="N429" i="4"/>
  <c r="N428" i="4"/>
  <c r="N427" i="4"/>
  <c r="N425" i="4"/>
  <c r="L424" i="4"/>
  <c r="N422" i="4"/>
  <c r="N421" i="4"/>
  <c r="N420" i="4"/>
  <c r="N419" i="4"/>
  <c r="N418" i="4"/>
  <c r="N417" i="4"/>
  <c r="N416" i="4"/>
  <c r="N415" i="4"/>
  <c r="N414" i="4"/>
  <c r="N413" i="4"/>
  <c r="N412" i="4"/>
  <c r="N411" i="4"/>
  <c r="N410" i="4"/>
  <c r="N408" i="4"/>
  <c r="N405" i="4"/>
  <c r="N403" i="4"/>
  <c r="N402" i="4"/>
  <c r="N401" i="4"/>
  <c r="N400" i="4"/>
  <c r="N398" i="4"/>
  <c r="N396" i="4"/>
  <c r="N394" i="4"/>
  <c r="N393" i="4"/>
  <c r="N392" i="4"/>
  <c r="N389" i="4"/>
  <c r="N388" i="4"/>
  <c r="N387" i="4"/>
  <c r="N385" i="4"/>
  <c r="N384" i="4"/>
  <c r="N381" i="4"/>
  <c r="N380" i="4"/>
  <c r="N379" i="4"/>
  <c r="N376" i="4"/>
  <c r="N375" i="4"/>
  <c r="N374" i="4"/>
  <c r="N370" i="4"/>
  <c r="N367" i="4"/>
  <c r="N365" i="4"/>
  <c r="N363" i="4"/>
  <c r="N362" i="4"/>
  <c r="N359" i="4"/>
  <c r="N358" i="4"/>
  <c r="N355" i="4"/>
  <c r="N354" i="4"/>
  <c r="L353" i="4"/>
  <c r="N352" i="4"/>
  <c r="L351" i="4"/>
  <c r="N350" i="4"/>
  <c r="N347" i="4"/>
  <c r="N343" i="4"/>
  <c r="N342" i="4"/>
  <c r="N341" i="4"/>
  <c r="N338" i="4"/>
  <c r="N337" i="4"/>
  <c r="N335" i="4"/>
  <c r="L334" i="4"/>
  <c r="N330" i="4"/>
  <c r="N328" i="4"/>
  <c r="N327" i="4"/>
  <c r="N325" i="4"/>
  <c r="N323" i="4"/>
  <c r="N322" i="4"/>
  <c r="N320" i="4"/>
  <c r="N319" i="4"/>
  <c r="N318" i="4"/>
  <c r="N317" i="4"/>
  <c r="N316" i="4"/>
  <c r="N315" i="4"/>
  <c r="N314" i="4"/>
  <c r="N312" i="4"/>
  <c r="N310" i="4"/>
  <c r="N309" i="4"/>
  <c r="N308" i="4"/>
  <c r="N307" i="4"/>
  <c r="N306" i="4"/>
  <c r="N305" i="4"/>
  <c r="N303" i="4"/>
  <c r="N302" i="4"/>
  <c r="N301" i="4"/>
  <c r="N300" i="4"/>
  <c r="N299" i="4"/>
  <c r="N297" i="4"/>
  <c r="L297" i="4"/>
  <c r="N296" i="4"/>
  <c r="N295" i="4"/>
  <c r="N290" i="4"/>
  <c r="N289" i="4"/>
  <c r="N288" i="4"/>
  <c r="N287" i="4"/>
  <c r="N286" i="4"/>
  <c r="N285" i="4"/>
  <c r="N284" i="4"/>
  <c r="N283" i="4"/>
  <c r="N282" i="4"/>
  <c r="N278" i="4"/>
  <c r="N275" i="4"/>
  <c r="N273" i="4"/>
  <c r="N272" i="4"/>
  <c r="N271" i="4"/>
  <c r="N270" i="4"/>
  <c r="N269" i="4"/>
  <c r="N267" i="4"/>
  <c r="N265" i="4"/>
  <c r="N264" i="4"/>
  <c r="N263" i="4"/>
  <c r="N262" i="4"/>
  <c r="N261" i="4"/>
  <c r="N257" i="4"/>
  <c r="N256" i="4"/>
  <c r="N255" i="4"/>
  <c r="N254" i="4"/>
  <c r="N251" i="4"/>
  <c r="N250" i="4"/>
  <c r="N249" i="4"/>
  <c r="N248" i="4"/>
  <c r="N243" i="4"/>
  <c r="N242" i="4"/>
  <c r="N241" i="4"/>
  <c r="N238" i="4"/>
  <c r="N235" i="4"/>
  <c r="N234" i="4"/>
  <c r="N233" i="4"/>
  <c r="N229" i="4"/>
  <c r="N228" i="4"/>
  <c r="L227" i="4"/>
  <c r="N226" i="4"/>
  <c r="N224" i="4"/>
  <c r="N221" i="4"/>
  <c r="N219" i="4"/>
  <c r="N218" i="4"/>
  <c r="N215" i="4"/>
  <c r="N212" i="4"/>
  <c r="N211" i="4"/>
  <c r="N210" i="4"/>
  <c r="N205" i="4"/>
  <c r="N203" i="4"/>
  <c r="N202" i="4"/>
  <c r="N201" i="4"/>
  <c r="L197" i="4"/>
  <c r="N196" i="4"/>
  <c r="N195" i="4"/>
  <c r="N194" i="4"/>
  <c r="L194" i="4"/>
  <c r="N193" i="4"/>
  <c r="N192" i="4"/>
  <c r="N187" i="4"/>
  <c r="L186" i="4"/>
  <c r="N185" i="4"/>
  <c r="N183" i="4"/>
  <c r="N182" i="4"/>
  <c r="L180" i="4"/>
  <c r="N178" i="4"/>
  <c r="N177" i="4"/>
  <c r="N176" i="4"/>
  <c r="L176" i="4"/>
  <c r="N175" i="4"/>
  <c r="N174" i="4"/>
  <c r="L174" i="4"/>
  <c r="N173" i="4"/>
  <c r="N172" i="4"/>
  <c r="N168" i="4"/>
  <c r="N166" i="4"/>
  <c r="N165" i="4"/>
  <c r="N163" i="4"/>
  <c r="N162" i="4"/>
  <c r="L160" i="4"/>
  <c r="N158" i="4"/>
  <c r="N157" i="4"/>
  <c r="N155" i="4"/>
  <c r="L154" i="4"/>
  <c r="N153" i="4"/>
  <c r="N152" i="4"/>
  <c r="N151" i="4"/>
  <c r="N150" i="4"/>
  <c r="N149" i="4"/>
  <c r="L147" i="4"/>
  <c r="N146" i="4"/>
  <c r="N145" i="4"/>
  <c r="N144" i="4"/>
  <c r="L143" i="4"/>
  <c r="N141" i="4"/>
  <c r="N140" i="4"/>
  <c r="N137" i="4"/>
  <c r="N135" i="4"/>
  <c r="N134" i="4"/>
  <c r="N133" i="4"/>
  <c r="N132" i="4"/>
  <c r="N131" i="4"/>
  <c r="N130" i="4"/>
  <c r="N129" i="4"/>
  <c r="N127" i="4"/>
  <c r="N126" i="4"/>
  <c r="L123" i="4"/>
  <c r="N122" i="4"/>
  <c r="N121" i="4"/>
  <c r="N120" i="4"/>
  <c r="N119" i="4"/>
  <c r="N116" i="4"/>
  <c r="N115" i="4"/>
  <c r="N113" i="4"/>
  <c r="N112" i="4"/>
  <c r="N111" i="4"/>
  <c r="N110" i="4"/>
  <c r="N109" i="4"/>
  <c r="N108" i="4"/>
  <c r="N105" i="4"/>
  <c r="L105" i="4"/>
  <c r="N104" i="4"/>
  <c r="N103" i="4"/>
  <c r="N102" i="4"/>
  <c r="N101" i="4"/>
  <c r="N100" i="4"/>
  <c r="N99" i="4"/>
  <c r="N96" i="4"/>
  <c r="N95" i="4"/>
  <c r="N92" i="4"/>
  <c r="N91" i="4"/>
  <c r="N90" i="4"/>
  <c r="N89" i="4"/>
  <c r="N84" i="4"/>
  <c r="N81" i="4"/>
  <c r="N79" i="4"/>
  <c r="N78" i="4"/>
  <c r="N72" i="4"/>
  <c r="N71" i="4"/>
  <c r="L67" i="4"/>
  <c r="N66" i="4"/>
  <c r="N64" i="4"/>
  <c r="N60" i="4"/>
  <c r="N59" i="4"/>
  <c r="N57" i="4"/>
  <c r="N54" i="4"/>
  <c r="N53" i="4"/>
  <c r="N51" i="4"/>
  <c r="N50" i="4"/>
  <c r="N48" i="4"/>
  <c r="N47" i="4"/>
  <c r="N45" i="4"/>
  <c r="N42" i="4"/>
  <c r="N40" i="4"/>
  <c r="N39" i="4"/>
  <c r="N38" i="4"/>
  <c r="N35" i="4"/>
  <c r="L34" i="4"/>
  <c r="N34" i="4" s="1"/>
  <c r="N32" i="4"/>
  <c r="N31" i="4"/>
  <c r="N30" i="4"/>
  <c r="N28" i="4"/>
  <c r="N25" i="4"/>
  <c r="N23" i="4"/>
  <c r="N20" i="4"/>
  <c r="N18" i="4"/>
  <c r="N17" i="4"/>
  <c r="N16" i="4"/>
  <c r="N15" i="4"/>
  <c r="N14" i="4"/>
  <c r="L13" i="4"/>
  <c r="N11" i="4"/>
  <c r="N10" i="4"/>
  <c r="N8" i="4"/>
  <c r="L7" i="4"/>
  <c r="K775" i="3"/>
  <c r="K774" i="3"/>
  <c r="K773" i="3"/>
  <c r="K772" i="3"/>
  <c r="K771" i="3"/>
  <c r="K770" i="3"/>
  <c r="K769" i="3"/>
  <c r="K768" i="3"/>
  <c r="K767" i="3"/>
  <c r="K507" i="3"/>
  <c r="K506" i="3"/>
  <c r="K505" i="3"/>
  <c r="K504" i="3"/>
  <c r="K503" i="3"/>
  <c r="I503" i="3"/>
  <c r="I504" i="3" s="1"/>
  <c r="I505" i="3" s="1"/>
  <c r="I506" i="3" s="1"/>
  <c r="I507" i="3" s="1"/>
  <c r="K502" i="3"/>
  <c r="I428" i="3"/>
  <c r="I427" i="3"/>
  <c r="K353" i="3"/>
  <c r="K352" i="3"/>
  <c r="I352" i="3"/>
  <c r="K351" i="3"/>
  <c r="I351" i="3"/>
  <c r="I349" i="3" s="1"/>
  <c r="K350" i="3"/>
  <c r="I350" i="3"/>
  <c r="K349" i="3"/>
  <c r="K348" i="3"/>
  <c r="K347" i="3"/>
  <c r="I257" i="3"/>
  <c r="K256" i="3"/>
  <c r="I256" i="3"/>
  <c r="K255" i="3"/>
  <c r="I255" i="3"/>
  <c r="K254" i="3"/>
  <c r="I254" i="3"/>
  <c r="K253" i="3"/>
  <c r="I253" i="3"/>
  <c r="K252" i="3"/>
  <c r="I252" i="3"/>
  <c r="K251" i="3"/>
  <c r="I251" i="3"/>
  <c r="K250" i="3"/>
  <c r="K159" i="3"/>
  <c r="K158" i="3"/>
  <c r="K157" i="3"/>
  <c r="K156" i="3"/>
  <c r="K155" i="3"/>
  <c r="K154" i="3"/>
  <c r="K153" i="3"/>
  <c r="L3148" i="2"/>
  <c r="L3145" i="2"/>
  <c r="L3142" i="2"/>
  <c r="L3135" i="2"/>
  <c r="L3132" i="2"/>
  <c r="L3127" i="2"/>
  <c r="L3126" i="2"/>
  <c r="L3123" i="2"/>
  <c r="L3120" i="2"/>
  <c r="L3117" i="2"/>
  <c r="L3115" i="2"/>
  <c r="L3112" i="2"/>
  <c r="L3111" i="2"/>
  <c r="L3110" i="2"/>
  <c r="L3103" i="2"/>
  <c r="L3101" i="2"/>
  <c r="L3100" i="2"/>
  <c r="L3099" i="2"/>
  <c r="L3098" i="2"/>
  <c r="L3097" i="2"/>
  <c r="L3096" i="2"/>
  <c r="L3095" i="2"/>
  <c r="L3094" i="2"/>
  <c r="L3093" i="2"/>
  <c r="L3092" i="2"/>
  <c r="L3091" i="2"/>
  <c r="L3090" i="2"/>
  <c r="L3089" i="2"/>
  <c r="L3088" i="2"/>
  <c r="L3087" i="2"/>
  <c r="L3086" i="2"/>
  <c r="L3085" i="2"/>
  <c r="L3084" i="2"/>
  <c r="L3083" i="2"/>
  <c r="L3082" i="2"/>
  <c r="L3081" i="2"/>
  <c r="L3080" i="2"/>
  <c r="L3079" i="2"/>
  <c r="L3078" i="2"/>
  <c r="L3077" i="2"/>
  <c r="L3076" i="2"/>
  <c r="L3075" i="2"/>
  <c r="L3074" i="2"/>
  <c r="L3073" i="2"/>
  <c r="L3072" i="2"/>
  <c r="L3071" i="2"/>
  <c r="L3070" i="2"/>
  <c r="L3069" i="2"/>
  <c r="L3068" i="2"/>
  <c r="L3067" i="2"/>
  <c r="L3066" i="2"/>
  <c r="L3065" i="2"/>
  <c r="L3064" i="2"/>
  <c r="L3063" i="2"/>
  <c r="L3062" i="2"/>
  <c r="L3061" i="2"/>
  <c r="L3060" i="2"/>
  <c r="L3059" i="2"/>
  <c r="L3058" i="2"/>
  <c r="L3057" i="2"/>
  <c r="L3056" i="2"/>
  <c r="L3055" i="2"/>
  <c r="L3054" i="2"/>
  <c r="L3053" i="2"/>
  <c r="L3052" i="2"/>
  <c r="L3051" i="2"/>
  <c r="L3050" i="2"/>
  <c r="L3049" i="2"/>
  <c r="L3048" i="2"/>
  <c r="L3047" i="2"/>
  <c r="L3046" i="2"/>
  <c r="L3045" i="2"/>
  <c r="L3044" i="2"/>
  <c r="L3043" i="2"/>
  <c r="L3042" i="2"/>
  <c r="L3041" i="2"/>
  <c r="L3040" i="2"/>
  <c r="L3039" i="2"/>
  <c r="L3038" i="2"/>
  <c r="L3037" i="2"/>
  <c r="L3036" i="2"/>
  <c r="L3035" i="2"/>
  <c r="L3034" i="2"/>
  <c r="L3033" i="2"/>
  <c r="L3032" i="2"/>
  <c r="L3031" i="2"/>
  <c r="L3030" i="2"/>
  <c r="L3029" i="2"/>
  <c r="L3028" i="2"/>
  <c r="L3027" i="2"/>
  <c r="L3026" i="2"/>
  <c r="L3025" i="2"/>
  <c r="L3024" i="2"/>
  <c r="L3023" i="2"/>
  <c r="L3022" i="2"/>
  <c r="L3021" i="2"/>
  <c r="L2987" i="2"/>
  <c r="L2986" i="2"/>
  <c r="L2982" i="2"/>
  <c r="L2978" i="2"/>
  <c r="L2972" i="2"/>
  <c r="L2968" i="2"/>
  <c r="L2967" i="2"/>
  <c r="L2966" i="2"/>
  <c r="L2965" i="2"/>
  <c r="L2964" i="2"/>
  <c r="L2963" i="2"/>
  <c r="L2797" i="2"/>
  <c r="L2796" i="2"/>
  <c r="L2795" i="2"/>
  <c r="L2794" i="2"/>
  <c r="L2793" i="2"/>
  <c r="L2792" i="2"/>
  <c r="L2791" i="2"/>
  <c r="L2790" i="2"/>
  <c r="L2789" i="2"/>
  <c r="L2788" i="2"/>
  <c r="L2787" i="2"/>
  <c r="L2786" i="2"/>
  <c r="L2785" i="2"/>
  <c r="L2784" i="2"/>
  <c r="L2783" i="2"/>
  <c r="L2782" i="2"/>
  <c r="L2781" i="2"/>
  <c r="L2780" i="2"/>
  <c r="L2779" i="2"/>
  <c r="L2778" i="2"/>
  <c r="L2777" i="2"/>
  <c r="L2776" i="2"/>
  <c r="L2775" i="2"/>
  <c r="L2774" i="2"/>
  <c r="L2773" i="2"/>
  <c r="L2772" i="2"/>
  <c r="L2771" i="2"/>
  <c r="L2770" i="2"/>
  <c r="L2769" i="2"/>
  <c r="L2768" i="2"/>
  <c r="L2767" i="2"/>
  <c r="L2766" i="2"/>
  <c r="L2765" i="2"/>
  <c r="L2764" i="2"/>
  <c r="L2763" i="2"/>
  <c r="L2762" i="2"/>
  <c r="L2761" i="2"/>
  <c r="L2760" i="2"/>
  <c r="L2759" i="2"/>
  <c r="L2758" i="2"/>
  <c r="L2757" i="2"/>
  <c r="L2756" i="2"/>
  <c r="L2755" i="2"/>
  <c r="L2754" i="2"/>
  <c r="L2753" i="2"/>
  <c r="L2752" i="2"/>
  <c r="L2751" i="2"/>
  <c r="L2750" i="2"/>
  <c r="L2749" i="2"/>
  <c r="L2748" i="2"/>
  <c r="L2747" i="2"/>
  <c r="L2746" i="2"/>
  <c r="L2745" i="2"/>
  <c r="L2744" i="2"/>
  <c r="L2743" i="2"/>
  <c r="L2742" i="2"/>
  <c r="L2741" i="2"/>
  <c r="L2740" i="2"/>
  <c r="L2739" i="2"/>
  <c r="L2738" i="2"/>
  <c r="L2737" i="2"/>
  <c r="L2736" i="2"/>
  <c r="L2735" i="2"/>
  <c r="L2734" i="2"/>
  <c r="L2733" i="2"/>
  <c r="L2732" i="2"/>
  <c r="L2731" i="2"/>
  <c r="L2730" i="2"/>
  <c r="L2729" i="2"/>
  <c r="L2693" i="2"/>
  <c r="L2689" i="2"/>
  <c r="L2678" i="2"/>
  <c r="L2676" i="2"/>
  <c r="L2673" i="2"/>
  <c r="L2670" i="2"/>
  <c r="L2665" i="2"/>
  <c r="L2662" i="2"/>
  <c r="L2655" i="2"/>
  <c r="L2652" i="2"/>
  <c r="L2651" i="2"/>
  <c r="L2647" i="2"/>
  <c r="L2645" i="2"/>
  <c r="L2642" i="2"/>
  <c r="L2640" i="2"/>
  <c r="L2637" i="2"/>
  <c r="L2634" i="2"/>
  <c r="L2632" i="2"/>
  <c r="L2522" i="2"/>
  <c r="L2471" i="2"/>
  <c r="L2470" i="2"/>
  <c r="L2469" i="2"/>
  <c r="L2468" i="2"/>
  <c r="L2467" i="2"/>
  <c r="L2466" i="2"/>
  <c r="L2465" i="2"/>
  <c r="L2464" i="2"/>
  <c r="L2463" i="2"/>
  <c r="L2462" i="2"/>
  <c r="L2461" i="2"/>
  <c r="L2460" i="2"/>
  <c r="L2459" i="2"/>
  <c r="L2458" i="2"/>
  <c r="L2457" i="2"/>
  <c r="L2456" i="2"/>
  <c r="L2455" i="2"/>
  <c r="L2454" i="2"/>
  <c r="L2453" i="2"/>
  <c r="L2452" i="2"/>
  <c r="L2451" i="2"/>
  <c r="L2450" i="2"/>
  <c r="L2449" i="2"/>
  <c r="L2448" i="2"/>
  <c r="L2447" i="2"/>
  <c r="L2446" i="2"/>
  <c r="L2445" i="2"/>
  <c r="L2444" i="2"/>
  <c r="L2443" i="2"/>
  <c r="L2442" i="2"/>
  <c r="L2441" i="2"/>
  <c r="L2440" i="2"/>
  <c r="L2439" i="2"/>
  <c r="L2438" i="2"/>
  <c r="L2437" i="2"/>
  <c r="L2436" i="2"/>
  <c r="L2435" i="2"/>
  <c r="L2434" i="2"/>
  <c r="L2433" i="2"/>
  <c r="L2432" i="2"/>
  <c r="L2431" i="2"/>
  <c r="L2430" i="2"/>
  <c r="L2429" i="2"/>
  <c r="L2428" i="2"/>
  <c r="L2427" i="2"/>
  <c r="L2426" i="2"/>
  <c r="L2425" i="2"/>
  <c r="L2424" i="2"/>
  <c r="L2423" i="2"/>
  <c r="L2422" i="2"/>
  <c r="L2421" i="2"/>
  <c r="L2420" i="2"/>
  <c r="L2419" i="2"/>
  <c r="L2418" i="2"/>
  <c r="L2417" i="2"/>
  <c r="L2416" i="2"/>
  <c r="L2356" i="2"/>
  <c r="L2355" i="2"/>
  <c r="L2352" i="2"/>
  <c r="L2316" i="2"/>
  <c r="L2313" i="2"/>
  <c r="L2100" i="2"/>
  <c r="L2080" i="2"/>
  <c r="L2076" i="2"/>
  <c r="L2075" i="2"/>
  <c r="L2074" i="2"/>
  <c r="L2073" i="2"/>
  <c r="L2072" i="2"/>
  <c r="L2071" i="2"/>
  <c r="L2070" i="2"/>
  <c r="L2069" i="2"/>
  <c r="L2068" i="2"/>
  <c r="L2067" i="2"/>
  <c r="L2066" i="2"/>
  <c r="L2065" i="2"/>
  <c r="L2064" i="2"/>
  <c r="L2063" i="2"/>
  <c r="L2062" i="2"/>
  <c r="L2061" i="2"/>
  <c r="L2060" i="2"/>
  <c r="L2059" i="2"/>
  <c r="L2058" i="2"/>
  <c r="L2057" i="2"/>
  <c r="L2056" i="2"/>
  <c r="L2055" i="2"/>
  <c r="L2054" i="2"/>
  <c r="L2053" i="2"/>
  <c r="L2052" i="2"/>
  <c r="L2051" i="2"/>
  <c r="L2050" i="2"/>
  <c r="L2049" i="2"/>
  <c r="L2048" i="2"/>
  <c r="L2047" i="2"/>
  <c r="L2046" i="2"/>
  <c r="L2045" i="2"/>
  <c r="L2044" i="2"/>
  <c r="L2043" i="2"/>
  <c r="L2042" i="2"/>
  <c r="L2041" i="2"/>
  <c r="L2040" i="2"/>
  <c r="L2039" i="2"/>
  <c r="L2038" i="2"/>
  <c r="L2037" i="2"/>
  <c r="L2036" i="2"/>
  <c r="L2035" i="2"/>
  <c r="L2034" i="2"/>
  <c r="L2033" i="2"/>
  <c r="L2032" i="2"/>
  <c r="L2031" i="2"/>
  <c r="L2030" i="2"/>
  <c r="L2029" i="2"/>
  <c r="L2028" i="2"/>
  <c r="L2027" i="2"/>
  <c r="L2026" i="2"/>
  <c r="L2025" i="2"/>
  <c r="L2024" i="2"/>
  <c r="L2023" i="2"/>
  <c r="L2022" i="2"/>
  <c r="L2021" i="2"/>
  <c r="L2020" i="2"/>
  <c r="L1886" i="2"/>
  <c r="L1884" i="2"/>
  <c r="L1881" i="2"/>
  <c r="L1876" i="2"/>
  <c r="L1873" i="2"/>
  <c r="L1870" i="2"/>
  <c r="L1867" i="2"/>
  <c r="L1864" i="2"/>
  <c r="L1862" i="2"/>
  <c r="L1861" i="2"/>
  <c r="L1859" i="2"/>
  <c r="L1850" i="2"/>
  <c r="L1828" i="2"/>
  <c r="L1803" i="2"/>
  <c r="L1790" i="2"/>
  <c r="L1789" i="2"/>
  <c r="L1775" i="2"/>
  <c r="L1767" i="2"/>
  <c r="L1765" i="2"/>
  <c r="L1762" i="2"/>
  <c r="L1694" i="2"/>
  <c r="L1693" i="2"/>
  <c r="L1692" i="2"/>
  <c r="L1691" i="2"/>
  <c r="L1690" i="2"/>
  <c r="L1689" i="2"/>
  <c r="L1688" i="2"/>
  <c r="L1687" i="2"/>
  <c r="L1686" i="2"/>
  <c r="L1685" i="2"/>
  <c r="L1684" i="2"/>
  <c r="L1683" i="2"/>
  <c r="L1682" i="2"/>
  <c r="L1681" i="2"/>
  <c r="L1680" i="2"/>
  <c r="L1679" i="2"/>
  <c r="L1678" i="2"/>
  <c r="L1677" i="2"/>
  <c r="L1676" i="2"/>
  <c r="L1675" i="2"/>
  <c r="L1674" i="2"/>
  <c r="L1673" i="2"/>
  <c r="L1672" i="2"/>
  <c r="L1671" i="2"/>
  <c r="L1670" i="2"/>
  <c r="L1669" i="2"/>
  <c r="L1668" i="2"/>
  <c r="L1667" i="2"/>
  <c r="L1666" i="2"/>
  <c r="L1665" i="2"/>
  <c r="L1664" i="2"/>
  <c r="L1663" i="2"/>
  <c r="L1662" i="2"/>
  <c r="L1630" i="2"/>
  <c r="L1629" i="2"/>
  <c r="L1628" i="2"/>
  <c r="L1627" i="2"/>
  <c r="L1626" i="2"/>
  <c r="L1625" i="2"/>
  <c r="L1624" i="2"/>
  <c r="L1623" i="2"/>
  <c r="L1622" i="2"/>
  <c r="L1621" i="2"/>
  <c r="L1620" i="2"/>
  <c r="L1619" i="2"/>
  <c r="L1618" i="2"/>
  <c r="L1617" i="2"/>
  <c r="L1616" i="2"/>
  <c r="L1615" i="2"/>
  <c r="L1614" i="2"/>
  <c r="L1613" i="2"/>
  <c r="L1612" i="2"/>
  <c r="L1611" i="2"/>
  <c r="L1610" i="2"/>
  <c r="L1609" i="2"/>
  <c r="L1608" i="2"/>
  <c r="L1607" i="2"/>
  <c r="L1606" i="2"/>
  <c r="L1605" i="2"/>
  <c r="L1604" i="2"/>
  <c r="L1603" i="2"/>
  <c r="L1602" i="2"/>
  <c r="L1601" i="2"/>
  <c r="L1600" i="2"/>
  <c r="L1599" i="2"/>
  <c r="L1598" i="2"/>
  <c r="L1597" i="2"/>
  <c r="L1596" i="2"/>
  <c r="L1595" i="2"/>
  <c r="L1594" i="2"/>
  <c r="L1588" i="2"/>
  <c r="L1576" i="2"/>
  <c r="L1403" i="2"/>
  <c r="L1401" i="2"/>
  <c r="L1397" i="2"/>
  <c r="L1396" i="2"/>
  <c r="L1235" i="2"/>
  <c r="L1233" i="2"/>
  <c r="L1212" i="2"/>
  <c r="L1211" i="2"/>
  <c r="L1209" i="2"/>
  <c r="L1192" i="2"/>
  <c r="L1096" i="2"/>
  <c r="L1095" i="2"/>
  <c r="L1094" i="2"/>
  <c r="L1093" i="2"/>
  <c r="L1092" i="2"/>
  <c r="L1091" i="2"/>
  <c r="L1090" i="2"/>
  <c r="L1089" i="2"/>
  <c r="L1088" i="2"/>
  <c r="L1087" i="2"/>
  <c r="L1086" i="2"/>
  <c r="L1085" i="2"/>
  <c r="L1084" i="2"/>
  <c r="L1083" i="2"/>
  <c r="L1082" i="2"/>
  <c r="L1081" i="2"/>
  <c r="L1080" i="2"/>
  <c r="L1079" i="2"/>
  <c r="L1078" i="2"/>
  <c r="L1077" i="2"/>
  <c r="L1076" i="2"/>
  <c r="L1075" i="2"/>
  <c r="L1074" i="2"/>
  <c r="L1073" i="2"/>
  <c r="L1072" i="2"/>
  <c r="L1071" i="2"/>
  <c r="L1070" i="2"/>
  <c r="L1069" i="2"/>
  <c r="L1068" i="2"/>
  <c r="L1067" i="2"/>
  <c r="L1066" i="2"/>
  <c r="L1014" i="2"/>
  <c r="L1008" i="2"/>
  <c r="L1007" i="2"/>
  <c r="L1006" i="2"/>
  <c r="L1005" i="2"/>
  <c r="L1004" i="2"/>
  <c r="L1003" i="2"/>
  <c r="L1002" i="2"/>
  <c r="L1001" i="2"/>
  <c r="L1000" i="2"/>
  <c r="L999" i="2"/>
  <c r="L998" i="2"/>
  <c r="L997" i="2"/>
  <c r="L996" i="2"/>
  <c r="L995" i="2"/>
  <c r="L994" i="2"/>
  <c r="L993" i="2"/>
  <c r="L992" i="2"/>
  <c r="L991" i="2"/>
  <c r="L990" i="2"/>
  <c r="L989" i="2"/>
  <c r="L988" i="2"/>
  <c r="L987" i="2"/>
  <c r="L986" i="2"/>
  <c r="L985" i="2"/>
  <c r="L984" i="2"/>
  <c r="L983" i="2"/>
  <c r="L982" i="2"/>
  <c r="L981" i="2"/>
  <c r="L980" i="2"/>
  <c r="L979" i="2"/>
  <c r="L978" i="2"/>
  <c r="L977" i="2"/>
  <c r="L976" i="2"/>
  <c r="L975" i="2"/>
  <c r="L974" i="2"/>
  <c r="L973" i="2"/>
  <c r="L972" i="2"/>
  <c r="L971" i="2"/>
  <c r="L970" i="2"/>
  <c r="L969" i="2"/>
  <c r="L968" i="2"/>
  <c r="L967" i="2"/>
  <c r="L926" i="2"/>
  <c r="L923" i="2"/>
  <c r="L914" i="2"/>
  <c r="L911" i="2"/>
  <c r="L907" i="2"/>
  <c r="L901" i="2"/>
  <c r="L900" i="2"/>
  <c r="L897" i="2"/>
  <c r="L894" i="2"/>
  <c r="L891" i="2"/>
  <c r="L888" i="2"/>
  <c r="L885" i="2"/>
  <c r="L884" i="2"/>
  <c r="L881" i="2"/>
  <c r="L880" i="2"/>
  <c r="L879" i="2"/>
  <c r="L878" i="2"/>
  <c r="L875" i="2"/>
  <c r="L863" i="2"/>
  <c r="L861" i="2"/>
  <c r="L854" i="2"/>
  <c r="L838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404" i="2"/>
  <c r="L395" i="2"/>
  <c r="L394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51" i="2"/>
  <c r="L250" i="2"/>
  <c r="L249" i="2"/>
  <c r="L248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18" i="2"/>
  <c r="L114" i="2"/>
  <c r="L103" i="2"/>
  <c r="L98" i="2"/>
  <c r="I348" i="3" l="1"/>
  <c r="I35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안지선</author>
    <author>안지선(파트너) - 모바일마케팅팀</author>
  </authors>
  <commentList>
    <comment ref="K3" authorId="0" shapeId="0" xr:uid="{9A3DF6B4-A4FE-49DF-BFF1-9E33E0BB600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금액은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누가</t>
        </r>
        <r>
          <rPr>
            <sz val="9"/>
            <color indexed="81"/>
            <rFont val="Tahoma"/>
            <family val="2"/>
          </rPr>
          <t xml:space="preserve">?
</t>
        </r>
        <r>
          <rPr>
            <sz val="9"/>
            <color indexed="81"/>
            <rFont val="돋움"/>
            <family val="3"/>
            <charset val="129"/>
          </rPr>
          <t>어디서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언제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넣는가</t>
        </r>
        <r>
          <rPr>
            <sz val="9"/>
            <color indexed="81"/>
            <rFont val="Tahoma"/>
            <family val="2"/>
          </rPr>
          <t>?</t>
        </r>
      </text>
    </comment>
    <comment ref="A11" authorId="1" shapeId="0" xr:uid="{944B9AF1-D69F-48B3-A9DF-DF7DBB516E59}">
      <text>
        <r>
          <rPr>
            <b/>
            <sz val="9"/>
            <color indexed="81"/>
            <rFont val="돋움"/>
            <family val="3"/>
            <charset val="129"/>
          </rPr>
          <t>안지선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※미선정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사유</t>
        </r>
        <r>
          <rPr>
            <sz val="9"/>
            <color indexed="81"/>
            <rFont val="Tahoma"/>
            <family val="2"/>
          </rPr>
          <t xml:space="preserve"> : 
</t>
        </r>
        <r>
          <rPr>
            <sz val="9"/>
            <color indexed="81"/>
            <rFont val="돋움"/>
            <family val="3"/>
            <charset val="129"/>
          </rPr>
          <t>쇼핑라이브</t>
        </r>
        <r>
          <rPr>
            <sz val="9"/>
            <color indexed="81"/>
            <rFont val="Tahoma"/>
            <family val="2"/>
          </rPr>
          <t>/TV</t>
        </r>
        <r>
          <rPr>
            <sz val="9"/>
            <color indexed="81"/>
            <rFont val="돋움"/>
            <family val="3"/>
            <charset val="129"/>
          </rPr>
          <t>미리주문으로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에싸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브랜드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선정</t>
        </r>
      </text>
    </comment>
    <comment ref="A14" authorId="1" shapeId="0" xr:uid="{5CE1DE37-09E1-47D1-80E4-4D1B6FF21ACB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안지선:
※미선정 사유 : 
취합마감 기한 내에 미취합
</t>
        </r>
      </text>
    </comment>
    <comment ref="A18" authorId="2" shapeId="0" xr:uid="{6865C1AC-CE49-4641-99A3-1673B435EE91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안지선(파트너) - 모바일마케팅팀:
 ※ 미선정 사유 : 
 목표매출 규모로 CJ제일제당 선정
</t>
        </r>
      </text>
    </comment>
    <comment ref="A22" authorId="1" shapeId="0" xr:uid="{FE7B8BD5-A689-48A5-AAC0-104207BB1663}">
      <text>
        <r>
          <rPr>
            <b/>
            <sz val="9"/>
            <color indexed="81"/>
            <rFont val="돋움"/>
            <family val="3"/>
            <charset val="129"/>
          </rPr>
          <t>안지선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※미선정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사유</t>
        </r>
        <r>
          <rPr>
            <sz val="9"/>
            <color indexed="81"/>
            <rFont val="Tahoma"/>
            <family val="2"/>
          </rPr>
          <t xml:space="preserve"> : 
 </t>
        </r>
        <r>
          <rPr>
            <sz val="9"/>
            <color indexed="81"/>
            <rFont val="돋움"/>
            <family val="3"/>
            <charset val="129"/>
          </rPr>
          <t>쇼핑라이브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올리비아로렌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인디안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</text>
    </comment>
    <comment ref="A24" authorId="1" shapeId="0" xr:uid="{AE94A6E8-6FC5-4470-BC25-BEEA518C088A}">
      <text>
        <r>
          <rPr>
            <b/>
            <sz val="9"/>
            <color indexed="81"/>
            <rFont val="돋움"/>
            <family val="3"/>
            <charset val="129"/>
          </rPr>
          <t>안지선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※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미선정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사유</t>
        </r>
        <r>
          <rPr>
            <sz val="9"/>
            <color indexed="81"/>
            <rFont val="Tahoma"/>
            <family val="2"/>
          </rPr>
          <t xml:space="preserve"> : 
 </t>
        </r>
        <r>
          <rPr>
            <sz val="9"/>
            <color indexed="81"/>
            <rFont val="돋움"/>
            <family val="3"/>
            <charset val="129"/>
          </rPr>
          <t>신규입점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매출규모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시즌이슈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상품으ㅡ로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내셔널지오그래픽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선정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A29" authorId="1" shapeId="0" xr:uid="{4F815A7B-3570-4EBB-879E-80EB82C928B4}">
      <text>
        <r>
          <rPr>
            <b/>
            <sz val="9"/>
            <color indexed="81"/>
            <rFont val="돋움"/>
            <family val="3"/>
            <charset val="129"/>
          </rPr>
          <t>안지선</t>
        </r>
        <r>
          <rPr>
            <b/>
            <sz val="9"/>
            <color indexed="81"/>
            <rFont val="Tahoma"/>
            <family val="2"/>
          </rPr>
          <t xml:space="preserve">:
 </t>
        </r>
        <r>
          <rPr>
            <b/>
            <sz val="9"/>
            <color indexed="81"/>
            <rFont val="돋움"/>
            <family val="3"/>
            <charset val="129"/>
          </rPr>
          <t>※미선정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사유</t>
        </r>
        <r>
          <rPr>
            <b/>
            <sz val="9"/>
            <color indexed="81"/>
            <rFont val="Tahoma"/>
            <family val="2"/>
          </rPr>
          <t xml:space="preserve"> : 
 </t>
        </r>
        <r>
          <rPr>
            <b/>
            <sz val="9"/>
            <color indexed="81"/>
            <rFont val="돋움"/>
            <family val="3"/>
            <charset val="129"/>
          </rPr>
          <t>설명절시즌이슈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목표매출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규모로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브랜드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3" authorId="1" shapeId="0" xr:uid="{78362054-E4D2-45D4-A3A6-8BC5EEADEDC6}">
      <text>
        <r>
          <rPr>
            <sz val="9"/>
            <color indexed="81"/>
            <rFont val="Spoqa Han Sans Neo Light"/>
            <family val="2"/>
            <charset val="129"/>
          </rPr>
          <t xml:space="preserve">안지선:
</t>
        </r>
        <r>
          <rPr>
            <b/>
            <sz val="9"/>
            <color indexed="81"/>
            <rFont val="Spoqa Han Sans Neo Light"/>
            <family val="2"/>
            <charset val="129"/>
          </rPr>
          <t>※ 미선정 사유 : 
쇼핑라이브 진행 브랜드 2개 편성으로 미편성</t>
        </r>
      </text>
    </comment>
    <comment ref="A44" authorId="1" shapeId="0" xr:uid="{C7F38E91-F944-4632-88D2-9774A27928AB}">
      <text>
        <r>
          <rPr>
            <b/>
            <sz val="9"/>
            <color indexed="81"/>
            <rFont val="돋움"/>
            <family val="3"/>
            <charset val="129"/>
          </rPr>
          <t>안지선</t>
        </r>
        <r>
          <rPr>
            <b/>
            <sz val="9"/>
            <color indexed="81"/>
            <rFont val="Tahoma"/>
            <family val="2"/>
          </rPr>
          <t>:
00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>~13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운영</t>
        </r>
      </text>
    </comment>
    <comment ref="A45" authorId="1" shapeId="0" xr:uid="{5E24F65A-3352-4D93-BA51-0366444F8214}">
      <text>
        <r>
          <rPr>
            <b/>
            <sz val="9"/>
            <color indexed="81"/>
            <rFont val="돋움"/>
            <family val="3"/>
            <charset val="129"/>
          </rPr>
          <t>안지선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13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>~24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운영</t>
        </r>
      </text>
    </comment>
    <comment ref="A47" authorId="1" shapeId="0" xr:uid="{87EB0839-B712-42A6-9D69-65DC5317236F}">
      <text>
        <r>
          <rPr>
            <sz val="9"/>
            <color indexed="81"/>
            <rFont val="Spoqa Han Sans Neo Light"/>
            <family val="2"/>
            <charset val="129"/>
          </rPr>
          <t xml:space="preserve">안지선:
</t>
        </r>
        <r>
          <rPr>
            <b/>
            <sz val="9"/>
            <color indexed="81"/>
            <rFont val="Spoqa Han Sans Neo Light"/>
            <family val="2"/>
            <charset val="129"/>
          </rPr>
          <t>※ 미선정 사유 : 
쇼핑라이브 진행 브랜드 2개 진행으로 인해 미편성</t>
        </r>
        <r>
          <rPr>
            <sz val="9"/>
            <color indexed="81"/>
            <rFont val="Spoqa Han Sans Neo Light"/>
            <family val="2"/>
            <charset val="129"/>
          </rPr>
          <t xml:space="preserve">
</t>
        </r>
      </text>
    </comment>
    <comment ref="A48" authorId="1" shapeId="0" xr:uid="{687F9B60-7C48-4015-AB39-5DAD41ABEC22}">
      <text>
        <r>
          <rPr>
            <b/>
            <sz val="9"/>
            <color indexed="81"/>
            <rFont val="돋움"/>
            <family val="3"/>
            <charset val="129"/>
          </rPr>
          <t>안지선</t>
        </r>
        <r>
          <rPr>
            <b/>
            <sz val="9"/>
            <color indexed="81"/>
            <rFont val="Tahoma"/>
            <family val="2"/>
          </rPr>
          <t>:
00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>~13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운영</t>
        </r>
      </text>
    </comment>
    <comment ref="A49" authorId="1" shapeId="0" xr:uid="{891E2293-5E6E-49FD-97C5-8CED56839814}">
      <text>
        <r>
          <rPr>
            <b/>
            <sz val="9"/>
            <color indexed="81"/>
            <rFont val="돋움"/>
            <family val="3"/>
            <charset val="129"/>
          </rPr>
          <t>안지선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13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~24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운영</t>
        </r>
      </text>
    </comment>
    <comment ref="A50" authorId="1" shapeId="0" xr:uid="{6FA373EE-E148-4F21-B310-540A53E74EF0}">
      <text>
        <r>
          <rPr>
            <sz val="9"/>
            <color indexed="81"/>
            <rFont val="Spoqa Han Sans Neo Light"/>
            <family val="2"/>
            <charset val="129"/>
          </rPr>
          <t xml:space="preserve">안지선:
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
 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※미선정 사유 : 
 2/18(화) 진행되는 행사로 2월 브랜드데이 확정 </t>
        </r>
      </text>
    </comment>
    <comment ref="A57" authorId="1" shapeId="0" xr:uid="{2D792E0A-3E85-48C1-85E2-399C573A8972}">
      <text>
        <r>
          <rPr>
            <sz val="9"/>
            <color indexed="81"/>
            <rFont val="Spoqa Han Sans Neo Light"/>
            <family val="2"/>
            <charset val="129"/>
          </rPr>
          <t xml:space="preserve">안지선:
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
 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※미선정 사유 : 
2월 건식 브랜드데이 다수 진행 사유로 뷰티 메가브랜드로 진행
</t>
        </r>
      </text>
    </comment>
    <comment ref="A58" authorId="1" shapeId="0" xr:uid="{8CD7E76D-1E0A-47FF-B693-201E736A5BE9}">
      <text>
        <r>
          <rPr>
            <sz val="9"/>
            <color indexed="81"/>
            <rFont val="Spoqa Han Sans Neo Light"/>
            <family val="2"/>
            <charset val="129"/>
          </rPr>
          <t xml:space="preserve">안지선:
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
 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>※미선정 사유 : 
목표매출/핵심상품 등 기본 작성 요건 미기재</t>
        </r>
      </text>
    </comment>
    <comment ref="A59" authorId="1" shapeId="0" xr:uid="{E86CE2E6-8456-40CF-B354-F6C5A09210A2}">
      <text>
        <r>
          <rPr>
            <sz val="9"/>
            <color indexed="81"/>
            <rFont val="Spoqa Han Sans Neo Light"/>
            <family val="2"/>
            <charset val="129"/>
          </rPr>
          <t xml:space="preserve">안지선:
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
 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>※미선정 사유 : 
통합매입 (이경제) 진행 및 쇼핑라이브 일정 상이</t>
        </r>
      </text>
    </comment>
    <comment ref="A62" authorId="1" shapeId="0" xr:uid="{4CFA3E84-63F7-4B1A-9CE5-88768B3BC004}">
      <text>
        <r>
          <rPr>
            <sz val="9"/>
            <color indexed="81"/>
            <rFont val="Spoqa Han Sans Neo Light"/>
            <family val="2"/>
            <charset val="129"/>
          </rPr>
          <t xml:space="preserve">안지선:
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
 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※미선정 사유 : 
목표매출 상위 브랜드 선정 </t>
        </r>
      </text>
    </comment>
    <comment ref="A63" authorId="1" shapeId="0" xr:uid="{22635B16-2E2C-400D-A462-AD33DAA074E1}">
      <text>
        <r>
          <rPr>
            <sz val="9"/>
            <color indexed="81"/>
            <rFont val="Spoqa Han Sans Neo Light"/>
            <family val="2"/>
            <charset val="129"/>
          </rPr>
          <t xml:space="preserve">안지선:
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
 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※미선정 사유 : 
목표매출 상위 브랜드 선정 </t>
        </r>
      </text>
    </comment>
    <comment ref="A66" authorId="1" shapeId="0" xr:uid="{2FC40F24-4102-42BC-B4A5-5A22BAE3F29F}">
      <text>
        <r>
          <rPr>
            <sz val="9"/>
            <color indexed="81"/>
            <rFont val="Spoqa Han Sans Neo Light"/>
            <family val="2"/>
            <charset val="129"/>
          </rPr>
          <t xml:space="preserve">안지선:
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
 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※미선정 사유 : 
목표매출 상위 브랜드 선정 </t>
        </r>
      </text>
    </comment>
    <comment ref="A67" authorId="1" shapeId="0" xr:uid="{D1CD640D-2EDD-4A61-AF9B-E57BABDAAF83}">
      <text>
        <r>
          <rPr>
            <sz val="9"/>
            <color indexed="81"/>
            <rFont val="Spoqa Han Sans Neo Light"/>
            <family val="2"/>
            <charset val="129"/>
          </rPr>
          <t xml:space="preserve">안지선:
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
 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>※미선정 사유 : 
목표매출/핵심상품 등 기본 작성 요건 미기재</t>
        </r>
      </text>
    </comment>
    <comment ref="A71" authorId="1" shapeId="0" xr:uid="{79A1CE45-F5BE-4106-BB5D-C03784A13867}">
      <text>
        <r>
          <rPr>
            <sz val="9"/>
            <color indexed="81"/>
            <rFont val="Spoqa Han Sans Neo Light"/>
            <family val="2"/>
            <charset val="129"/>
          </rPr>
          <t xml:space="preserve">안지선:
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
 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※미선정 사유 : 
목표매출 상위 브랜드 선정 </t>
        </r>
      </text>
    </comment>
    <comment ref="A72" authorId="1" shapeId="0" xr:uid="{1C8E60D7-B292-49F6-B663-3B89092B45B2}">
      <text>
        <r>
          <rPr>
            <sz val="9"/>
            <color indexed="81"/>
            <rFont val="Spoqa Han Sans Neo Light"/>
            <family val="2"/>
            <charset val="129"/>
          </rPr>
          <t xml:space="preserve">안지선:
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
 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※미선정 사유 : 
목표매출 상위 브랜드 선정 </t>
        </r>
      </text>
    </comment>
    <comment ref="A74" authorId="1" shapeId="0" xr:uid="{45B9D4C6-57F7-47CC-AE8D-EDF07F2A2FEC}">
      <text>
        <r>
          <rPr>
            <sz val="11"/>
            <color theme="1"/>
            <rFont val="맑은 고딕"/>
            <family val="2"/>
            <charset val="129"/>
            <scheme val="minor"/>
          </rPr>
          <t>안지선:
 ※미선정 사유 : 
슈퍼브랜드(1억브랜드) 진행 예정</t>
        </r>
      </text>
    </comment>
    <comment ref="A76" authorId="1" shapeId="0" xr:uid="{DAD9175F-B797-4170-AE87-E54A4A0A1A2A}">
      <text>
        <r>
          <rPr>
            <sz val="11"/>
            <color theme="1"/>
            <rFont val="맑은 고딕"/>
            <family val="2"/>
            <charset val="129"/>
            <scheme val="minor"/>
          </rPr>
          <t>안지선:
 ※미선정 사유 : 
CJ제일제당 1억브랜드로 인해 미진행 &gt; 도로시로 변경 &gt; 풀무원으로 변경</t>
        </r>
      </text>
    </comment>
    <comment ref="A78" authorId="1" shapeId="0" xr:uid="{B942F366-B6F2-414D-97F6-23409B0EF799}">
      <text>
        <r>
          <rPr>
            <sz val="9"/>
            <color indexed="81"/>
            <rFont val="Spoqa Han Sans Neo Light"/>
            <family val="2"/>
            <charset val="129"/>
          </rPr>
          <t xml:space="preserve">안지선:
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
 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>※미선정 사유 : 
목표매출/핵심상품 등 기본 작성 요건 미기재</t>
        </r>
      </text>
    </comment>
    <comment ref="A81" authorId="1" shapeId="0" xr:uid="{5C23D03E-C62A-47A9-970F-8C7C0D60DC85}">
      <text>
        <r>
          <rPr>
            <sz val="9"/>
            <color indexed="81"/>
            <rFont val="Spoqa Han Sans Neo Light"/>
            <family val="2"/>
            <charset val="129"/>
          </rPr>
          <t xml:space="preserve">안지선:
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
 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>※미선정 사유 : 
목표매출/핵심상품 등 기본 작성 요건 미기재</t>
        </r>
      </text>
    </comment>
    <comment ref="A83" authorId="1" shapeId="0" xr:uid="{A0F98A41-F6AF-4A24-9FCB-C6AFA3586694}">
      <text>
        <r>
          <rPr>
            <sz val="9"/>
            <color indexed="81"/>
            <rFont val="Spoqa Han Sans Neo Light"/>
            <family val="2"/>
            <charset val="129"/>
          </rPr>
          <t xml:space="preserve">안지선:
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
 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※미선정 사유 : 
목표매출 상위 브랜드 선정 </t>
        </r>
      </text>
    </comment>
    <comment ref="A86" authorId="1" shapeId="0" xr:uid="{3D8000C6-9EF7-4B03-A4E9-E250D8293127}">
      <text>
        <r>
          <rPr>
            <sz val="9"/>
            <color indexed="81"/>
            <rFont val="Spoqa Han Sans Neo Light"/>
            <family val="2"/>
            <charset val="129"/>
          </rPr>
          <t xml:space="preserve">안지선:
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
 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※미선정 사유 : 
쇼핑라이브 진행 브랜드 선정 
</t>
        </r>
      </text>
    </comment>
    <comment ref="A88" authorId="1" shapeId="0" xr:uid="{0BE4554D-0B4E-452A-A7CB-C41555BF74EC}">
      <text>
        <r>
          <rPr>
            <sz val="9"/>
            <color indexed="81"/>
            <rFont val="Spoqa Han Sans Neo Light"/>
            <family val="2"/>
            <charset val="129"/>
          </rPr>
          <t xml:space="preserve">안지선:
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
 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※미선정 사유 : 
쇼핑라이브 진행 브랜드 선정 
</t>
        </r>
      </text>
    </comment>
    <comment ref="A90" authorId="1" shapeId="0" xr:uid="{343ED35C-AA6E-41BE-9347-FA20E934F58E}">
      <text>
        <r>
          <rPr>
            <sz val="9"/>
            <color indexed="81"/>
            <rFont val="Spoqa Han Sans Neo Light"/>
            <family val="2"/>
            <charset val="129"/>
          </rPr>
          <t xml:space="preserve">안지선:
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
 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※미선정 사유 : 
2월 남녀 패션 브랜드데이 다수 진행 사유로 가공 육성 브랜드로 진행
</t>
        </r>
      </text>
    </comment>
    <comment ref="A94" authorId="1" shapeId="0" xr:uid="{93079C86-66B7-49DB-B7AE-3EDCC45DEF9F}">
      <text>
        <r>
          <rPr>
            <b/>
            <sz val="9"/>
            <color indexed="81"/>
            <rFont val="돋움"/>
            <family val="3"/>
            <charset val="129"/>
          </rPr>
          <t>안지선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쇼핑라이브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브랜드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미진행</t>
        </r>
      </text>
    </comment>
    <comment ref="A96" authorId="1" shapeId="0" xr:uid="{C1018C3F-2E20-4D69-86D0-91CB35E6CAE7}">
      <text>
        <r>
          <rPr>
            <b/>
            <sz val="9"/>
            <color indexed="81"/>
            <rFont val="돋움"/>
            <family val="3"/>
            <charset val="129"/>
          </rPr>
          <t>안지선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쇼핑라이브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브랜드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미진행</t>
        </r>
      </text>
    </comment>
    <comment ref="A98" authorId="1" shapeId="0" xr:uid="{26149B7D-7E88-4FAB-993C-9D290117E8E9}">
      <text>
        <r>
          <rPr>
            <b/>
            <sz val="9"/>
            <color indexed="81"/>
            <rFont val="돋움"/>
            <family val="3"/>
            <charset val="129"/>
          </rPr>
          <t>안지선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쇼핑라이브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브랜드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미진행</t>
        </r>
      </text>
    </comment>
    <comment ref="A99" authorId="1" shapeId="0" xr:uid="{86188E7E-2DA0-4C9E-9DA7-B44352D87FEE}">
      <text>
        <r>
          <rPr>
            <b/>
            <sz val="9"/>
            <color indexed="81"/>
            <rFont val="돋움"/>
            <family val="3"/>
            <charset val="129"/>
          </rPr>
          <t>안지선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시즌이슈상품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브랜드데이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미진행
</t>
        </r>
      </text>
    </comment>
    <comment ref="A105" authorId="1" shapeId="0" xr:uid="{17DC248A-CE47-4B5C-9306-45E709D2F292}">
      <text>
        <r>
          <rPr>
            <b/>
            <sz val="9"/>
            <color indexed="81"/>
            <rFont val="돋움"/>
            <family val="3"/>
            <charset val="129"/>
          </rPr>
          <t>안지선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라방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사유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A108" authorId="1" shapeId="0" xr:uid="{23C61440-4655-4BD3-8171-CA22E99BAD84}">
      <text>
        <r>
          <rPr>
            <b/>
            <sz val="9"/>
            <color indexed="81"/>
            <rFont val="돋움"/>
            <family val="3"/>
            <charset val="129"/>
          </rPr>
          <t>안지선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,2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브랜드데이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호조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브랜드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제안으로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미선정</t>
        </r>
      </text>
    </comment>
    <comment ref="A110" authorId="1" shapeId="0" xr:uid="{BE0267EA-F494-4B88-8FCE-EA48649F3332}">
      <text>
        <r>
          <rPr>
            <b/>
            <sz val="9"/>
            <color indexed="81"/>
            <rFont val="돋움"/>
            <family val="3"/>
            <charset val="129"/>
          </rPr>
          <t>안지선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쇼핑라이브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브랜드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미진행</t>
        </r>
      </text>
    </comment>
    <comment ref="A116" authorId="1" shapeId="0" xr:uid="{62E7B8E2-9FE9-40A6-9DB4-BE89C9F65843}">
      <text>
        <r>
          <rPr>
            <b/>
            <sz val="9"/>
            <color indexed="81"/>
            <rFont val="돋움"/>
            <family val="3"/>
            <charset val="129"/>
          </rPr>
          <t>안지선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쇼핑라이브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브랜드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미진행</t>
        </r>
      </text>
    </comment>
    <comment ref="A117" authorId="1" shapeId="0" xr:uid="{0D5FD7E3-A41E-4A09-95C6-03D1C84721DA}">
      <text>
        <r>
          <rPr>
            <b/>
            <sz val="9"/>
            <color indexed="81"/>
            <rFont val="돋움"/>
            <family val="3"/>
            <charset val="129"/>
          </rPr>
          <t>안지선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13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>~24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운영</t>
        </r>
      </text>
    </comment>
    <comment ref="A118" authorId="1" shapeId="0" xr:uid="{31CA7FFD-7F9F-4E35-AD51-7FCAE02E3DBA}">
      <text>
        <r>
          <rPr>
            <b/>
            <sz val="9"/>
            <color indexed="81"/>
            <rFont val="돋움"/>
            <family val="3"/>
            <charset val="129"/>
          </rPr>
          <t>안지선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라이브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홍보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노출</t>
        </r>
        <r>
          <rPr>
            <sz val="9"/>
            <color indexed="81"/>
            <rFont val="Tahoma"/>
            <family val="2"/>
          </rPr>
          <t xml:space="preserve"> 00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>~13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운영
당일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라이브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브랜드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제안으로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인해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광고비</t>
        </r>
        <r>
          <rPr>
            <b/>
            <sz val="9"/>
            <color indexed="81"/>
            <rFont val="Tahoma"/>
            <family val="2"/>
          </rPr>
          <t xml:space="preserve"> 700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수주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오전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운영</t>
        </r>
      </text>
    </comment>
    <comment ref="A119" authorId="1" shapeId="0" xr:uid="{B09D063F-D9E0-419F-934B-780B2F7A655F}">
      <text>
        <r>
          <rPr>
            <sz val="11"/>
            <color theme="1"/>
            <rFont val="맑은 고딕"/>
            <family val="2"/>
            <charset val="129"/>
            <scheme val="minor"/>
          </rPr>
          <t>안지선:
 ※미선정 사유 : 
슈퍼브랜드(1억브랜드) 진행 예정</t>
        </r>
      </text>
    </comment>
    <comment ref="A120" authorId="1" shapeId="0" xr:uid="{B5B09DE6-876A-407A-B61F-875C93372F59}">
      <text>
        <r>
          <rPr>
            <sz val="11"/>
            <color theme="1"/>
            <rFont val="맑은 고딕"/>
            <family val="2"/>
            <charset val="129"/>
            <scheme val="minor"/>
          </rPr>
          <t>안지선:
 ※미선정 사유 : 
슈퍼브랜드(1억브랜드) 진행 예정</t>
        </r>
      </text>
    </comment>
    <comment ref="A123" authorId="1" shapeId="0" xr:uid="{7E560E8A-7881-4AA3-804A-5FC51F8D0C05}">
      <text>
        <r>
          <rPr>
            <sz val="11"/>
            <color theme="1"/>
            <rFont val="맑은 고딕"/>
            <family val="2"/>
            <charset val="129"/>
            <scheme val="minor"/>
          </rPr>
          <t>안지선:
 ※미선정 사유 : 
슈퍼브랜드(1억브랜드) 진행 예정 (2일) 노출</t>
        </r>
      </text>
    </comment>
    <comment ref="A125" authorId="1" shapeId="0" xr:uid="{610F9175-04F5-41E6-8E14-02980D323068}">
      <text>
        <r>
          <rPr>
            <b/>
            <sz val="9"/>
            <color indexed="81"/>
            <rFont val="돋움"/>
            <family val="3"/>
            <charset val="129"/>
          </rPr>
          <t>안지선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13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>~24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운영</t>
        </r>
      </text>
    </comment>
    <comment ref="A126" authorId="1" shapeId="0" xr:uid="{F1A4459E-82CB-4262-90BF-D85FB00D9289}">
      <text>
        <r>
          <rPr>
            <b/>
            <sz val="9"/>
            <color indexed="81"/>
            <rFont val="돋움"/>
            <family val="3"/>
            <charset val="129"/>
          </rPr>
          <t>안지선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~13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운영</t>
        </r>
      </text>
    </comment>
    <comment ref="A129" authorId="1" shapeId="0" xr:uid="{3EBDE81F-33CA-4061-BB2F-54653A7F7B7A}">
      <text>
        <r>
          <rPr>
            <sz val="9"/>
            <color indexed="81"/>
            <rFont val="Spoqa Han Sans Neo Light"/>
            <family val="2"/>
            <charset val="129"/>
          </rPr>
          <t xml:space="preserve">안지선:
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
 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>※미선정 사유 : 
목표매출/핵심상품 등 기본 작성 요건 미기재</t>
        </r>
      </text>
    </comment>
    <comment ref="A133" authorId="1" shapeId="0" xr:uid="{4CB99104-25DB-4C66-9657-207FE5ABDDBB}">
      <text>
        <r>
          <rPr>
            <sz val="9"/>
            <color indexed="81"/>
            <rFont val="Spoqa Han Sans Neo Light"/>
            <family val="2"/>
            <charset val="129"/>
          </rPr>
          <t xml:space="preserve">안지선:
제안 브랜드 없음
통합행사시 통합행사 노출 예정 </t>
        </r>
      </text>
    </comment>
    <comment ref="A134" authorId="1" shapeId="0" xr:uid="{339696A6-BF88-4A5E-B61C-106A51BF8B68}">
      <text>
        <r>
          <rPr>
            <sz val="9"/>
            <color indexed="81"/>
            <rFont val="Spoqa Han Sans Neo Light"/>
            <family val="2"/>
            <charset val="129"/>
          </rPr>
          <t xml:space="preserve">안지선:
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
 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>※미선정 사유 : 
목표매출/핵심상품 등 기본 작성 요건 미기재</t>
        </r>
      </text>
    </comment>
    <comment ref="A135" authorId="1" shapeId="0" xr:uid="{331CDB5E-F0DC-40D0-A609-8AEFBCF6A848}">
      <text>
        <r>
          <rPr>
            <sz val="9"/>
            <color indexed="81"/>
            <rFont val="Spoqa Han Sans Neo Light"/>
            <family val="2"/>
            <charset val="129"/>
          </rPr>
          <t>안지선:
전월 실적 부진 및 동일 날짜 제안 브랜드 실적 호조 예상 브랜드 선정으로 미선정</t>
        </r>
      </text>
    </comment>
  </commentList>
</comments>
</file>

<file path=xl/sharedStrings.xml><?xml version="1.0" encoding="utf-8"?>
<sst xmlns="http://schemas.openxmlformats.org/spreadsheetml/2006/main" count="16087" uniqueCount="6778">
  <si>
    <t>25년 공동구매 취합시트</t>
    <phoneticPr fontId="4" type="noConversion"/>
  </si>
  <si>
    <t>※ W-2 금요일 17시 마감</t>
    <phoneticPr fontId="4" type="noConversion"/>
  </si>
  <si>
    <r>
      <rPr>
        <b/>
        <sz val="10"/>
        <color rgb="FFFF0000"/>
        <rFont val="맑은 고딕"/>
        <family val="3"/>
        <charset val="129"/>
      </rPr>
      <t xml:space="preserve">※ </t>
    </r>
    <r>
      <rPr>
        <b/>
        <sz val="10"/>
        <color rgb="FFFF0000"/>
        <rFont val="Arial Black"/>
        <family val="3"/>
        <charset val="129"/>
      </rPr>
      <t>MD</t>
    </r>
    <r>
      <rPr>
        <b/>
        <sz val="10"/>
        <color rgb="FFFF0000"/>
        <rFont val="맑은 고딕"/>
        <family val="3"/>
        <charset val="129"/>
      </rPr>
      <t>작성시 병합 요청</t>
    </r>
    <phoneticPr fontId="4" type="noConversion"/>
  </si>
  <si>
    <t>미기재시 10개 세팅</t>
    <phoneticPr fontId="4" type="noConversion"/>
  </si>
  <si>
    <t>클라우드 번호 1개당 1개 설명 작성</t>
    <phoneticPr fontId="4" type="noConversion"/>
  </si>
  <si>
    <t>삭제 절대 금지!!!!!</t>
  </si>
  <si>
    <t>엠디</t>
  </si>
  <si>
    <t>NO.</t>
    <phoneticPr fontId="4" type="noConversion"/>
  </si>
  <si>
    <t>협력사
브랜드명</t>
    <phoneticPr fontId="4" type="noConversion"/>
  </si>
  <si>
    <t>상품코드</t>
    <phoneticPr fontId="4" type="noConversion"/>
  </si>
  <si>
    <t>상품명</t>
    <phoneticPr fontId="4" type="noConversion"/>
  </si>
  <si>
    <t>클라우드명</t>
    <phoneticPr fontId="4" type="noConversion"/>
  </si>
  <si>
    <t>공구코드</t>
  </si>
  <si>
    <t>펀딩가</t>
    <phoneticPr fontId="4" type="noConversion"/>
  </si>
  <si>
    <t>수수료(%)</t>
    <phoneticPr fontId="4" type="noConversion"/>
  </si>
  <si>
    <t>목표수량
(메인코드)</t>
  </si>
  <si>
    <t>목표금액</t>
    <phoneticPr fontId="4" type="noConversion"/>
  </si>
  <si>
    <t>하단 탭 설명
(35자내외+해시태그8개 이내)</t>
    <phoneticPr fontId="4" type="noConversion"/>
  </si>
  <si>
    <t>클라우드번호</t>
    <phoneticPr fontId="4" type="noConversion"/>
  </si>
  <si>
    <t>상단요청</t>
  </si>
  <si>
    <t>■ 12/30주차 (12/30~1/5 진행, 발송예정일 : 1/6월)</t>
  </si>
  <si>
    <t>붉은색 음영칸 MD작성 요청 12/20(금) 마감</t>
  </si>
  <si>
    <t xml:space="preserve"> MD 작성시 병합요청</t>
    <phoneticPr fontId="4" type="noConversion"/>
  </si>
  <si>
    <t>클라우드번호 개당 1개 설명 작성</t>
  </si>
  <si>
    <t>담당MD</t>
    <phoneticPr fontId="4" type="noConversion"/>
  </si>
  <si>
    <t>순번</t>
    <phoneticPr fontId="4" type="noConversion"/>
  </si>
  <si>
    <t>협력사</t>
  </si>
  <si>
    <t>클라우드명 (브랜드명/소구문구)</t>
    <phoneticPr fontId="4" type="noConversion"/>
  </si>
  <si>
    <t>공구코드</t>
    <phoneticPr fontId="4" type="noConversion"/>
  </si>
  <si>
    <t>수수료</t>
    <phoneticPr fontId="4" type="noConversion"/>
  </si>
  <si>
    <t>목표수량</t>
    <phoneticPr fontId="4" type="noConversion"/>
  </si>
  <si>
    <t>탭설명</t>
    <phoneticPr fontId="4" type="noConversion"/>
  </si>
  <si>
    <t>김호동</t>
  </si>
  <si>
    <t>로긴</t>
  </si>
  <si>
    <t>(공구)로긴 쟁반형 올스텐 싱크대 식기건조대 2단 (풀세트)</t>
  </si>
  <si>
    <t>프리미엄 식기건조대 로긴,
드라마속 그제품 신세계단독 공동구매</t>
  </si>
  <si>
    <t>드라마 속 그 상품, 
로긴 스텐리스 시리즈, 
신세계 단독 공동구매</t>
  </si>
  <si>
    <t>(공구)로긴 프리미엄 올스텐 욕실 코너선반 3단</t>
  </si>
  <si>
    <t>(공구)로긴 프리미엄 올스텐 욕실 코너선반 2단</t>
  </si>
  <si>
    <t>(공구)로긴 프리미엄 올스텐 사각선반 3단</t>
  </si>
  <si>
    <t>(공구)로긴 편백 나무 찜 찜기 스텐 2단 물솥 세이로무시 물솥형 (인덕션 호환)</t>
  </si>
  <si>
    <t>(공구)로긴 모니카 2단 미니 식기건조대</t>
  </si>
  <si>
    <t>(공구)로긴 상부장 부착식 스텐 식기 건조대 , 싱크대 선반 840폭 (실버)</t>
  </si>
  <si>
    <t xml:space="preserve">(공구)로긴 토마르 칼도마 꽂이 정리대 (도마, 칼 수납) </t>
  </si>
  <si>
    <t>(공구)로긴 모니카 1단 미니 식기건조대</t>
  </si>
  <si>
    <t>(공구)로긴 올스텐 주방 수세미 선반 정리 거치대</t>
  </si>
  <si>
    <t>(공구)로긴 프리미엄 올스텐 사각선반 4단</t>
  </si>
  <si>
    <t>(공구)로긴 올스테인레스 샴푸정리대 3단</t>
  </si>
  <si>
    <t>(공구)로긴 쟁반형 올스텐 싱크대 식기건조대 1단 (풀세트)</t>
  </si>
  <si>
    <t>(공구)로긴 상부장 부착식 스텐 식기 건조대 , 싱크대 선반 1215폭 (흑니켈)</t>
  </si>
  <si>
    <t>(공구)로긴 상부장 부착식 스텐 식기 건조대 , 싱크대 선반 1215폭 (실버)</t>
  </si>
  <si>
    <t>(공구)로긴 프리미엄 올스텐 사각선반 2단</t>
  </si>
  <si>
    <t>(공구)로긴 크로아 폭조절 슬라이드 식기건조대</t>
  </si>
  <si>
    <t>(공구)로긴 상부장 부착식 스텐 식기 건조대 , 싱크대 선반 840폭 (흑니켈)</t>
  </si>
  <si>
    <t>콘에어</t>
  </si>
  <si>
    <t>(공구) 콘에어 콤팩트 파워스팀 GS2K 핸디스팀다리미</t>
  </si>
  <si>
    <t>"콘에어 원터치 스팀 다리미,
 비노출 최저가 공동구매"</t>
  </si>
  <si>
    <t>콘에어 원터치 스팀 다리미,
 비노출 최저가 공동구매</t>
  </si>
  <si>
    <t>(공구) 콘에어 다이아몬드 엠보싱 열판 핸디스팀다리미 GS22K</t>
  </si>
  <si>
    <t>(공구) 콘에어 수평수직 2Way 퀵 스무스 강력 핸디스팀다리미 GS55K 다리미전용파우치</t>
  </si>
  <si>
    <t>(공구) 콘에어 다이아몬드 열판 프리미엄 핸디스팀다리미 GS39K 석회질필터</t>
  </si>
  <si>
    <t>(공구) 콘에어 익스트림 터보 강력 스팀 핸디스팀다리미 GS38K 칼각크리져</t>
  </si>
  <si>
    <t>(공구) 콘에어 일반형 2단계 높이조절 스탠드형스팀다리미 CGS30K</t>
  </si>
  <si>
    <t>콘에어 12가지 모드 멀티 스탠드스팀다리미 CGS28HWK</t>
  </si>
  <si>
    <t>(공구) 콘에어 듀얼 파워 이동식 스탠드스팀다리미 GS88K 풋패달</t>
  </si>
  <si>
    <t>바비리스</t>
  </si>
  <si>
    <t>바비리스 페이스&amp;바디 올인원 컴팩트 멀티트리머 BHT2K / 눈썹제모기</t>
  </si>
  <si>
    <t>"바비리스 올인원 케어!
비노출 최저가 공동구매"</t>
  </si>
  <si>
    <t>바비리스 올인원 케어!
비노출 최저가 공동구매</t>
  </si>
  <si>
    <t>바비리스 포맨 다이아몬드형 3단 블레이드 코털정리기 NE1000WK / 화이트</t>
  </si>
  <si>
    <t>바비리스 포맨 3in1 프리미엄 멀티트리머 코털정리기 NE2000K / 3종악세서리</t>
  </si>
  <si>
    <t>바비리스 프로 스피드 2000W 고출력 헤어 드라이어 D105K 음이온 집중노줄/블랙</t>
  </si>
  <si>
    <t>바비리스 28mm 다이아몬드 세라믹 멀티 판고데기 ST330K 스트레이트&amp;웨이브</t>
  </si>
  <si>
    <t>바비리스 38mm 글래머 볼륨웨이브 봉고데기 2289K 핑크</t>
  </si>
  <si>
    <t>바비리스 40mm 글래머 볼륨웨이브 봉고데기 2289XLK 블루</t>
  </si>
  <si>
    <t>바비리스 시스루 블랙 드라이어 D1990BK / 1800W 고출력 HTDC모터 저소음 온도조절</t>
  </si>
  <si>
    <t>바비리스 시스루 화이트 드라이어 D2990WK / 1800W 고출력 HTDC모터 저소음 온도조절</t>
  </si>
  <si>
    <t>[바비리스] 3 in 1 멀티 에어스타일러 AS100VK / 3종브러쉬</t>
  </si>
  <si>
    <t>바비리스 멀티 에어스타일러 900W 윤기케어 AS126K</t>
  </si>
  <si>
    <t>바비리스 멀티 에어스타일러 좌우 오토회전 AS550K</t>
  </si>
  <si>
    <t>파쉬</t>
  </si>
  <si>
    <t>[파쉬]단면 빗살무늬  보온 물주머니 2.0L 핫팩 찜질팩 6440</t>
  </si>
  <si>
    <t>"파쉬 핫팩 및 찜질팩
겨울준비 시크릿 최저가"</t>
  </si>
  <si>
    <t>파쉬 핫팩 및 찜질팩
겨울준비 시크릿 최저가</t>
  </si>
  <si>
    <t>[파쉬] 플러시커버 보온 물주머니 2.0L 핫팩 찜질팩 6712</t>
  </si>
  <si>
    <t>[파쉬] 애니멀 플리스커버 보온 물주머니 0.8L 핫팩 찜질팩 6505</t>
  </si>
  <si>
    <t>[파쉬] 소프트 플러시커버 보온 물주머니 2.0L 핫팩 찜질팩 67381</t>
  </si>
  <si>
    <t>[파쉬] 애니멀 플리스커버 보온 물주머니 0.8L 핫팩 찜질팩 6526</t>
  </si>
  <si>
    <t>[파쉬] 자수 플러시커버 보온 물주머니 2.0L 핫팩 찜질팩 6743</t>
  </si>
  <si>
    <t>[파쉬] 보온 물주머니 인형커버 고슴도치 인고 0.8L 핫팩 찜질팩 65276</t>
  </si>
  <si>
    <t>[파쉬] 보온 물주머니 인형커버 양 숀더쉽 0.8L 핫팩 찜질팩 6634</t>
  </si>
  <si>
    <t>[파쉬] 보온 물주머니 인형커버 악어 케니 0.8L 핫팩 찜질팩 65283</t>
  </si>
  <si>
    <t>[파쉬] 보온 물주머니 인형커버 웰시코기 코디 0.8L 핫팩 찜질팩 65272</t>
  </si>
  <si>
    <t>즈윌링</t>
  </si>
  <si>
    <t>[즈윌링] 헹켈 트윈샤프너(HK32590-300)/레드</t>
  </si>
  <si>
    <t>즈윌링/헹켈 비노출 최저가 공동구매</t>
  </si>
  <si>
    <t>[즈윌링] 헹켈 칼갈이 블랙(HK32591-001)</t>
  </si>
  <si>
    <t>[즈윌링] 헹켈 트윈구어메 과도(HK36110-101)/ 정품케이스</t>
  </si>
  <si>
    <t>[즈윌링] 헹켈 트윈구어메 산토쿠나이프 (HK36117-181)/ 정품케이스</t>
  </si>
  <si>
    <t>[즈윌링] 독일정품 헹켈 신형 다용도주방가위(HK41331-231)</t>
  </si>
  <si>
    <t>[즈윌링]헹켈다용도 주방가위 퍼플 (HK41333-231)</t>
  </si>
  <si>
    <t>[즈윌링]헹켈다용도 주방가위 레드 (HK41332-231)</t>
  </si>
  <si>
    <t>[즈윌링] 헹켈트윈그립 2종 (HK38099-002)</t>
  </si>
  <si>
    <t>즈윌링 헹켈 쌍둥이 스멜리무버/스테인레스 스틸 비누(HK89003-000)</t>
  </si>
  <si>
    <t>[즈윌링] 헹켈 CLASSIC INOX 손톱깎이 85mm(HK42405-610)</t>
  </si>
  <si>
    <t>즈윌링 헹켈 CLASSIC INOX 손톱깎이 98mm(HK42421-800) 블루</t>
  </si>
  <si>
    <t>SNF</t>
  </si>
  <si>
    <t>SNF Pro Cut Elite 나키리 4종 세트/벌크</t>
  </si>
  <si>
    <t>SNF 신세계쇼핑 단독 공동구매</t>
  </si>
  <si>
    <t>SNF Pro Cut Elite 아시아 4종 세트/벌크</t>
  </si>
  <si>
    <t>[SNF] SNF Pro Cut Elite 나키리 5종 블럭세트(11041196-0005)</t>
  </si>
  <si>
    <t>[SNF] SNF Pro Cut Elite 아시아 5종 블럭 세트(11041186-0005)</t>
  </si>
  <si>
    <t>[SNF] 무쇠 법랑냄비 뮌헨 2.0L 그레이(43060123-5049)</t>
  </si>
  <si>
    <t>[SNF] 무쇠 법랑냄비 뮌헨 2.0L 레드(43061123-5050)</t>
  </si>
  <si>
    <t>SNF 다용도 주방가위(S2332) 7colors</t>
  </si>
  <si>
    <t>SNF Elite Everyday 집과도 5종-옵션선택</t>
  </si>
  <si>
    <t>[SNF] Elite Everyday 과도 유틸리티 2종세트 레드 (S1227)</t>
  </si>
  <si>
    <t>[SNF] Elite Everyday 과도 유틸리티 2종세트 블랙 (S1227)</t>
  </si>
  <si>
    <t>티키</t>
  </si>
  <si>
    <t xml:space="preserve">티키 입는오버나이트 숨면감촉 중형/대형 32매(8입X4팩) </t>
  </si>
  <si>
    <t>티키 입는오버나이트
베스트 셀러,  공동구매 최저가</t>
  </si>
  <si>
    <t xml:space="preserve">티키 입는오버나이트 데이팬티 중형/대형 32매(8입X4팩) </t>
  </si>
  <si>
    <t xml:space="preserve">티키 입는오버나이트 무유코 중형/대형 32매(8입X4팩) </t>
  </si>
  <si>
    <t>애니릴리프</t>
  </si>
  <si>
    <t>애니릴리프 성인용 기저귀 요실금 재활 안심 팬티형 장시간용 (중형/대형/특대) 4팩</t>
  </si>
  <si>
    <t>성인용 기저귀, 최다판매 상품
단독 공동구매</t>
  </si>
  <si>
    <t>애니릴리프 성인용 기저귀 요실금 재활 안심 팬티형 일반용 (중형/대형/특대) 8팩</t>
  </si>
  <si>
    <t>애니가드</t>
  </si>
  <si>
    <t>애니가드 세이프티 방진 1급 마스크 30개입</t>
  </si>
  <si>
    <t>겨울, 미세먼지 필수템
애니가드, 공동구매</t>
  </si>
  <si>
    <t>애니가드 KF94 셋업 패션 컬러마스크 새부리형 120매</t>
  </si>
  <si>
    <t>애니가드 KF94 뉴황사방역용마스크 소형 50매</t>
  </si>
  <si>
    <t xml:space="preserve">[애니가드] 데일리입체형미세먼지마스크[KF94](대형)(블랙)1Px50개입(개별포장) </t>
  </si>
  <si>
    <t>[애니가드] 황사방역용마스크블랙[KF94](대형)1p*100매(개별포장)</t>
  </si>
  <si>
    <t xml:space="preserve">[애니가드] 데일리입체형미세먼지마스크[KF94](대형)(블랙)1Px100매(개별포장) </t>
  </si>
  <si>
    <t>애니가드 뉴프리비 영유아 마스크 100매 구성 개별포장 (10매*10개)</t>
  </si>
  <si>
    <t xml:space="preserve">애니가드 데일리입체형 미세먼지마스크 KF94(대형)1Px50매(개별포장) </t>
  </si>
  <si>
    <t>김지은</t>
  </si>
  <si>
    <t>엘스</t>
  </si>
  <si>
    <t>[메리그린] 로즈골드 워터 튜브 반지</t>
  </si>
  <si>
    <t>[메리그린] 로즈골드/실버 데일리 반지 링 택1</t>
  </si>
  <si>
    <t>겨울 핫특가 9900원~
데일리 룩에 어울리는 로즈골드/92.5 실버 반지</t>
  </si>
  <si>
    <t>[메리그린] 로즈골드 럭키 트윈 반지</t>
  </si>
  <si>
    <t>[메리그린] 로즈골드 리틀 구피 반지</t>
  </si>
  <si>
    <t>[메리그린] 92.5 실버 럭키비 반지</t>
  </si>
  <si>
    <t>[메리그린] 92.5 실버 티아라 반지</t>
  </si>
  <si>
    <t>[메리그린] 92.5 실버 트윈 반지</t>
  </si>
  <si>
    <t>406395 /미니아트</t>
  </si>
  <si>
    <t>[공동구매]14K 골드필드 진주 데일리 스터드 귀걸이 스와로브스키 크리스탈 제작</t>
  </si>
  <si>
    <t>스와로브스키 진주로 스크레치에도 강한 경도를 가진 고급 주얼리입니다.</t>
  </si>
  <si>
    <t>[공동구매][미니아트] 14K 금침 테일 데일리 로즈골드 원터치 링 귀걸이</t>
  </si>
  <si>
    <t>[공동구매] 14K 금침 컷팅 하트 링 원터치 드롭 금 귀걸이</t>
  </si>
  <si>
    <t>[공동구매] 14K 금침 엘리야 체인 더블 드롭 원터치 금 귀걸이</t>
  </si>
  <si>
    <t>[공동구매] 14K 금침 러블리 하트 진주 원터치 금 귀걸이</t>
  </si>
  <si>
    <t>㈜니즈커머스</t>
  </si>
  <si>
    <t>아가타 여성 아가일 니트장갑 WAGN2401</t>
  </si>
  <si>
    <t>겨울철 방한 장갑으로 따뜻하게!
포장케이스 동봉 발송으로 선물용으로도 GOOD!
스마트터치 가능!</t>
  </si>
  <si>
    <t>아가타 여성 보헤미안 니트장갑 WAGN2402</t>
  </si>
  <si>
    <t>아란</t>
  </si>
  <si>
    <t>[공동구매] 슬레진저 여성 스웨이드 가죽 털슬리퍼 유키 CRSLW168</t>
  </si>
  <si>
    <t xml:space="preserve">★Only 신세계 공동구매 혜택가★ 연말결산 이벤트 감사한 마음으로 24년 겨울 인기 방한화 특가로 준비! </t>
  </si>
  <si>
    <t>[공동구매] 슬레진저 남녀공용 겨울 방한화 털슬리퍼 162</t>
  </si>
  <si>
    <t>[공동구매] 슬레진저 겨울 패딩 슬립온 CRSLW171</t>
  </si>
  <si>
    <t>[슬레진저]남녀공용 방한화 패딩 숏부츠 CR1SL7W3</t>
  </si>
  <si>
    <t>[공동구매] 슬레진저 남녀공용 겨울 털안감 운동화 CRSLW122</t>
  </si>
  <si>
    <t>안재형</t>
  </si>
  <si>
    <t>리앤카페트</t>
  </si>
  <si>
    <t>[거실형/브라운] 순면 볼륨 카페트 6종 패키지</t>
  </si>
  <si>
    <t>아늑한 공간을 위한 첫걸음, 카페트 특별 할인</t>
  </si>
  <si>
    <t>집안의 분위기를 바꾸는 카페트, 지금 구매하세요</t>
  </si>
  <si>
    <t>[거실형/레드와인] 순면 볼륨 카페트 6종 패키지</t>
  </si>
  <si>
    <t>[퀸/레드와인] 순면 볼륨 카페트 6종 패키지</t>
  </si>
  <si>
    <t>[퀸/브라운] 순면 볼륨 카페트 6종 패키지</t>
  </si>
  <si>
    <t>광개토쇼핑</t>
  </si>
  <si>
    <t>리브맘 워셔블 알러지케어 퓨어코튼 경추베개 40x60</t>
  </si>
  <si>
    <t>리브맘 워셔블 알러지케어 퓨어코튼 경추베개 특가전</t>
  </si>
  <si>
    <t>구름처럼 깨끗하고 포근한 워셔블 알러지케어 퓨어코튼 경추베개!</t>
  </si>
  <si>
    <t>리브맘 워셔블 알러지케어 퓨어코튼 경추베개 50x70</t>
  </si>
  <si>
    <t>리브맘 워셔블 알러지케어 퓨어코튼 경추베개 40x60 1+1</t>
  </si>
  <si>
    <t>리브맘 워셔블 알러지케어 퓨어코튼 경추베개 50x70 1+1</t>
  </si>
  <si>
    <t>리브맘 데일리 프레쉬 매트리스 침대 누빔 방수패드 멀티싱글</t>
  </si>
  <si>
    <t>리브맘 데일리 프레쉬 매트리스 침대 누빔 방수패드 모음전</t>
  </si>
  <si>
    <t>무봉제 누빔 퀄팅가공에
4면 모서리 고정밴드로 흐트러짐없는 사용!</t>
  </si>
  <si>
    <t>리브맘 데일리 프레쉬 매트리스 침대 누빔 방수패드 슈퍼싱글</t>
  </si>
  <si>
    <t>리브맘 데일리 프레쉬 매트리스 침대 누빔 방수패드 퀸</t>
  </si>
  <si>
    <t>차은미</t>
  </si>
  <si>
    <t>에이치스</t>
  </si>
  <si>
    <t>파로 엠머밀 곡물 효소 30포 3박스 (총 90포)</t>
  </si>
  <si>
    <t># 이탈리아 엠머밀 파로
# 홈쇼핑에서 많이보이는 파로</t>
  </si>
  <si>
    <t>뉴트리디데이</t>
  </si>
  <si>
    <t>뉴트리디데이 독일산 맥주효모 비오틴 10000 1병 2개월분</t>
  </si>
  <si>
    <t>[뉴트리디데이 온라인 단독 최저가+증정 이벤트♡]
★☆구성 상관없이 옵션 2개 이상 구매시 비타민B 컴플렉스 골드 1병 무.조.건 증정★☆
고순도 100% 독일산 맥주효모! 섭취 간편한 초소형 정제!
#고함량_비오틴 #맥주효모 #탈모 #머리카락 #단백질</t>
  </si>
  <si>
    <t>뉴트리디데이 독일산 맥주효모 비오틴 10000 2병 총4개월분</t>
  </si>
  <si>
    <t>뉴트리디데이 독일산 맥주효모 비오틴 10000 3병 총6개월분</t>
  </si>
  <si>
    <t>한국생활건강</t>
  </si>
  <si>
    <t>로엘 웰업 프로테오글리칸 연어코연골추출물 1통 (2개월분)</t>
  </si>
  <si>
    <t xml:space="preserve"> 로엘 인기 건강식품 5900원 부터~ 초특가 세일 ♥ </t>
  </si>
  <si>
    <t>로엘 웰업 NFC 유기농 레몬즙100 1박스, (20g x 14포)</t>
  </si>
  <si>
    <t>로엘 팅글 곤약젤리 젤리미 3가지맛 1박스, (55g x 12개)</t>
  </si>
  <si>
    <t>로엘 카무트 효소 골드플러스 1박스, (30포)</t>
  </si>
  <si>
    <t>로엘 웰업 크런치 초코효소 1박스, (30포)</t>
  </si>
  <si>
    <t>로엘 산양유 단백질 프로틴 A+ 280g 1통 (+스푼)</t>
  </si>
  <si>
    <t>로엘 아르기닌 젤리스틱 6000 1박스, (25g x 14포)</t>
  </si>
  <si>
    <t>로엘 웰업 아르기닌 액상 스틱 7500 1박스, (20g x 15포)</t>
  </si>
  <si>
    <t>로엘 웰업 핫/아이스 콤부차 얼그레이 1박스, (30포)</t>
  </si>
  <si>
    <t>로엘 멀티비타민 미네랄 이뮨 1박스, (총 7병)</t>
  </si>
  <si>
    <t>로엘 엑스트라버진 아보카도 오일 250ml 1병</t>
  </si>
  <si>
    <t>㈜메이크뷰</t>
  </si>
  <si>
    <t>비타블룸 6년근 고려홍삼정 스틱 건강기능식품 10g x 15포  3개</t>
  </si>
  <si>
    <t>100% 국내산 6년근 홍삼 함유
식약처에서 인정한 5중 기능성 홍삼</t>
  </si>
  <si>
    <t>닥터메이트 더더탱글 식이섬유 젤리 청포도맛 쾌변젤리 20g x 14포 1박스</t>
  </si>
  <si>
    <t>식이섬유 4,200mg 함유
남녀노소, 어린이까지 섭취가능한 청포도맛 젤리</t>
  </si>
  <si>
    <t>홀리데이즈</t>
  </si>
  <si>
    <t>[득템마켓] 홀리데이즈 쑤욱빼 다이어트 커피맛 28포 1박스 (28회분)</t>
  </si>
  <si>
    <t>1포 200원대로 간편하고 맛있게 즐기는 다이어트~ 하루 2잔 체지방 집중 감소!</t>
  </si>
  <si>
    <t>홀리데이즈 쑤욱빼 다이어트 커피맛 28포 2박스 (56회분)</t>
  </si>
  <si>
    <t>홀리데이즈 쑤욱빼 다이어트 커피맛 28포 4박스 (112회분)</t>
  </si>
  <si>
    <t>홀리데이즈 쑤욱빼 다이어트 커피맛 헤이즐넛향 28포 1박스 (28회분)</t>
  </si>
  <si>
    <t>홀리데이즈 쑤욱빼 다이어트 커피맛 헤이즐넛향 28포 2박스 (56회분)</t>
  </si>
  <si>
    <t>홀리데이즈 쑤욱빼 다이어트 커피맛 헤이즐넛향 28포 4박스 (112회분)</t>
  </si>
  <si>
    <t>홀리데이즈 다이어트 커피맛 쑤욱빼 28포 1박스 + 헤이즐넛향 28포 1박스</t>
  </si>
  <si>
    <t>이선영</t>
  </si>
  <si>
    <t>올바른</t>
  </si>
  <si>
    <t>올바른 엘라스틴 초저분자 콜라겐 비오틴 60정 3박스 히알루론산 글루타치온</t>
  </si>
  <si>
    <t>300Da 초저분자 콜라겐 + 비오틴 1,333% 씹어먹는 콜라겐
#1정 127원! #엘라스틴 #히알루론산 #2개월분 #무료배송</t>
  </si>
  <si>
    <t>올바른 엘라스틴 초저분자 콜라겐 비오틴 60정 6박스 히알루론산 글루타치온</t>
  </si>
  <si>
    <t>인퍼스트</t>
  </si>
  <si>
    <t>드림이음 햄프씨드 식물성 대마종자유 오일 캡슐 2개월분</t>
  </si>
  <si>
    <t>압착대마종자유(캐나다산) 100% 함유
오메가3, 오메가6의 1:3 황금비율
냉압착 추출공법으로 제조
식물성 연질캡슐 사용</t>
  </si>
  <si>
    <t>드림이음 햄프씨드 식물성 대마종자유 오일 캡슐 3개월분</t>
  </si>
  <si>
    <t>드림이음 햄프씨드 식물성 대마종자유 오일 캡슐 6개월분</t>
  </si>
  <si>
    <t>보뚜</t>
  </si>
  <si>
    <t>선물세트) [보뚜] 아후카틀 엑스트라버진 아보카도오일 250ml x 3병</t>
  </si>
  <si>
    <t>아보카도오일 2병 선물세트 구성</t>
  </si>
  <si>
    <t>네오제닉</t>
  </si>
  <si>
    <t>건국유업 눈건강 루테인 솔루션 미니 60캡슐 1개 2개월분</t>
  </si>
  <si>
    <t>소중한 눈 건강을 지켜줄 1캡슐
루테인 1일 최대 섭취량 20mg 함유
미니 캡슐에 꼭 필요한 성분만 쏙</t>
  </si>
  <si>
    <t>건국유업 눈건강 루테인 솔루션 미니 60캡슐 3개 6개월분</t>
  </si>
  <si>
    <t>건국유업 눈건강 루테인 솔루션 미니 60캡슐 6개 12개월분</t>
  </si>
  <si>
    <t>엔탑</t>
  </si>
  <si>
    <t>[을지대학교] 탄수화물 컷 가르시니아 다이어트6 플러스 120정x2개(4개월분)</t>
  </si>
  <si>
    <t>건강한 다이어트 플랜
식전 탄수화물 컷 &amp; 식후 체지방 컷
믿을 수 있는 원료 사용</t>
  </si>
  <si>
    <t>[을지대학교] 체지방 컷 녹차카테킨 다이어트5 플러스 120정x2개(4개월분)</t>
  </si>
  <si>
    <t>[을지대학교] 탄수화물 컷 가르시니아 120정x1개(2개월분)+체지방 컷 녹차카테킨 120정x1개(2개월분)</t>
  </si>
  <si>
    <t>[유한메디카] 마그네슘 엔 탑 400 맥스 90정x2개(6개월분)</t>
  </si>
  <si>
    <t>신경과 근육기능을 위한 고함량 마그네슘 /
미국산 유청칼슘과 호주산 프로폴리스 함유 덴티플러스 /
식약처 기능성 인정 콘드로이친</t>
  </si>
  <si>
    <t>[유한메디카] 치아 엔 탑 덴티 플러스 60정x3개(6개월)</t>
  </si>
  <si>
    <t>[유한메디카] 관절 엔 탑 소연골 뮤코다당단백 콘드로이친 1200 120정x2개(4개월)</t>
  </si>
  <si>
    <t>네이처드림</t>
  </si>
  <si>
    <t>네이처드림 유기농 레몬 애플사이다비니거 20g x 14포 2박스/ 레몬애사비</t>
  </si>
  <si>
    <t xml:space="preserve">레몬이 요즘 대세라며?!
레몬 애사비,레몬즙,레몬생강즙 까지! </t>
  </si>
  <si>
    <t>네이처드림 유기농 레몬 애플사이다비니거 20g x 14포 6박스/ 레몬애사비</t>
  </si>
  <si>
    <t>　</t>
  </si>
  <si>
    <t>네이처드림 리얼 유기농 레몬즙 100 20g 14포 2박스/레몬수</t>
  </si>
  <si>
    <t>네이처드림 리얼 유기농 레몬즙 100 20g 14포 6박스/레몬수</t>
  </si>
  <si>
    <t>네이처드림 리얼 유기농 레몬생강즙 100 15g 14포 2박스/진저샷</t>
  </si>
  <si>
    <t>네이처드림 리얼 유기농 레몬생강즙 100 15g 14포 6박스/진저샷</t>
  </si>
  <si>
    <t>로그온커머스</t>
  </si>
  <si>
    <t>[삼성제약] 프로젝트 본케어 칼슘 마그네슘 비타민D 아연 3박스</t>
  </si>
  <si>
    <t>삼성제약, 건기식 시리즈!
필요한 구성을 골라골라!
3박스를 이 가격에?! 묶음 구성까지?!</t>
  </si>
  <si>
    <t>[삼성제약] 프로젝트 토탈케어 멀티비타민 3박스</t>
  </si>
  <si>
    <t>[삼성제약] 프로젝트 간케어 밀크씨슬 3박스</t>
  </si>
  <si>
    <t>[삼성제약] 프로젝트 혈행케어 알티지오메가3 3박스</t>
  </si>
  <si>
    <t>[삼성제약] 프로젝트 간케어/본케어/혈행케어/토탈케어 묶음 총 4박스</t>
  </si>
  <si>
    <t>신정윤</t>
  </si>
  <si>
    <t>비엔비인터내셔널/카라,클라셰,화세</t>
  </si>
  <si>
    <t>클라셰 베이직골지무드니트_B4M2148</t>
  </si>
  <si>
    <t>겨울 최대 할인 ~90% SALE! 7500원부터</t>
  </si>
  <si>
    <t>BEST 윈터 데일리룩 모음♥</t>
  </si>
  <si>
    <t>KARRA 모던캐주얼패딩_A3F18197</t>
  </si>
  <si>
    <t>KARRA 립포켓인밴딩기모팬츠_A3F17890</t>
  </si>
  <si>
    <t>클라셰 레이디터틀넥루즈니트_B4M1844</t>
  </si>
  <si>
    <t>화세 (77까지)베이직컬러픽라운드니트_HB4WKN076C</t>
  </si>
  <si>
    <t>㈜다우엔터프라이즈</t>
  </si>
  <si>
    <t>S.모데나 투버튼 세미배기 기모 데님팬츠 3종 택1</t>
  </si>
  <si>
    <t>[홈쇼핑 인기특가 50%인하] [모데나] 겨울 팬츠 공동구매 특가전</t>
  </si>
  <si>
    <t>#활동성 #체형커버 #데일리팬츠 #겨울까지 #기모
#세미 배기핏 #허리전체밴드</t>
  </si>
  <si>
    <t>[44-99] S.모데나 잔체크 이중직 기모 밴딩팬츠 3종 택1</t>
  </si>
  <si>
    <t>S.모데나 사방스판 스트레이트핏 팬츠</t>
  </si>
  <si>
    <t>S.모데나 헤링본 기모 팬츠 3종 택1</t>
  </si>
  <si>
    <t>S.모데나 극세사밍크기모 본딩 데님팬츠 3종 택1</t>
  </si>
  <si>
    <t>샐리</t>
  </si>
  <si>
    <t>베어수면잠옷세트 I4D-CSE017</t>
  </si>
  <si>
    <t>[샐리] 보들보들 겨울잠옷~ 15,900 특가</t>
  </si>
  <si>
    <t>-셋트가격으로 귀여운 패턴 포인트
- 2가지컬러와 매우 부드러운 촉감
-44-66까지 프리사이즈로 편한 착용감
-가벼운 무게감</t>
  </si>
  <si>
    <t>소프트베리수면잠옷세트 I4D-CSE018</t>
  </si>
  <si>
    <t>리즈무드</t>
  </si>
  <si>
    <t>나우 레이어드 퍼안감 폴라 니트</t>
  </si>
  <si>
    <t>[리즈무드] 겨울 BEST 아이템 모음!! 1만원대부터~</t>
  </si>
  <si>
    <t>한파물리칠 리즈무드 베스트셀링 겨울의류 추천!</t>
  </si>
  <si>
    <t>코즈 단추 캐시미어 반목 니트</t>
  </si>
  <si>
    <t>막시 덕다운 후드퍼 롱패딩</t>
  </si>
  <si>
    <t>센티드 융기모 데님 팬츠</t>
  </si>
  <si>
    <t>자수 코듀로이 퍼안감 밴딩 팬츠</t>
  </si>
  <si>
    <t>로메즈 후리스 뽀글이 롱 코트</t>
  </si>
  <si>
    <t>모크 후드 퍼 롱 패딩</t>
  </si>
  <si>
    <t>[2종SET] 파이 코듀로이 기모 밴딩 팬츠</t>
  </si>
  <si>
    <t>[2종SET] 슈포 코듀로이 패치 기모 밴딩 팬츠</t>
  </si>
  <si>
    <t>슈가룬 오픈 덕다운 롱 패딩</t>
  </si>
  <si>
    <t>에이블에이치/커스텀에이블</t>
  </si>
  <si>
    <t>[올리비에스클로젯] 컬러풀 뽀송 머플러_O2412AC029D</t>
  </si>
  <si>
    <t>[올리비에스클로젯]겨울ACC총집합~9900부터</t>
  </si>
  <si>
    <t>#머플러#울장갑#카라#벙거지#ACC</t>
  </si>
  <si>
    <t>[올리비에스클로젯] 겨울 타탄체크 프린지 머플러_O2412AC030D</t>
  </si>
  <si>
    <t>[올리비에스클로젯] 라벨 포인트 울 장갑_O2412AC032D</t>
  </si>
  <si>
    <t>[올리비에스클로젯] 골지 목폴라 레이어드 카라_O2412AC033D</t>
  </si>
  <si>
    <t>[올리비에스클로젯] 귀달이 누빔패딩 벙거지_O2412AC031D</t>
  </si>
  <si>
    <t>에이블에이치/올리비에스클로젯</t>
  </si>
  <si>
    <t>[커스텀에이블] 인조가죽 플리츠 밴딩 스커트_C2412SK054D</t>
  </si>
  <si>
    <t>[커스텀에이블]한파필수템 GET찬스!</t>
  </si>
  <si>
    <t>패딩팬츠/니트외~ 추운겨울HOT아이템</t>
  </si>
  <si>
    <t>[커스텀에이블] 그라데이션 펄 원피스형 니트_C2412KN678D</t>
  </si>
  <si>
    <t>[커스텀에이블] 패딩 조거 팬츠_C2412PT087D</t>
  </si>
  <si>
    <t>[커스텀에이블] 로맨틱 플라워패턴 프릴 니트_C2412KN677D</t>
  </si>
  <si>
    <t>[커스텀에이블] 사선 큐빅장식 반폴라 니트_C2412KN114D</t>
  </si>
  <si>
    <t>에이블에이치/모리스커밍홈</t>
  </si>
  <si>
    <t>[모리스커밍홈] 데일리 하이넥 폴라 에어울 니트_M2412KN179D</t>
  </si>
  <si>
    <t>[모리스커밍홈]연말에도 예쁘고 따뜻하게~</t>
  </si>
  <si>
    <t xml:space="preserve">MD추천 모임룩/데이트룩 </t>
  </si>
  <si>
    <t>[모리스커밍홈] 비즈 포인트 폴라넥 니트_M2412KN186D</t>
  </si>
  <si>
    <t>[모리스커밍홈] 글리터 펄 H라인 스커트_M2412SK136D</t>
  </si>
  <si>
    <t>[모리스커밍홈] [55-66]벨트세트 기모 핀턱 하프팬츠_M2412PT143D</t>
  </si>
  <si>
    <t>[모리스커밍홈] 헤링본 배색 벨티드 원피스_M2412OP196D</t>
  </si>
  <si>
    <t>슈컴퍼니 레포츠</t>
  </si>
  <si>
    <t>[쿠니바이] 베리에 밴딩 팬츠+벨트 세트 종 택 1</t>
  </si>
  <si>
    <t xml:space="preserve">[쿠니바이] 베리에 밴딩팬츠 / 풀오버 9900원 부터 ~ </t>
  </si>
  <si>
    <t>[쿠니바이] 베리에 풀오버 종 택1</t>
  </si>
  <si>
    <t>슈컴퍼니 뱅뱅</t>
  </si>
  <si>
    <t>[뱅뱅] 공용 경량 구스다운 베스트검정NEE62489</t>
  </si>
  <si>
    <t>[뱅뱅] 경량 구스다운 베스트 / 투인원 남성레깅스 특가!</t>
  </si>
  <si>
    <t>남성 하이 퍼포먼스 투인원 레깅스 반바지 팬츠</t>
  </si>
  <si>
    <t>송현주</t>
  </si>
  <si>
    <t>서울양말</t>
  </si>
  <si>
    <t>기모 안감 도트 덧신 3켤레 양털 겨울 필수 아이템 극세사 양말 미끄럼방지</t>
  </si>
  <si>
    <t>국내생산 여성 무지 솔리드 수면양말 5켤레 임산부 선물 겨울 데일리 베이직 중목</t>
  </si>
  <si>
    <t>남성용  국내생산 두꺼운 이중바닥 스포츠양말 5켤레 중목 이중쿠션 작업양말 파일</t>
  </si>
  <si>
    <t>남성용 국내생산 두꺼운 이중바닥 스포츠양말 5켤레 중목 이중쿠션 작업양말 파일</t>
  </si>
  <si>
    <t>5켤레 남성 삼선 중목 이중바닥 양말 등산 스포츠양말 남자양말 스니커즈 학생양말 두꺼운 양말</t>
  </si>
  <si>
    <t>시글락 (크레파스)</t>
  </si>
  <si>
    <t>[시글락] 남녀공용 겨울 방한 후드 넥워머</t>
  </si>
  <si>
    <t>[시글락]이너/언더웨어/잡화 만원의 행복 초특가전!</t>
  </si>
  <si>
    <t>[초특가행사] 시글락 언더웨어/겨울잡화 초특가 행사
#시글락 #넥워머 #발열내복세트 #심리스 #팬티 #드로즈</t>
  </si>
  <si>
    <t>시글락 남성 겨울용 따뜻한 내복세트</t>
  </si>
  <si>
    <t>시글락 여성 겨울용 따뜻한 내복세트</t>
  </si>
  <si>
    <t xml:space="preserve"> 이너리즘 심리스 노라인 팬티 4매세트 </t>
  </si>
  <si>
    <t>[시글락] 에센셜 드로즈 4종세트</t>
  </si>
  <si>
    <t>골드벅</t>
  </si>
  <si>
    <t>[★1+1+1] 히트온 남녀 초극세사 기모 내복 3벌세트(6종)</t>
  </si>
  <si>
    <t>[시즌오프초특가] 히트온 내복 특가전♥</t>
  </si>
  <si>
    <t>♥매진행진! 히트온 기모 내복 시즌오프 특가♥</t>
  </si>
  <si>
    <t>[★1+1] 히트온 남여 초극세사 기모 내복 2벌세트(4종)</t>
  </si>
  <si>
    <t>[★신상특가] 포근 보들 수면잠옷 남여 상하세트 택1</t>
  </si>
  <si>
    <t>민영상사/테슬라</t>
  </si>
  <si>
    <t>테슬라 기모 발열내의 겨울 보온 방한 남성내복 상의</t>
  </si>
  <si>
    <t>신년맞이 새 내복 장만!!</t>
  </si>
  <si>
    <t>8년간 전세계 판매량 1200만장!
극강의 따듯함을 느껴보세요.</t>
  </si>
  <si>
    <t>테슬라 기모 발열내의 겨울 보온 방한 남성내복 하의</t>
  </si>
  <si>
    <t>테슬라 기모 발열내의 겨울 보온 방한 여성내복 상의</t>
  </si>
  <si>
    <t>테슬라 기모 발열내의 겨울 보온 방한 여성내복 하의</t>
  </si>
  <si>
    <t>테슬라 여성 기모 민소매 티셔츠 TM-XUN01</t>
  </si>
  <si>
    <t>주식회사 언더라인</t>
  </si>
  <si>
    <t>예스플러스 끈조절 울트라 밍크 파자마_남성,여성</t>
  </si>
  <si>
    <t>예스플러스 끈조절 울트라 밍크 파자마</t>
  </si>
  <si>
    <t>한파 준비~ 인기 상품 울트라 밍크 파자마 특가
#수면바지  #홈웨어 # 부드러움 #파자마</t>
  </si>
  <si>
    <t>비비안</t>
  </si>
  <si>
    <t>[방송히트]비비안 로즈버드 153-1 스킨 앤 누디 노와이어 브라팬티 세트 7종</t>
  </si>
  <si>
    <t>[비비안] 로즈버드 노와이어 브라팬티 세트 7종 ! 4만원대 ~</t>
  </si>
  <si>
    <t>진다슬</t>
    <phoneticPr fontId="43" type="noConversion"/>
  </si>
  <si>
    <t>베니스에프앤비</t>
    <phoneticPr fontId="43" type="noConversion"/>
  </si>
  <si>
    <t>[공동구매] 조성아 원더바스 슈퍼 베지톡스 클렌저 레드 300ml 1+1</t>
  </si>
  <si>
    <t>조성아 원더바스 슈퍼 베지톡스 클렌저</t>
    <phoneticPr fontId="4" type="noConversion"/>
  </si>
  <si>
    <t>[조성아]자동 미세거품으로 노폐물 정화, 저자극 곤약으로 각질제거와 딥클렌징까지!</t>
  </si>
  <si>
    <t>[공동구매] 조성아 원더바스 슈퍼 베지톡스 클렌저 그린 300ml 1+1</t>
  </si>
  <si>
    <t>아이코스</t>
    <phoneticPr fontId="43" type="noConversion"/>
  </si>
  <si>
    <t>3CE SQUARE HAND MIRROR 스퀘어 핸드미러</t>
  </si>
  <si>
    <r>
      <t xml:space="preserve">3ce </t>
    </r>
    <r>
      <rPr>
        <sz val="10"/>
        <color rgb="FF000000"/>
        <rFont val="Arial Unicode MS"/>
        <family val="2"/>
        <charset val="129"/>
      </rPr>
      <t>스퀘어 핸드미러</t>
    </r>
    <phoneticPr fontId="4" type="noConversion"/>
  </si>
  <si>
    <t>넉넉한 사이즈와 손잡이로 편하게!
3ce 미니 사각 손거울</t>
  </si>
  <si>
    <t>3CE SQUARE MINI HAND MIRROR 스퀘어 미니 핸드 미러</t>
  </si>
  <si>
    <t xml:space="preserve">3CE MOOD RECIPE MATTE LIP COLOR 무드레시피 매트 립 컬러 </t>
  </si>
  <si>
    <t>3CE BLURRING LIQUID LIP 블러링 리퀴드 립</t>
  </si>
  <si>
    <t>유앤아이라이프</t>
    <phoneticPr fontId="43" type="noConversion"/>
  </si>
  <si>
    <t>하라즈 실키 헤어에센스 100ml</t>
  </si>
  <si>
    <t>끈적임없이 산뜻하게 영양과 향기를 채우다!</t>
    <phoneticPr fontId="4" type="noConversion"/>
  </si>
  <si>
    <t>[하라즈]끈적임없이 산뜻하게 영양과 향기를 채우다!</t>
  </si>
  <si>
    <t>하라즈 모로코 아르간 오일세럼 100ml</t>
  </si>
  <si>
    <t>하라즈 스타일키퍼 헤어픽서 250ml</t>
  </si>
  <si>
    <t>나노 풋앤힐 글래스 파일</t>
  </si>
  <si>
    <t>아리아즈</t>
    <phoneticPr fontId="43" type="noConversion"/>
  </si>
  <si>
    <t xml:space="preserve">[공동구매]아리아즈 카페인 샴푸 1000ml </t>
  </si>
  <si>
    <t>건강한 두피 케어를 위한 아리아즈 카페인 샴푸</t>
    <phoneticPr fontId="4" type="noConversion"/>
  </si>
  <si>
    <t>건강한 두피 케어를 위한 아리아즈 카페인 샴푸</t>
  </si>
  <si>
    <t>[공동구매]아리아즈 카페인 대용량 샴푸 1000ml 2개</t>
  </si>
  <si>
    <t xml:space="preserve">[공동구매]아리아즈 카페인 트리트먼트 1000ml </t>
  </si>
  <si>
    <t>[공동구매]아리아즈 카페인 대용량 트리트먼트 1000ml 2개</t>
  </si>
  <si>
    <t>메디플라워</t>
    <phoneticPr fontId="43" type="noConversion"/>
  </si>
  <si>
    <t>메디플라워 수분진정 토너패드 1+1 택2</t>
  </si>
  <si>
    <t>예민하고 민감한 피부를 촉촉하게 달래주는 어성초 수분진정 토너패드</t>
    <phoneticPr fontId="4" type="noConversion"/>
  </si>
  <si>
    <t>[메디플라워]예민하고 민감한 피부를 촉촉하게 달래주는 어성초 수분진정 토너패드</t>
  </si>
  <si>
    <t>메디플라워 락토케어 앰플 3개 골라담기 (사철쑥/비폴렌/청귤)</t>
  </si>
  <si>
    <t>이시준</t>
    <phoneticPr fontId="43" type="noConversion"/>
  </si>
  <si>
    <t>트웬티메디코스</t>
    <phoneticPr fontId="43" type="noConversion"/>
  </si>
  <si>
    <t>[공동구매]듀얼덤 갈락비타 씨 앰플 35ml</t>
  </si>
  <si>
    <t>칙칙한 피부를 건강하게 밝히는갈락비타씨 앰플</t>
  </si>
  <si>
    <t xml:space="preserve">[닥터트웬디프로젝트]칙칙한 피부 이별! 갈락토미세스와 순도 99% 비타민C로 피부를 밝히는 미백, 주름 기능성 토너 공동구매 특가! </t>
  </si>
  <si>
    <t>일상이삼</t>
  </si>
  <si>
    <t>TS 핫팩 부착형 50g 100개</t>
  </si>
  <si>
    <t>믿을 수 있는 안심 핫팩!
추운 겨울, TS핫팩으로 따뜻하게!</t>
  </si>
  <si>
    <t>TS 핫팩 부착형 50g 50개</t>
  </si>
  <si>
    <t>위가드 부착형 핫팩 45g 100매 / 23년 최신 제조</t>
  </si>
  <si>
    <t>위가드 부착형 핫팩 45g 50매 / 23년 최신 제조</t>
  </si>
  <si>
    <t>이선영</t>
    <phoneticPr fontId="43" type="noConversion"/>
  </si>
  <si>
    <t>코스메이트</t>
  </si>
  <si>
    <r>
      <t>[</t>
    </r>
    <r>
      <rPr>
        <sz val="10"/>
        <color rgb="FF000000"/>
        <rFont val="돋움"/>
        <family val="3"/>
        <charset val="129"/>
      </rPr>
      <t>공동구매</t>
    </r>
    <r>
      <rPr>
        <sz val="10"/>
        <color rgb="FF000000"/>
        <rFont val="Arial"/>
        <family val="2"/>
      </rPr>
      <t>]</t>
    </r>
    <r>
      <rPr>
        <sz val="10"/>
        <color rgb="FF000000"/>
        <rFont val="돋움"/>
        <family val="3"/>
        <charset val="129"/>
      </rPr>
      <t>미에뜰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순수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여성청결제</t>
    </r>
    <r>
      <rPr>
        <sz val="10"/>
        <color rgb="FF000000"/>
        <rFont val="Arial"/>
        <family val="2"/>
      </rPr>
      <t xml:space="preserve"> 500ml 1+1 </t>
    </r>
    <r>
      <rPr>
        <sz val="10"/>
        <color rgb="FF000000"/>
        <rFont val="돋움"/>
        <family val="3"/>
        <charset val="129"/>
      </rPr>
      <t>대용량</t>
    </r>
  </si>
  <si>
    <t>나를 위한 365일 건강한 습관!
순한 여성청결제</t>
  </si>
  <si>
    <t>나를 위한 365일 건강한 습관!
미에뜰 순한 여성청결제</t>
  </si>
  <si>
    <r>
      <t>[</t>
    </r>
    <r>
      <rPr>
        <sz val="10"/>
        <color rgb="FF000000"/>
        <rFont val="돋움"/>
        <family val="3"/>
        <charset val="129"/>
      </rPr>
      <t>공동구매</t>
    </r>
    <r>
      <rPr>
        <sz val="10"/>
        <color rgb="FF000000"/>
        <rFont val="Arial"/>
        <family val="2"/>
      </rPr>
      <t>]</t>
    </r>
    <r>
      <rPr>
        <sz val="10"/>
        <color rgb="FF000000"/>
        <rFont val="돋움"/>
        <family val="3"/>
        <charset val="129"/>
      </rPr>
      <t>동성제약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미에뜰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쿨링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남성청결제</t>
    </r>
    <r>
      <rPr>
        <sz val="10"/>
        <color rgb="FF000000"/>
        <rFont val="Arial"/>
        <family val="2"/>
      </rPr>
      <t xml:space="preserve"> 500ml 1+1 </t>
    </r>
    <r>
      <rPr>
        <sz val="10"/>
        <color rgb="FF000000"/>
        <rFont val="돋움"/>
        <family val="3"/>
        <charset val="129"/>
      </rPr>
      <t>대용량</t>
    </r>
  </si>
  <si>
    <r>
      <t>[</t>
    </r>
    <r>
      <rPr>
        <sz val="10"/>
        <color rgb="FF000000"/>
        <rFont val="돋움"/>
        <family val="3"/>
        <charset val="129"/>
      </rPr>
      <t>공동구매</t>
    </r>
    <r>
      <rPr>
        <sz val="10"/>
        <color rgb="FF000000"/>
        <rFont val="Arial"/>
        <family val="2"/>
      </rPr>
      <t xml:space="preserve">] </t>
    </r>
    <r>
      <rPr>
        <sz val="10"/>
        <color rgb="FF000000"/>
        <rFont val="돋움"/>
        <family val="3"/>
        <charset val="129"/>
      </rPr>
      <t>히아루론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약산성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여성청결제</t>
    </r>
    <r>
      <rPr>
        <sz val="10"/>
        <color rgb="FF000000"/>
        <rFont val="Arial"/>
        <family val="2"/>
      </rPr>
      <t xml:space="preserve"> 500g 1+1 </t>
    </r>
    <r>
      <rPr>
        <sz val="10"/>
        <color rgb="FF000000"/>
        <rFont val="돋움"/>
        <family val="3"/>
        <charset val="129"/>
      </rPr>
      <t>저자극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순한</t>
    </r>
  </si>
  <si>
    <t>이혜인</t>
  </si>
  <si>
    <t>푸드조이</t>
  </si>
  <si>
    <t>정년이 기린호빵(4입) 팥1+야채1+피자1+옥수수1 총4봉</t>
  </si>
  <si>
    <t xml:space="preserve">속은 촉촉, 겉은 부드럽게 겨울엔 기린 호빵! 화제의 인기작 드라마 정년이 속 눈물젖은 찐빵을 맛보세요. 부드러운 빵 속에 촉촉한 팥소가 가득! 추운 겨울 맛과 온기를 느껴보세요. </t>
  </si>
  <si>
    <t>정년이 기린 호빵 팥 (4입)x2개+야채 (4입)x2개</t>
  </si>
  <si>
    <t>정년이 기린 호빵 팥 (4입)x2개+피자 (4입)x2개</t>
  </si>
  <si>
    <t>기린 간식빵  10개 골라담기</t>
  </si>
  <si>
    <t>기린 간식빵  20개 골라담기</t>
  </si>
  <si>
    <t>기린빵 베스트10봉(고구마크림빵+이천쌀슈크림+만족두배단팥빵+땅콩소보로+옥수수단팥)x2</t>
  </si>
  <si>
    <t>바다원㈜</t>
  </si>
  <si>
    <t>[바다원] 포항 구룡포 과메기 10미 20쪽 (완전손질)</t>
  </si>
  <si>
    <t xml:space="preserve">포항 구룡포 제철 과메기와 신선한 야채세트 </t>
  </si>
  <si>
    <t>[바다원] 포항 구룡포 과메기 10미 20쪽+야채세트</t>
  </si>
  <si>
    <t>[바다원] 포항 구룡포 과메기 20미 40쪽 (완전손질)</t>
  </si>
  <si>
    <t>[바다원] 포항 구룡포 과메기 20미 40쪽+야채세트</t>
  </si>
  <si>
    <t>올곧은컴퍼니</t>
  </si>
  <si>
    <t>반찬단지 청양간장고추 1kg 고추장아찌 간장고추절임 고추지</t>
  </si>
  <si>
    <t>40년 제조 노하우와 레시피로
재료 본연의 맛을 살려 자극적이지 않고 맛깔나는 반찬!</t>
  </si>
  <si>
    <t>반찬단지 청양간장고추 1kg + 간장깻잎 1kg</t>
  </si>
  <si>
    <t>반찬단지 청양간장고추 1kg + 무말랭이무침 1kg</t>
  </si>
  <si>
    <t>반찬단지 청양간장고추 1kg + 궁채장아찌 1kg</t>
  </si>
  <si>
    <t>반찬단지 청양간장고추 1kg + 깻잎무침 1kg</t>
  </si>
  <si>
    <t>밥플렉스</t>
  </si>
  <si>
    <t>[참맛나] 30년전통 갓김치 2kg 국내산 당일생산</t>
  </si>
  <si>
    <t>☆구매 수량별 사은품 증정☆
2개이상 구매시 : 깍두기 500g
3개이상 구매시 : 겉절이 500g</t>
  </si>
  <si>
    <t>[참맛나] 30년전통 총각김치 2kg 국내산 당일생산</t>
  </si>
  <si>
    <t>[참맛나] 30년전통 얼갈이겉절이 2kg 국내산 당일생산</t>
  </si>
  <si>
    <t>[참맛나] 30년전통 열무김치 2kg 국내산 당일생산</t>
  </si>
  <si>
    <t>[참맛나] 30년 전통 포기김치 2kg 국내산 당일생산</t>
  </si>
  <si>
    <t>김규흔한과</t>
  </si>
  <si>
    <t>[공동구매] 김규흔 한과 영양강정바 25개입</t>
  </si>
  <si>
    <t>김규흔 한과 영양강정바 25개입</t>
  </si>
  <si>
    <t>명장 명인 김규흔 한과 / 영양바 약과 전병 / 무료배송
# 아침식사 대용 영양강정바
# K-디저트 열풍 꿀약과
# 남녀노소 인기 만점 전통과자 꼬마전병</t>
  </si>
  <si>
    <t>[공동구매]김규흔 한과 영양강정바 50개입 (25개입 X 2박스)</t>
  </si>
  <si>
    <t>[공동구매]김규흔 한과 영양강정바 75개입 (25개입 X 3박스)</t>
  </si>
  <si>
    <t>김규흔 한과 명인 꿀약과 (파우치형) 500g</t>
  </si>
  <si>
    <t>김규흔 한과 단호박 꿀약과 (파우치형) 500g</t>
  </si>
  <si>
    <t>[공동구매]쫀득하고 꾸덕한 찹쌀 쫀꾸약과 30개입</t>
  </si>
  <si>
    <t>[공동구매]김규흔 한과 옛날과자 센베이 꼬마전병 3종 세트 (땅콩, 생강, 파래)</t>
  </si>
  <si>
    <t>[참맛나반찬] 최고의 밥도둑 삭힌 고추무침 1kg 가정식 반찬</t>
  </si>
  <si>
    <t>☆구매 수량별 사은품 증정☆
2개 이상 : 오징어젓갈100g, 
3개 이상 : 낙지젓갈200g, 
4개 이상 : 명태회무침200g</t>
  </si>
  <si>
    <t>[참맛나반찬] 아삭아삭한 아삭 고추장아찌 1kg 밥도둑 절임</t>
  </si>
  <si>
    <t>[참맛나반찬] 아삭아삭 맛좋은 무말랭이 무침 1kg 밥도둑 집밥</t>
  </si>
  <si>
    <t>[참맛나반찬] 식감천재 오도독한 궁채절임 1kg</t>
  </si>
  <si>
    <t>[참맛나반찬] 향긋하고 맛있는 양념 깻잎 1kg</t>
  </si>
  <si>
    <t>[참맛나반찬] 풍미가득한 간장 깻잎 1kg</t>
  </si>
  <si>
    <t>바다원 제주무 멸치 국물용팩 405g 15g x 27팩</t>
  </si>
  <si>
    <t>겨울철 뜨끈한 국물 요리 신의 한 수, 육수다시팩!
#육수팩 #국물요리 #다시팩 #천연조미료</t>
  </si>
  <si>
    <t>[바다원]디포리 해물다시팩 405g (15gx27팩) 국물용팩</t>
  </si>
  <si>
    <t>[바다원] 국산 멸치 국물용팩 300g(15gx20입)</t>
  </si>
  <si>
    <t>[바다원] 디포리 국물용팩 300g(15gx20개입)</t>
  </si>
  <si>
    <t>[바다원] 국산 야채 국물용팩 300g (15gx20입) 다시팩</t>
  </si>
  <si>
    <t>마음심은</t>
  </si>
  <si>
    <t>[마음심은] 동치미 5kg / 익을수록 시원한</t>
  </si>
  <si>
    <t xml:space="preserve">[마음심은] 동치미 5kg </t>
  </si>
  <si>
    <t>우리 농산물 100% 
재구매 200% 마음심은 김치</t>
  </si>
  <si>
    <t>[마음심은] 깍두기 2kg / 익을수록 시원한</t>
  </si>
  <si>
    <t>[마음심은] 포기김치 5kg / 익을수록 시원한</t>
  </si>
  <si>
    <t>[마음심은] 석박지 3kg / 익을수록 시원한</t>
  </si>
  <si>
    <t>[마음심은] 열무물김치 3kg / 익을수록 시원한</t>
  </si>
  <si>
    <t>신용식</t>
  </si>
  <si>
    <t>케이엠푸드</t>
  </si>
  <si>
    <t>제주 구좌당근 2kg 주스용</t>
  </si>
  <si>
    <t>아삭하고 달큰 신선한 제주 구좌 당근!</t>
  </si>
  <si>
    <t>제주 구좌당근 2kg 중</t>
  </si>
  <si>
    <t>제주 구좌당근 3kg 중</t>
  </si>
  <si>
    <t>제주 구좌당근 5kg 중</t>
  </si>
  <si>
    <t>제주 세척월동무 3kg</t>
  </si>
  <si>
    <t xml:space="preserve">24년 겨울 수확한 달달한 월동무! 다른계절의 월동무보다 조직도가 치밀하고 단단하며, 단맛이 매우 뛰어나요! </t>
  </si>
  <si>
    <t>제주 세척월동무 5kg</t>
  </si>
  <si>
    <t>제주 한라봉 1kg 중과(5-6과)</t>
  </si>
  <si>
    <t>새콤달콤한 한라산의 선물 고당도 효돈 한라봉</t>
  </si>
  <si>
    <t>제주 한라봉 2.5kg 중과(10-12과)</t>
  </si>
  <si>
    <t>천혜향 1kg 중과(5-6과 내외)</t>
  </si>
  <si>
    <t>천혜향 2.5kg 중과(10-12과내외)</t>
  </si>
  <si>
    <t>논산 설향딸기 한입과 750g내외</t>
  </si>
  <si>
    <t>"눈 속에서 피어나는 향기로운 딸기" 풍부한 과즙과 진한 달콤함!</t>
  </si>
  <si>
    <t>논산 설향딸기 특 750g내외</t>
  </si>
  <si>
    <t>참바다</t>
  </si>
  <si>
    <t>71613066</t>
  </si>
  <si>
    <t>[참다른] 훈제 점보 통닭다리 250g이상 X 3팩(머스타드소스 3팩증정)</t>
  </si>
  <si>
    <t xml:space="preserve">압도적인 사이즈! 탱글한 육질과 풍부한 육즙! </t>
  </si>
  <si>
    <t>71613062</t>
  </si>
  <si>
    <t>[참다른] 훈제 점보 통닭다리 250g이상 X 6팩(머스타드소스 6팩증정)</t>
  </si>
  <si>
    <t>주식회사상단</t>
  </si>
  <si>
    <t>올타방앗간 수수부꾸미 500gX4봉</t>
  </si>
  <si>
    <t>겉바속촉 달달한 추억의 맛 수수부꾸미!</t>
  </si>
  <si>
    <t>올타방앗간 수수부꾸미 500gX2봉</t>
  </si>
  <si>
    <t>한춘섭명장의 뼈없는 갈비곰탕 700g*5팩</t>
  </si>
  <si>
    <t>갈비살과 양지를 순수 고기만 드실 수 있도록 손질 완료!</t>
  </si>
  <si>
    <t>국내산 닭고기 든든한끼 삼계탕 1kg x  4팩</t>
  </si>
  <si>
    <t>올타 시원한끼 국내산 다슬기국 450g x 4팩</t>
  </si>
  <si>
    <t>나주수산 기쁜날잔치 홍어 몸살 100gX10팩 1kg</t>
  </si>
  <si>
    <t>시도 때도 없이 생각나는 홍어의 맛!</t>
  </si>
  <si>
    <t>나주수산 기쁜날잔치 홍어 모 100gX10팩 1kg</t>
  </si>
  <si>
    <t>남촌F&amp;B</t>
  </si>
  <si>
    <t>[공동구매] 우리콩 참두부과자 50g x 10봉</t>
  </si>
  <si>
    <t>우리콩 참두부과자 50g x 10봉</t>
  </si>
  <si>
    <t>자꾸 손이 가는 담백한 맛! 남녀노소 부담없이 맛있게 들길 수 있는 간식입니다.</t>
  </si>
  <si>
    <t>[공동구매] 우리콩 참두부과자 50g x 15봉</t>
  </si>
  <si>
    <t>[공동구매] 우리콩 참두부과자 50g x 20봉</t>
  </si>
  <si>
    <t>[공동구매] 우리콩 참두부과자 50g x 30봉</t>
  </si>
  <si>
    <t>[공동구매] 담양한과 하루영양바(엿강정) 25g*30입</t>
  </si>
  <si>
    <t>담양한과 하루영양바(엿강정) 25g*30입</t>
  </si>
  <si>
    <t xml:space="preserve">영양과 건강을 생각한 하루 영양바 세트! </t>
  </si>
  <si>
    <t>[공동구매] 담양한과 하루영양바(엿강정) 25g*40입</t>
  </si>
  <si>
    <t xml:space="preserve">■ 1/6주차 (1/6~1/12 진행, 발송예정일 : 1/13월) </t>
  </si>
  <si>
    <t>붉은색 음영칸 MD작성 요청 마감</t>
  </si>
  <si>
    <t>광개토쇼핑/일월</t>
  </si>
  <si>
    <t>신규 공구</t>
  </si>
  <si>
    <t>(공구)일월 마이크로 카본 전기매트_싱글(90x180)</t>
  </si>
  <si>
    <t>겨울필수 일월 카본
카페트/매트 비공개 최저가</t>
  </si>
  <si>
    <t>신규공구</t>
  </si>
  <si>
    <t>(공구)일월 마이크로 카본 전기매트_더블(140x180)</t>
  </si>
  <si>
    <t>(공구)일월 마이크로 카본 전기매트 세트(더블+싱글)</t>
  </si>
  <si>
    <t>(공동구매)일월 핑크블로썸 카본 전기매트_싱글(90x180)_디지털(원난방)</t>
  </si>
  <si>
    <t>(공동구매)일월 핑크블로썸 카본 전기매트_더블(140x180)_디지털(원난방)</t>
  </si>
  <si>
    <t>(공동구매)일월 핑크블로썸 카본 전기매트 두장_싱글+더블</t>
  </si>
  <si>
    <t>(공동구매)일월 다용도 카본 카페트매트 60x150</t>
  </si>
  <si>
    <t>(공동구매)일월 다용도 카본 카페트매트 60x150 1+1</t>
  </si>
  <si>
    <t>일월 체크브라운 워셔블 전기매트 더블(싱글/더블 균일가 행사)</t>
  </si>
  <si>
    <t>일월 체크브라운 워셔블 전기매트 싱글(싱글/더블 균일가 행사)</t>
  </si>
  <si>
    <t>일월 스타일리쉬 워셔블 카본 전기매트_싱글(90x180)_디지털(원난방)</t>
  </si>
  <si>
    <t>일월 스타일리쉬 워셔블 카본 전기매트_더블(140x180)_디지털(원난방)</t>
  </si>
  <si>
    <t>일월 스타일리쉬 워셔블 카본 전기매트_세트(싱글+더블)</t>
  </si>
  <si>
    <t>일월 스타일리쉬 워셔블 카본 전기매트_싱글+싱글(90x180)_디지털(원난방)</t>
  </si>
  <si>
    <t>일월 스타일리쉬 워셔블 카본 전기매트_더블+더블(140x180)_디지털(원난방)</t>
  </si>
  <si>
    <t>일월 나노크린 온수매트 더블 150x180(원난방)</t>
  </si>
  <si>
    <t>핫한일 초절전형 전기매트 싱글</t>
  </si>
  <si>
    <t>핫한일 초절전형 전기매트 더블</t>
  </si>
  <si>
    <t>핫한일 LG청맥 온돌마루 전기카페트매트(183x100)</t>
  </si>
  <si>
    <t>핫한일 LG청맥 온돌마루 전기카페트매트(183x140)</t>
  </si>
  <si>
    <t>핫한일 대청 온돌마루 전기카페트매트(183x100)</t>
  </si>
  <si>
    <t>핫한일 대청 온돌마루 전기카페트매트(183x140)</t>
  </si>
  <si>
    <t>모나리자/모나리자</t>
  </si>
  <si>
    <t>(공구)모나리자 천연펄프 보타닉포레 소프트 30m x 30롤 x 1+1(총2팩)</t>
  </si>
  <si>
    <t>모나리자 베스트셀러
신세계 단독 특가전</t>
  </si>
  <si>
    <t>"모나리자 베스트셀러
신세계 단독 특가전"</t>
  </si>
  <si>
    <t>(공구)모나리자 미용티슈 200매 x 6입 x 1+1 (총2팩)</t>
  </si>
  <si>
    <t>(공구)모나리자 데일리 안심 키친타월 140매 x 4롤 x 2+2 (총4팩)</t>
  </si>
  <si>
    <t>(공구)모나리자 대용량 내추럴 소프트 물티슈 100매 x 12+12 (총24입)</t>
  </si>
  <si>
    <t>(공구)모나리자 녹스 땡큐 30m x 30롤 x 3팩</t>
  </si>
  <si>
    <t>(공구)모나리자 뽑아쓰는 3겹 키친타월 100매 x 9입</t>
  </si>
  <si>
    <t>브이포즈 / 감성전자</t>
  </si>
  <si>
    <t>빨아쓰는 안심 전기장판 감성전자 무자계열선무자계열선 전기매트-더블</t>
  </si>
  <si>
    <t>무자계열선 전기매트, 비공개 공동구매</t>
  </si>
  <si>
    <t>빨아쓰는 안심 전기장판 감성전자 무자계열선무자계열선 전기매트-싱글</t>
  </si>
  <si>
    <t>빨아쓰는 안심 전기장판 감성전자 무자계열선무자계열선 전기매트-미니싱글</t>
  </si>
  <si>
    <t>이엘피스/클레어</t>
  </si>
  <si>
    <t>(공구)클레어 무선 폴딩 디자인 선풍기</t>
  </si>
  <si>
    <t>역시즌 초특가, 클레어 무선 선풍기 iF디자인 어워드 수상작</t>
  </si>
  <si>
    <t>부하우스/담다&amp;마트랩</t>
  </si>
  <si>
    <t>[국내생산]담다 끈이있어 편리한 분리수거 비닐봉투 패키지(30L+50L+80L+리필팩 2종)</t>
  </si>
  <si>
    <t>국내생산/ 분리수거 및 포장 필수품 쟁여두세요!
담다 비닐봉투&amp;마트랩</t>
  </si>
  <si>
    <t>분리수거 필수봉투 최저가</t>
  </si>
  <si>
    <t>[국내생산]마트랩 위생롤백 소형 17x25cm, 500매</t>
  </si>
  <si>
    <t>[국내생산]마트랩 위생장갑 200매</t>
  </si>
  <si>
    <t>[국내생산]마트랩 위생롤백 중형 25x35cm, 500매</t>
  </si>
  <si>
    <t>[국내생산]마트랩 위생롤백 대형 30x40cm, 500매</t>
  </si>
  <si>
    <t>부하우스/부하우스</t>
  </si>
  <si>
    <t>[28인치 캐리어용]부하우스 여행용 압축파우치 5종 풀세트 S+S+L+L+XL(6가지 컬러)</t>
  </si>
  <si>
    <t>캐리어 정리의 마법사, 여행용 압축파우치 비공개 최저가</t>
  </si>
  <si>
    <t>여행 필수템 압축파우치 최저가</t>
  </si>
  <si>
    <t>[24인치 캐리어용]부하우스 여행용 압축파우치 3종 세트  S+L+XL(6가지 컬러)</t>
  </si>
  <si>
    <t>[20인치 캐리어용]부하우스 여행용 압축파우치 3종 세트  S+S+L (6가지 컬러)</t>
  </si>
  <si>
    <t>(공구)부하우스 컬러풀 여행용 압축파우치 S 단품</t>
  </si>
  <si>
    <t>(공구)까사마루 부피싹 압축파우치 S+S 2종세트(베이지,블랙 중 택1)</t>
  </si>
  <si>
    <t>(공구)까사마루 부피싹 압축파우치 L+L 2종세트(베이지,블랙 중 택1)</t>
  </si>
  <si>
    <t>(공구)까사마루 부피싹 압축파우치 XL+XL 2종세트</t>
  </si>
  <si>
    <t>부하우스 여행용 압축파우치 2종세트 S+L (6가지 컬러)</t>
  </si>
  <si>
    <t>부하우스 여행용 압축파우치 2종세트 XL+XL (6가지 컬러)</t>
  </si>
  <si>
    <t>부하우스 여행용 압축파우치 2종세트 L+L (6가지 컬러)</t>
  </si>
  <si>
    <t>[국내생산]부하우스 한장 싹 수세미 360매(60매X6롤)+행주 50매+무료체험 5장</t>
  </si>
  <si>
    <t>[국내생산]부하우스 다용도 싹 빨아쓰는 행주50매</t>
  </si>
  <si>
    <t>에스와이 컨택</t>
  </si>
  <si>
    <t>[공구] 네모탭 미니 여행용 스팀 다리미 + 110V 돼지코 어댑터 증정</t>
  </si>
  <si>
    <t>여행 필수 ITEM
휴대용 스팀다리미 / 네모 만능 변환 멀티탭</t>
  </si>
  <si>
    <t>"여행 필수 ITEM
휴대용 스팀다리미 / 네모 만능 변환 멀티탭"</t>
  </si>
  <si>
    <t xml:space="preserve">[공구] 네모탭 5포트 USB 35W 해외용 멀티어댑터 + 전용파우치 증정 </t>
  </si>
  <si>
    <t>[공구] [1+1] 네모탭 미니 여행용 스팀 다리미 + 110V 돼지코 어댑터 증정</t>
  </si>
  <si>
    <t xml:space="preserve">[공구] [1+1] 네모탭 5포트 USB 35W 해외용 멀티어댑터 + 전용파우치 증정 </t>
  </si>
  <si>
    <t>[공구] 네모탭 미니 여행용 스팀 다리미 + 5포트 USB 35W 해외용 멀티어댑터 여행필수품 사은품증정</t>
  </si>
  <si>
    <t>[공구] 네모탭 더슬림 45W C타입 (USB+C) 개별절전 3구 멀티탭 스카이 1.5M 사은품 C타입 65W 케이블 증정</t>
  </si>
  <si>
    <t xml:space="preserve">[공구] 네모탭 더슬림 45W C타입 (USB+C) 개별절전 3구 멀티탭 스카이 3M 사은품 C타입 65W 케이블 증정 </t>
  </si>
  <si>
    <t>[공구] 네모탭 더슬림 30W C타입 (USB+C) 개별절전 2구 멀티탭 레몬 1.5M 사은품 C타입 65W 케이블 증정</t>
  </si>
  <si>
    <t>[공구] 네모탭 더슬림 30W C타입 (USB+C) 개별절전 2구 멀티탭 레몬 3M 사은품 C타입 65W 케이블 증정</t>
  </si>
  <si>
    <t>[공구] 네모탭 더슬림 30W C타입 (USB+C) 개별절전 3구 멀티탭 코랄 1.5M 사은품 C타입 65W 케이블 증정</t>
  </si>
  <si>
    <t>[공구] 네모탭 더슬림 30W C타입 (USB+C) 개별절전 3구 멀티탭 코랄 3M 사은품 C타입 65W 케이블 증정</t>
  </si>
  <si>
    <t>[공구] 네모탭 더슬림 30W C타입 (USB+C) 개별절전 4구 과부하차단 멀티탭 그레이 1.5M 사은품 C타입 65W 케이블 증정</t>
  </si>
  <si>
    <t>[공구] 네모탭 더슬림 30W C타입 (USB+C) 개별절전 4구 과부하차단 멀티탭 그레이 3M 사은품 C타입 65W 케이블 증정</t>
  </si>
  <si>
    <t>[공구] 네모탭 더슬림 30W C타입 (USB+C) 개별절전 5구 과부하차단 멀티탭 라임 1.5M 사은품 C타입 65W 케이블 증정</t>
  </si>
  <si>
    <t>[공구] 네모탭 더슬림 30W C타입 (USB+C) 개별절전 5구 과부하차단 멀티탭 라임 3M 사은품 C타입 65W 케이블 증정</t>
  </si>
  <si>
    <t>리브맘 메모리폼 기능성 바른자세 경추베개 1+1</t>
  </si>
  <si>
    <t>고밀도 메모리폼베개에 커버 분리형으로 커버세탁이 가능한 메모리폼베개 1+1 구성입니다</t>
  </si>
  <si>
    <t>리브맘 청소기없이 5초 맨손 여행용 압축팩 40cmX60cm 5매</t>
  </si>
  <si>
    <t>리브맘 청소기없이 5초 맨손 여행용 압축팩 모음전</t>
  </si>
  <si>
    <t>청소기 필요없이 손으로 5초만 압축하면 됩니다.
휴대성이 편리하며 2중 지퍼로 완벽하게 밀봉합니다.</t>
  </si>
  <si>
    <t>리브맘 청소기없이 5초 맨손 압축팩 중형 45cmX70cm 5매</t>
  </si>
  <si>
    <t>리브맘 청소기없이 5초 맨손 압축팩 대형 56cmX80cm 4매</t>
  </si>
  <si>
    <t>리브맘 청소기없이 5초 맨손 압축팩 특대형 80cmX100cm 3매</t>
  </si>
  <si>
    <t>리브맘 청소기없이 5초 맨손 옷걸이 압축팩 중형 70cmX90cm 2매</t>
  </si>
  <si>
    <t>리브맘 청소기없이 5초 맨손 옷걸이 압축팩 대형 70cmX105cm 2매</t>
  </si>
  <si>
    <t>리브맘 청소기없이 5초 맨손 옷걸이 압축팩 중형 1매+대형 1매</t>
  </si>
  <si>
    <t>리브맘 파우치형 압축팩 중형 50x30X70cm 3매</t>
  </si>
  <si>
    <t>리브맘 파우치형 압축팩 특대형 80x38X100cm 2매</t>
  </si>
  <si>
    <t>리치앤홈</t>
  </si>
  <si>
    <t xml:space="preserve">리치앤홈 클래식 구스 이불베개세트 S 싱글 </t>
  </si>
  <si>
    <t>리치앤홈 F/W 이불 신년특가전</t>
  </si>
  <si>
    <t>추운겨울도 따끈 포근한이불로 쾌적하게~</t>
  </si>
  <si>
    <t xml:space="preserve">리치앤홈 클래식 구스 이불베개세트 Q 퀸 </t>
  </si>
  <si>
    <t>리치앤홈 클래식 구스 이불토퍼세트 S 싱글</t>
  </si>
  <si>
    <t xml:space="preserve">리치앤홈 클래식 구스 이불토퍼세트 Q 퀸 </t>
  </si>
  <si>
    <t>리치앤홈 하이브 구스이불 S</t>
  </si>
  <si>
    <t>리치앤홈 하이브 구스이불 Q</t>
  </si>
  <si>
    <t>리치앤홈 알러지케어 호텔침구 허쉬 구스이불 S 싱글</t>
  </si>
  <si>
    <t>리치앤홈 알러지케어 호텔침구 허쉬 구스이불 Q 퀸</t>
  </si>
  <si>
    <t>리치앤홈 알러지케어 한파용 허쉬 구스이불 S 싱글</t>
  </si>
  <si>
    <t xml:space="preserve">리치앤홈 알러지케어 한파용 허쉬 구스이불 Q 퀸 </t>
  </si>
  <si>
    <t xml:space="preserve">리치앤홈 포근하고 두껍고 따뜻한발열 겨울 러스틱 극세사이불 SS </t>
  </si>
  <si>
    <t xml:space="preserve">리치앤홈 포근하고 두껍고 따뜻한발열 겨울 러스틱 극세사이불 Q </t>
  </si>
  <si>
    <t>리치앤홈 부드럽고 촉감좋은 모달100% 헤나차렵이불SS</t>
  </si>
  <si>
    <t>리치앤홈 부드럽고 촉감좋은 모달100% 헤나차렵이불Q</t>
  </si>
  <si>
    <t>리치앤홈 부드럽고 촉감좋은 모달100% 헤나차렵베개세트SS</t>
  </si>
  <si>
    <t>리치앤홈 부드럽고 촉감좋은 모달100% 헤나차렵베개세트Q</t>
  </si>
  <si>
    <t>리치앤홈 먼지없는 사계절 아사면60수 안젤라차렵이불SS</t>
  </si>
  <si>
    <t>리치앤홈 먼지없는 사계절 아사면60수 안젤라차렵이불Q</t>
  </si>
  <si>
    <t>리치앤홈 먼지없는 사계절 아사면60수 안젤라차렵베개세트SS</t>
  </si>
  <si>
    <t>리치앤홈 먼지없는 사계절 아사면60수 안젤라차렵베개세트Q</t>
  </si>
  <si>
    <t>리치앤홈 북유럽 사계절 알러지케어 루나차렵이불SS</t>
  </si>
  <si>
    <t>리치앤홈 북유럽 사계절 알러지케어 루나차렵이불Q</t>
  </si>
  <si>
    <t>리치앤홈 북유럽 사계절 알러지케어 루나처렵베개세트SS</t>
  </si>
  <si>
    <t>리치앤홈 북유럽 사계절 알러지케어 루나차렵베개세트Q</t>
  </si>
  <si>
    <t>클라셰 데일리핏베이직니트_B4M2033</t>
  </si>
  <si>
    <t>겨울 최대 할인 ~87% SALE! 8900원부터</t>
  </si>
  <si>
    <t>인기 BEST 겨울 데일리룩 모음♥</t>
  </si>
  <si>
    <t>클라셰 터틀데일리라인니트_B4F0188</t>
  </si>
  <si>
    <t>화세 (77까지)유니크절개버튼맨투맨티셔츠_HB4FTS025C</t>
  </si>
  <si>
    <t>KARRA 쓰리버튼웜기모데님팬츠_A3F18094</t>
  </si>
  <si>
    <t>클라셰 베이직롱스타일코트+벨트SET_B4M2076</t>
  </si>
  <si>
    <t>[리즈무드] 한파극복 베스트아이템추천!</t>
  </si>
  <si>
    <t>이브 반목 퍼안감 니트 티</t>
  </si>
  <si>
    <t>슈컴퍼니</t>
  </si>
  <si>
    <t>[뱅뱅] 여성 겨울 기모 팬츠 14종 택1</t>
  </si>
  <si>
    <t>[뱅뱅] 여성 겨울 기모 팬츠 특가! 7,500원</t>
  </si>
  <si>
    <t>[뱅뱅] 여성 겨울 기모 팬츠 특가!
 #뱅뱅 #패딩바지 #여성기모 #기모팬츠 #겨울팬츠 #겨울기모 #겨울바지 #연말특가</t>
  </si>
  <si>
    <t>[인터크루] 남여 겨울 기모 맨투맨 후드티 8종 택1</t>
  </si>
  <si>
    <t>[인터크루] 남여 겨울 기모 맨투맨 후드티 특가! 10,500원</t>
  </si>
  <si>
    <t>[인터크루] 남여 겨울 기모 맨투맨 후드티 특가!
 #특가 #인터크루 #기모맨투맨 #기모후드티 #연말특가 #겨울티셔츠 #남자후드티 #여자맨투맨</t>
  </si>
  <si>
    <t>[모리스커밍홈] 베이직 겉기모 셔츠_M2412BL238D</t>
  </si>
  <si>
    <t>[모리스커밍홈]새해BEST특가템 모음</t>
  </si>
  <si>
    <t>#숄#블라우스#셔츠#니트#신상</t>
  </si>
  <si>
    <t>[모리스커밍홈] 스퀘어넥 코듀로이 블라우스_M2412BL237D</t>
  </si>
  <si>
    <t>[모리스커밍홈] 에스닉 수채화패턴 수술 숄_M2412AC601D</t>
  </si>
  <si>
    <t>[모리스커밍홈] 쁘띠카라 리본 포인트 니트_M2412KN190D</t>
  </si>
  <si>
    <t>[모리스커밍홈] 투포켓 포인트 폴라넥 니트_M2412KN193D</t>
  </si>
  <si>
    <t>[커스텀에이블] 영문밴딩 포인트 기모 배기 팬츠_C2412PT088D</t>
  </si>
  <si>
    <t>[커스텀에이블]신상추천템</t>
  </si>
  <si>
    <t>기모팬츠/니트외~ 겨울마감특가</t>
  </si>
  <si>
    <t>[커스텀에이블] 배색 베어 드로잉 울 니트_C2412KN117D</t>
  </si>
  <si>
    <t>[커스텀에이블] 골드장식 하이넥 폴라 니트_C2412KN121D</t>
  </si>
  <si>
    <t>[커스텀에이블] 레이어드 카라 단추 루즈핏 니트_C2412KN680D</t>
  </si>
  <si>
    <t>[커스텀에이블] 러플 타이 융털안감 기모 레이스블라우스_C2412BL106D</t>
  </si>
  <si>
    <t>[올리비에스클로젯] [SET]스마일OK기모 맨투맨 와이드팬츠 2종세트_O2412SE174D</t>
  </si>
  <si>
    <t>[올리비에스클로젯]트렌디한 세트상품/ACC</t>
  </si>
  <si>
    <t>편하고 이쁜코디~ 트레이닝세트/기모맨투맨</t>
  </si>
  <si>
    <t>[올리비에스클로젯] [SET]기모 영문맨투맨 건빵팬츠 2종세트_O2412SE175D</t>
  </si>
  <si>
    <t>[올리비에스클로젯] 뉴욕 옆트임 기모 롱 티셔츠_O2412TS298D</t>
  </si>
  <si>
    <t>[올리비에스클로젯] 퀼팅 누빔 군밤 모자_O2412AC039D</t>
  </si>
  <si>
    <t>[올리비에스클로젯] HI 포인트 기모 맨투맨 티셔츠_O2412TS297D</t>
  </si>
  <si>
    <t>슈컴퍼니-코몽트</t>
  </si>
  <si>
    <t>[코몽트] 남녀공용  쉘파 하이넥 후리스 자켓 4종택 1</t>
  </si>
  <si>
    <t>[코몽트] 남여공용 후리스 / 패딩자켓 ★ 1만원대부터~</t>
  </si>
  <si>
    <t>코몽트 남여공용 ! 후리스/패딩자켓부터 ~ 방풍 패딩바지까지!!</t>
  </si>
  <si>
    <t>[코몽트]  웰론 중량 패딩자켓 3종택 1</t>
  </si>
  <si>
    <t>[코몽트] 방풍 패딩바지 3종택1</t>
  </si>
  <si>
    <t>[슬레진저] 중량패딩자켓 3종택1</t>
  </si>
  <si>
    <t>BYC</t>
  </si>
  <si>
    <t xml:space="preserve">BYC 프리미엄 보디히트 발열 내의 여성 상의 1매 </t>
  </si>
  <si>
    <t>[BYC] 가족 선물 추천! 브랜드 겨울 내복 선물세트</t>
  </si>
  <si>
    <t>고급 선물 패키지! BYC 발열/삼중직 내복 선물세트
#BYC #발열 #삼중직 #보온성 #내복세트 #선물추천</t>
  </si>
  <si>
    <t>BYC 여성 겨울용 삼중보온 동내의세트</t>
  </si>
  <si>
    <t>BYC 남성 겨울용 삼중보온 동내의세트</t>
  </si>
  <si>
    <t>BYC 여성 프리미엄 보디히트 발열내의(DBS1001)</t>
  </si>
  <si>
    <t>BYC 남성 보디히트 기능성 내의세트</t>
  </si>
  <si>
    <t>[공구] ★1+1+1 히트온 초극세사 기모 내복 3벌세트(6종) [59,700→28,900] 52%off</t>
  </si>
  <si>
    <t>[공구] ★1+1 히트온 초극세사 기모 내복 2벌세트(4종) [39,800→20,900] 48%off</t>
  </si>
  <si>
    <t>국내산 베이직 고밀도 순면 긴팔면티 3P 손목시보리</t>
  </si>
  <si>
    <t>국산 제품으로 목늘어짐 걱정 없는 넥라인과 깔끔한 마감처리!
가장 무난한 3가지 색으로 구성되어 있어
남녀 누구나 편하게 입을 수 있는 긴팔 면티!</t>
  </si>
  <si>
    <t>기모 니삭스 5켤레 밍크 융털 스타킹 롱 양말 기모니삭스 기모안감 무릎양말</t>
  </si>
  <si>
    <t>기모 니삭스 3켤레 밍크 융털 스타킹 롱 양말 기모니삭스 기모안감 무릎양말</t>
  </si>
  <si>
    <t>10켤레 80D 판타롱 밴드 스타킹 국산 고급 두꺼운 고탄력 반스타킹 니삭스 개별포장</t>
  </si>
  <si>
    <t>5켤레세트 국산 수면 양말 무압박 롱 임산부 산모 수족냉증 양털 보온</t>
  </si>
  <si>
    <t>CQR 가을 쿼터 집업 맨투맨 기모 플리스 니트 CQ-HKZ300</t>
  </si>
  <si>
    <t>[공동구매 특가] 신년맞아 새옷 장만하자!</t>
  </si>
  <si>
    <t>테슬라 쿼터집업 신세계 TV 단독 특가
#겨울 #여성상의 #남성상의 #쿼터집업 #맨투맨</t>
  </si>
  <si>
    <t>CQR 쿼터 집업 방한니트 CQ-HKZ301</t>
  </si>
  <si>
    <t>테슬라 트레이닝 쿼터 집업 티셔츠 TM-FKZ72</t>
  </si>
  <si>
    <t>테슬라 여성 기모 플리스 맨투맨 스웨트셔츠 TM-XKL22</t>
  </si>
  <si>
    <t>테슬라 기모 플리스 맨투맨 스웨트셔츠 TM-YKL26</t>
  </si>
  <si>
    <t>헬로바이오 파이토 식물성 대마종자유 햄프씨드 오일 4박스 (총 4개월분)</t>
  </si>
  <si>
    <t>"#청정자연 100% 캐나다산 우수 대마종자
#엑스트라 버진 등급
#캡슐당 1,000mg 함유
#식물성 오메가3 &amp; 오메가3 "</t>
  </si>
  <si>
    <t>뉴트리디데이 프리미엄 자연발효 애플사이다비니거 스틱 14포</t>
  </si>
  <si>
    <t>뉴트리디데이 애플사이다 스틱/비니거100</t>
  </si>
  <si>
    <t>[뉴트리디데이 온라인 단독 최저가~UP TO 62%]
★MD추천★100% 이탈리아 유기농 사과♡
풍부한 초모와 유기산 애플사이다 비니거!
발효 시 설탕, 주정, 물 ZERO!
깔끔하고 간편한 액상 스틱 타입~</t>
  </si>
  <si>
    <t>뉴트리디데이 리얼 유기농 애플사이다 비니거100 x 3박스 42포</t>
  </si>
  <si>
    <t>메이크뷰</t>
  </si>
  <si>
    <t>3개월분 비타블룸 초유 락토페린 600mg x 60정 3박스</t>
  </si>
  <si>
    <t>2개월분 대용량
뉴질랜드산 락토페린 순도 95% 이상</t>
  </si>
  <si>
    <t>3개월분 비타블룸 엘라스틴 어린 저분자 콜라겐 3g x 30포 3박스</t>
  </si>
  <si>
    <t>저분자 피쉬콜라겐 1,650mg 함유
비타민C, 히알루론산 함유</t>
  </si>
  <si>
    <t>로엘 웰업 NFC 유기농 레몬즙 100% 4박스 (총 56포)</t>
  </si>
  <si>
    <t>로엘 유기농레몬즙/곤약젤리 특가전</t>
  </si>
  <si>
    <t xml:space="preserve"> 
겨울에도 다이어트는 멈추지 않는다!
로엘 곤약젤리 &amp; 유기농 레몬즙, 신세계TV 단독특가로 만나보세요.
건강하게, 맛있게 시작하는 저칼로리 다이어트 간식!  </t>
  </si>
  <si>
    <t>로엘 팅글 곤약젤리 애사비 180g 10팩</t>
  </si>
  <si>
    <t>로엘 팅글 곤약젤리 ABC주스 180g 10팩</t>
  </si>
  <si>
    <t>로엘 팅글 곤약젤리 리치 80g 20팩</t>
  </si>
  <si>
    <t>로엘 팅글 곤약젤리 백도 80g 20팩</t>
  </si>
  <si>
    <t>로엘 팅글 곤약젤리 골드키위 80g 20팩</t>
  </si>
  <si>
    <t>로엘 팅글 곤약젤리 패션후르츠 80g 20팩</t>
  </si>
  <si>
    <t>홀리데이즈 NFC 착즙 100 리얼 유기농 레몬즙 1박스 14포</t>
  </si>
  <si>
    <t>홀리데이즈 NFC 착즙 100 리얼 유기농 레몬즙 1박스/2박스/4박스</t>
  </si>
  <si>
    <t>요즘 대세 레몬즙! 홀리데이즈도 드디어 출시~
출시기념 파격 세일 진행! 1포 400원대로 맛있게 즐기세요!</t>
  </si>
  <si>
    <t>홀리데이즈 NFC 착즙 100 리얼 유기농 레몬즙 2박스 총28포</t>
  </si>
  <si>
    <t>홀리데이즈 NFC 착즙 100 리얼 유기농 레몬즙 4박스 총56포</t>
  </si>
  <si>
    <t>올바른 슈퍼 비타민C 3000 90포 1박스 총 3개월분</t>
  </si>
  <si>
    <t>올바른 슈퍼 비타민C 3000 90포 3개월분/6개월분/12개월분</t>
  </si>
  <si>
    <t>1포당 비타민C 3,000mg 고함량 비타민C
#1개월당 3,600원 #비타민C 100% #건강기능식품 #3개월분 #무료배송</t>
  </si>
  <si>
    <t>올바른 슈퍼 비타민C 3000 90포 2박스 총 6개월분</t>
  </si>
  <si>
    <t>올바른 슈퍼 비타민C 3000 90포 4박스 총 12개월분</t>
  </si>
  <si>
    <t>[보뚜] 유기농 NFC 레몬즙 100 20g 14포 x 3박스</t>
  </si>
  <si>
    <t>1차, 2차 물량 완판 3차 긴급물량 !</t>
  </si>
  <si>
    <t>[을지대학교] 뼈 더하기 칼슘 마그네슘 비타민D 망간 60정x3개(6개월분)</t>
  </si>
  <si>
    <t>뼈와 근육 건강의 핵심 성분을 한 정에!
/ 피로에 지친 간과 활력에너지를 위한 밀크씨슬
/ 프리미엄 미국산 MSM 100% 함유, 부원료 NO</t>
  </si>
  <si>
    <t>[을지대학교] 간건강 더하기 밀크씨슬 비타민B군 60정x3개(6개월분)</t>
  </si>
  <si>
    <t>[을지대학교] 관절 더하기 엠에스엠 2000 120정x3개(6개월분)</t>
  </si>
  <si>
    <t>[유한메디카] 철분 엽산 엔 탑 헤모케어 60정x3개(6개월분)</t>
  </si>
  <si>
    <t>건강한 세포와 혈액 생성을 위한 고함량 철분, 엽산
/ 하루 1정으로 비타민 14종 + 미네랄 9종 섭취
/ 건강한 여성의 질에서 유래한 특허 유산균 함유</t>
  </si>
  <si>
    <t>[유한메디카] 온가족 멀티비타민 미네랄 엔 탑 원데이 케어 90정x2개(6개월분)</t>
  </si>
  <si>
    <t>[유한메디카] 락토케어 유산균 엔 탑 센스업 30캡슐x3개(3개월분)</t>
  </si>
  <si>
    <t>㈜인퍼스트</t>
  </si>
  <si>
    <t>드림이음 혈당케어 바나바잎 체지방 다이어트 카테킨 플랜컷 최하슬 혈당 다이어트 2개월분</t>
  </si>
  <si>
    <t xml:space="preserve">드림이음 혈당케어 바나바잎 체지방 다이어트 카테킨 플랜컷 최하슬 혈당 다이어트 </t>
  </si>
  <si>
    <t>건강한 다이어트의 시작!
잘못된 다이어트로 굶지말고 식후 하루 1정 섭취하여
체지방 감소와 혈당 케어를 함께 건강하게 케어하세요
적절한 운동, 식이조절과 함께 본 제품을 섭취해주세요</t>
  </si>
  <si>
    <t>건국유업 유기농 레몬즙 15포x2박스</t>
  </si>
  <si>
    <t>건국유업 유기농 레몬즙 15포 2박스/4박스/10박스</t>
  </si>
  <si>
    <t>지중해 청정 바람을 머금고 자란 유기농 레몬 100% 착즙액
리얼 레몬즙으로 상큼하게 하루를 시작하세요!</t>
  </si>
  <si>
    <t>건국유업 유기농 레몬즙 15포x4박스</t>
  </si>
  <si>
    <t>건국유업 유기농 레몬즙 15포x10박스</t>
  </si>
  <si>
    <t>네이처드림 건강기능식품 내 맘대로 쏙~쏙~ 골라담기!</t>
  </si>
  <si>
    <t>★와! 이 구성 미쳤다!★
불필요한 상품은 NO! 내 맘대로 쏙~쏙~ 골라담아보세요!
2만원이상 구매시 무/료/배/송 놓치지마세요!</t>
  </si>
  <si>
    <t>(선물세트+쇼핑백)네이처드림 혈행에 좋은 초임계 알티지오메가3 1,201mg x 30캡슐 3박스</t>
  </si>
  <si>
    <t>선물세트 이거 하나면 끝!
네이처드림의 건강기능식품 선물세트!</t>
  </si>
  <si>
    <t>(선물세트+쇼핑백)네이처드림 알티지오메가3 루테인플러스 1,200mg x 30캡슐(36g) 3박스</t>
  </si>
  <si>
    <t>(선물세트+쇼핑백)네이처드림 쓰리플렉스 콜레스테롤·혈당·혈압+초임계 알티지오메가3+루테인플러스</t>
  </si>
  <si>
    <t>(선물세트+쇼핑백)네이처드림 알티지오메가3징코빌로바 1,220mg x 30캡슐 3박스</t>
  </si>
  <si>
    <t>네이처드림 호관본 70ml x 30포 1박스</t>
  </si>
  <si>
    <t>엘스/메리그린</t>
  </si>
  <si>
    <t>[메리그린] 14K GF 골드필드 핀 큐빅 귀걸이 제네럴</t>
  </si>
  <si>
    <t>새해맞이 특별가 큐빅귀걸이 8900원~</t>
  </si>
  <si>
    <t>인기상품 특별가로 만나보세요.
큐빅귀걸이 &amp; 피어싱 1+1</t>
  </si>
  <si>
    <t>[메리그린] 14K GF 골드필드 핀 하트 귀걸이 띠아모</t>
  </si>
  <si>
    <t>[메리그린] 14K GF 골드필드 핀 모던 링 귀걸이 2종 택1</t>
  </si>
  <si>
    <t>[메리그린] 14K 골드필드 세인트 귀걸이</t>
  </si>
  <si>
    <t>[메리그린] 1+1 14K 골드필드 핀 플라워큐빅 피어싱 (한쪽판매)</t>
  </si>
  <si>
    <t>[메리그린] 1+1 14K 골드필드 핀 플라잉 피어싱 (한쪽판매)</t>
  </si>
  <si>
    <t>[미니아트] 14K GF 레즐리 골드필드핀 원터치 링 금 침 귀걸이</t>
  </si>
  <si>
    <t>[공동구매] 14K GF 레즐리 골드필드핀 원터치 링 금 침 귀걸이</t>
  </si>
  <si>
    <t>14K GOLDFILLED-PIN소재 심플 데일리 원터치 귀걸이</t>
  </si>
  <si>
    <t>[미니아트] 14K 금침 블린 럭셔리 로즈골드 원터치 링 귀걸이</t>
  </si>
  <si>
    <t>[공동구매] 14K 로즈골드 금침 클립 링 원터치 드롭 금 귀걸이</t>
  </si>
  <si>
    <t>[미니아트] 14K 골드핀 아샤 클립 드롭 원터치 링 금침 귀걸이</t>
  </si>
  <si>
    <t>미니아트 14K 로즈골드 Gold-pin 피어싱 2+1 균일특가</t>
  </si>
  <si>
    <t>[공동구매] 슬레진저 남녀공용 경량 운동화 스파키 CRSLW359</t>
  </si>
  <si>
    <t>★Only 신세계 공동구매 혜택가★ 2025년 새해맞이 역대급 특가로 준비했어요! 올해 가장 큰 혜택으로 만나보세요:)</t>
  </si>
  <si>
    <t>[공동구매] 슬레진저 런닝화 CR3S5L8</t>
  </si>
  <si>
    <t>[공동구매] 슬레진저 남성 등산화 트래킹화 CR3S4L2</t>
  </si>
  <si>
    <t>[공동구매] 루케테 다이얼 에어 운동화 런닝화 CR2L0C4</t>
  </si>
  <si>
    <t>[공동구매] 다이얼운동화 하이킹 트래킹화 CR5S1L8</t>
  </si>
  <si>
    <t>김아름</t>
  </si>
  <si>
    <t>미스타셰프 육개장 600g 3팩</t>
  </si>
  <si>
    <t xml:space="preserve"> [메인★]
뜨끈~뜨끈~ 미스타셰프로 나도 집에선 요리사!
간편식/간편조리식 으로 간편하게 즐겨보세요! </t>
  </si>
  <si>
    <t>미스타셰프 버섯뚝배기불고기 400g 3팩</t>
  </si>
  <si>
    <t>미스타셰프 아욱다슬기해장국 500g 3팩</t>
  </si>
  <si>
    <t>미스타셰프 콩비지찌개 600g x 3팩</t>
  </si>
  <si>
    <t>미스타셰프 국민마라탕 550g 3팩</t>
  </si>
  <si>
    <t>미스타셰프 해물누룽지탕 1kg 3팩</t>
  </si>
  <si>
    <t>미미의밥상</t>
  </si>
  <si>
    <t>[미미의밥상] 국내산등뼈 감자탕 3kg/레토르트(실온보관)</t>
  </si>
  <si>
    <t>[미미의밥상] 국내산등뼈 감자탕 3kg/레토르트</t>
  </si>
  <si>
    <t>113만 유튜버가 극찬한 바로 그 감자탕! 야들야들 부드러워 뼈가 살이 쏙! 분리되는 감자탕입니다.</t>
  </si>
  <si>
    <t>순수 우리쌀 가래떡/떡국떡 1kg+1kg+1kg (총 3kg)</t>
  </si>
  <si>
    <t>소돈가</t>
  </si>
  <si>
    <t>70750354</t>
  </si>
  <si>
    <t>[소돈가] 한돈 돼지 한마리냉장뒷고기모듬1kg(1kgx1)</t>
  </si>
  <si>
    <t>돼지 한마리에서 나오는 모든 뒷고기를 모았습니다. 입안이 즐거운 쫄깃쫄깃한 식감을 맛보세요!</t>
  </si>
  <si>
    <t>70750351</t>
  </si>
  <si>
    <t>[소돈가] 한돈 돼지 한마리냉장뒷고기모듬2kg(1kgx2)</t>
  </si>
  <si>
    <t>45980297</t>
  </si>
  <si>
    <t>[소돈가]국내산감자탕용돼지등뼈(3kg)</t>
  </si>
  <si>
    <t>아이마코</t>
  </si>
  <si>
    <t>63637755</t>
  </si>
  <si>
    <t>영광법성포 진공포장굴비 3팩 60미(2.4kg 내외, 15-17cm내외) 찌개,구이용</t>
  </si>
  <si>
    <t xml:space="preserve">굴비하면 역시 영광 법성포 굴비! </t>
  </si>
  <si>
    <t>71637485</t>
  </si>
  <si>
    <t>[바다생선가게] 국내산 반건조 기름가자미 5미(400g내외)</t>
  </si>
  <si>
    <t>71637201</t>
  </si>
  <si>
    <t>[바다생선가게] 쫄깃 고소한 반건조 두절열기 볼락 10미 (900g내외)</t>
  </si>
  <si>
    <t>71638140</t>
  </si>
  <si>
    <t>[바다생선가게] 잘말린 노르웨이 반건조 고등어 대 5미(1kg내외각180-220g)개별포장</t>
  </si>
  <si>
    <t>71637553</t>
  </si>
  <si>
    <t>[바다생선가게] 속살 부드러운 잘말린 반건조 임연수 특大3미(950g내외 각300-330g)개별포장</t>
  </si>
  <si>
    <t>㈜아이홈푸드</t>
  </si>
  <si>
    <t>[식품명인 유정임] 나박김치 2kg</t>
  </si>
  <si>
    <t>김치 명인의 솥끝으로 정성껏 만든 명인 김치</t>
  </si>
  <si>
    <t>[식품명인 유정임] 나박김치 5kg</t>
  </si>
  <si>
    <t>[3대째 손맛] 여수 돌산 갓김치 2kg</t>
  </si>
  <si>
    <t>[규수댁] 한결같은 포기김치 3kg</t>
  </si>
  <si>
    <t>[규수댁] 한결같은 석박지 3kg</t>
  </si>
  <si>
    <t>56561718</t>
  </si>
  <si>
    <t>[소돈가]호주산 소고기 안창살 구이용(200gx4)</t>
  </si>
  <si>
    <t>신선한 소고기 안창살/토시살/부채살 모음!</t>
  </si>
  <si>
    <t>60063373</t>
  </si>
  <si>
    <t>[소돈가] 호주산 토시살 구이용(200gx4)</t>
  </si>
  <si>
    <t>60063372</t>
  </si>
  <si>
    <t>[소돈가]호주산 부채살 구이용(200gx4)</t>
  </si>
  <si>
    <t>73838224</t>
  </si>
  <si>
    <t>[바아압] 불맛가득 속초 순살 통 코다리 직화구이 3팩</t>
  </si>
  <si>
    <t>66539146</t>
  </si>
  <si>
    <t>속초직송 저염 백명란 벌크 1kg</t>
  </si>
  <si>
    <t>웰던</t>
  </si>
  <si>
    <t>[웰던푸드] 호주청정우 송아지 찜갈비 2kg (1kg x 2팩)</t>
  </si>
  <si>
    <t>입안 가득 육즙 가득 송아지 찜갈비!</t>
  </si>
  <si>
    <t>[웰던푸드] 호주청정우 송아지 찜갈비 3kg (1kg x 3팩)</t>
  </si>
  <si>
    <t>[웰던푸드] 호주청정우 송아지 찜갈비 4kg (1kg x 4팩)</t>
  </si>
  <si>
    <t>[공동구매] 호주산 차돌박이 구이용 500g</t>
  </si>
  <si>
    <t>[공동구매] 호주산 차돌박이 구이용 500g x 2팩</t>
  </si>
  <si>
    <t>온도씨</t>
  </si>
  <si>
    <t>[온도씨]제주 고당도 천혜향 1kg 소과 (7-8과내외)</t>
  </si>
  <si>
    <t>산뜻한 맛과 부드러운 식감을 자랑하는 천혜향 입니다.</t>
  </si>
  <si>
    <t>[온도씨]제주 고당도 천혜향 1kg 중과 (5-6과내외)</t>
  </si>
  <si>
    <t>[온도씨]제주 고당도 천혜향 1kg 대과 (2-4과내외)</t>
  </si>
  <si>
    <t>씨유웰</t>
  </si>
  <si>
    <t>[G]농협안심한우 명품한우등심 1.0kg 선물세트</t>
  </si>
  <si>
    <t>농협안심한우 명품한우등심 1.0kg 선물세트</t>
  </si>
  <si>
    <t>귀한 분께 전하는 마음, 한우 선물 세트</t>
  </si>
  <si>
    <t>[G]농협안심한우 구이혼합 선물세트 4호(1.3kg) 등심/등심/국거리</t>
  </si>
  <si>
    <t>[G]농협안심한우 구이혼합 선물세트 2호(1.3kg) 등심/채끝/국거리</t>
  </si>
  <si>
    <t>[G]농협안심한우 등심/안심/채끝 선물세트 1호(1.5kg)</t>
  </si>
  <si>
    <t>[G]농협안심한우 명품한우등심 2.0kg 선물세트</t>
  </si>
  <si>
    <t>24년 소리팜 해남 호박고구마 3kg (특상)</t>
  </si>
  <si>
    <t xml:space="preserve">땅끝 해남에서 오는 신선한 달콤함 </t>
  </si>
  <si>
    <t>24년 소리팜 해남 호박고구마 5kg (특상)</t>
  </si>
  <si>
    <t>24년 소리팜 해남 호박고구마 10kg (특상)</t>
  </si>
  <si>
    <t>24년 소리팜 해남 호박고구마 5kg (중상)</t>
  </si>
  <si>
    <t>24년 소리팜 해남 호박고구마 10kg (중상)</t>
  </si>
  <si>
    <t>[참맛나][추가증정] 우거지 뼈해장국 1.2kg 감자탕 HACCP 인증</t>
  </si>
  <si>
    <t>[참맛나우거지 뼈해장국 1.2kg 감자탕 HACCP 인증</t>
  </si>
  <si>
    <t>☆구매 수량별 추가증정 이벤트☆
2+1 /총3팩,  3+2 /총5팩,  4+3 /총7팩 (한팩당 5,657원 꼴)</t>
  </si>
  <si>
    <t>케이디글로벌</t>
  </si>
  <si>
    <t>풀무원샘물 500mL X 40병</t>
  </si>
  <si>
    <t>최고 품질을 담은 건강한 생수 풀무원 샘물 특가</t>
  </si>
  <si>
    <t>풀무원샘물 2L X 18병</t>
  </si>
  <si>
    <t>풀무원 워터루틴 2L X 12병</t>
  </si>
  <si>
    <t>풀무원 워터루틴 2L X 24병</t>
  </si>
  <si>
    <t>오잉 노가리칩 청양마요맛 60g x 10봉</t>
  </si>
  <si>
    <t xml:space="preserve">SNS 인기과자 롯데 오잉 노가리칩 청양마요맛! 단백질이 풍부한 고단백 스낵, 매콤 고소 바삭 안주 스낵으로 어린이 어른 모두의 입맛을 사로잡은 오잉 노가리칩
</t>
  </si>
  <si>
    <t>오잉노가리칩 60gx2 +꼬깔콘(고소한맛x2+군옥수수x2)+치토스 매콤달콤x2 +도리토스x2</t>
  </si>
  <si>
    <t>립파이 초코 벌크 132g + 빈츠 204g + 칙촉 180g + 명가 찰떡파이350g</t>
  </si>
  <si>
    <t>몽쉘 크림408gx1+마가렛트352gx1+카스타드230gx1+초코파이480gx1</t>
  </si>
  <si>
    <t>왓따 판박이 도라에몽 13.7g x 25개</t>
  </si>
  <si>
    <t>롤리팝 아이스캔디(60개입)660g x 2개</t>
  </si>
  <si>
    <t>[참맛나] 연평도 알배기 양념 순살게장 200g 국내산</t>
  </si>
  <si>
    <t>미쉐린 셰프의 특제 비법 소스의 밥도둑!
100% 국내산 연평도 암꽃게 사용,
좋은 재료만 사용한 양념장, 당일생산발송
☆3개 이상 구매시 : 간장 순살게장 200g 증정☆</t>
  </si>
  <si>
    <t>[참맛나] 연평도 알배기 간장 순살게장 200g 국내산</t>
  </si>
  <si>
    <t>[참맛나] 연평도 알배기 암꽃게 간장게장 1.2kg (중2미) 국내산</t>
  </si>
  <si>
    <t>[참맛나] 연평도 숫게 양념게장 800g (대4미) 국내산</t>
  </si>
  <si>
    <t>[참맛나] 간장 깐 새우장 350g</t>
  </si>
  <si>
    <t>[참맛나] 양념 깐 새우장 300g</t>
  </si>
  <si>
    <t>[참맛나] 국내산 간장새우장 350g</t>
  </si>
  <si>
    <t>[참맛나] 국내산 양념새우장 300g</t>
  </si>
  <si>
    <t>[네스카페] 수프리모 아메리카노 블랙 리필 파우치 360g</t>
  </si>
  <si>
    <t>단독 구성! 구매 수량만큼 글라스 머그 260ml+물티슈 100매 추가 증정</t>
  </si>
  <si>
    <t>[네스카페] 크레마 아메리카노 미니 130T</t>
  </si>
  <si>
    <t>[네스카페] 크레마 스위트 아메리카노 미니 100T</t>
  </si>
  <si>
    <t>[네스카페] 테이스터스 초이스 오리지날 아메리카노 파우치 500g</t>
  </si>
  <si>
    <t>강가의나무</t>
  </si>
  <si>
    <t>[마음심은] 포기김치 3kg / 익을수록 시원한</t>
  </si>
  <si>
    <t>[마음심은] 포기김치 3kg</t>
  </si>
  <si>
    <t>우리 농산물 100% !
재구매 200% 마음심은 김치</t>
  </si>
  <si>
    <t>[마음심은] 총각김치 3kg / 익을수록 시원한</t>
  </si>
  <si>
    <t>주식회사 광군컴퍼니</t>
  </si>
  <si>
    <t>국내산 간 고등어 나비형 3마리 1세트 1마리당 250-310g</t>
  </si>
  <si>
    <t>제주 연근해에서 신선도가 높고 품질이 우수한 고등어만 모았습니다.</t>
  </si>
  <si>
    <t>진다슬</t>
  </si>
  <si>
    <t>오그램코스메틱스</t>
  </si>
  <si>
    <t>오그램코스메틱스 투트랙 링클 필름 패치 1박스(총 48패치)+1장(12매)추가증정</t>
  </si>
  <si>
    <t>두 가지 방법으로 얼굴주름을 동시에 관리해주는 오그램 투트랙 링클 필름 패치!</t>
  </si>
  <si>
    <t>두 가지 방법으로 주름을 동시에 관리해주는
오그램 투트랙 링클 필름 패치!</t>
  </si>
  <si>
    <t>메디플라워</t>
  </si>
  <si>
    <t>아로닉스 이데베논 앰플/크림 택2 + 이데베논 아이크림 증정</t>
  </si>
  <si>
    <t>[메디플라워]세월이 가져다준 자신감잃은 피부를 케어하는 이데베논!</t>
  </si>
  <si>
    <t>[유통기한임박] 바운시 스틱 밤 2개 골라담기</t>
  </si>
  <si>
    <t>버츠비</t>
  </si>
  <si>
    <t>[버츠비] 쥬시립 트리오세트+스윗만다린 립밤</t>
  </si>
  <si>
    <t>[버츠비]미국에서 1초에 1개씩 팔리는 버츠비 립밤!</t>
  </si>
  <si>
    <t>[버츠비]공동구매 상품 무료배송! 자연에서 찾은 풍부한 영양과 보습성분의 립 밤!</t>
  </si>
  <si>
    <t>[버츠비] 비즈왁스 립밤 듀오+스윗만다린 립밤</t>
  </si>
  <si>
    <t>[버츠비] 립콜렉션 트리오세트+스윗만다린 립밤</t>
  </si>
  <si>
    <t>베니스에프앤비</t>
  </si>
  <si>
    <t>[공동구매] 헤라 아쿠아볼릭 에센셜 2종 세트</t>
  </si>
  <si>
    <t>[CKD]채우고, 올리고!
팔자주름 개선과 입꼬리 리프팅 효과까지 주는 괄사리프팅세럼!</t>
  </si>
  <si>
    <t>[공동구매] CKD 레티노콜라겐 저분자300 괄사 리프팅 세럼 기획세트(30+10ml)</t>
  </si>
  <si>
    <t>[공동구매] CKD 레티노콜라겐 저분자300 괄사 목주름 크림 1+1 기획세트 (50+50ml)</t>
  </si>
  <si>
    <t>아이코스</t>
  </si>
  <si>
    <t>로레알파리 맨 이드라 에너제틱 멀티액션8 로션 50ml 1+1</t>
  </si>
  <si>
    <t>[로레알파리]남자의 피부를 더 환하고 촉촉하게!</t>
  </si>
  <si>
    <t>[로레알파리]남자의 피부를 더 환하고 촉촉하게!
심플한 남자의 안티에이징 솔루션</t>
  </si>
  <si>
    <t xml:space="preserve">로레알파리 맨 이드라파워 쿨링 올인원 워터로션 120ml 1+1 </t>
  </si>
  <si>
    <t>유앤아이라이프</t>
  </si>
  <si>
    <t>[공동구매]아리아즈 카페인 샴푸1000ml + 트리트먼트 1000ml</t>
  </si>
  <si>
    <t>건강한 두피 케어를 위한
아리아즈,하라즈 고급 샴푸!</t>
  </si>
  <si>
    <t>[공동구매]아리아즈 카페인 대용량 샴푸 1000ml 3개</t>
  </si>
  <si>
    <t>[공동구매]아리아즈 카페인 대용량 트리트먼트 1000ml 3개</t>
  </si>
  <si>
    <t>하라즈 카페인 트리트먼트 대용량 1000ml</t>
  </si>
  <si>
    <t>하라즈 카페인 트리트먼트 대용량 1000ml [2개]</t>
  </si>
  <si>
    <t>이시준</t>
  </si>
  <si>
    <t>H2 옴므 올인원 포맨 남성 화장품(본품1개+샘플5개)</t>
  </si>
  <si>
    <t>[일상이삼]보습,진정,주름,미백
한번에 케어하는 H2 옴므 올인원!</t>
  </si>
  <si>
    <t>H2 옴므 올인원 포맨 남성 화장품(본품2개+샘플10개)</t>
  </si>
  <si>
    <t>H2 옴므 올인원 포맨 남성 화장품(본품4개+샘플20개)</t>
  </si>
  <si>
    <t>키즈이십사</t>
  </si>
  <si>
    <t>터치미 모이스처 대용량 바디로션 울트라 1500ml 2개</t>
  </si>
  <si>
    <t>[도브]향기로운 샤워로 기분좋게!
도브 딥플리 너리싱 바디워시</t>
  </si>
  <si>
    <t>도브 딥플리 너리싱 바디워시 950ml 2개</t>
  </si>
  <si>
    <t>세이프인터내셔널</t>
  </si>
  <si>
    <t>바세린 헬씨 핸드 앤 네일 바디로션 400ml 2개</t>
  </si>
  <si>
    <t>[바세린]원하는 건 달라도, 정답은
바세린 바디로션!</t>
  </si>
  <si>
    <t>바세린 센서티브 릴리프 바디로션 400ml 2개</t>
  </si>
  <si>
    <t>바세린 라벤더 카밍 바디로션 400ml 2개</t>
  </si>
  <si>
    <t>네이처리퍼블릭</t>
  </si>
  <si>
    <t>비타페어C 데일리 마스크 팩 (30매)</t>
  </si>
  <si>
    <t>[네이처리퍼블릭]매일매일 간편하게
비타민 데일리 케어!</t>
  </si>
  <si>
    <t>[네이처리퍼블릭]매일매일 간편하게</t>
  </si>
  <si>
    <t>[네이처리퍼블릭] 포레스트 가든 캐모마일 클렌징 오일 (대용량)</t>
  </si>
  <si>
    <t>[S] 닥터방기원 안티블레미쉬 탈모 증상 완화 샴푸 1000ml 2개</t>
  </si>
  <si>
    <t>[닥터방기원] 갈라지는 모발과 두피 밸런스를 위한 긴급 구원템!</t>
  </si>
  <si>
    <t>닥터방기원 안티블레미쉬 탈모 증상 완화 샴푸 1000ml 2개 2세트 구매시 랩 탈모 헤어토닉 1개 증정!</t>
  </si>
  <si>
    <t>[S] 닥터방기원 안티블레미쉬 탈모 증상 완화 헤어토닉 150ml</t>
  </si>
  <si>
    <t>[S] 닥터방기원 두피 마사지 샴푸 브러쉬 (민트색상)</t>
  </si>
  <si>
    <t>[S] 닥터방기원 두피 마사지 샴푸 브러쉬 (블랙색상)</t>
  </si>
  <si>
    <t xml:space="preserve">■ 1/13주차 (1/13~1/19 진행, 발송예정일 : 1/20월) </t>
  </si>
  <si>
    <t>붉은색 음영칸 MD작성 요청 1/3(금) 마감</t>
  </si>
  <si>
    <t>오그램코스메틱스(상단요청)</t>
  </si>
  <si>
    <t xml:space="preserve">고은 발효 크림 마스크 10장 </t>
  </si>
  <si>
    <t>[오그램코스메틱스] 자연의 힘으로 지친 피부에
휴식을 선사해주세요</t>
  </si>
  <si>
    <t>[오그램코스메틱스] 원물가루와 발효크림이 섞인
마스크팩 파우치로 손쉽고 빠르게 !</t>
  </si>
  <si>
    <t>콜라겐 아이크림 40mlx5개</t>
  </si>
  <si>
    <t>[메디플라워] 더 콜라겐 링클 아이크림</t>
  </si>
  <si>
    <t>[메디플라워] 건조하고 탄력잃은 피부를 위한
집중 수분&amp;탄력 홈케어 시리즈!</t>
  </si>
  <si>
    <t>콜라겐 주름개선 크림 250mlx2개</t>
  </si>
  <si>
    <t>[공동구매]아리아즈 셀프헤어컬러 새치염색약 40개 (3종)</t>
  </si>
  <si>
    <t>[유앤아이라이프] 셀프 헤어컬러 새치염색약/샴푸형 앰플염색</t>
  </si>
  <si>
    <t>[유앤아이라이프]세상에 없던 셀프 새치염색약!
단 5분의 염색시간으로 쉽고 빠르게!</t>
  </si>
  <si>
    <t>[공동구매]아리아즈 셀프헤어컬러 새치염색약 50개 (3종)</t>
  </si>
  <si>
    <t>하라즈 샴푸형 앰플염색 30개입(4가지색상중택1)</t>
  </si>
  <si>
    <t>하라즈 샴푸형 앰플염색 40개입(4가지색상중택1)</t>
  </si>
  <si>
    <t>닥터바르고 퍼스트 에디션 히알루론산 토너 400ml</t>
  </si>
  <si>
    <t>[닥터바르고] 내 피부에 닿는 첫 보습 히알루론산!
히알루론산 스킨케어 4종!</t>
  </si>
  <si>
    <t>[닥터바르고] 내 피부에 닿는 첫 보습 히알루론산!
중분자 히알루론산이 빈틈없이 촉촉하게!</t>
  </si>
  <si>
    <t>닥터바르고 퍼스트 에디션 히알루론산 수분 에멀전 150ml</t>
  </si>
  <si>
    <t>닥터바르고 퍼스트 에디션 히알루론산 폼클렌징 150ml</t>
  </si>
  <si>
    <t>닥터바르고 퍼스트 에디션 히알루론산 수분크림 50g</t>
  </si>
  <si>
    <t>도브 비누 대용량 135g x 12개</t>
  </si>
  <si>
    <t>[도브/페어스] 하루종일 저자극
도브 뷰티바!</t>
  </si>
  <si>
    <t>[도브/페어스] 도브 뷰티바로 페이스부터 바디까지 촉촉하고 순한 클렌징을 시작하세요!</t>
  </si>
  <si>
    <t>페어스 퓨어 앤 젠틀 솝 바 위드 내추럴오일 100g 4개입 x 3Set(총 12EA)</t>
  </si>
  <si>
    <t>도브 릴랙싱 뷰티바 90g 4개입 x 3개(12ea)</t>
  </si>
  <si>
    <t>[네이처리퍼블릭] 1+1 캐모마일 카밍 톤업 선크림 SPF50+</t>
  </si>
  <si>
    <t>[네이처리퍼블릭] 캐모마일 카밍 톤업 선크림으로 수분 가득 핑크빛 톤업!</t>
  </si>
  <si>
    <t>[S] 닥터방기원 댄드러프 비듬 탈모 증상 완화 샴푸 1000ml 2개</t>
  </si>
  <si>
    <t>[닥터방기원] 비듬X가려움X탈모를 한번에 관리하는 복합 탈모 관리 솔루션!</t>
  </si>
  <si>
    <t>[닥터방기원] 비듬X가려움X탈모를 한번에 관리하는 복합 탈모 관리 솔루션!
2세트 구매시 랩 탈모 헤어토닉 1개 증정!</t>
  </si>
  <si>
    <t>[S] 닥터방기원 쿨 탈모 증상 완화 샴푸 1000ml 2개</t>
  </si>
  <si>
    <t>[S] 닥터방기원 바이오틴 탈모 증상 완화 샴푸 740ml 2개</t>
  </si>
  <si>
    <t>[S] 닥터방기원 맥주효모 탈모 증상 완화 샴푸 1000ml 2개</t>
  </si>
  <si>
    <t>자연의벗</t>
  </si>
  <si>
    <t>(공동구매)다자연 365 그린 선인장 마스크 10매</t>
  </si>
  <si>
    <t>[다자연] 건조하고 푸석한 피부
선인장 마스크로 수분 진정!</t>
  </si>
  <si>
    <t>[다자연] 건조한 피부에 촉촉한 수분 진정 케어를 위해 제주산 보검선인장의 줄기 추출물 50% 사용!</t>
  </si>
  <si>
    <t>세스코</t>
  </si>
  <si>
    <t>(공동구매)세스코 스마트핏 미니 정수기</t>
  </si>
  <si>
    <t>가격인상전 마지막, 세스코 정수기/비데 공동구매</t>
  </si>
  <si>
    <t>상단편성2</t>
  </si>
  <si>
    <t>(공동구매)세스코 바디케어 유어핏 살균방수 비데(자가설치)</t>
  </si>
  <si>
    <t>[파쉬] 다이아몬드 무늬 보온 물주머니 2.0L 핫팩 찜질팩 6420</t>
  </si>
  <si>
    <t>[파쉬] 플러시커버 보온 물주머니 달 2.0L 핫팩 찜질팩 67440</t>
  </si>
  <si>
    <t>[파쉬] 플러시커버 보온 물주머니 대리석무늬 2.0L 핫팩 찜질팩 67455</t>
  </si>
  <si>
    <t>[파쉬] 보온 물주머니 인형커버 펭귄 피노 0.8L 핫팩 찜질팩 65263</t>
  </si>
  <si>
    <t>[파쉬] 보온 물주머니 인형커버 오리너구리 슈나티 0.8L 핫팩 찜질팩 65284</t>
  </si>
  <si>
    <t>[파쉬] 보온 물주머니 인형커버 사슴 레시 0.8L 핫팩 찜질팩 65271</t>
  </si>
  <si>
    <t>선크래프트</t>
  </si>
  <si>
    <t>(공구)[선크래프트] 직소 엣지 주방식도 CM-K7S</t>
  </si>
  <si>
    <t>선크래프트, 신세계쇼핑 최초 공동구매
시크릿 공구가</t>
  </si>
  <si>
    <t>(공구)[선크래프트] Merryaunty 감자깍기(필러) MA-23</t>
  </si>
  <si>
    <t>(공구)[선크래프트] Aisal Senka 국자L AL-101</t>
  </si>
  <si>
    <t>(공구)[선크래프트] Aisal Senka 뒤집개 AL-105</t>
  </si>
  <si>
    <t>(공구)[선크래프트] Aisal Senka 국자S AL-103</t>
  </si>
  <si>
    <t>(공구)[선크래프트] Aisal Senka 국자M AL-102</t>
  </si>
  <si>
    <t>(공구)[선크래프트] 다용도 긴날주방가위 MA-242</t>
  </si>
  <si>
    <t>(공구)[선크래프트] 다용도 주방가위 MA-240</t>
  </si>
  <si>
    <t>(공구)[선크래프트] 다용도 주방가위 MA-241</t>
  </si>
  <si>
    <t>(공구)[선크래프트] 닭모양 초간단 계란펀치(천공기) EG-01</t>
  </si>
  <si>
    <t>(공구)[선크래프트] MOKUHOUSE 된장 거름망세트 BM-213</t>
  </si>
  <si>
    <t>(공구)[선크래프트] 필러(감자깍기) FC-118</t>
  </si>
  <si>
    <t>시모무라</t>
  </si>
  <si>
    <t>(공구)[시모무라] 채칼 4종세트 (VSY-01)</t>
  </si>
  <si>
    <t>시모무라, 신세계쇼핑 최초 공동구매
시크릿 공구가</t>
  </si>
  <si>
    <t>(공구)[시모무라] 마늘 슬라이서 다용도 채칼 (ANS-700)</t>
  </si>
  <si>
    <t>(공구)시모무라 올스텐 채칼 1.5mm 얇은채썰기 PG-636</t>
  </si>
  <si>
    <t>(공구)시모무라 올스텐 와이드 채칼 PG-643</t>
  </si>
  <si>
    <t>(공구)[시모무라] 안심 파채칼 슬라이서 (ANK-664)</t>
  </si>
  <si>
    <t>(공구)[시모무라] 올스테인리스 분리형 주방가위 ( ASK-405)</t>
  </si>
  <si>
    <t>(공구)[시모무라] 치즈 그레이터 강판 (KIB-206)</t>
  </si>
  <si>
    <t>(공구)[시모무라] 양면 멀티 채칼 굵은채 가는채 4m/2m (AST-605)</t>
  </si>
  <si>
    <t>(공구)[시모무라] 올스텐 채칼 두꺼운채 썰기 5mm(PG-639)</t>
  </si>
  <si>
    <t>(공구)[시모무라] 올스텐 미니 사이즈 거품기 (ADM-232)</t>
  </si>
  <si>
    <t>[즈윌링] 헹켈 5스타 7종 블럭세트(HK30125-400)</t>
  </si>
  <si>
    <t>[즈윌링] 헹켈 5스타 쉐프나이프(HK30041-201)/정품케이스</t>
  </si>
  <si>
    <t>[즈윌링]헹켈 5스타 이유식 다용도 식도(HK30040-161)/정품케이스</t>
  </si>
  <si>
    <t>[즈윌링] 헹켈 5스타 아시아식도 (HK30047-180)</t>
  </si>
  <si>
    <t>[SNF] Goku Damascus 쉐프 나이프 200</t>
  </si>
  <si>
    <t>SNF Y형 필러</t>
  </si>
  <si>
    <t>SNF Noire 도마 M- Natural</t>
  </si>
  <si>
    <t>SNF Noire 도마 L- Natural</t>
  </si>
  <si>
    <t>SNF Noire 도마 XL- Natural</t>
  </si>
  <si>
    <t>[모리스커밍홈] 울100 롱 머플러_M2410AC052D</t>
  </si>
  <si>
    <t>[모리스커밍홈]새해특가 팬츠/ACC</t>
  </si>
  <si>
    <t>기모팬츠/숄/머플러외~ 겨울마감특가</t>
  </si>
  <si>
    <t>[모리스커밍홈] 도톰 체크 판쵸 숄_M2410AC053D</t>
  </si>
  <si>
    <t>[모리스커밍홈] 3종 패턴 니트 고리 머플러_M2410AC051D</t>
  </si>
  <si>
    <t>[모리스커밍홈] [55-77]기모안감 와이드 밴딩 팬츠_M2311PT134D</t>
  </si>
  <si>
    <t>[모리스커밍홈] [55-77]헤링본 버클포인트 웜 와이드팬츠_M2410PT614D</t>
  </si>
  <si>
    <t>[커스텀에이블] 모크넥 루즈핏 나그랑 소매 니트_C2411KN668D</t>
  </si>
  <si>
    <t>[커스텀에이블]BEST 니트 5종</t>
  </si>
  <si>
    <t>겨울니트 BEST OF BEST</t>
  </si>
  <si>
    <t>[커스텀에이블] 베이직 후드 긴팔 니트_C2411KN667D</t>
  </si>
  <si>
    <t>[커스텀에이블] 다이아 꽈배기 폴라넥 니트_C2411KN672D</t>
  </si>
  <si>
    <t>[커스텀에이블] 울 혼방 폴라넥 격자니트_C2411KN662D</t>
  </si>
  <si>
    <t>[커스텀에이블] 베이직 하프넥 패턴포인트 니트_C2411KN670D</t>
  </si>
  <si>
    <t>[올리비에스클로젯] [SET]기모 맨투맨 와이드 밴딩팬츠 2종 세트_O2411SE156D</t>
  </si>
  <si>
    <t xml:space="preserve">[올리비에스클로젯]기모 트레이닝 세트 특가 찬스 </t>
  </si>
  <si>
    <t>편하고 이쁜코디~ 트레이닝2종세트</t>
  </si>
  <si>
    <t>[올리비에스클로젯] [SET]기모 M영문 조거 트레이닝 2종세트_O2412SE172D</t>
  </si>
  <si>
    <t>[올리비에스클로젯] [SET]기모 영문 맨투맨 조거팬츠 2종 세트_O2411SE155D</t>
  </si>
  <si>
    <t>[올리비에스클로젯] [SET]기모 하트 와이드 트레이닝 2종세트_O2412SE171D</t>
  </si>
  <si>
    <t>[올리비에스클로젯] [SET]기모B 건빵 트레이닝 2종세트_O2412SE170D</t>
  </si>
  <si>
    <t>스너그 모직 롱 코트</t>
  </si>
  <si>
    <t>[뱅뱅] 여성 울트라 스트레치 밍크보아 밴딩팬츠 3종택1</t>
  </si>
  <si>
    <t>[뱅뱅] 여성 겨울 기모 팬츠 특가! 11,300원</t>
  </si>
  <si>
    <t>[뱅뱅] 여성 겨울 기모 팬츠 특가!
 #뱅뱅 #기모바지 #여성기모 #기모팬츠 #겨울팬츠 #겨울기모 #겨울바지 #연말특가</t>
  </si>
  <si>
    <t>[뱅뱅] 여성 울트라 스트레치 기모 밴딩팬츠 4종택1</t>
  </si>
  <si>
    <t>[스프리스] 남성 트랜스포머 메쉬 카고 팬츠블랙</t>
  </si>
  <si>
    <t>[스프리스] 남성 트랜스포머 메쉬 카고 팬츠 특가! 13,900원</t>
  </si>
  <si>
    <t>[스프리스] 남성 트랜스포머 메쉬 카고 팬츠 특가!
 #특가 #스프리스 #남자팬츠 #트레이닝바지 #연말특가 #반바지겸용 #운동복 #카고팬츠</t>
  </si>
  <si>
    <t>[스프리스] 남성 트랜스포머 메쉬 카고 팬츠네이비</t>
  </si>
  <si>
    <t>[스프리스] 남성 트랜스포머 메쉬 카고 팬츠카키</t>
  </si>
  <si>
    <t>[스프리스] 남성 트랜스포머 메쉬 카고 팬츠그레이</t>
  </si>
  <si>
    <t>겨울 최대 할인 ~88% SALE! 7900원부터</t>
  </si>
  <si>
    <t>화세 밀크윈터소프트퍼베스트_HB3WVT016C</t>
  </si>
  <si>
    <t>사각 팬티 3종세트 레이온 빅사이즈 숏 드로즈 편안한 Y존</t>
  </si>
  <si>
    <t>레이온 팬티 5매세트 파스텔 친환경 속옷 무압박팬티 빅사이즈</t>
  </si>
  <si>
    <t>국산 여성 패턴 포인트 패션 양말 5종세트 중목 학생 도트 무지</t>
  </si>
  <si>
    <t>5종세트 여성 롱무지 돌돌이 양말 롱삭스 긴목 장목 중목 무지 학생 패션</t>
  </si>
  <si>
    <t>기모 원피스 잠옷 빅사이즈 이지웨어 홈웨어 임부복 하트</t>
  </si>
  <si>
    <t>겨울 수면잠옷 기모잠옷 여자 홈웨어 극세사 잠옷 파자마</t>
  </si>
  <si>
    <t>국내산 온목폴라 면티 2매 면 100프로 긴팔면티</t>
  </si>
  <si>
    <t xml:space="preserve">1+1 2매 국산 순면 베이직 반목 / 온목 폴라 긴팔면티 </t>
  </si>
  <si>
    <t xml:space="preserve">따뜻한 겨울나기 준비!! 국내생산 순면 100%
#온목 #반목 #고급순면 #부드러움 #긴팔면티 </t>
  </si>
  <si>
    <t>국내산 반목폴라 면티 2매 면 100프로 긴팔면티</t>
  </si>
  <si>
    <t>크레파스</t>
  </si>
  <si>
    <t>[공동구매 특가] 보디가드 외 남성 인기 드로즈 세트</t>
  </si>
  <si>
    <t>브랜드 남성 언더웨어 공동구매 특가 행사
#보디가드 #제임스딘 #시글락 #드로즈 #속옷세트</t>
  </si>
  <si>
    <t>제임스딘 주니어 패브릭 드로즈 3종세트</t>
  </si>
  <si>
    <t>BG 남성 드로즈 프리미엄 스포츠 4종세트</t>
  </si>
  <si>
    <t>제임스딘 남성 무봉제 프리 컷팅 드로즈 5종세트</t>
  </si>
  <si>
    <t>보디가드 남성 오리지널 어메이징 드로즈 5종세트</t>
  </si>
  <si>
    <t>히트온 내복 시즌오프 특가찬스♥</t>
  </si>
  <si>
    <t xml:space="preserve">♥인기 내복 시즌오프 세일~♥ </t>
  </si>
  <si>
    <t>[★창고방출] 클래식체크 면혼방 Y카라 파자마 상하세트</t>
  </si>
  <si>
    <t>시즌오프 특급세일 11,900 균일가</t>
  </si>
  <si>
    <t>♥균일특가! 포근한 기모 트레이닝 &amp; 면혼방 체크 잠옷♥</t>
  </si>
  <si>
    <t>[★W.T.M] 기모 맨투맨 조거팬츠 트레이닝복 세트_멜란지그레이</t>
  </si>
  <si>
    <t>유지호</t>
  </si>
  <si>
    <t>디와이 커머스</t>
  </si>
  <si>
    <t>[1+1] 180도 회전 싹쓰리비 먼지 물기제거 실리콘 청소 빗자루 애견 빗자루 (총 2개)</t>
  </si>
  <si>
    <t>신년맞이 청소용품 특가 세일!</t>
  </si>
  <si>
    <t>1+1 / 20+20 까지 구매할수록 이득!</t>
  </si>
  <si>
    <t>[1+1] 싹청소솔 3in1 만능 스크래퍼 사각지대 틈새 멀티밀대 (총 2개입)</t>
  </si>
  <si>
    <t>[1+1] 먼지쓱싹 길이조절 틈새청소 극세사 밀대걸레 (총 2개입)</t>
  </si>
  <si>
    <t>[2+2] 초미세 틈새 청소브러쉬 다용도 청소솔 (전용커버포함) 총 4개입</t>
  </si>
  <si>
    <t>[2+2] 뉴시즌 100리터 대용량 리빙박스 (총 4개입) 헤링본 이불/옷정리함</t>
  </si>
  <si>
    <t>[2+1] 140L 대용량 싹담아 리빙박스 사각패턴 이불정리함</t>
  </si>
  <si>
    <t>[1+1+1] 하운드체크 접이식 철제 리빙박스 칸칸 수납정리함 다용도 패브릭 정리용품 (총 3개입)</t>
  </si>
  <si>
    <t>[1+1] 무타공 간편부착 물티슈 고정 쏙케이스 투명커버 휴지 고정커버</t>
  </si>
  <si>
    <t>[1+1] 34구 대용량 계란보관함(총 2개입)</t>
  </si>
  <si>
    <t>[20장+20장] 흡수 싹! 빨리 마르는 벨벳 주방행주 S사이즈 (총 40장) 대용량 구성</t>
  </si>
  <si>
    <t>[10+10] 변형없이 오래쓰는 다용도 요술 다이아행주 (총 20장) 다용도 주방행주</t>
  </si>
  <si>
    <t>[1+1] 늘렸다 줄였다 길이조절 간편물빠짐 식기건조대 주방필수템</t>
  </si>
  <si>
    <t>리브맘1</t>
  </si>
  <si>
    <t>리브맘 매직핸들 테이프클리너 광폭사이즈 본체</t>
  </si>
  <si>
    <t>매직핸들 테이프 클리너 모음전</t>
  </si>
  <si>
    <t>22cm 광폭사이즈 + 90도 회전+전용거치대 증정되는 매직핸들 테이프클리너!</t>
  </si>
  <si>
    <t>리브맘 매직핸들 테이프클리너 9종(본체+거치대+리필7개)</t>
  </si>
  <si>
    <t>리브맘 매직핸들 테이프클리너 12종(본체+거치대+리필10개)</t>
  </si>
  <si>
    <t>리브맘 매직핸들 테이프클리너 광폭사이즈 리필 3개</t>
  </si>
  <si>
    <t>리브맘 매직핸들 테이프클리너 광폭사이즈 리필 9개</t>
  </si>
  <si>
    <t>리브맘 매직핸들 테이프클리너 광폭사이즈 리필 15개</t>
  </si>
  <si>
    <t>리브맘 매직핸들 테이프클리너 광폭사이즈 밀대봉</t>
  </si>
  <si>
    <t>리브맘2</t>
  </si>
  <si>
    <t>리브맘 시스템 튼튼한 철제 이동식 행거</t>
  </si>
  <si>
    <t>이동식 철제 행거 특가</t>
  </si>
  <si>
    <t xml:space="preserve">25mm의 철제 프레임으로 넉넉한 수납 가능하며 강한 내구성으로 오랜 사용이 가능합니다.
</t>
  </si>
  <si>
    <t xml:space="preserve">리브맘 시스템 튼튼한 철제 이동식 2단 행거 </t>
  </si>
  <si>
    <t xml:space="preserve">리치앤홈 푹신푹신 마이크로화이바 호텔 힐튼토퍼S </t>
  </si>
  <si>
    <t>리치앤홈 사계절 이불 모음전</t>
  </si>
  <si>
    <t>포근하고 이불로 겨울을 따듯하게!</t>
  </si>
  <si>
    <t>상단편성6</t>
  </si>
  <si>
    <t xml:space="preserve">리치앤홈 푹신푹신 마이크로화이바 호텔 힐튼토퍼Q </t>
  </si>
  <si>
    <t>리치앤홈 사계절 퓨어 차렵이불 S 싱글</t>
  </si>
  <si>
    <t>리치앤홈 사계절 퓨어 차렵이불 Q 퀸</t>
  </si>
  <si>
    <t xml:space="preserve">리치앤홈 사계절 플렌 스트라이프 차렵이불 S </t>
  </si>
  <si>
    <t xml:space="preserve">리치앤홈 사계절 플렌 스트라이프 차렵이불 Q </t>
  </si>
  <si>
    <t>리치앤홈 먼지없는 침구 사계절 라비앙 차렵이불S</t>
  </si>
  <si>
    <t>리치앤홈 먼지없는 침구 사계절 라비앙 차렵이불Q</t>
  </si>
  <si>
    <t>리치앤홈 먼지없는 침구 사계절 라비앙 차렵베개세트S</t>
  </si>
  <si>
    <t>리치앤홈 먼지없는 침구 사계절 라비앙 차렵베개세트Q</t>
  </si>
  <si>
    <t>리치앤홈 먼지없는 침구 사계절 라비앙 차렵패드세트S</t>
  </si>
  <si>
    <t>리치앤홈 먼지없는 침구 사계절 라비앙 차렵패드세트Q</t>
  </si>
  <si>
    <t>뉴트리디데이 다이어트에 빠진 유산균 14포 (2주분)</t>
  </si>
  <si>
    <t>뉴트리디데이 다이어트에 빠진 유산균 14포 2주분/4주분/8주분</t>
  </si>
  <si>
    <t>[뉴트리디데이 온라인 단독 최저가~UP TO 44%]
패키지 리뉴얼 되어 돌아온 다빠유♥
★MD추천★ 4박스 구매시 1박스당 4,975원 꼴!
체지방 관리와 장 건강&amp;활력을 한 번에!
하루 한 포로 간편하게 건강한 다이어트 시작하세요~!</t>
  </si>
  <si>
    <t>뉴트리디데이 다이어트에 빠진 유산균 14포 x 2개 (총 4주분)</t>
  </si>
  <si>
    <t>뉴트리디데이 다이어트에 빠진 유산균 14포 x 4개 (총 8주분)</t>
  </si>
  <si>
    <t>헬로바이오 프리미엄 독일산 맥주효모 비오틴 10000 블랙라벨 2개월분 2박스 (총 4개월분)</t>
  </si>
  <si>
    <t>독일산 맥주효모와 고함량 비오틴으로 건강챙기세요!</t>
  </si>
  <si>
    <t>비타블룸 100억 비바핏 체지방감소 다이어트 유산균 28캡슐 1박스</t>
  </si>
  <si>
    <t>한국야쿠르트 개별인정원료
장건강과 다이어트는 한번에 챙길 수 있는 제품</t>
  </si>
  <si>
    <t>홀리데이즈 코엔자임Q10 60캡슐 1병 (2개월분)</t>
  </si>
  <si>
    <t>홀리데이즈 코엔자임Q10 60캡슐 1병 (2개월분/4개월분/8개월분)</t>
  </si>
  <si>
    <t>유해산소 제거! 활력 넘치는 일상, 항산화와 혈압을 동시에~
98 % 높은 순도 원료! 하루 1캡슐로 챙기는 항산화&amp;혈압 건강
홀리데이즈와 함께 시작해보세요.</t>
  </si>
  <si>
    <t>홀리데이즈 코엔자임Q10 60캡슐 2병 (4개월분)</t>
  </si>
  <si>
    <t>홀리데이즈 코엔자임Q10 60캡슐 4병 (8개월분)</t>
  </si>
  <si>
    <t>참다른 천연벌꿀선물세트 (아카시아꿀 450g + 밤꿀 450g)</t>
  </si>
  <si>
    <t xml:space="preserve">자연의 향기를 담은 건강하고 달콤한 선물!100% 자연벌꿀 2종! </t>
  </si>
  <si>
    <t>[을지대학교] 혈행 더하기 초임계 rTG 오메가3 60캡슐x2개(4개월분)</t>
  </si>
  <si>
    <t xml:space="preserve">[을지대학교] 혈행 더하기 오메가3/멀티비타민/생유산균 건강식품 골라담기 </t>
  </si>
  <si>
    <t>프리미엄 초임계 추출 원료 사용 오메가3
/ 온 가족이 섭취할 수 있는 영양 밸런스 종합 비타민
/ 19종 생유산균 및 특허받은 유산균 함유</t>
  </si>
  <si>
    <t>상단편성5</t>
  </si>
  <si>
    <t>[을지대학교] 에너지 더하기 멀티비타민미네랄23 60정x2개(4개월분)</t>
  </si>
  <si>
    <t>[을지대학교] 생유산균 더하기 프로바이오틱스19 30포x4개(4개월분)</t>
  </si>
  <si>
    <t>[유한메디카] 징코 플러스 엔 탑 혈행 기억력 케어 60정x3개(6개월)</t>
  </si>
  <si>
    <t>[유한메디카] 혈행 기억력케어/루테인/비타민C 인기 필수영양제 특가</t>
  </si>
  <si>
    <t>혈행 개선 및 기억력 케어 미국산 은행잎 추출물
/ 식약처 고시 1일 섭취량 최대 함량 루테인
/ 활기찬 하루를 위한 고함량 비타민C</t>
  </si>
  <si>
    <t>[유한메디카] 루테인 엔 탑 눈건강 케어 60캡슐x3개(6개월분)</t>
  </si>
  <si>
    <t>[유한메디카] 올데이 비타민C 엔 탑 3000 맥스 90포x3개(9개월분)</t>
  </si>
  <si>
    <t>[바이탈큐브] 프로폴리스 면역 플러스 90정x1개(3개월)</t>
  </si>
  <si>
    <t>[바이탈큐브] 프로폴리스 면역 플러스 90정 (3개월/6개월/9개월)</t>
  </si>
  <si>
    <t>아프기 쉬운 환절기
바이탈큐브와 함께 면역력 높이세요
플라보노이드 20mg 함유
선물용 쇼핑백 증정</t>
  </si>
  <si>
    <t>[바이탈큐브] 프로폴리스 면역 플러스 90정x2개(6개월)</t>
  </si>
  <si>
    <t>[바이탈큐브] 프로폴리스 면역 플러스 90정x3개(9개월)</t>
  </si>
  <si>
    <t>조아제약 내눈엔 루테인+ 내몸엔 멀티비타민 미네랄+ 2개월분</t>
  </si>
  <si>
    <t>조아제약 내눈엔 루테인+ 내몸엔 멀티비타민 미네랄+ 2개월분/3개월분/4개월분</t>
  </si>
  <si>
    <t>소중한 눈과 몸을 케어하는 멀티비타민
마리골드꽃추출물, 베타카로틴, 비타민&amp;미네랄 12종
1캡슐에 12종 성분이 한번에
변질 방지를 위한 위생적인 PTP 포장</t>
  </si>
  <si>
    <t>조아제약 내눈엔 루테인+ 내몸엔 멀티비타민 미네랄+ 3개월분</t>
  </si>
  <si>
    <t>조아제약 내눈엔 루테인+ 내몸엔 멀티비타민 미네랄+ 4개월분</t>
  </si>
  <si>
    <t>올바른 인사플러스 프로폴리스 아연 비타민C 1박스 2개월분 60정</t>
  </si>
  <si>
    <t>올바른 인사플러스 프로폴리스 아연 비타민C 1박스/3박스/6박스</t>
  </si>
  <si>
    <t>하루 1정 198원으로 치아와 잇몸, 뼈 건강을 한번에!
#호주산프로폴리스추출물 #칼슘 #비타민C #비타민D #2개월분 #무료배송</t>
  </si>
  <si>
    <t>올바른 인사플러스 프로폴리스 아연 비타민C 3박스 총6개월분 180정</t>
  </si>
  <si>
    <t>올바른 인사플러스 프로폴리스 아연 비타민C 6박스 총12개월분 360정</t>
  </si>
  <si>
    <t>[S]삼성 침향진환 홍지천세트(침향진환20환+홍지천10포)</t>
  </si>
  <si>
    <t>삼성 침향진환/천기 침향환/홍삼스틱 외 명절선물특가</t>
  </si>
  <si>
    <t>어디서도 볼 수 없는 특별한 가격으로 명절선물 준비해보세요!</t>
  </si>
  <si>
    <t>[S]삼성 천기 침향환 골드 3.75g*32환*1박스 (쇼핑백 증정)</t>
  </si>
  <si>
    <t>[S]삼성 하루홍삼스틱 10ml*30포 (쇼핑백 증정)</t>
  </si>
  <si>
    <t>[S]삼성 천문고 500g*1병(쇼핑백증정)</t>
  </si>
  <si>
    <t>[S]삼성 천기녹용환 3.75g*32환</t>
  </si>
  <si>
    <t>[S]삼성 황실비법 침향단 프리미엄 3.75g*60환</t>
  </si>
  <si>
    <t>(쇼핑백)네이처드림 데이빗 멀티비타민 밀크씨슬 루테인 오메가3 30팩 2박스</t>
  </si>
  <si>
    <t>(쇼핑백증정) 네이처드림 건강기능식품 명절 선물세트 할인전</t>
  </si>
  <si>
    <t>네이처드림만의 건강기능식품 선물세트!</t>
  </si>
  <si>
    <t>(쇼핑백)네이처드림 데이빗 멀티비타민 칼슘 마그네슘 루테인 오메가3 30팩 2박스</t>
  </si>
  <si>
    <t>(쇼핑백)네이처드림 데이빗 멀티비타민 밀크씨슬 루테인 오메가3 30팩+데이빗 칼슘마그네슘 30팩</t>
  </si>
  <si>
    <t>(소비기한25.03.20)네이처드림 맛있게 배부른 곤약젤리 샤인머스캣 130g x 20포</t>
  </si>
  <si>
    <t>네이처드림 맛있게 배부른 곤약젤리 샤인머스캣 130g x 20포</t>
  </si>
  <si>
    <t>한 포에 5 kcal !!
맛있게 배부른 네이처드림 곤약젤리 샤인머스캣 20포! 특.가☆</t>
  </si>
  <si>
    <t>리빙팩토리</t>
  </si>
  <si>
    <t>나는오징어) 영화관맛 그대로, 땅콩버터구이 몸다리 3봉</t>
  </si>
  <si>
    <t>나는 오징어! 땅콩버터구이 특가</t>
  </si>
  <si>
    <t>집에서도 간편하게 즐기는 오징어구이</t>
  </si>
  <si>
    <t>상단편성4</t>
  </si>
  <si>
    <t>나는오징어) 영화관맛 그대로, 땅콩버터구이 몸다리  5봉</t>
  </si>
  <si>
    <t>나는오징어) 영화관맛 그대로, 땅콩버터구이 몸다리 10봉</t>
  </si>
  <si>
    <t>해찬아이앤디</t>
  </si>
  <si>
    <t>[윤상섭] LA갈비 400g 2팩 + 갈비찜 500g 2팩</t>
  </si>
  <si>
    <t>윤상섭 LA갈비/갈비찜 특가</t>
  </si>
  <si>
    <t xml:space="preserve">명절에도 맛있는 한상, la갈비 + 갈비찜 </t>
  </si>
  <si>
    <t>[윤상섭] LA갈비 400g 3팩 + 갈비찜 500g 3팩</t>
  </si>
  <si>
    <t>[윤상섭] LA갈비 400g 4팩 + 갈비찜 500g 4팩</t>
  </si>
  <si>
    <t>[윤상섭] LA갈비 400g 4팩 1.6kg</t>
  </si>
  <si>
    <t>[윤상섭] LA갈비 400g 6팩 2.4kg</t>
  </si>
  <si>
    <t>[윤상섭] LA갈비 400g 8팩 3.2kg</t>
  </si>
  <si>
    <t>[윤상섭] 가마솥에 익힌 갈비찜 500g 4팩 총 2kg</t>
  </si>
  <si>
    <t>[윤상섭] 가마솥에 익힌 갈비찜 500g 6팩 총 3kg</t>
  </si>
  <si>
    <t>[윤상섭] 가마솥에 익힌 갈비찜 500g 8팩 총 4kg</t>
  </si>
  <si>
    <t>맛있는 알록달록 삶은 찰옥수수 20개</t>
  </si>
  <si>
    <t>삶은 찰옥수수 특가</t>
  </si>
  <si>
    <t>맛있고 간편하게 즐기는 찰옥수수</t>
  </si>
  <si>
    <t>맛있는 알록달록 삶은 찰옥수수 30개</t>
  </si>
  <si>
    <t>맛있는 알록달록 삶은 찰옥수수 40개</t>
  </si>
  <si>
    <t>하림</t>
  </si>
  <si>
    <t>(공) 하림 용가리치킨 1kg + 치킨너겟(2) 1kg + 뉴머스타드소스 280g</t>
  </si>
  <si>
    <t>(공) 하림이닭 삼계탕 800g 4봉</t>
  </si>
  <si>
    <t>겨울철 따끈한 삼계탕 3만원대~</t>
  </si>
  <si>
    <t>한식단</t>
  </si>
  <si>
    <t>조리기능장 김선영 한우 불고기 300g x 10팩, 총3kg</t>
  </si>
  <si>
    <t>한우의 부드러운 육질과 감칠맛이 일품인 불고기입니다. 팽이버섯과 대파가 함께 들어있어 더욱 맛있게 드실 수 있습니다!</t>
  </si>
  <si>
    <t>상단편성3</t>
  </si>
  <si>
    <t>올박스</t>
  </si>
  <si>
    <t>김나운 손질새우 7팩 (총 140미)</t>
  </si>
  <si>
    <t>풍부한 영양소 가득한 흰다리 새우! 새우전, 새우튀김 등 다양한 요리 활용 가능합니다~</t>
  </si>
  <si>
    <t>김나운 손질문어 200g x 3팩 (총 600g)</t>
  </si>
  <si>
    <t>한가원</t>
  </si>
  <si>
    <t xml:space="preserve">[공동구매 증정이벤트]
2개 이상 구매시 : 깍두기 500g
3개 이상 구매시 : 겉절이 500g     </t>
  </si>
  <si>
    <t>김나운 떡갈비 명작 10팩 (총 20장)</t>
  </si>
  <si>
    <t>총 누적 판매 8,000만장 판매 신화, 떡갈비의 원조, 김나운 떡갈비!</t>
  </si>
  <si>
    <t>김나운 LA갈비 명작 프리미엄 400g x 3팩 (총 1.2kg)</t>
  </si>
  <si>
    <t>반기수라 진심 담은 국내산 포기김치 10kg</t>
  </si>
  <si>
    <t>주식회사 디와이커머스</t>
  </si>
  <si>
    <t>[10봉세트] 태국쇼핑템 파인애플잼 비스킷 75g 개별위생포장+파인1봉(2세트 우산랜덤증정)</t>
  </si>
  <si>
    <t>태국쇼핑템 파인애플잼 비스킷 75g 개별위생포장+파인1봉</t>
  </si>
  <si>
    <t>태국쇼핑템/태국가면 꼭 사와야되는 간식! #단독초특가 #1봉 증정 &amp; 2세트 구매시 랜덤우산 추가증정!</t>
  </si>
  <si>
    <t>[10봉세트] 태국쇼핑템 코코넛크림 비스킷+파인1봉(2세트 우산랜덤증정)</t>
  </si>
  <si>
    <t>[5봉+5봉] 파인애플잼 비스킷 5봉+코코넛크림 비스킷 5봉 +파인1봉(2세트 우산랜덤증정)</t>
  </si>
  <si>
    <t>[3개세트] 태국쇼핑템 디어테디 곰돌이 틴케이스 쿠키+파인1봉(2세트 우산랜덤증정)</t>
  </si>
  <si>
    <t>[쿠키선물박스] 한정판 디어테디 틴케이스 3가지맛 선물세트(감동문구증정)+파인1봉(2세트 우산랜덤증정)</t>
  </si>
  <si>
    <t>[VIDAL] 비달 멀티비타민 롤리팝캔디 98g (7g x 14개입) 글루텐프리 막대사탕 x 3봉세트+파인1봉(2세트 우산랜덤증정)</t>
  </si>
  <si>
    <t>[3봉세트] 비달 메가줌 페인터캔디 100g (20g x 5개입) 글루텐프리 막대사탕+파인1봉(2세트 우산랜덤증정)</t>
  </si>
  <si>
    <t>[VIDAL] 비달 사우어 플라이 워터멜론향 젤리 80g x 6봉세트 혓바닥 페인터 젤리 대용량+파인1봉(2세트 우산랜덤증정)!</t>
  </si>
  <si>
    <t>[VIDAL] 비달 파이어 데블젤리 매운맛 젤리 80g x 6봉세트+파인1봉(2세트 우산랜덤증정)</t>
  </si>
  <si>
    <t>[VIDAL] 비달 딸기향 롤젤리 스페인 스트로베리맛 젤리 2박스(총 48P)+파인1봉(2세트 우산랜덤증정)</t>
  </si>
  <si>
    <t>[마음심은] 겉절이 2kg / 익을수록 시원한</t>
  </si>
  <si>
    <t xml:space="preserve">[마음심은] 겉절이 2kg </t>
  </si>
  <si>
    <t>[마음심은] 동치미 2kg / 익을수록 시원한</t>
  </si>
  <si>
    <t>[마음심은] 포기김치 7kg / 익을수록 시원한</t>
  </si>
  <si>
    <t>[소문난일품] 전라도식 동치미 5kg</t>
  </si>
  <si>
    <t>[소문난 배윤자] 일품 포기김치 5kg</t>
  </si>
  <si>
    <t>[소문난 배윤자] 일품 포기김치 10kg</t>
  </si>
  <si>
    <t>[소문난일품] 백김치 5kg</t>
  </si>
  <si>
    <t>[소문난일품] 석박지 2kg</t>
  </si>
  <si>
    <t>[소문난일품] 총각김치 2kg</t>
  </si>
  <si>
    <t>72930592</t>
  </si>
  <si>
    <t>[우아한소] 호주청정우 678번대 꽃 LA갈비 선물세트 (2kg)</t>
  </si>
  <si>
    <t>[우아한소] 호주청정우 678번대 꽃 LA갈비 선물세트</t>
  </si>
  <si>
    <t>갈비중 가장 맛이 좋은 꽃갈비, 전문가의 숙련된 기름 손질을 거쳐 신선한 갈비만을 담아냅니다.</t>
  </si>
  <si>
    <t>상단편성1</t>
  </si>
  <si>
    <t>72930591</t>
  </si>
  <si>
    <t>[우아한소] 호주청정우 678번대 꽃 LA갈비 선물세트(2kg+2kg)4kg</t>
  </si>
  <si>
    <t>OK캐시백</t>
  </si>
  <si>
    <t>72930600</t>
  </si>
  <si>
    <t>[우아한소]호주청정우 678번대 꽃 LA갈비(1kg)</t>
  </si>
  <si>
    <t>72515096</t>
  </si>
  <si>
    <t>[우아한소] 프리미엄 LA갈비 선물세트 2kg</t>
  </si>
  <si>
    <t>72515094</t>
  </si>
  <si>
    <t>[우아한소] 프리미엄 LA갈비 선물세트 (2kg+2kg) 4kg</t>
  </si>
  <si>
    <t>다인푸른농장</t>
  </si>
  <si>
    <t>30163074</t>
  </si>
  <si>
    <t>[G]제스프리 썬 골드키위 선물세트 18입 총 2.2kg 키위스푼포함</t>
  </si>
  <si>
    <t>제스프리 썬 골드키위 선물세트 18입 총 2.2kg 키위스푼포함</t>
  </si>
  <si>
    <t>달콤하고 영양이 풍부한 골드키위로 특별한 마음을 전하세요!</t>
  </si>
  <si>
    <t>30163075</t>
  </si>
  <si>
    <t>[G]제스프리 썬 골드키위 선물세트 22입 총 2.5kg 키위스푼포함</t>
  </si>
  <si>
    <t>30163076</t>
  </si>
  <si>
    <t>[G]제스프리 썬 골드키위 선물세트 25입 총 2.5kg 키위스푼포함</t>
  </si>
  <si>
    <t>구본길 대가의 양념 LA갈비 400g x 4팩</t>
  </si>
  <si>
    <t>구본길 셰프만의 비법 레시피 양념으로 저온 숙성한 맛있는 LA갈비입니다!</t>
  </si>
  <si>
    <t>구본길 대가의 양념 LA갈비 400g x 7팩</t>
  </si>
  <si>
    <t>구본길 대가의 양념 갈비찜 400g x 4팩</t>
  </si>
  <si>
    <t>구본길 대가의 양념 갈비찜 400g x 6팩</t>
  </si>
  <si>
    <t>아이홈푸드</t>
  </si>
  <si>
    <t>24년 소리팜 해남 꿀고구마 5kg (중상)</t>
  </si>
  <si>
    <t>24년 소리팜 해남 꿀고구마 5kg</t>
  </si>
  <si>
    <t>꿀처럼 달콤한 해남 꿀고구마입니다.</t>
  </si>
  <si>
    <t>24년 소리팜 해남 꿀고구마 5kg (특상)</t>
  </si>
  <si>
    <t>24년 소리팜 해남 꿀고구마 10kg (중상)</t>
  </si>
  <si>
    <t>24년 소리팜 해남 꿀고구마 10kg (특상)</t>
  </si>
  <si>
    <t>24년 소리팜 해남 꿀고구마 3kg (중상)</t>
  </si>
  <si>
    <t>인정에프앤비</t>
  </si>
  <si>
    <t>40026419</t>
  </si>
  <si>
    <t>포천 이동 양념 소갈비 500g</t>
  </si>
  <si>
    <t>엄선된 소고기를 특제 소스로 숙성하여 달콤하고 깔끔한 맛의 포천 이동 소갈비!</t>
  </si>
  <si>
    <t>40026431</t>
  </si>
  <si>
    <t>포천 이동 양념 소갈비 500g x 2팩</t>
  </si>
  <si>
    <t>40026426</t>
  </si>
  <si>
    <t>포천 이동 양념 소갈비 500g x 3팩</t>
  </si>
  <si>
    <t>40026420</t>
  </si>
  <si>
    <t>포천 이동 양념 소갈비 500g x 4팩</t>
  </si>
  <si>
    <t>72429071</t>
  </si>
  <si>
    <t>[농협안심한우] 한우 반골 2kg</t>
  </si>
  <si>
    <t>푹 끓기이기만 하면 완성되는 국물요리를 즐길 수 있는 한우 부위를 모았습니다.</t>
  </si>
  <si>
    <t>72429069</t>
  </si>
  <si>
    <t>[농협안심한우] 한우 도가니  300g</t>
  </si>
  <si>
    <t>72429068</t>
  </si>
  <si>
    <t>[농협안심한우] 한우 스지 300g</t>
  </si>
  <si>
    <t>72429067</t>
  </si>
  <si>
    <t>[농협안심한우] 한우 사골+우족+잡뼈 모듬 3kg(각 1kg씩)</t>
  </si>
  <si>
    <t>72429065</t>
  </si>
  <si>
    <t>[농협안심한우] 한우 사골 2kg + 잡뼈 2kg</t>
  </si>
  <si>
    <t>72429063</t>
  </si>
  <si>
    <t>[농협안심한우] 한우 우족 2kg</t>
  </si>
  <si>
    <t>상단</t>
  </si>
  <si>
    <t>한춘섭 명장 간편 만능 된장 시래기 150g x 5팩</t>
  </si>
  <si>
    <t>명장의 비법을 담아낸 만능 무청 시래기 된장을 만나보세요!</t>
  </si>
  <si>
    <t>한춘섭 명장 간편 만능 된장 시래기 150g x 10팩</t>
  </si>
  <si>
    <t>소소옥 만날재 무뼈해장국 700g 4팩</t>
  </si>
  <si>
    <t>소소옥 만날재 무뼈해장국 700g 8팩</t>
  </si>
  <si>
    <t>62698862</t>
  </si>
  <si>
    <t>[참바다] 만능 손질새우 140g(20미) x 5팩(총100미)</t>
  </si>
  <si>
    <t>[참바다] 만능 손질새우 100미/200미</t>
    <phoneticPr fontId="4" type="noConversion"/>
  </si>
  <si>
    <t>신선한 새우를 손질하여 맛있는 요리에 간편하게 바로 사용하실 수 있습니다.</t>
  </si>
  <si>
    <t>70004871</t>
  </si>
  <si>
    <t>[참바다] 만능 손질새우 140g(20미) x 10팩(총200미)</t>
  </si>
  <si>
    <t>58282643</t>
  </si>
  <si>
    <t>[참다른] 명품 한우 LA갈비 3kg 선물세트</t>
  </si>
  <si>
    <t>68913071</t>
  </si>
  <si>
    <t>[참다른] 호주산 블랙앵거스 LA갈비 4kg 선물세트(양념장 180g×2팩 증정)</t>
  </si>
  <si>
    <t>47972832</t>
  </si>
  <si>
    <t>레이먼킴의 특제양념을 더한 소갈비찜 500g x 4팩</t>
  </si>
  <si>
    <t>47972831</t>
  </si>
  <si>
    <t>레이먼킴의 특제양념을 더한 소갈비찜 500g x 6팩</t>
  </si>
  <si>
    <t>30060701</t>
  </si>
  <si>
    <t>축복곶감 영동곶감 축복대봉9호 곶감 명절선물세트</t>
  </si>
  <si>
    <t>크기가 크고 당도가 높은 대봉 곶감! 정말 소중한 분께 귀한 선물로 강력 추천합니다.</t>
  </si>
  <si>
    <t>30060705</t>
  </si>
  <si>
    <t>축복곶감 영동곶감 축복대봉9호 1+1 곶감 명절선물세트</t>
  </si>
  <si>
    <t>축복특호24호곶감 반건시 곶감 축복곶감 영동곶감 명절선물세트</t>
  </si>
  <si>
    <t>축복특호24호곶감 1+1 반건시 곶감 축복곶감 영동 명절선물세트</t>
  </si>
  <si>
    <t>30060695</t>
  </si>
  <si>
    <t>축복곶감 정말큰 대봉명품24구 곶감 명절선물세트</t>
  </si>
  <si>
    <t>14K 골드필드 진주 데일리 스터드 귀걸이 스와로브스키 크리스탈 제작</t>
  </si>
  <si>
    <t>14K GF 행운 고래 꼬리 골드필드 핀 원터치 금 침 귀걸이</t>
  </si>
  <si>
    <t>[미니아트] 14K 로즈골드 금침 컷팅 하트 링 원터치 드롭 금 귀걸이</t>
  </si>
  <si>
    <t>[미니아트] 트리플 하트 14K 골드필드 핀 원터치 링 귀걸이</t>
  </si>
  <si>
    <t>겨울철 방한 장갑으로 따뜻하게!
포장케이스 증정! 새해 선물용으로도 GOOD!
스마트터치 가능!</t>
  </si>
  <si>
    <t>[공동구매] 슬레진저 남녀공용 겨울 방한 털슬리퍼 벨라 CRSLW190</t>
  </si>
  <si>
    <t>★Only 신세계 공동구매 혜택가★ 슬레진저 고퀄리티 신상으로 준비! 겨울 방한화 사무실 슬리퍼/실내화부터 패딩 부츠까지 따뜻한 겨울 보내세요!</t>
  </si>
  <si>
    <t>[공동구매] 슬레진저 방한 슬립온 운동화 CRSLW1088</t>
  </si>
  <si>
    <t>[공동구매] 슬레진저 남녀공용 방한화 패딩 숏부츠 CR1SL7W3</t>
  </si>
  <si>
    <t>[공동구매] 슬레진저 남성 방한화 지퍼 밴딩 패딩 부츠 CRSLW189</t>
  </si>
  <si>
    <r>
      <rPr>
        <b/>
        <sz val="20"/>
        <color rgb="FF000000"/>
        <rFont val="맑은 고딕"/>
        <family val="3"/>
        <charset val="129"/>
        <scheme val="minor"/>
      </rPr>
      <t xml:space="preserve">■ 1/20 ~ 27주차 </t>
    </r>
    <r>
      <rPr>
        <b/>
        <sz val="20"/>
        <color rgb="FFFF0000"/>
        <rFont val="맑은 고딕"/>
        <family val="3"/>
        <charset val="129"/>
        <scheme val="minor"/>
      </rPr>
      <t>(1/20~2/2 *설 배송 마감 이슈로 2주 진행, 발송예정일 : 2/3월)</t>
    </r>
  </si>
  <si>
    <t>붉은색 음영칸 MD작성 요청 1/13(월) 마감</t>
  </si>
  <si>
    <t>[모리스커밍홈] 베이직 뽀글이 포켓 집업 베스트_M2410VT008D</t>
  </si>
  <si>
    <t>[모리스커밍홈]아우터 최종특가</t>
  </si>
  <si>
    <t>#패딩조끼#가디건#베스트#점퍼</t>
  </si>
  <si>
    <t>[모리스커밍홈] 다이아 퀼팅 포켓 패딩 베스트_M2410PV001D</t>
  </si>
  <si>
    <t>[모리스커밍홈] 심플 뽀글이 라운드넥 점퍼_M2410JP007D</t>
  </si>
  <si>
    <t>[모리스커밍홈] 앞포켓 다이아 퀼팅 패딩 조끼_M2310PV001D</t>
  </si>
  <si>
    <t>[모리스커밍홈] 에코퍼 프린지 루즈핏 숄가디건_M2410CD603D</t>
  </si>
  <si>
    <t>[올리비에스클로젯] 테디베어 기모 맨투맨 티셔츠_O2412TS272D</t>
  </si>
  <si>
    <t>[올리비에스클로젯]니트/티셔츠 이너찬스TIME</t>
  </si>
  <si>
    <t>기모맨투맨/니트류~85%OFF</t>
  </si>
  <si>
    <t>[올리비에스클로젯] 하이넥 기모 긴팔 티셔츠_O2411TS269D</t>
  </si>
  <si>
    <t>[올리비에스클로젯] 리플레쉬 영문 기모 후드 티셔츠_O2312TS328D</t>
  </si>
  <si>
    <t>[올리비에스클로젯] 큐티 체리 라운드 니트_O2310KN163D</t>
  </si>
  <si>
    <t>[올리비에스클로젯] 벌룬소매 반목 니트_O2411KN166D</t>
  </si>
  <si>
    <t>[커스텀에이블] 하이넥 심플 기모 티셔츠_C2411TS084D</t>
  </si>
  <si>
    <t>[커스텀에이블]시즌오프 클리어런스특가</t>
  </si>
  <si>
    <t>니트/티셔츠/머플러 외 BEST잇템</t>
  </si>
  <si>
    <t>[커스텀에이블] 퍼배색 니크 고리 머플러_C2411AC022D</t>
  </si>
  <si>
    <t>[커스텀에이블] 심플 브이넥 언발 롱 티셔츠_C2412TS085D</t>
  </si>
  <si>
    <t>[커스텀에이블] 러블리 브이넥 루즈핏 긴팔 니트_C2311KN645D</t>
  </si>
  <si>
    <t>[커스텀에이블] 심플 기모지 밴딩 롱 스커트_C2412SK052D</t>
  </si>
  <si>
    <t>베로트 루즈핏 울 니트</t>
  </si>
  <si>
    <t>게르 브이넥 퀄팅 패딩 자켓</t>
  </si>
  <si>
    <t>[뱅뱅] 여성 세로절개 RN기모스판 밴딩팬츠버건디NPH76507</t>
  </si>
  <si>
    <t>[뱅뱅] 여성 겨울 기모 팬츠 특가! 8,800원부터</t>
  </si>
  <si>
    <t>[뱅뱅] 여성 겨울 기모 팬츠 특가!
 #뱅뱅 #기모바지 #여성기모 #기모팬츠 #겨울팬츠 #겨울기모 #겨울바지 #특가</t>
  </si>
  <si>
    <t>[뱅뱅] 여성 직선절개 RN기모스판 밴딩팬츠네이비NPH76369</t>
  </si>
  <si>
    <t>[뱅뱅] 여성 라운드 절개 RN기모스판 밴딩팬츠베이지NPH76792</t>
  </si>
  <si>
    <t>[뱅뱅] 여성 베이직 면 스판 스키니 팬츠카키NPG60137</t>
  </si>
  <si>
    <t>[뱅뱅] 여성 빈티지 스키니 스판 데님네이비NQG75169</t>
  </si>
  <si>
    <t>[뱅뱅] 여성 스키니 스판 데님네이비NQB62169</t>
  </si>
  <si>
    <t>[뱅뱅] 여성 스키니 스판 데님검정NQB62189</t>
  </si>
  <si>
    <t>[뱅뱅] 여성 구제워싱 스키니 데님검정NQF76589</t>
  </si>
  <si>
    <t>[뱅뱅] 여성 폴리 밍크보아 레깅스차콜NPH60788</t>
  </si>
  <si>
    <t>클라셰 데일리니트하프가디건_B4M2912</t>
  </si>
  <si>
    <t>화세 (77까지)오픈하이집업베스트_HB4FVT016C</t>
  </si>
  <si>
    <t>24년 땅끝남해 해남 황토 꿀고구마 5kg (한입)</t>
  </si>
  <si>
    <t>달콤 촉촉한 땅끝 해남 꿀고구마입니다.</t>
  </si>
  <si>
    <t>24년 땅끝남해 해남 황토 꿀고구마 10kg (한입)</t>
  </si>
  <si>
    <t>24년 땅끝남해 해남 황토 꿀고구마 10kg (특상)</t>
  </si>
  <si>
    <t>도드람</t>
  </si>
  <si>
    <t>[G] 도드람한돈 마포 조박집 양념구이 600g*2팩</t>
  </si>
  <si>
    <t>도드람한돈 마포 조박집 양념구이 600g*2팩</t>
  </si>
  <si>
    <t>서울 3대 양념구이 맛집! 원조 마포 조박집 양념구이를 언제 어디서든 즐겨보세요!</t>
  </si>
  <si>
    <t>이푸른</t>
  </si>
  <si>
    <t>42894729</t>
  </si>
  <si>
    <t>고대곡물 정품 카무트 쌀 3kg</t>
  </si>
  <si>
    <t>순수 원시 곡물 그대로 대세곡물 카무트!</t>
  </si>
  <si>
    <t>42894710</t>
  </si>
  <si>
    <t>고대곡물 정품 카무트 쌀 3kg x 2봉</t>
  </si>
  <si>
    <t>70926265</t>
  </si>
  <si>
    <t>[이쌀이다] 24년 햅쌀 아산 삼광쌀 10kg</t>
  </si>
  <si>
    <t>70926264</t>
  </si>
  <si>
    <t>[이쌀이다] 24년 햅쌀 아산 삼광쌀 20kg</t>
  </si>
  <si>
    <t>[3대째 손맛] 여수 동치미 5kg</t>
  </si>
  <si>
    <t>3대째 내려오는 전라도 여수의 깊은 맛! 국내산 재료로 엄선하여 만들었습니다.</t>
  </si>
  <si>
    <t>[우리남도] 산지직송 여수 갓피클(갓장아찌) 2kg</t>
  </si>
  <si>
    <t>[우리남도] 산지직송 여수 고들빼기 2kg</t>
  </si>
  <si>
    <t>[규수댁] 총각김치 3kg</t>
  </si>
  <si>
    <t>[우정제면소] 수제비/칼국수 6인분 (맑은해물맛,멸치맛 택1 / 총4옵션)</t>
  </si>
  <si>
    <t>[우정제면소] 수제비/칼국수 6인분 (맑은해물맛,멸치맛 택1)</t>
  </si>
  <si>
    <t>쫄깃함과 탄력을 담은 수제비와 칼국수를 집에서 간편하게 즐기세요.</t>
  </si>
  <si>
    <t>[우정제면소] 맑은해물맛 수제비 12인분세트 (생수제비2kg+스프12봉)</t>
  </si>
  <si>
    <t>[우정제면소] 맑은해물맛 칼국수 12인분세트 (생면2kg+스프12봉)</t>
  </si>
  <si>
    <t>[우정제면소] 짜장면 5인분세트 (생면1kg+짜장소스5봉)</t>
  </si>
  <si>
    <t>[우정제면소] 짜장면 10인분세트 (생면2kg+짜장소스10봉)</t>
  </si>
  <si>
    <t>[강원도 전통의 맛] 햇살가득 생감자옹심이 1kg</t>
  </si>
  <si>
    <t>우리 농산물로 자연 그대로를 담았습니다. 건강하고 간편하게 즐길 수 있는 감자옹심이!</t>
  </si>
  <si>
    <t>[강원도 전통의 맛] 햇살가득 생감자옹심이 1kg x 2봉</t>
  </si>
  <si>
    <t>[강원도 전통의 맛] 찰수수 부꾸미 800g</t>
  </si>
  <si>
    <t>[강원도 전통의 맛] 찰수수 부꾸미 800g x 2봉</t>
  </si>
  <si>
    <t>[강원도 전통의 맛] 생감자를 갈아만든 감자전 800g</t>
  </si>
  <si>
    <t>이화컴퍼니</t>
  </si>
  <si>
    <t>[자연맛남] 제주 고당도 한라봉 2.5kg (16과내외)</t>
  </si>
  <si>
    <t>달콤한 과육 가득, 비타민 가득한 한라봉입니다.</t>
  </si>
  <si>
    <t>[자연맛남] 제주 고당도 한라봉 2.5kg (12과내외)</t>
  </si>
  <si>
    <t>[자연맛남] 제주 고당도 한라봉 2.5kg (9과내외)</t>
  </si>
  <si>
    <t>[자연맛남] 제주 고당도 천혜향 2.5kg (18과내외)</t>
  </si>
  <si>
    <t>[자연맛남] 제주 고당도 천혜향 2.5kg (14과내외)</t>
  </si>
  <si>
    <t>[자연맛남] 제주 고당도 천혜향 2.5kg (10과내외)</t>
  </si>
  <si>
    <t>TRY</t>
  </si>
  <si>
    <t>[TRY] 남성 순면 민소매 런닝 3매 세트</t>
  </si>
  <si>
    <t>[TRY] 국민속옷 트라이 인기 언더웨어 공구 특가!</t>
  </si>
  <si>
    <t>트라이 이너, 언더웨어 공동구매 특가 행사
#TRY #런닝 #반팔 #트렁크 #속옷세트</t>
  </si>
  <si>
    <t>[TRY] 여성 순면 민소매 런닝 3매 세트</t>
  </si>
  <si>
    <t>[TRY] 남성 순면 반팔 런닝 3매 세트</t>
  </si>
  <si>
    <t>[TRY] 여성 순면 반팔 런닝 3매 세트</t>
  </si>
  <si>
    <t>[TRY] 남성 쾌적 트렁크 5종 A세트</t>
  </si>
  <si>
    <t>㈜네오웨이/비비안</t>
  </si>
  <si>
    <t>[방송히트]비비안 라인핏11-1차 라이크라 노와이어 패키지 7종</t>
  </si>
  <si>
    <t>[방송히트]비비안 라이크라 노와이어 패키지 7종 4만원대!</t>
  </si>
  <si>
    <t>비비안 노와이어 언더웨어 7종 46,800원 공동구매 특가! 신세계쇼핑에서만~</t>
  </si>
  <si>
    <t>♥설레는특가♥ 내복 잠옷 트레이닝복 시즌오프 특급세일</t>
  </si>
  <si>
    <t xml:space="preserve">♥인기 내복 외 시즌오프 세일~♥ </t>
  </si>
  <si>
    <t>[공구] 클래식체크 면혼방 파자마 상하세트 [★219→119]</t>
  </si>
  <si>
    <t>[공구] 국내제작 기모 트레이닝복 상하세트 그레이 S사이즈 [★399→119]</t>
  </si>
  <si>
    <t>남자 비즈니스 신사양말 8켤레세트 캐주얼 정장 드레스 선물용</t>
  </si>
  <si>
    <t>남성 신사곰돌이 10켤레 패션양말 비즈니스 데일리 정장 캐주얼</t>
  </si>
  <si>
    <t>1+1 2종세트 기모 스타킹 유발 무발 겨울 학생 검정스타킹</t>
  </si>
  <si>
    <t>남성레깅스 2종세트 남자타이즈 기능성 기모 긴바지 팬츠 속바지 따뜻한 쫄바지</t>
  </si>
  <si>
    <t>남자 여자 밍크 레터링 수면바지 이지웨어 홈웨어 잠옷 파자마</t>
  </si>
  <si>
    <t>테슬라 공용 스포츠 발목 양말 3팩 TM-MZS303</t>
  </si>
  <si>
    <t>[공동구매 특가] 양말 특가</t>
  </si>
  <si>
    <t>공동구매 특가로 따뜻한 양말을 특템~!
얇지 않은 양말로 쿠션감있고 편안하게
#양말 #여성양말 #남성양말</t>
  </si>
  <si>
    <t>테슬라 공용 스포츠 중목 양말 3팩 TM-MZS403</t>
  </si>
  <si>
    <t>테슬라 등산양말 장목양말 TM-MZS82</t>
  </si>
  <si>
    <t>테슬라 등산양말 장목양말 TM-MZS83</t>
  </si>
  <si>
    <t>CQR 공용 양말 택티컬 방한 등산양말 울양말 CQ-TZS78</t>
  </si>
  <si>
    <t>테슬라 패커블 웰론 경량 패딩 롱 자켓 TM-XKJ28</t>
  </si>
  <si>
    <t>새해는 테슬라와 가볍고 따뜻하게!</t>
  </si>
  <si>
    <t>어디서든 가볍고 따듯하게
#경량패딩조끼#경랭패딩#패딩조끼</t>
  </si>
  <si>
    <t>테슬라 패커블 경량 노카라 여성 패딩 조끼 베스트 TM-XKJ21</t>
  </si>
  <si>
    <t>테슬라 패커블 주니어 경량 패딩 후드 자켓 TM-ZKJ24</t>
  </si>
  <si>
    <t>테슬라 패커블 경량 패딩 베스트 TM-YKJ15</t>
  </si>
  <si>
    <t>테슬라 패커블 경량 숏패딩 자켓 TM-YKJ11</t>
  </si>
  <si>
    <t>여성 데일리 팬티 1+1 2박스</t>
  </si>
  <si>
    <t>매일 하나씩 골라 입는 데일리 필수 아이템으로 1+1 2박스로 구성 #데일리 #필수템</t>
  </si>
  <si>
    <t>테슬라 기모 스웻 스트레이트 팬츠 TM-XKB21</t>
  </si>
  <si>
    <t>[공동구매 특가] 추워진 날씨와 편안함까지 테슬라 기모바지!</t>
  </si>
  <si>
    <t>공동구매 특가로 편한하고 따듯한 기모바지와 함께 겨울나기
#겨울#기모바지#겨울바지#기모</t>
  </si>
  <si>
    <t>테슬라 기모 스웻 조거 팬츠 TM-XKB20</t>
  </si>
  <si>
    <t>테슬라 요가 기모 와이드 레깅스 TM-XBP82</t>
  </si>
  <si>
    <t>테슬라 요가 기모 조거 레깅스 TM-XBP84</t>
  </si>
  <si>
    <t>테슬라 요가 기모 부츠컷 긴바지 TM-XBP83</t>
  </si>
  <si>
    <t>디와이커머스</t>
  </si>
  <si>
    <t>1개사면 1개 더! 생활필수템 모음전</t>
  </si>
  <si>
    <t xml:space="preserve">1+1부터~ 20+20 까지! </t>
  </si>
  <si>
    <t>상단요청 (편성4)</t>
  </si>
  <si>
    <t>피에르다르장 프랑스 만능 다목적 세정제 300g (레몬향/라벤더향/민트레몬향)+전용수세미 1개 증정</t>
  </si>
  <si>
    <t>[2+2] 소프트컬러 천연 라텍스 고무장갑 주방용품 (총 4개입)</t>
  </si>
  <si>
    <t>[4+4] 변색걱정없는 모던블랙 고무장갑 사이즈 2종 (총 8개세트)</t>
  </si>
  <si>
    <t>[5+5] 천연펄프 무흠집 친환경 주방스펀지 개별위생포장 수세미 (총 10개세트)</t>
  </si>
  <si>
    <t>[1+1] 코튼 스트라이프 핸드타월 일체형 앞치마 컬러4종 요리 주방 앞치마</t>
  </si>
  <si>
    <t>[1+1] 핸드타올이 달려있는 데이지꽃 방수앞치마 컬러2종</t>
  </si>
  <si>
    <t>[1+1] 산뜻한 로렌 플라워 방수 포켓앞치마</t>
  </si>
  <si>
    <t>[1+1] 세탁가능한 뽀송이 극세사 발매트</t>
  </si>
  <si>
    <t>[1+1] 킵스마일 논슬립 극세사 발매트 컬러4종</t>
  </si>
  <si>
    <t>[1+1] 간편세탁 해피레인보우 논슬립 극세사 발매트</t>
  </si>
  <si>
    <t>[1+1] 멍멍냥냥 논슬립 애니멀 극세사발매트</t>
  </si>
  <si>
    <t>[1+1] 컬러라인 논슬립 애니멀 극세사발매트</t>
  </si>
  <si>
    <t>디마인드</t>
  </si>
  <si>
    <t>[3+1] 디마인드 한알 살균표백제 60개입x4개(총240개입)+세탁망&amp;틴케이스 증정</t>
  </si>
  <si>
    <t>디마인드 생활용품 특가</t>
  </si>
  <si>
    <t>한알 살균표백제&amp;식기세척기 세제 커커커티 신년특가</t>
  </si>
  <si>
    <t>[1+1] 디마인드 식기세척기세제 커터 커티x2개+데코스티커x2개+세탁망</t>
  </si>
  <si>
    <t>에델코첸</t>
  </si>
  <si>
    <t>[에델코첸] 통3중 워터웨이 웍팬 2종 SET (20웍, 24웍)</t>
  </si>
  <si>
    <t>요리하기 편리한 웍팬 특가전</t>
  </si>
  <si>
    <t>1+1 폭신경추베개솜 40x60</t>
  </si>
  <si>
    <t>따끈 포근한 사계절 이불 특가</t>
  </si>
  <si>
    <t>베개솜부터 단품이불 세트까지!</t>
  </si>
  <si>
    <t>상단요청 (편성5)</t>
  </si>
  <si>
    <t>1+1 폭신경추베개솜 50x70</t>
  </si>
  <si>
    <t>1+1 폭신베개솜 40x60</t>
  </si>
  <si>
    <t>1+1 폭신베개솜 50x70</t>
  </si>
  <si>
    <t>1+1 마이크로화이버 꿀잠 경추베개솜 40x60</t>
  </si>
  <si>
    <t>리치앤홈 푹신푹신 마이크로화이바 호텔 힐튼토퍼Q</t>
  </si>
  <si>
    <t xml:space="preserve">리치앤홈 먼지없는 침구 사계절 라비앙 차렵베개세트S </t>
  </si>
  <si>
    <t xml:space="preserve">리치앤홈 먼지없는 침구 사계절 라비앙 차렵베개세트Q </t>
  </si>
  <si>
    <t>리치앤홈 데일리 순면 워싱이불패드 S</t>
  </si>
  <si>
    <t>리치앤홈 데일리 순면 워싱이불패드 Q</t>
  </si>
  <si>
    <t>리치앤홈 세미마이크로 사계절 프리미엄 침대패드 S</t>
  </si>
  <si>
    <t>리치앤홈 세미마이크로 사계절 프리미엄 침대패드 Q</t>
  </si>
  <si>
    <t>광개토쇼핑1</t>
  </si>
  <si>
    <t>리브맘 쫀쫀푹신 메모리솜 맞춤 경추베개 40x60</t>
  </si>
  <si>
    <t>리브맘 쫀쫀푹신 메모리솜 맞춤 경추베개 40x60 外</t>
  </si>
  <si>
    <t>쫀득커버 피부에 닿는 촉감부터 편안하고 원단 늘어짐을 방지하여 쿠션감이 저하되지 않습니다.</t>
  </si>
  <si>
    <t>리브맘 쫀쫀푹신 메모리솜 맞춤 경추베개 50x70</t>
  </si>
  <si>
    <t>광개토쇼핑2</t>
  </si>
  <si>
    <t>리브맘 3단접이식 빨아쓰는 매트리스 멀티싱글</t>
  </si>
  <si>
    <t>리브맘 3단접이식 빨아쓰는 매트리스 멀티싱글 外</t>
  </si>
  <si>
    <t xml:space="preserve">보관과 이동이 편리한 접이식 매트리스로 아이방에 폴더매트로 사용 가능하며 쇼파처럼 접어서 사용 가능합니다. </t>
  </si>
  <si>
    <t>리브맘 3단접이식 빨아쓰는 매트리스 슈퍼싱글</t>
  </si>
  <si>
    <t>리브맘 3단접이식 빨아쓰는 매트리스 퀸</t>
  </si>
  <si>
    <t>리브맘 3단접이식 빨아쓰는 매트리스 11cm 슈퍼싱글</t>
  </si>
  <si>
    <t>리브맘 3단접이식 빨아쓰는 매트리스 11cm 퀸</t>
  </si>
  <si>
    <t>프롬바이오</t>
  </si>
  <si>
    <t>생성중</t>
  </si>
  <si>
    <t>디어퀸 애플사이다비니거 ZERO 4종 선물세트 (사과2/레몬1/자몽1)+디어퀸쇼핑백(小)</t>
  </si>
  <si>
    <t xml:space="preserve">디어퀸 애플사이다비니거 ZERO 4종 선물세트 </t>
  </si>
  <si>
    <t>셀럽들 사이 가장 핫한 식단관리 아이템
사과를 통째로 자연발효한 식초인 '애플사이다비니거'</t>
  </si>
  <si>
    <t>디어퀸 애플사이다비니거 구미 60개x2병/2개월</t>
  </si>
  <si>
    <t>프롬바이오 코엔자임Q10 30캡슐x1박스/1개월</t>
  </si>
  <si>
    <t>#1일1캡슐 #향산화 #높은혈압감소 #내몸에맞춤설계
지친 일상을 깨워줄 활력과 걱정되는 혈압건강도 함께!
1일 1캡슐로 꽉 채우는 나의 하루!</t>
  </si>
  <si>
    <t>관절연골엔 보스웰리아 30정x2박스/1개월</t>
  </si>
  <si>
    <t>관절연골엔 보스웰리아 30정x6박스/3개월</t>
  </si>
  <si>
    <t>위건강엔 매스틱 15포x2박스/1개월</t>
  </si>
  <si>
    <t>위건강엔 매스틱 15포x4박스/2개월</t>
  </si>
  <si>
    <t>골라담기_뼈건강엔 칼마디 츄어블 60정x1병/1개월</t>
  </si>
  <si>
    <t>프롬바이오 인기영양제 7,900원 골라담기 특가</t>
  </si>
  <si>
    <t>프롬바이오 신년특집 ★7,900 원 균일가 골라담기
☆20,000원 이상 구매시 무료배송</t>
  </si>
  <si>
    <t>골라담기_뼈건강엔 칼마디 PGA 60정x1박스/1개월</t>
  </si>
  <si>
    <t>골라담기_활력건강엔 멀티비타민 60정x1병/1개월</t>
  </si>
  <si>
    <t>골라담기_프롬바이오 비타민C 1000 60정x1병/2개월</t>
  </si>
  <si>
    <t>골라담기_프롬바이오 비타민B 60정x1병/2개월</t>
  </si>
  <si>
    <t>골라담기_프롬바이오 비타민D 1000IU 60정x1병/2개월</t>
  </si>
  <si>
    <t>골라담기_프롬바이오 마그네슘 60정x1박스/2개월</t>
  </si>
  <si>
    <t>골라담기_프롬바이오 히알루론산 30캡슐x1박스/1개월</t>
  </si>
  <si>
    <t>골라담기_프롬바이오 은행잎추출물 60정x1박스/2개월</t>
  </si>
  <si>
    <t>골라담기_프롬바이오 코엔자임Q10 30캡슐x1박스/1개월</t>
  </si>
  <si>
    <t>골라담기_간건강엔 밀크씨슬 비오틴 30정x1박스/1개월</t>
  </si>
  <si>
    <t>골라담기_간건강엔 밀크씨슬 루테인 30정x1박스/1개월</t>
  </si>
  <si>
    <t>골라담기_간건강엔 밀크씨슬 B타민 30정x1박스/1개월</t>
  </si>
  <si>
    <t>골라담기_눈건강엔 루테인 지아잔틴 미니 30정x1박스/1개월</t>
  </si>
  <si>
    <t>골라담기_ 프롬바이오 활성형 엽산 60정x1박스/2개월</t>
  </si>
  <si>
    <t>헬로바이오 유기농 착즙 100 프리미엄 레몬즙 레몬수 7박스 (총98포)</t>
  </si>
  <si>
    <t>헬로바이오 유기농 착즙 100 프리미엄 레몬즙 레몬수</t>
  </si>
  <si>
    <t>#유기농 이탈리아산 레몬즙
#100% 레몬
#NFC 착즙</t>
  </si>
  <si>
    <t>헬로바이오 유기농 착즙 100 프리미엄 레몬즙 레몬수 15박스 (총210포)</t>
  </si>
  <si>
    <t>로엘 웰업 핫콤부차 얼그레이 2박스 (총 60포)</t>
  </si>
  <si>
    <t>로엘 웰업 핫콤부차 얼그레이 2박스/5박스</t>
  </si>
  <si>
    <t xml:space="preserve"> 로엘 얼그레이 콤부차! 따뜻하게도, 아이스로도 OK!
계절 상관없이 언제나 맛있게 즐길 수 있는 만능 콤부차.
저당 설계로 당 걱정은 덜고, 얼그레이 향과 톡 쏘는 상쾌함은 더했습니다! </t>
  </si>
  <si>
    <t>로엘 웰업 핫콤부차 얼그레이 5박스 (총 150포)</t>
  </si>
  <si>
    <t>뉴트리디데이 파이토 이뮨 올인원 액상 멀티비타민 앤 미네랄 1박스 7개입</t>
  </si>
  <si>
    <t>뉴트리디데이 파이토 이뮨 올인원 액상 멀티비타민 앤 미네랄</t>
  </si>
  <si>
    <t>[뉴트리디데이 온라인 단독 최저가~UP TO 48%]
설 맞이 선물 BEST ~ 흡수빠른 액상 비타민♥
★MD추천★ 29,900원 3박스 구성 구매 시 레드쇼핑백 무조건 증정
고함량 멀티비타민 "액상+정제+캡슐" 올인원!
#온가족_종합비타민 #설명절선물 #오렌지맛 #액상비타민</t>
  </si>
  <si>
    <t>뉴트리디데이 파이토 이뮨 올인원 액상 멀티비타민 앤 미네랄 3박스 총21개입+레드쇼핑백</t>
  </si>
  <si>
    <t>스마일벌꿀 사양벌꿀 2.4kg x 2병(선물포장)</t>
  </si>
  <si>
    <t>이제 설탕 대신 국산 100% 스마일 벌꿀 사용하세요!!
품질 좋고 믿고 드실 수 있게 확실한 꿀만을 정성껏 채밀하였습니다.</t>
  </si>
  <si>
    <t>스마일벌꿀 허니 2kg(튜브형) x 3개</t>
  </si>
  <si>
    <t>동서원방 홍삼정 초백 10g x 30포 1박스 + 쇼핑백 포함</t>
  </si>
  <si>
    <t>100% 국내산 6년근 홍삼 함유
진세노사이드 77mg
고급쇼핑백 증정</t>
  </si>
  <si>
    <t>동서원방 발효침향 초강환 112.5g x 30환 1박스 + 쇼핑백 포함</t>
  </si>
  <si>
    <t>인도네시아산 직수입 침향 10% 함유
특허 받은 고상발효 공법과 초미세 분말로 흡수율 강화/고급쇼핑백 증정</t>
  </si>
  <si>
    <t>홀리데이즈 다이어트 쑤욱핏 56정 1박스 (2주분)</t>
  </si>
  <si>
    <t>홀리데이즈 다이어트 쑤욱핏 56정 1박스/2박스/4박스</t>
  </si>
  <si>
    <t>체지방 집중 감소 홀리데이즈 쑤욱핏!
체지방 감소 + 에너지 생성&amp;대사 기능성 + 비타민V군 100% 충족 + PTP하나로 올인원</t>
  </si>
  <si>
    <t>홀리데이즈 다이어트 쑤욱핏 56정 2박스 (4주분)</t>
  </si>
  <si>
    <t>홀리데이즈 다이어트 쑤욱핏 56정 4박스 (8주분)</t>
  </si>
  <si>
    <t>옹쌔므옹땜</t>
  </si>
  <si>
    <t>[유통기한25년7월까지] 옹쌔므옹땜 신의한수 60정</t>
  </si>
  <si>
    <t>옹쌔므옹땜 신의한수 60정</t>
  </si>
  <si>
    <t>4중 복합기능성을 제품 하나로!
항산화/기억력/혈행건강/눈건강까지
하루 2캡슐로 건강을 챙겨보세요!</t>
  </si>
  <si>
    <t>올바른 파로 효소 골드 30포 1박스</t>
  </si>
  <si>
    <t>올바른 파로 효소 골드 30포 1박스/3박스/6박스</t>
  </si>
  <si>
    <t>이탈리아산 정품 몬테로소社 파로 엠머 밀 발효효소!
#역가수치 62만 #17종 혼합유산균 #최저가 #무료배송</t>
    <phoneticPr fontId="4" type="noConversion"/>
  </si>
  <si>
    <t>상단편성 2</t>
  </si>
  <si>
    <t>올바른 파로 효소 골드 30포 3박스 총 3개월분</t>
  </si>
  <si>
    <t>광고비</t>
  </si>
  <si>
    <t>올바른 파로 효소 골드 30포 6박스 총 6개월분</t>
  </si>
  <si>
    <t>[유한메디카] 식물성 대마종자유 엔 탑 1000 맥스 60캡슐x3개(6개월)</t>
  </si>
  <si>
    <t>햄프씨드에서 추출한 비건 인증 식물성 오일
/ 흡수율 좋은 독일산 고함량 마그네슘
/ 간 건강과 지친 몸에 활력을 더하는 밀크씨슬</t>
  </si>
  <si>
    <t>상단편성 6</t>
  </si>
  <si>
    <t>[유한메디카] 마그네슘 엔 탑 400 맥스 90정x3개(9개월분)</t>
  </si>
  <si>
    <t>[유한메디카] 밀크씨슬 엔 탑 간건강 플러스 활력업 60정x3개(6개월)</t>
  </si>
  <si>
    <t>[을지대학교] 생유산균 더하기 프로바이오틱스19 30포x6개(6개월분)</t>
  </si>
  <si>
    <t>온 가족 장내 밸런스를 위한 바른 선택, 특허유산균 함유
/ 식전 하루 2정으로 탄수화물 컷!
/ 쌓여가는 체지방 더 늦기전에 식후 체지방 컷!</t>
  </si>
  <si>
    <t>[을지대학교] 탄수화물 컷 가르시니아 다이어트6 플러스 120정x3개(6개월분)</t>
  </si>
  <si>
    <t>[을지대학교] 체지방 컷 녹차카테킨 다이어트5 플러스 120정x3개(6개월분)</t>
  </si>
  <si>
    <t>[보뚜]저분자 콜라겐C 2g x 90포 x 1박스 (3개월분) 실속형</t>
  </si>
  <si>
    <t xml:space="preserve">판매 1위 콜라겐, 대용량 실속형 특가 </t>
  </si>
  <si>
    <t>[코오롱제약] 유기농 레몬즙 15포x2박스</t>
  </si>
  <si>
    <t>[코오롱제약] 유기농 레몬즙 15포x2박스/4박스/10박스</t>
  </si>
  <si>
    <t>물 넣지 않은 100% 유기농 레몬즙!
지중해의 풍부한 햇살을 머금은
스페인산 유기농 레몬으로 만든
레몬즙의 맛과 향을 자연 그대로 즐기세요!</t>
  </si>
  <si>
    <t>[코오롱제약] 유기농 레몬즙 15포x4박스</t>
  </si>
  <si>
    <t>[코오롱제약] 유기농 레몬즙 15포x10박스</t>
  </si>
  <si>
    <t>정관장 홍삼지감 50ml × 30포 / 쇼핑백 포함</t>
  </si>
  <si>
    <t>정관장 홍삼지감 50ml × 30포/쇼핑백 포함</t>
  </si>
  <si>
    <t>[정관장] 제품을 공동구매에서 아주 특별한 가격으로 만나보세요!</t>
  </si>
  <si>
    <t>정관장 홍삼가활 50ml × 30포 / 쇼핑백 포함</t>
  </si>
  <si>
    <t>정관장 홍삼보력 50ml × 60포 / 쇼핑백 포함</t>
  </si>
  <si>
    <t>[S]김소형원방 일품 명작 침향환3.75g*60환</t>
  </si>
  <si>
    <t>김소형원방 일품 명작 침향환3.75g*60환</t>
  </si>
  <si>
    <t>정성을 담았습니다, 특별한 가격으로 만나보세요.</t>
  </si>
  <si>
    <t>삼성 침향진환 홍지천세트(침향진환20환+홍지천10포)</t>
  </si>
  <si>
    <t>소중한 사람에겐 소중한 원료를 담은 제품으로!
삼성제약 홍삼/침향/녹용</t>
  </si>
  <si>
    <t>[올바른건강] 굿데이 발효홍삼 50ml x 30포</t>
  </si>
  <si>
    <t>이 가격 실화야?! 실화 입니다.
발효홍삼의 진-함 선사해드리겠습니다.</t>
  </si>
  <si>
    <t>[올바른건강] 굿데이 발효 녹용 홍삼 50ml x 30포</t>
  </si>
  <si>
    <t>(쇼핑백증정)네이처드림 리얼 유기농 레몬즙 100 20g 14포 4박스/레몬수</t>
  </si>
  <si>
    <t>1일 1포, 어디서든 쉽고 간편하게 레몬수!
물NO! 보존료NO! 레몬 1개를 통으로 착즙~</t>
  </si>
  <si>
    <t>(쇼핑백증정)네이처드림 유기농 애플사이다비니거 100 15g 14포 4박스/애사비 사과초모식초</t>
  </si>
  <si>
    <t>(쇼핑백증정)네이처드림 리얼 유기농 레몬생강즙 100 15g 14포 4박스/진저샷</t>
  </si>
  <si>
    <t>(쇼핑백증정)네이처드림 유기농 레몬 애플사이다비니거 20g x 14포 4박스/ 레몬애사비</t>
  </si>
  <si>
    <t>조아제약 멀티비타 액상 이뮨샷 종합비타민 마시는 비타민 20개입 x 2박스</t>
  </si>
  <si>
    <t>조아제약 멀티비타 액상 이뮨샷 종합비타민 마시는 비타민</t>
  </si>
  <si>
    <t>멀티비타 액상 이뮨샷 종합비타민
18종 복합 기능성으로 바쁜 일상속 18가지 영양소를 한번에
정제를 오렌지자몽맛 액상과 함께, 간편하게 휴대 가능
물이없어도 어디서나 간편하고 맛있게 섭취가 가능</t>
  </si>
  <si>
    <t>조아제약 멀티비타 액상 이뮨샷 종합비타민 마시는 비타민 20개입 x 3박스</t>
  </si>
  <si>
    <t>조아제약 멀티비타 액상 이뮨샷 종합비타민 마시는 비타민 20개입 x 6박스</t>
  </si>
  <si>
    <t>국내산 데친 냉동 시래기300g*3팩 + 우거지300g*3팩, 총 6팩 1.8kg</t>
  </si>
  <si>
    <t>쌀쌀한 겨울철 국 끓여 먹기 좋은 시래기와 우거지!</t>
  </si>
  <si>
    <t>국내산 데친 냉동 무청 시래기 300g*6팩 1.8kg</t>
  </si>
  <si>
    <t>국내산 데친 냉동 배추 우거지 300g*6팩 1.8kg</t>
  </si>
  <si>
    <t>델몬트 120ml(오렌지x6개+샤인 청포도x6개)</t>
  </si>
  <si>
    <t xml:space="preserve">오렌지 / 청포도 과즙이 듬뿍! 발렌시아 오렌지와 칠레산 청포도로 입안 가득 상큼하게!  </t>
  </si>
  <si>
    <t>델몬트 120ml(오렌지x12개+샤인 청포도x12개)</t>
  </si>
  <si>
    <t>델몬트 오렌지120mlx12개</t>
  </si>
  <si>
    <t>델몬트 오렌지120mlx24개</t>
  </si>
  <si>
    <t>델몬트 샤인 청포도120mlx12개</t>
  </si>
  <si>
    <t>델몬트 샤인 청포도120mlx24개</t>
  </si>
  <si>
    <t>[10봉세트] 태국쇼핑템 파인애플잼 비스킷 75g 개별위생포장+휴대폰거치대 증정! (2세트 랜덤니트장갑 추가증정)</t>
  </si>
  <si>
    <t>태국쇼핑템 파인애플잼 비스킷 75g 개별위생포장+휴대폰거치대 증정</t>
  </si>
  <si>
    <t>태국쇼핑템/태국가면 꼭 사와야되는 간식! #단독초특가 #휴대폰거치대 증정 &amp; 2세트 구매시 랜덤니트장갑 추가증정!</t>
  </si>
  <si>
    <t>[10봉세트] 태국쇼핑템 코코넛크림 비스킷+휴대폰거치대 증정! (2세트 랜덤니트장갑 추가증정)</t>
  </si>
  <si>
    <t>[5봉+5봉] 파인애플잼 비스킷 5봉+코코넛크림 비스킷 5봉+휴대폰거치대 증정! (2세트 랜덤니트장갑 추가증정)</t>
  </si>
  <si>
    <t>[3개세트] 태국쇼핑템 디어테디 곰돌이 틴케이스 쿠키+휴대폰거치대 증정! (2세트 랜덤니트장갑 추가증정)</t>
  </si>
  <si>
    <t>[쿠키선물박스] 한정판 디어테디 틴케이스 3가지맛 선물세트(감동문구증정)+휴대폰거치대 증정! (2세트 랜덤니트장갑 추가증정)</t>
  </si>
  <si>
    <t>[VIDAL] 비달 멀티비타민 롤리팝캔디 98g (7g x 14개입) 글루텐프리 막대사탕 x 3봉세트+휴대폰거치대 증정! (2세트 랜덤니트장갑 추가증정)</t>
  </si>
  <si>
    <t>[3봉세트] 비달 메가줌 페인터캔디 100g (20g x 5개입) 글루텐프리 막대사탕+휴대폰거치대 증정! (2세트 랜덤니트장갑 추가증정)</t>
  </si>
  <si>
    <t>[VIDAL] 비달 사우어 플라이 워터멜론향 젤리 80g x 6봉세트 혓바닥 페인터 젤리 대용량+휴대폰거치대 증정! (2세트 랜덤니트장갑 추가증정)</t>
  </si>
  <si>
    <t>[VIDAL] 비달 사우어 플라이 라즈베리향 젤리 80g x 6봉세트 혓바닥 페인터 젤리 대용량+휴대폰거치대 증정! (2세트 랜덤니트장갑 추가증정)</t>
  </si>
  <si>
    <t>[VIDAL] 비달 파이어 데블젤리 매운맛 젤리 80g x 6봉세트+휴대폰거치대 증정! (2세트 랜덤니트장갑 추가증정)</t>
  </si>
  <si>
    <t>[VIDAL] 비달 딸기향 롤젤리 스페인 스트로베리맛 젤리 2박스(총 48P)+휴대폰거치대 증정! (2세트 랜덤니트장갑 추가증정)</t>
  </si>
  <si>
    <t>반찬단지 무말랭이1Kg+연근조림1Kg+콩장조림1Kg</t>
  </si>
  <si>
    <t>40년 제조 노하우와 레시피로
재료 본연의 맛을 살려 자극적이지 않고 더욱 맛깔나는 반찬!</t>
  </si>
  <si>
    <t>반찬단지 청양간장고추 1kg + 고추무침 1kg</t>
  </si>
  <si>
    <t>반찬단지 연근조림 1Kg + 깻잎무침 1kg</t>
  </si>
  <si>
    <t>반찬단지 연근조림 1kg+1kg</t>
  </si>
  <si>
    <t>반찬단지 콩장조림 1kg+1kg</t>
  </si>
  <si>
    <t>제이앤에이치그룹</t>
  </si>
  <si>
    <t>끼리 크림치즈 딥앤크런치 플레인 (3입) 디즈니 3팩(총 9입)</t>
  </si>
  <si>
    <t>프랑스산 원유로 만든 순수한 크림치즈와 브레드 스틱을 찍어먹는 남녀노소 영양간식
#간식#크림치즈#끼리#아이간식</t>
  </si>
  <si>
    <t>끼리 크림치즈 스프레드 200g 그릭스타일 3개 (총600g)</t>
  </si>
  <si>
    <t>[바다원] 칼집난 맥반석오징어 150g</t>
  </si>
  <si>
    <t>소스증정! 맥반석오징어 외 안주 BEST 모음</t>
  </si>
  <si>
    <t>[바다원]칼맞은 오징어 5-7미 요즘핫한소스+와사비마요x2 추가구성</t>
  </si>
  <si>
    <t>[바다원] 같이맞은 쥐포 400g 와사비마요 추가증정</t>
  </si>
  <si>
    <t>[바다원] 레트로 1988 오징어 땅콩 요즘핫한소스x2 추가구성</t>
  </si>
  <si>
    <t>[바다원] 오로지 270g 오징어와 쥐포의 만남</t>
  </si>
  <si>
    <t>[육해공] 국내산 한돈 메추리알 장조림 320g 밥도둑 반찬</t>
  </si>
  <si>
    <t>국내산 한돈 메추리알 장조림 320g 밥도둑 반찬</t>
  </si>
  <si>
    <t>[공동구매 증정이벤트]
3개이상 구매시 : 한돈 메추리알 장조림 320g 증정</t>
  </si>
  <si>
    <t>[육해공] 국내산 한돈 메추리알 장조림 320gx2통 밥도둑 반찬</t>
  </si>
  <si>
    <t>[참맛나] 연평도 알배기 간장 순살게장 200g</t>
  </si>
  <si>
    <t>[참맛나] 연평도 알배기 양념 순살게장 200g</t>
  </si>
  <si>
    <t>[참맛나] 연평도 알배기 암꽃게 간장게장 1.2kg (중2미)</t>
  </si>
  <si>
    <t>[참맛나] 연평도 숫게 양념게장 800g (대4미)</t>
  </si>
  <si>
    <t>[바다원] 국내산 손질 고등어 (6팩) 900g</t>
  </si>
  <si>
    <t>집에서 간편하게 구워 먹는 국내산 손질 생선!
#손질생선 #고등어 #갈치 #삼치</t>
  </si>
  <si>
    <t>[바다원] 국내산 손질 고등어 (10팩) 1.2kg</t>
  </si>
  <si>
    <t>[바다원] 국내산 가시제거 손질 갈치 4팩 (150g x 4팩)</t>
  </si>
  <si>
    <t>[바다원] 국내산 손질 삼치 (6팩) 900g</t>
  </si>
  <si>
    <t>[마음심은] 깍두기 2kg</t>
  </si>
  <si>
    <t>우리 농산물 100%
재구매 200% 마음심은 김치</t>
  </si>
  <si>
    <t>[마음심은] 열무김치 3kg / 익을수록 시원한</t>
  </si>
  <si>
    <t>[공동구매] 아모스 컬링 에센스 2x 150ml 1+1</t>
  </si>
  <si>
    <t>[조성아]조성아 레몬청 클렌저 200ml 2개 + 레몬청 파우치 10매</t>
  </si>
  <si>
    <t>[조성아] 팩하면서 클렌징, 클렌징하면서 팩하듯!
레몬청 클렌저 구매시 레몬청 파우치 증정!</t>
  </si>
  <si>
    <t>[공동구매] 조성아 레몬청 클렌저 200ml 2개 + 레몬청 파우치 10매</t>
  </si>
  <si>
    <t>[공동구매] 조성아 레이빔 업 크림 엔젤링 에디션 본품1개 + 리필2개</t>
  </si>
  <si>
    <t>그래놀라/센텔라/시카 클렌징 티슈 3개 골라담기</t>
  </si>
  <si>
    <t>[메디플라워] 
메디플라워 베스트 상품 골라담기 모음전!</t>
  </si>
  <si>
    <t>[메디플라워]곡물이라 건강하다!
7가지 영양 곡물이 듬뿍!</t>
  </si>
  <si>
    <t>상단편성 3</t>
  </si>
  <si>
    <t>곡물/시카/히알루론산 클렌징폼 4개 골라담기</t>
  </si>
  <si>
    <t>아로닉스 아이패치 1+1 (골드 스네일,아쿠아 에너지, 콜라겐)</t>
  </si>
  <si>
    <t>[시크릿특가]로레알파리 토탈리페어5 모이스처크림 프로엑스 2개</t>
  </si>
  <si>
    <t>[로레알파리]로레알파리 헤어케어부터 염색까지!</t>
  </si>
  <si>
    <t>[로레알파리] 결이 다른 부드러움!
단 한번의 사용으로
5가지 손상 징후 즉각 케어!</t>
  </si>
  <si>
    <t>로레알파리 토탈 리페어5 인스턴트 미라클 헤어팩 170ml 6개</t>
  </si>
  <si>
    <t>로레알파리 매직 리터치 새치 커버 스프레이 75ml 2개</t>
  </si>
  <si>
    <t>하라즈 퍼퓸 바디워시 그린플로럴향 1000ml</t>
  </si>
  <si>
    <t>[하라즈]하라즈 바디워시 출시 최대 39% 할인 특가!</t>
  </si>
  <si>
    <t>[하라즈]  당김없이 촉촉하게
순하고 깨끗하게!
하라즈 저자극 약산성 바디워시</t>
  </si>
  <si>
    <t>하라즈 퍼퓸 바디워시 베이비파우더향 1000ml</t>
  </si>
  <si>
    <t>하라즈 퍼퓸 바디워시 블라썸글로우향 1000ml</t>
  </si>
  <si>
    <t>하라즈 퍼퓸 바디워시 트로피칼바닐라향 1000ml</t>
  </si>
  <si>
    <t>하라즈 퍼퓸 바디워시 퓨어코튼향 1000ml</t>
  </si>
  <si>
    <t>[공동구매]버츠비 컨디셔닝 립스크럽 7g 허니+오버나이트 인텐시브 립트리트먼트7g</t>
  </si>
  <si>
    <t>[버츠비]자연에 진심! 립밤에 진심!</t>
  </si>
  <si>
    <t>[버츠비]내추럴 세라마이드로 영양가득 촉촉 입술!</t>
  </si>
  <si>
    <t>닥터바르고 퍼스트 에디션 히알루론산 4종 세트(토너+에멀전+폼클렌징+마데크림)</t>
  </si>
  <si>
    <t>[닥터바르고] 닥터 바르고 히알루론산 세트, 첫 만남 특가!</t>
  </si>
  <si>
    <t>[닥터바르고] 토너부터 크림까지! 내 피부를 위한 실속 히알루론산 세트, 지금 만나보세요!</t>
  </si>
  <si>
    <t>닥터바르고 퍼스트 에디션 히알루론산 4종 세트(토너+에멀전+폼클렌징+제로크림)</t>
  </si>
  <si>
    <t>닥터바르고 퍼스트 에디션 히알루론산 4종 세트(토너+에멀전+폼클렌징+수분크림)</t>
  </si>
  <si>
    <t>바세린 베이비 젤리 100ml x 4개</t>
  </si>
  <si>
    <t>[바세린] 보습종결 유니레버 원조 바세린 젤리 3종 세일!</t>
  </si>
  <si>
    <t>[바세린] 모두의 피부를 지켜온
바세린의 피부 보호에 특별한 케어를 담다!</t>
  </si>
  <si>
    <t>바세린 알로에 젤리 100ml x 4개</t>
  </si>
  <si>
    <t>바세린 코코아 젤리 100ml x 4개</t>
  </si>
  <si>
    <t>바세린 마스크팩 수분가득 20매</t>
  </si>
  <si>
    <t>[바세린]출시기념 바세린 마스크팩 3종 단독 최저가 할인!</t>
  </si>
  <si>
    <t>[바세린] 오래 유지되는 남다른 촉촉함의 비결!
바세린 마스크팩 3종 세트!</t>
  </si>
  <si>
    <t>바세린 마스크팩 진정가득 20매</t>
  </si>
  <si>
    <t>바세린 마스크팩 영양가득 20매</t>
  </si>
  <si>
    <t>무궁화</t>
  </si>
  <si>
    <t>때비누 4종 혼합(노니2개+오이2개+화산2개+사해2개)</t>
  </si>
  <si>
    <t>[무궁화]무궁화 신년맞이 바디용품 총집합!</t>
  </si>
  <si>
    <t>[무궁화]누적 판매량 2천만개의 신화!
무궁화 때비누 4종 혼합 세트!</t>
  </si>
  <si>
    <t>무궁화 타임비누 90g x 18개</t>
  </si>
  <si>
    <t>무궁화 샤워때비누 500ml(화산송이) x 2개</t>
  </si>
  <si>
    <t>무궁화 샤워때비누 500ml(사해소금) x 2개</t>
  </si>
  <si>
    <t>[네이처리퍼블릭] 1+1 블랙빈 탈모증상 개선 샴푸 520ml</t>
  </si>
  <si>
    <t>[네이처리퍼블릭] 블랙빈 1+1 건강한 모발로 새해 시작!</t>
  </si>
  <si>
    <t>[네이처리퍼블릭] 탈모 고민, 이제 끝! 
건강한 두피와 풍성한 모발을 위한 최고의 선택! 
1+1 혜택으로 더 풍성하게 ♥</t>
  </si>
  <si>
    <t>1+1 블랙빈 탈모증상 개선 두피 토닉</t>
  </si>
  <si>
    <t>[라쿠치나] 파니니 8팩(그릴드비프/콰트로 포르마지오/치폴레 치킨/풀드포크) 골라담기</t>
  </si>
  <si>
    <t>파니니 8팩 골라담기</t>
  </si>
  <si>
    <t>애들 간식으로~ 온가족 간식으로~ 라쿠치나만의 간편하게 먹을 수 있는 파니니를 즐겨보세요~!</t>
  </si>
  <si>
    <t>미스타셰프 국민마라탕 550</t>
  </si>
  <si>
    <t>날씨가 쌀~쌀할땐?! 마라탕으로 뜨~끈하게 추위를 사르르 녹여보세요!
미스타셰프만의 특별한 마라탕 구성!</t>
  </si>
  <si>
    <t>미스타셰프 국민마라탕 550g 4팩</t>
  </si>
  <si>
    <t>미스타셰프 국민마라탕 550g 6팩</t>
  </si>
  <si>
    <t>미스타셰프 국민마라탕 550g 9팩</t>
  </si>
  <si>
    <t>푸드케어와이에스</t>
  </si>
  <si>
    <t>유귀열의 The귀한 진추어탕 500g x 2팩</t>
  </si>
  <si>
    <t>유귀열의 THE귀한 진추어탕</t>
  </si>
  <si>
    <t>한식조리기능장 유귀열 셰프의 진 추어탕 !
HACCP 인증 제품! 엄선한 미꾸라지와 국내산 무청 사용</t>
  </si>
  <si>
    <t>유귀열의 The귀한 진추어탕 500g x 3팩</t>
  </si>
  <si>
    <t>프레시지</t>
  </si>
  <si>
    <t>[fresheasy] 누구나홀딱반한닭 그릴드 현미주먹밥 8종 10팩 혼합(고추참치2+전주식비빔2+외 1팩씩)</t>
  </si>
  <si>
    <t>누구나홀딱반한! 현미주먹밥</t>
  </si>
  <si>
    <t xml:space="preserve">간편하고 맛있게 즐길 수 있는 주먹밥! 현미주먹밥으로 영양UP! </t>
  </si>
  <si>
    <t>[fresheasy] 누구나홀딱반한닭 그릴드 현미주먹밥 소불고기 100g 10팩</t>
  </si>
  <si>
    <t>[fresheasy] 누구나홀딱반한닭 그릴드 현미주먹밥 전주식비빔 100g 10팩</t>
  </si>
  <si>
    <t>[fresheasy] 누구나홀딱반한닭 그릴드 현미주먹밥 김치치즈 100g 10팩</t>
  </si>
  <si>
    <t>[fresheasy] 누구나홀딱반한닭 그릴드 치밥 현미주먹밥 간장치킨 100g 10팩</t>
  </si>
  <si>
    <t>[메리그린] 14K 골드필드 핀 귀걸이 펄 하트 2종 택1</t>
  </si>
  <si>
    <t>신년맞이 특별가 담수진주 귀걸이 9900원~</t>
  </si>
  <si>
    <t>신년맞이 특별할인!
베스트 담수진주 귀걸이 외 베스트 쥬얼리</t>
  </si>
  <si>
    <t>[메리그린] 92.5 SILVER 천연 담수 진주 귀걸이 10mm</t>
  </si>
  <si>
    <t>[메리그린] 천연 담수 진주 목걸이</t>
  </si>
  <si>
    <t>[메리그린] 92.5 실버 심플링 귀걸이</t>
  </si>
  <si>
    <t>[메리그린] 925 SILVER 실버 버블 링 귀걸이</t>
  </si>
  <si>
    <t>[메리그린] 14K GF 골드필드 핀 하트 귀걸이 블리하트</t>
  </si>
  <si>
    <t>★Only 신세계 공동구매 혜택가★ 시즌오프 초특가 마지막 방한화 특가 모음 어그 슬리퍼부터 스니커즈, 운동화, 부츠까지 모두 준비했어요!</t>
  </si>
  <si>
    <t>[공동구매] 슬레진저 뽀글이털 버클 스니커즈 CRSLW195</t>
  </si>
  <si>
    <t>[공동구매] 슬레진저 남녀공용 방한화 패딩 운동화 CRSLW172</t>
  </si>
  <si>
    <t>[공동구매] 슬레진저 남녀공용 방한부츠 CRSLW174</t>
  </si>
  <si>
    <t>[미니아트] 블루오션 14K 금침 로즈골드 원터치 링 귀걸이</t>
  </si>
  <si>
    <t>[공동구매] 블루오션 14K 금침 로즈골드 원터치 링 귀걸이</t>
  </si>
  <si>
    <t>14K GOLD-PIN소재 푸른뱀의해 영롱한 블루큐빅 원터치 귀걸이</t>
  </si>
  <si>
    <t>14K GF 크리스타 골드필드핀 공작새 원터치 귀걸이</t>
  </si>
  <si>
    <t>[미니아트] 92.5 실버 은 반지 패션 레이어드 링</t>
  </si>
  <si>
    <t>[미니아트] 샤이니 모줄 92.5 실버 커팅 체인 데일리 은 팔찌</t>
  </si>
  <si>
    <t>클로버 14Kgp 볼 체인 로즈골드 팔찌 JR193</t>
  </si>
  <si>
    <t xml:space="preserve">■ 2/3주차  (2/3~2/9 진행, 발송예정일 : 2/10월) </t>
  </si>
  <si>
    <t>상단편성 7</t>
  </si>
  <si>
    <t>(공구)콘에어 콤팩트 파워스팀 GS2K 핸디스팀다리미</t>
  </si>
  <si>
    <t>(공구)콘에어 프리미엄 스마트센서 익스트림 핸디스팀다리미 GS40K</t>
  </si>
  <si>
    <t>(공구)콘에어 다이아몬드 엠보싱 열판 핸디스팀다리미 GS22K</t>
  </si>
  <si>
    <t>(공구)콘에어 다이아몬드 열판 프리미엄 핸디스팀다리미 GS39K 석회질필터</t>
  </si>
  <si>
    <t>(공구)콘에어 익스트림 터보 강력 스팀 핸디스팀다리미 GS38K 칼각크리져</t>
  </si>
  <si>
    <t>콘에어 2단계 스팀높이조절 스탠드스팀다리미 CGS28GK</t>
  </si>
  <si>
    <t>(공구)콘에어 12가지 모드 멀티 스탠드스팀다리미 CGS28HWK</t>
  </si>
  <si>
    <t>(공구)콘에어 일반형 2단계 높이조절 스탠드형스팀다리미 CGS30K</t>
  </si>
  <si>
    <t>(공구)콘에어 듀얼 파워 이동식 스탠드스팀다리미 GS88K 풋패달</t>
  </si>
  <si>
    <t>(공구)콘에어 3D 에어쿠션 프리미엄 스탠드스팀다리미 GS125K 석회질필터 풋패달</t>
  </si>
  <si>
    <t>(공구)바비리스 페이스&amp;바디 올인원 컴팩트 멀티트리머 BHT2K / 눈썹제모기</t>
  </si>
  <si>
    <t>(공구)바비리스 프로 스피드 2000W 고출력 헤어 드라이어 D105K 음이온 집중노줄/블랙</t>
  </si>
  <si>
    <t>(공구)바비리스 22mm 다이아몬드 세라믹 스트레이트너 판고데기 ST325K</t>
  </si>
  <si>
    <t>(공구)바비리스 32mm 수블림 컬링 봉고데기 C332K 샤인핑크</t>
  </si>
  <si>
    <t>(공구)바비리스 3in1 멀티 에어스타일러 AS100VK / 3종브러쉬</t>
  </si>
  <si>
    <t>(공구)바비리스 28mm 다이아몬드 세라믹 멀티 판고데기 ST330K 스트레이트&amp;웨이브</t>
  </si>
  <si>
    <t>(공구)바비리스 멀티 에어스타일러 900W 윤기케어 AS126K</t>
  </si>
  <si>
    <t>(공구)바비리스 세라믹 헤어롤세트 3026BK  헤어롤 케이스SET</t>
  </si>
  <si>
    <t>(공구)바비리스 멀티 에어스타일러 좌우 오토회전 AS550K</t>
  </si>
  <si>
    <t>3CE BARE COVER CUSHION 베어 커버 쿠션</t>
  </si>
  <si>
    <t>[3CE] 완벽 피부연출 3CE 쿠션특가!</t>
  </si>
  <si>
    <t>[3CE] 내 피부같은 가벼움 속
자연스럽게 빛나는 아름다움!</t>
  </si>
  <si>
    <t>3CE FITTING MESH CUSHION 핏팅 메쉬 쿠션(본품+리필) [증정]스퀘어 키링 파우치핑크</t>
  </si>
  <si>
    <t>3CE BARE COVER CUSHION 베어 커버 쿠션 + 리필</t>
  </si>
  <si>
    <t>하라즈 퍼퓸 바디로션 그린플로럴향 1000ml</t>
  </si>
  <si>
    <t>[하라즈] 하라즈 바디로션 출시 최대 39% 할인 특가!</t>
  </si>
  <si>
    <t>[하라즈] 하라즈 퍼퓸 바디로션,
피부 속부터 부드럽게 채워지는 보습</t>
  </si>
  <si>
    <t>하라즈 퍼퓸 바디로션 베이비파우더향 1000ml</t>
  </si>
  <si>
    <t>하라즈 퍼퓸 바디로션 블라썸글로우향 1000ml</t>
  </si>
  <si>
    <t>하라즈 퍼퓸 바디로션 트로피칼바닐라향 1000ml</t>
  </si>
  <si>
    <t>하라즈 퍼퓸 바디로션 퓨어코튼향 1000ml</t>
  </si>
  <si>
    <t>라벨영</t>
  </si>
  <si>
    <t>[공동구매]라벨영 쇼킹소금바 100g 2개 민감/예민바디 진정케어</t>
  </si>
  <si>
    <t>[라벨영]국내산 천일염으
민감하고 예민한 바디를 촉촉하고 부드럽게 ! 1+1 구성</t>
  </si>
  <si>
    <t>[라벨영]국내산 천일염 ! 
민감하고 예민한 바디를 촉촉하고 부드럽게 ! 1+1 구성</t>
  </si>
  <si>
    <t>[공동구매]영양,보습,진정 캡슐 팡팡/멀티 페이스오일/수부지추천 쇼킹오일 3개 구성</t>
  </si>
  <si>
    <t>[공동구매]라벨영 쇼킹클리닝 1L 3개 천연액체액상 세탁세제 드럼용 일반용대용량</t>
  </si>
  <si>
    <t>에트투스 아르간 케라틴 트리트먼트 EX 200ml</t>
  </si>
  <si>
    <t>[메디플라워] 에트투스 아르간 케라틴 트리트먼트 EX 200ml</t>
  </si>
  <si>
    <t>[메디플라워] 다양한 원인으로 손상되는 모발 속 단백질, 다시 단백질로 채우자!</t>
  </si>
  <si>
    <t>에트투스 아로마 그린 탈모 샴푸/트리트먼트 500ml 2개 골라담기</t>
  </si>
  <si>
    <t>아르간 트리트먼트 헤어팩 1000ml+아르간 샴푸 1000ml</t>
  </si>
  <si>
    <t>C2Y 바세린 24h 딥 모이스춰 핸드크림 60ml 8개</t>
  </si>
  <si>
    <t>[C2Y] 바세린으로 고보습 케어, 바세린 핸드/풋 크림 최저가 공동구매!</t>
  </si>
  <si>
    <t>[C2Y]24시간 입증된 보습력으로 하루종일 촉촉하게~</t>
  </si>
  <si>
    <t>C2Y 바세린 24h 핸드크림 500ml 2개</t>
  </si>
  <si>
    <t>C2Y 쉐어버터 핸드풋 크림 60ml 10개</t>
  </si>
  <si>
    <t>TS티마 라이트핏 KFAD 대형 마스크 100매 모음</t>
  </si>
  <si>
    <t>[TS][특가 찬스] 대형부터 소형까지, 온가족 마스크
겨울철 바이러스 방어, TS &amp; 레모나와 함께!</t>
  </si>
  <si>
    <t xml:space="preserve">[TS] 숨쉬는 트렌드 티마 컬러마스크로
일상 속에서 안전하고 편안하게!
</t>
  </si>
  <si>
    <t>TS 티마 스마트핏 KF94 새부리형 마스크 소형 중형 대형 100매</t>
  </si>
  <si>
    <t>레모나 프레쉬 비타 새부리형 마스크 KFAD 대형 100매</t>
  </si>
  <si>
    <t>닥터올</t>
  </si>
  <si>
    <t>[공동구매/100개한정] 닥터올 바이오 스칼프 탈모 샴푸 500ML</t>
  </si>
  <si>
    <t>[닥터올] 30년 탈모연구 결정체 닥터올 탈모 샴푸</t>
  </si>
  <si>
    <t>[닥터올] 5대 유해성분 무검출+자연유래 성분 94%
신세계쇼핑 입점기념 최초 4만원대 특가!</t>
  </si>
  <si>
    <t>트웬티메디코스</t>
  </si>
  <si>
    <t>[공동구매]닥터트웬티프로젝트 갈락토미 광채토너 200ml</t>
  </si>
  <si>
    <t>[닥터트웬티프로젝트] 갈락토미 광채토너 200ml</t>
  </si>
  <si>
    <t xml:space="preserve">[닥터트웬티프로젝트] 칙칙한 피부 이별, 민낯 자신감 UP!
갈락비타C토너!
</t>
  </si>
  <si>
    <t>마이클코어스
(심스인터내셔널)</t>
  </si>
  <si>
    <t>신년맞이 첫 BIG SALE 마이클코어스 향수+바디로션+미니3종+카드지갑</t>
  </si>
  <si>
    <t>[마이클코어스] 신년맞이 첫 BIG SALE 마이클코어스 향수+바디로션+미니3종+카드지갑</t>
  </si>
  <si>
    <t>[마이클코어스] 시크함의 정수를 병에 담은 관능적인 향!</t>
  </si>
  <si>
    <t>힐라비</t>
  </si>
  <si>
    <t>힐라비 에테리얼 시카 톤업크림 50ml</t>
  </si>
  <si>
    <t>[힐라비] 사계절 완벽톤업 시카 톤업크림 99특가</t>
  </si>
  <si>
    <t>한 번의 발림으로 자연스러운 톤업 가능! 민감한 피부를 위한 시카성분 함유 크림</t>
  </si>
  <si>
    <t>[네이처리퍼블릭] 진생 로얄 실크 스킨케어 2종 기획세트</t>
  </si>
  <si>
    <t>[네이처리퍼블릭] 럭셔리 기획세트 진생&amp;스네일 ★단독 최저가★</t>
  </si>
  <si>
    <t>[네이처리퍼블릭]피부에 생기를 더하다! 
고급스러운 스킨케어 세트로 
촉촉하고 탄력 있는 피부를 완성하세요♥</t>
  </si>
  <si>
    <t>[네이처리퍼블릭] 스네일 솔루션 2종 기획세트</t>
  </si>
  <si>
    <t>입큰 새틴 피니쉬 팩트 본품+리필 / 자외선차단 기능성</t>
  </si>
  <si>
    <t>[입큰] 입큰 신학기 맞이 판매 BEST 파우더팩트</t>
  </si>
  <si>
    <t>[입큰] 가벼운 에어리 인 파우더로
피부에 뭉침없이 고르고 투명하게 유지!</t>
  </si>
  <si>
    <t>입큰 스킨피니쉬 팩트 본품+리필</t>
  </si>
  <si>
    <t>입큰 오리지널 퍼퓸 파우더 팩트 리필+리필</t>
  </si>
  <si>
    <t>입큰 오리지널 퍼퓸 파우더 팩트 본품+리필</t>
  </si>
  <si>
    <t>쫀득쫀득 맛있는 알록달록 삶은 찰옥수수</t>
  </si>
  <si>
    <t>[메인★]
★공.동.구.매.특.가★
쫀득쫀득~! 탱글탱글~! 맛좋은 찰옥수수를 간편하게 즐겨보세요!
전자레인지 7분 OK! 끓는 물에 5~10분 OK!</t>
  </si>
  <si>
    <t>허닭프렌즈</t>
  </si>
  <si>
    <t>[꼬꼬대장] 간장소스 세트! 통닭다리 간장 1팩+직화순살 간장 1팩 혼합 2팩</t>
  </si>
  <si>
    <t>공동구매 특가
통닭다리/직화순살 닭 가공식품을 저렴하게 겟해가세요~</t>
  </si>
  <si>
    <t>[꼬꼬대장] 매콤소스 세트! 통닭다리 양념 1팩+직화순살 매콤 1팩 혼합 2팩</t>
  </si>
  <si>
    <t>[꼬꼬대장] 신상품 맛보기 세트! 통닭다리 간장 1팩+직화순살 매콤 1팩 + 치킨텐더 1팩 혼합 3팩</t>
  </si>
  <si>
    <t>미니아트</t>
  </si>
  <si>
    <t>14Kpg 로즈골드 큐빅 반지 프리사이즈 패션 링</t>
  </si>
  <si>
    <t>[공동구매]14Kpg 로즈골드 큐빅 반지 프리사이즈 패션 링</t>
  </si>
  <si>
    <t>리얼 14K 골드색상 반지
여리여리한 패션스타일로 연출하세요</t>
  </si>
  <si>
    <t>[미니아트] 순은 92.5 데일리 베이직 큐빅 실버 귀걸이</t>
  </si>
  <si>
    <t>[미니아트] 순은 92.5 데일리 베이직 큐빅 실버 목걸이</t>
  </si>
  <si>
    <t>92.5 법정 순은 데일리 심플 패션 파이프 링 은 귀걸이 20mm</t>
  </si>
  <si>
    <t>[공동구매] 남녀공용 블랙 슬립온 스니커즈 CR3SL14</t>
  </si>
  <si>
    <t>★Only 신세계 공동구매 혜택가★ 새해부턴 다이어트 !!! 슬레진저 인기 슬립온/러닝화/운동화 특가 모음</t>
  </si>
  <si>
    <t>[공동구매] 슬레진저 초경량 운동화 CR2SL82</t>
  </si>
  <si>
    <t>트렌드제이/엘르주얼리</t>
  </si>
  <si>
    <t>14K 스와로브스키 진주 귀걸이 (gold filled) ELGPEE483</t>
  </si>
  <si>
    <t>엘르주얼리 베스트 구성세트 공동구매특가</t>
  </si>
  <si>
    <t>나만의 매력의 보여줄 엘르주얼리 공동구매 특가
#주얼리
#악세사리
#귀걸이
#목걸이
#반지
#팔찌
#패션주얼리</t>
  </si>
  <si>
    <t>데일리 진주 레이어드 목걸이 ELBRNN200</t>
  </si>
  <si>
    <t>14K 포인트 귀걸이 (gold filled) ELGPEE361</t>
  </si>
  <si>
    <t>솔리테어 스톤 1부,3부,5부 목걸이 ELBRNN221</t>
  </si>
  <si>
    <t>14K 서클 큐빅 드롭 귀걸이 (gold plated) ELGPEE504</t>
  </si>
  <si>
    <t>서클 큐빅 목걸이 ELBRNN203</t>
  </si>
  <si>
    <t>뉴트리디데이 프리미엄 레몬착즙 레몬수 x 5박스 70포</t>
  </si>
  <si>
    <t>뉴트리디데이 프리미엄 레몬착즙 레몬수 5박스/10박스</t>
  </si>
  <si>
    <t>[뉴트리디데이 온라인 단독 최저가 ~UP TO 60%]
★MD추천★ 1일1레몬 다이어트 필수템 !!
100% 스페인산 유기농 레몬을 물 한 방울 섞지 않은 NFC 착즙 원물 그대로 한 스틱에 담았어요~ 
10박스 구성 구매 시 박스당 5,490원에 GET 가능♥</t>
  </si>
  <si>
    <t>상단요청 (편성3)</t>
  </si>
  <si>
    <t>뉴트리디데이 프리미엄 레몬착즙 레몬수 x 10박스 140포</t>
  </si>
  <si>
    <t>6개월분 비타블룸 비타민C 100 플래티넘 3300 3.3g x 60포 3박스</t>
  </si>
  <si>
    <t>2개월분 대용량
고함향 비타민C 3,300ng 100% 함유</t>
  </si>
  <si>
    <t>스마일벌꿀 허니 2.4kg x 2병</t>
  </si>
  <si>
    <t>홀리데이즈 초임계 rTG 알티지 오메가3 90캡슐 1병 (3개월분)</t>
  </si>
  <si>
    <t>홀리데이즈 초임계 rTG 알티지 오메가3 90캡슐 (3개월/6개월/12개월)</t>
  </si>
  <si>
    <t>순도 높은 초임계 rTG 오메가3, 혈행 케어 · 건조한 눈 + 뼈 건강까지!
남녀노소 누구나 하루 1캡슐로 간편하게 혈행부터 눈까지 한번에 관리하세요!</t>
  </si>
  <si>
    <t>홀리데이즈 초임계 rTG 알티지 오메가3 90캡슐 2병 (6개월분)</t>
  </si>
  <si>
    <t>홀리데이즈 초임계 rTG 알티지 오메가3 90캡슐 4병 (12개월분)</t>
  </si>
  <si>
    <t>올바른 다이어트 유산균 가르시니아 슬림 30포(총1박스)</t>
  </si>
  <si>
    <t>올바른 다이어트 유산균 가르시니아 슬림 30포(1박스/3박스/6박스)</t>
  </si>
  <si>
    <t>명절 후 급찐급빠 1포 330원, 다이어트유산균으로 해결!
#가르시니아 750mg #프로바이오틱스 #건강기능식품 #무료배송</t>
  </si>
  <si>
    <t>올바른 다이어트 유산균 가르시니아 슬림 90포(총3박스)</t>
  </si>
  <si>
    <t>광고비 50</t>
  </si>
  <si>
    <t>올바른 다이어트 유산균 가르시니아 슬림 180포(총6박스)</t>
  </si>
  <si>
    <t>[유한메디카] 칼슘 마그네슘 엔 탑 비타민D K 망간 60정x3개(6개월분)</t>
  </si>
  <si>
    <t>하루 1정으로 채우는 5종 기능성 원료
/ 현대인을 위한 고함량 활성형 비타민D
/ 식후 혈당 상승 억제에 도움을 주는 바나바</t>
  </si>
  <si>
    <t>[유한메디카] 비타민D 엔 탑 5000IU 60캡슐x3개(6개월분)</t>
  </si>
  <si>
    <t>[유한메디카] 바나바 엔 탑 혈당케어 60정x3개(6개월분)</t>
  </si>
  <si>
    <t>건국유업 눈건강 루테인 솔루션 미니 60캡슐 (2개월/6개월/12개월)</t>
  </si>
  <si>
    <t>네이처드림 리얼 유기농 레몬즙 100 20g 14포 4박스/레몬수</t>
  </si>
  <si>
    <t>♡당신의 즙&amp;주스데이~♡
뭘 좋아하는지 몰라 모두 모아봤어요.
공동구매에서만 볼 수 있는 아주 특별한 가격★</t>
  </si>
  <si>
    <t>네이처드림 리얼 유기농 레몬생강즙 100 15g 14포 4박스/진저샷</t>
  </si>
  <si>
    <t>네이처드림 유기농 애플사이다비니거 100 15g 14포 4박스/애사비 사과초모식초</t>
  </si>
  <si>
    <t>네이처드림 유기농 레몬 애플사이다비니거 20g x 14포 4박스/ 레몬애사비</t>
  </si>
  <si>
    <t>네이처드림 리얼 깔라만시 100/ 깔라만시원액 NFC 주스 1L 4병</t>
  </si>
  <si>
    <t>네이처드림 리얼 유기농 ABC주스 4병</t>
  </si>
  <si>
    <t>네이처드림 리얼 타트체리 주스 1000mL 4병/몽모랑시 100 NFC착즙주스</t>
  </si>
  <si>
    <t>삼성제약, 건강기능식품 시리즈!
필요한 구성을 골라골라!
3박스를 이 가격에?! 묶음 구성까지?!</t>
  </si>
  <si>
    <t>[을지대학교] 관절 더하기 엠에스엠 2000 120정x2개(4개월분)</t>
  </si>
  <si>
    <t>부원료 무첨가 프리미엄 미국산 MSM 200%
/ 간 건강과 지친 몸에 활력을 주는 밀크씨슬
/ 체내 흡수율이 좋은 원료 사용 및
뼈 건강을 위한 비타민D 함유</t>
  </si>
  <si>
    <t>[을지대학교] 간건강 더하기 밀크씨슬 비타민B군 60정x2개(4개월분)</t>
  </si>
  <si>
    <t>드림이음 두뇌엔 포스파티딜세린 기억력 징코플러스 2박스</t>
  </si>
  <si>
    <t>드림이음 두뇌엔 포스파티딜세린 기억력 징코플러스 2박스/4박스/6박스</t>
  </si>
  <si>
    <t>두뇌+정상적인 면역기능 3중복합성분
기억력 케어가 필요한분들은 물론, 노화로 인한 인지력 개선이
필요한 노년층까지, 두뇌엔 포스파티딜세린 기억력 징코플러스와
함께하세요</t>
  </si>
  <si>
    <t>드림이음 두뇌엔 포스파티딜세린 기억력 징코플러스 4박스</t>
  </si>
  <si>
    <t>드림이음 두뇌엔 포스파티딜세린 기억력 징코플러스 6박스</t>
  </si>
  <si>
    <t>[참맛나] 맛있게 매운 무뼈 국물닭발 1kg</t>
  </si>
  <si>
    <t>깔끔하게 손질된 오동통한 국내산 100% 무뼈 닭발만 사용했어요!</t>
  </si>
  <si>
    <t>상단요청 (편성6)</t>
  </si>
  <si>
    <t>[참맛나] 맛있게 매운 통뼈 국물닭발 1kg</t>
  </si>
  <si>
    <t>[참맛나] 불향가득 직화 통뼈닭발 400g</t>
  </si>
  <si>
    <t>[참맛나] 불향가득 직화 튤립닭발 400g</t>
  </si>
  <si>
    <t>[참맛나] 불향가득 직화 무뼈닭발 250g</t>
  </si>
  <si>
    <t>[참맛나] 불향가득 직화 닭목살 250g</t>
  </si>
  <si>
    <t>[참맛나] 불향가득 직화 오돌뼈 250g</t>
  </si>
  <si>
    <t>크린피플</t>
  </si>
  <si>
    <t>삼육네이처세븐 통귀리 아몬드 190ml x 24팩</t>
  </si>
  <si>
    <t>우유를 못드시는 분도 걱정 없는 삼육NS의 오트밀크 &amp; 과일두유
#멜론두유 #빈&amp;트로피칼 #열대과일맛 #통귀리 #오트밀크는 비건!</t>
  </si>
  <si>
    <t>삼육네이처세븐 통귀리 아몬드 190ml x 48팩</t>
  </si>
  <si>
    <t>삼육네이처세븐 국산 통귀리 오리지널 190ml x 24팩</t>
  </si>
  <si>
    <t>삼육네이처세븐 국산 통귀리 오리지널 190ml x 48팩</t>
  </si>
  <si>
    <t>삼육네이처세븐 멜론 두유 190ml x 24팩</t>
  </si>
  <si>
    <t>삼육네이처세븐 멜론 두유 190ml x 48팩</t>
  </si>
  <si>
    <t>삼육네이처세븐 빈 트로피칼 두유 190ml x 24팩</t>
  </si>
  <si>
    <t>삼육네이처세븐 빈 트로피칼 두유 190ml x 48팩</t>
  </si>
  <si>
    <t>[바다원]쫄깃쫄깃 참쥐포 200g(M사이즈/베트남산) x 2봉</t>
  </si>
  <si>
    <t>사이즈별 쥐포 BEST 특가 찬스
#안주 #맥주안주 #쥐포 #쥐포안주</t>
  </si>
  <si>
    <t>바다원 쥐포(m) 500g 대용량 마른안주 아귀포 간편</t>
  </si>
  <si>
    <t>바다원 쥐포3L 500g 마른안주 아귀포 간편안주 캠핑</t>
  </si>
  <si>
    <t>바다원 대형 쥐포 23+23마리(1kg) 대용량 마른안주</t>
  </si>
  <si>
    <t>산채비빔밥 건나물 5종 모듬 30g x 5팩 (취나물,호박,가지,표고,시래기)</t>
  </si>
  <si>
    <t>정월대보름엔 향긋하고 건강한 나물밥 어떠세요?
취나물, 시래기, 버섯, 호박, 가지 5가지 재료가 한 팩에 들어있어 사용이 간편합니다.</t>
  </si>
  <si>
    <t>산채비빔밥 건나물 5종 모듬 30g x 10팩 (취나물,호박,가지,표고,시래기)</t>
  </si>
  <si>
    <t>산채비빔밥 건나물 5종 모듬 30g x 15팩 (취나물,호박,가지,표고,시래기)</t>
  </si>
  <si>
    <t>산채비빔밥 건나물 5종 모듬 30g x 20팩 (취나물,호박,가지,표고,시래기)</t>
  </si>
  <si>
    <t>소포장 건나물 중국산 고사리 50g x 3팩</t>
  </si>
  <si>
    <t>소포장 건나물 중국산 도라지 100g x 3팩</t>
  </si>
  <si>
    <t>소포장 건나물 중국산 고구마순 50g x 3팩</t>
  </si>
  <si>
    <t>소포장 건나물 국내산 부지깽이 50g x 3팩</t>
  </si>
  <si>
    <t>[바다원] 구룡포 연치홍게 실속형 3kg(10-12미)내외</t>
  </si>
  <si>
    <t>☆산지직송☆ 집에서 신선하게 즐기는 구룡포 연지홍게!
#홍게 #연지홍게  #자숙홍게 #구룡포홍게</t>
  </si>
  <si>
    <t>[바다원] 구룡포 연지 홍게 특급형 2kg(6-8미)내외</t>
  </si>
  <si>
    <t>[바다원] 구룡포 연지 홍게 특급형 3kg(10-12미)내외</t>
  </si>
  <si>
    <t>[바다원] 구룡포 연지 홍게 특급형 5kg(16-18미)내외</t>
  </si>
  <si>
    <t>인정</t>
  </si>
  <si>
    <t>10954594</t>
  </si>
  <si>
    <t>[목우촌] 허브갈릭 훈제오리 슬라이스 210g x 10팩 + 소스 5봉</t>
  </si>
  <si>
    <t>육즙이 풍부하고 고기맛이 연한 목우촌 허브갈릭 훈제오리 슬라이스!</t>
  </si>
  <si>
    <t>10954591</t>
  </si>
  <si>
    <t>[목우촌] 허브갈릭 훈제오리 슬라이스 210g x 8팩 + 소스 4봉</t>
  </si>
  <si>
    <t>10954589</t>
  </si>
  <si>
    <t>[목우촌] 허브갈릭 훈제오리 슬라이스 210g x 6팩 + 소스 3봉</t>
  </si>
  <si>
    <t>10954587</t>
  </si>
  <si>
    <t>[목우촌] 허브갈릭 훈제오리 슬라이스 210g x 4팩 + 소스 2봉</t>
  </si>
  <si>
    <t>52474061</t>
  </si>
  <si>
    <t>[목우촌] 허브갈릭 훈제오리 슬라이스 210g x 3팩 + 소스 1봉</t>
  </si>
  <si>
    <t>208만 유튜버가 극찬한 바로 그 감자탕! 야들야들 부드러워 뼈가 살이 쏙! 분리되는 감자탕입니다.</t>
  </si>
  <si>
    <t>제철맞은 국내산 대저 찰 토마토 1kg (S-2S) / 2개 구매시 총 2.5kg 발송</t>
  </si>
  <si>
    <t>단단한 과육, 짙은 토마토맛! 맛이 진한 대저토마토입니다.</t>
  </si>
  <si>
    <t>2/3~2/11 진행 2/12 순차출고</t>
  </si>
  <si>
    <t>제철맞은 국내산 대저 찰 토마토 1kg (M-S) / 2개 구매시 총 2.5kg 발송</t>
  </si>
  <si>
    <t>2/3~2/11 진행 2/13 순차출고</t>
  </si>
  <si>
    <t>제철맞은 국내산 대저 찰 토마토 1kg (2L-L) / 2개 구매시 총 2.5kg 발송</t>
  </si>
  <si>
    <t>2/3~2/11 진행 2/14 순차출고</t>
  </si>
  <si>
    <t>남도사랑</t>
  </si>
  <si>
    <t>67855896</t>
  </si>
  <si>
    <t>[옥과농협]찐냉동 흑찰옥수수 6개 (3개입 x 2팩)</t>
  </si>
  <si>
    <t>담백한 흑찰옥수수를 절단, 탈피, 세척하여 삶은 다음 급냉 후 진공포장해서 언제든 즐길 수 있습니다!</t>
  </si>
  <si>
    <t>67855899</t>
  </si>
  <si>
    <t>[옥과농협]찐냉동 흑찰옥수수 9개 (3개입 x 3팩)</t>
  </si>
  <si>
    <t>67855898</t>
  </si>
  <si>
    <t>[옥과농협]찐냉동 흑찰옥수수 12개 (3개입 x 4팩)</t>
  </si>
  <si>
    <t>67855897</t>
  </si>
  <si>
    <t>[옥과농협]찐냉동 흑찰옥수수 15개 (3개입 x 5팩)</t>
  </si>
  <si>
    <t>67855895</t>
  </si>
  <si>
    <t>[옥과농협]찐냉동 흑찰옥수수 18개 (3개입 x 6팩)</t>
  </si>
  <si>
    <t>67855894</t>
  </si>
  <si>
    <t>[옥과농협]찐냉동 흑찰옥수수 21개 (3개입 x 7팩)</t>
  </si>
  <si>
    <t>76417126</t>
  </si>
  <si>
    <t>[참바다] 제주 토막 갈치 300g내외(1미/3토막) x 2팩</t>
  </si>
  <si>
    <t>100% 국내산 제주갈치! 살이 탄탄해 식감이 더욱 뛰어납니다.</t>
  </si>
  <si>
    <t>76417095</t>
  </si>
  <si>
    <t>[참바다] 제주 토막 갈치 300g내외(1미/3토막) x 4팩</t>
  </si>
  <si>
    <t>76417065</t>
  </si>
  <si>
    <t>[참바다] 제주 토막 갈치 300g내외(1미/3토막) x 6팩</t>
  </si>
  <si>
    <t>[김치대가] 전라도 석박지 2kg (2개구매시 깍두기1kg증정)</t>
  </si>
  <si>
    <t>전라도의 정통방식으로 맛과 정성을 담은 김치입니다.</t>
  </si>
  <si>
    <t>[김치대가] 전라도 배추 겉절이 2kg (2개구매시 깍두기1kg증정)</t>
  </si>
  <si>
    <t>[김치대가] 전라도 포기김치 2kg (2개구매시 깍두기1kg증정)</t>
  </si>
  <si>
    <t>[김치대가] 전라도 백김치 2kg (2개구매시 깍두기1kg증정)</t>
  </si>
  <si>
    <t>[김치대가] 전라도 총각김치(알타리) 2kg (2개구매시 깍두기1kg증정)</t>
  </si>
  <si>
    <t>통영 굴 생굴무침 330g</t>
  </si>
  <si>
    <t>통영앞바다에서 자란 싱싱한 생굴에 매콤 달콤한 양념으로 맛을 낸 생굴무침입니다.</t>
  </si>
  <si>
    <t>통영 굴 생굴무침 330g 1+1</t>
  </si>
  <si>
    <t>생굴 1kg 통영산</t>
  </si>
  <si>
    <t>생굴 2kg 통영산</t>
  </si>
  <si>
    <t>통영 제철 석화 5kg 각굴 하프셀 생굴</t>
  </si>
  <si>
    <t>구좌당근 2kg 중</t>
  </si>
  <si>
    <t xml:space="preserve">아삭하고 달큰 신선한 구좌 당근! </t>
  </si>
  <si>
    <t>펀치볼 무청시래기 200g 5봉</t>
  </si>
  <si>
    <t>제주 세척 월동무 3kg</t>
  </si>
  <si>
    <t>제주 콜라비 2kg</t>
  </si>
  <si>
    <t>제주도 방울 양배추 500g</t>
  </si>
  <si>
    <t>겨울 최대 할인 ~90% SALE! 8900원부터</t>
  </si>
  <si>
    <t>[커스텀에이블] 스트링 지그재그 티셔츠_T2501TS004A</t>
  </si>
  <si>
    <t>[커스텀에이블]리뉴얼신상 특가전</t>
  </si>
  <si>
    <t>니트/조끼 지금부터 봄까지~</t>
  </si>
  <si>
    <t>[커스텀에이블] 가오리 줄배색 니트_T2501KN007A</t>
  </si>
  <si>
    <t>[커스텀에이블] 베이직 V넥 소프트 니트_T2501KN002A</t>
  </si>
  <si>
    <t>[커스텀에이블] 베이직 후드 지퍼 조끼_T2501KV001A</t>
  </si>
  <si>
    <t>[커스텀에이블] 데일리 목폴라 기본 니트_T2501KN003A</t>
  </si>
  <si>
    <t>[모리스커밍홈] 벌룬 7부소매 카라넥 셔츠_M2501BL005A</t>
  </si>
  <si>
    <t>[모리스커밍홈]봄신상 미리보기</t>
  </si>
  <si>
    <t>#셔츠#블라우스#맨투맨#티셔츠</t>
  </si>
  <si>
    <t>[모리스커밍홈] 데일리 기본 카라 블라우스_M2501BL004A</t>
  </si>
  <si>
    <t>[모리스커밍홈] 베이직 끈조절 민소매 블라우스_M2501BL003A</t>
  </si>
  <si>
    <t>[모리스커밍홈] 모니카 영문 자수 맨투맨 티셔츠_M2501TS003A</t>
  </si>
  <si>
    <t>[모리스커밍홈] 블러쉬 영문 베이직 긴팔 티셔츠_M2501TS004A</t>
  </si>
  <si>
    <t>[올리비에스클로젯] 인조 융털안감 카고 골덴 조거 팬츠_O2311PT164D</t>
  </si>
  <si>
    <t>[올리비에스클로젯]시즌마감 최종가</t>
  </si>
  <si>
    <t>기모레깅스/뽀글이 조끼~85%OFF</t>
  </si>
  <si>
    <t>[올리비에스클로젯] 데일리 피치안감 레깅스_O2012PT701D</t>
  </si>
  <si>
    <t>[올리비에스클로젯] 기모안감 착시 스타킹_O2411PT606D</t>
  </si>
  <si>
    <t>[올리비에스클로젯] 노카라 뽀글이 포켓 조끼_O2410VT003D</t>
  </si>
  <si>
    <t>[올리비에스클로젯] 라운드 포켓 뽀글이 집업 자켓_O2410JK088D</t>
  </si>
  <si>
    <t>[코몽트] 남녀공용 쉘파 하이넥 후리스 자켓 4종택 1</t>
  </si>
  <si>
    <t>[코몽트/슬레진저/스프리스) 패딩 자켓 / 팬츠 / 티셔츠 모음전!</t>
  </si>
  <si>
    <t>방풍 / 패딩 / 자켓 / 팬츠 / 티셔츠 1만원대 부터 ~ 특가할인 지금이 기회!</t>
  </si>
  <si>
    <t>[코몽트] 웰론 중량 패딩자켓 3종택 1</t>
  </si>
  <si>
    <t>[코몽트]방풍 패딩바지 3종택1</t>
  </si>
  <si>
    <t>[슬레진저] 웰론 중량 패딩 자켓 3종택1</t>
  </si>
  <si>
    <t>[슬레진저] 남성 FW 웜 패딩팬츠 3종택1</t>
  </si>
  <si>
    <t>[스프리스] 와펜 기모 라운드 티셔츠 4종택1</t>
  </si>
  <si>
    <t>로저 꽈배기 울 니트 베스트</t>
  </si>
  <si>
    <t>시즌오프! 베스트아이템 추천</t>
  </si>
  <si>
    <t>주드 폴라 캐시미어 니트</t>
  </si>
  <si>
    <t>㈜데임/시스넬라</t>
  </si>
  <si>
    <t>[시스넬라]남성 기모 타이즈 남자 레깅스 발열 내복 9부 겨울 방한</t>
  </si>
  <si>
    <t>[시스넬라]남/여 기모 타이즈 남자 레깅스 발열 내복 / 기모내복 모음 ★</t>
  </si>
  <si>
    <t>남여 기모 내의/레깅스 특가 무료배송
#타이즈 #남자기모레깅스 #내복세트 #남자내복 #여자내복 #겨울속옷</t>
  </si>
  <si>
    <t>[시스넬라]남여 프린트스판 기모내의 내복 상하의세트</t>
  </si>
  <si>
    <t>테슬라 여성 기모 하프넥 티셔츠 TM-XUT46</t>
  </si>
  <si>
    <t>[공동구매 특가] 따뜻하고 편안한 기모 티셔츠</t>
  </si>
  <si>
    <t>뛰어난 신축성과 부드러운 기모로 편안하게
#기모티셔츠 #목티 #여성티셔츠 #남성티셔츠 #목폴라 #터틀넥</t>
  </si>
  <si>
    <t>테슬라 남성 기모 하프넥 티셔츠 TM-YUT45</t>
  </si>
  <si>
    <t>테슬라 기모 내의 내복 언더레이어 바라클라바 긴팔 TM-YUH58</t>
  </si>
  <si>
    <t>테슬라 언더레이어 기모 터틀넥 골프이너웨어 TM-YUT57</t>
  </si>
  <si>
    <t>테슬라 바디수트 기모 터틀넥 긴팔 TM-XUO02</t>
  </si>
  <si>
    <t>주식회사 디와이커머스/
할인바이할인</t>
  </si>
  <si>
    <t>[5+5] 소프트윈터 기모안감 보온양말 (총 10켤레세트)</t>
  </si>
  <si>
    <t>[BEST] 겨울시즌 양말/머플러/잠옷 인기상품 모음 초특가!</t>
  </si>
  <si>
    <t>기모양말/슬리퍼/바라클라바/장갑 포함 겨울용품 초특가 세일!</t>
  </si>
  <si>
    <t>[10켤레+10켤레] 심플컬러 골지중목양말 (총 20켤레세트)</t>
  </si>
  <si>
    <t>[6켤레+6켤레] 케이블짜임 니트 꽈배기양말 (총 12켤레세트)</t>
  </si>
  <si>
    <t>[7켤레+7켤레] 포그니 구름 수면양말 따뜻한 임산부 양털양말 (총 14켤레세트)</t>
  </si>
  <si>
    <t>[3+3] 방울곰도리 고퀄리티 따뜻 수면양말 임산부양말 색상혼합 6종세트</t>
  </si>
  <si>
    <t>[1+1] 플로어 패딩슬리퍼 방한 털실내화 컬러4종</t>
  </si>
  <si>
    <t>[1+1] 포그 스웨이드 털슬리퍼 논슬립 퍼실내화 외출화 겸용 5종</t>
  </si>
  <si>
    <t>[1+1] ABC 뽀글이 양털슬리퍼 논슬립 알파벳 털실내화</t>
  </si>
  <si>
    <t>밍크퍼 슬리퍼 키높이 털실내화 컬러3종</t>
  </si>
  <si>
    <t>소프트블로썸 극세사로브 루즈핏 수면가운 원피스잠옷 컬러2종</t>
  </si>
  <si>
    <t>소프트꽈배기 극세사 루즈핏 롱원피스 수면잠옷 컬러5종</t>
  </si>
  <si>
    <t>컬러프렌즈 소프트극세사 수면잠옷 가디건형 (상의+하의)</t>
  </si>
  <si>
    <t>[1+1] 와이드핏 바라클라바 후드모자 넥워머 컬러5종</t>
  </si>
  <si>
    <t>[1+1] 데일리 포근 남녀공용 터치 니트장갑 컬러4종</t>
  </si>
  <si>
    <t>[1+1] 리본셔링 고퀄리티 기모퍼 패딩장갑 터치가능 여성장갑 컬러3종</t>
  </si>
  <si>
    <t>[비버리힐즈폴로클럽] 여성 복부 보정 속옷 삼각 팬티</t>
  </si>
  <si>
    <t>[비버리힐즈폴로클럽] 남녀 언더웨어 특가 기획전! 6,900원~</t>
  </si>
  <si>
    <t>비버리힐즈폴로클럽 남녀 주니어 언더웨어 세일 행사
#비버리힐즈 #팬티 #드로즈 #언더웨어 #속옷세트</t>
  </si>
  <si>
    <t>페리힐즈 여성용 노라인 햄팬티 2P 세트</t>
  </si>
  <si>
    <t>[비버리힐즈 폴로클럽] 여성 노라인 샘방지 위생팬티 3종세트</t>
  </si>
  <si>
    <t>비버리힐즈 남아 주니어 고급 순면 드로즈4종세트</t>
  </si>
  <si>
    <t>[비버리힐즈 폴로클럽] 고급 순면 드로즈 4종세트</t>
  </si>
  <si>
    <t>아가일 꽈배기패턴 극세사 양털 양면담요 대형(100x150)</t>
  </si>
  <si>
    <t>따끈포근한 담요&amp; 쿠션 특가</t>
  </si>
  <si>
    <t>겨울철 추위 양털 담요로 극복~</t>
  </si>
  <si>
    <t>아가일 꽈배기패턴 극세사 양털 양면담요 특대형(150x200)</t>
  </si>
  <si>
    <t>릴렉스버니 극세사 모찌 등받이쿠션 컬러6종</t>
  </si>
  <si>
    <t>리브맘 매일 바꿔쓰는 피그먼트 베개커버 1+1 40x60</t>
  </si>
  <si>
    <t>피그먼트 배게커버 1+1</t>
  </si>
  <si>
    <t>간편하게 바꾸는 베개커버와 매일 밤,깨끗하게 자는 잠</t>
  </si>
  <si>
    <t>리브맘 매일 바꿔쓰는 피그먼트 베개커버 1+1 50x70</t>
  </si>
  <si>
    <t>리브맘 순면 피그먼트 매트리스 침대패드 고정밴드 멀티싱글</t>
  </si>
  <si>
    <t xml:space="preserve">리브맘 순면 피그먼트 매트리스 침대패드 고정밴드 </t>
  </si>
  <si>
    <t>촉감이 보송보송하고 쾌적한 피그먼트 침대패드입니다.</t>
  </si>
  <si>
    <t>리브맘 순면 피그먼트 매트리스 침대패드 고정밴드 슈퍼싱글</t>
  </si>
  <si>
    <t>리브맘 순면 피그먼트 매트리스 침대패드 고정밴드 퀸</t>
  </si>
  <si>
    <t>리브맘 순면 피그먼트 매트리스 침대패드 고정밴드 킹</t>
  </si>
  <si>
    <t>1+1부터 20+20까지 생활필수템 초특가</t>
  </si>
  <si>
    <t xml:space="preserve">평소 필요했던 상품들만 모아모아~ </t>
  </si>
  <si>
    <t xml:space="preserve">■ 2/10주차  (2/10~2/16 진행, 발송예정일 : 2/17월) </t>
  </si>
  <si>
    <r>
      <rPr>
        <b/>
        <sz val="20"/>
        <color rgb="FF000000"/>
        <rFont val="맑은 고딕"/>
        <family val="2"/>
        <scheme val="minor"/>
      </rPr>
      <t xml:space="preserve">붉은색 음영칸 MD작성 요청 </t>
    </r>
    <r>
      <rPr>
        <b/>
        <sz val="20"/>
        <color rgb="FFFF0000"/>
        <rFont val="맑은 고딕"/>
        <family val="2"/>
        <scheme val="minor"/>
      </rPr>
      <t>마감</t>
    </r>
  </si>
  <si>
    <t>리브맘 고밀도 데일리 메모리폼 베개+매쉬커버 1+1</t>
  </si>
  <si>
    <t xml:space="preserve">인체공학적 3D 입체설계로 c자형 경추 유지에 탁월하며
뛰어난 체압분산으로 편안합니다.
</t>
  </si>
  <si>
    <t>리브맘 7존 누빔 매트리스 토퍼 5cm 멀티싱글</t>
  </si>
  <si>
    <t>리브맘 7존 누빔 매트리스 토퍼 모음전</t>
  </si>
  <si>
    <t>인체공학적 3D 입체설계로 머리부터 발끝까지 안정적으로 체압을 분산하여 몸 전체를 부드럽고 포근하게 감싸줍니다</t>
  </si>
  <si>
    <t>리브맘 7존 누빔 매트리스 토퍼 5cm 슈퍼싱글</t>
  </si>
  <si>
    <t>리브맘 7존 누빔 매트리스 토퍼 5cm 퀸</t>
  </si>
  <si>
    <t>[리브맘] 7존 누빔 매트리스 토퍼 7cm 멀티싱글</t>
  </si>
  <si>
    <t>[리브맘] 7존 누빔 매트리스 토퍼 7cm 슈퍼싱글</t>
  </si>
  <si>
    <t>[리브맘] 7존 누빔 매트리스 토퍼 7cm 퀸</t>
  </si>
  <si>
    <t>[리브맘] 7존 누빔 매트리스 토퍼 11cm 멀티싱글</t>
  </si>
  <si>
    <t>[리브맘] 7존 누빔 매트리스 토퍼 11cm 슈퍼싱글</t>
  </si>
  <si>
    <t>[리브맘] 7존 누빔 매트리스 토퍼 11cm 퀸</t>
  </si>
  <si>
    <t>리치앤홈 베개&amp;이불 침구모음전</t>
  </si>
  <si>
    <t>편안한 잠자리를 위한 완벽한 선택, 놓치지 마세요!"</t>
  </si>
  <si>
    <t xml:space="preserve">리치앤홈 사계절 푹신하고 두꺼운 북유럽 클라우드 쇼파토퍼3인용 </t>
  </si>
  <si>
    <t xml:space="preserve">리치앤홈 사계절 푹신하고 두꺼운 북유럽 클라우드 쇼파토퍼4인용 </t>
  </si>
  <si>
    <t>따끈포근한 담요&amp;이불세트 모음</t>
  </si>
  <si>
    <t xml:space="preserve">신년맞이 고퀄리티 #담요 #이불세트 #이불패드 공동구매 초특가!
</t>
  </si>
  <si>
    <t>상단요청 (편성2)</t>
  </si>
  <si>
    <t>[ITALY 19V69] 모르비도 극세사 똑딱이 담요 (100x150) 무릎 담요</t>
  </si>
  <si>
    <t>[마이템] 알러지케어 그루잠 빅사이즈 패딩담요(+전용파우치) 어깨망토 무릎담요 차량용담요</t>
  </si>
  <si>
    <t>[ITALY 19V69] 오코텍스 인증 안젤로 양면 극세사 패드 침대 패드 Q</t>
  </si>
  <si>
    <t>[ITALY 19V69] 오코텍스 인증 소니도르 극세사 매트리스 패드 침대 패드 Q</t>
  </si>
  <si>
    <t>보스코 뉴질랜드 천연양모 차렵이불세트 Q (이불1+베개커버2)</t>
  </si>
  <si>
    <t>[ITALY 19V69] 소니도르 극세사 차렵이불세트Q (이불1+베개커버2)</t>
  </si>
  <si>
    <t>메리그린 99특가! 14K 골드필드 귀걸이 균일가</t>
  </si>
  <si>
    <t>인기 귀걸이를 9900원 균일가로 만나보세요 ♡
14K 골드필드 핀 귀걸이</t>
  </si>
  <si>
    <t>[메리그린] 14K GF 골드필드 핀 별 귀걸이 폴라리스</t>
  </si>
  <si>
    <t>[메리그린] 14K GF 골드필드 핀 하트퐁 귀걸이</t>
  </si>
  <si>
    <t>[메리그린] 14K GF 골드필드 핀 귀걸이 블랙라운드</t>
  </si>
  <si>
    <t>[공동구매] 92.5 실버 은 반지 패션 레이어드 링</t>
  </si>
  <si>
    <t>순도 92.5% 순은 반지! 데일리 레이어드 실버반지</t>
  </si>
  <si>
    <t>샐리 14Kgp 볼 체인 로즈골드 팔찌 JR192</t>
  </si>
  <si>
    <t>로그온커머스/족발야시장</t>
  </si>
  <si>
    <t>족발야시장 북성로 직화 연탄불고기 250g 3팩+동미치육수 1팩</t>
  </si>
  <si>
    <t>족발야시장 연탄불고기or직화 양념곱창+동치미 육수!</t>
  </si>
  <si>
    <t>간단하게 즐기는 요리다운 요리! 동치미 육수까지! #캠핑요리 #간편조리 #간편식 #별미</t>
  </si>
  <si>
    <t>족발야시장 직화 양념 곱창 250g 3팩+동치미육수 1팩</t>
  </si>
  <si>
    <t>E415512</t>
  </si>
  <si>
    <t>든든한끼 빅마마이혜정의 육개장 500g x 3팩</t>
  </si>
  <si>
    <t>빅마마 이혜정의 비법육수 사용 육개장/부대찌개/콩비지/갈비탕 공동구매 한정 초특가 골라담기!</t>
  </si>
  <si>
    <t>든든한끼 빅마마이혜정의 콩비지탕 500g x 3팩</t>
  </si>
  <si>
    <t>든든한끼 빅마마이혜정의 얼큰우거지갈비탕 500g x 3팩</t>
  </si>
  <si>
    <t>빅마마 이혜정의 신나는 부대찌개 600g x 3팩</t>
  </si>
  <si>
    <t>든든한끼 빅마마이혜정의 육개장 500g x 4개</t>
  </si>
  <si>
    <t>든든한끼 빅마마이혜정의 콩비지탕 500g 4팩</t>
  </si>
  <si>
    <t>든든한끼 빅마마이혜정의 얼큰우거지갈비탕 500g x 4개</t>
  </si>
  <si>
    <t>든든한끼 빅마마 이혜정의 육개장2팩 + 우거지갈비탕2팩</t>
  </si>
  <si>
    <t>든든한끼 빅마마 이혜정의 육개장2팩 + 콩비지탕2팩</t>
  </si>
  <si>
    <t>뉴트리디데이 글램피아 1병 60정</t>
  </si>
  <si>
    <t>뉴트리디데이 글램피아 1병 60정/120정</t>
  </si>
  <si>
    <t>[뉴트리디데이 온라인 단독 최저가 ~UP TO 85%]
★MD추천★ SNS 인기상품! 여성을 대표하는 원료 가득~
섭취 간편하게 하루 1정♥
바디&amp;탄력 UP~ 나만의 자신감 완성!</t>
  </si>
  <si>
    <t>뉴트리디데이 글램피아 2병 120정</t>
  </si>
  <si>
    <t>대상웰라이프</t>
  </si>
  <si>
    <t>[공동구매]루테인 플러스 30캡슐x6박스(총6개월분)</t>
  </si>
  <si>
    <t>- 루테인 20mg 함유 (하루 최대 함량)
- 비타민, 미네랄 8종 함유
- 더 작아진 캡슐 크기로 수월한 목넘김 (300mg 미니캡슐)</t>
  </si>
  <si>
    <t>[공동구매]뉴케어 스포식스 에너지 젤 복숭아맛 (45gx8포) 2박스</t>
  </si>
  <si>
    <t>[공동구매]뉴케어 스포식스 에너지 젤 복숭아맛 (45gx8포) 2박스/5박스</t>
  </si>
  <si>
    <t>- 장시간 운동에 빠르고 쉽게 에너지 충전!
'- 소화 흡수를 고려한 탄수화물 30g
'- 과라나 유래 카페인 45g
'- 잔당감없이 부드러운 목넘김</t>
  </si>
  <si>
    <t>[공동구매]뉴케어 스포식스 에너지 젤 복숭아맛 (45gx8포) 5박스</t>
  </si>
  <si>
    <t>칼로리 고작 6 kcal, 당류는 0%! 
원물 그대로 100% NFC 착즙 공법으로 담아낸 유기농 통레몬이 1포 가득!
물 타지 않은 신선한 원물 그대로~ 액상 스틱으로 깔끔하고 간편하게 즐겨보세요.</t>
  </si>
  <si>
    <t>상단편성 5</t>
  </si>
  <si>
    <t>올바른 슈퍼 비타민C 3000 90포 1박스 총 3개월/6개월/12개월분</t>
  </si>
  <si>
    <t>[공동구매][건국유업] 탄수화물 다이어트 가르시니아 60정x2개(2개월)</t>
  </si>
  <si>
    <t>[건국유업] 탄수화물 다이어트 가르시니아 60정x2개(2개월)</t>
  </si>
  <si>
    <t>다가오는 봄 맞이 다이어트
건국유업과 함께 하세요!
3만원 이상 구매 시 사은품 증정
쇼핑백도 챙겨가세요!</t>
  </si>
  <si>
    <t>[공동구매][건국유업] 체지방 다이어트 녹차카테킨 60정x2개(2개월)</t>
  </si>
  <si>
    <t>[공동구매][건국유업] 혈당관리 앤 유산균 30캡슐x3개(3개월)</t>
  </si>
  <si>
    <t>입속 유해 세균 및 구강 건강을 위한 덴티 플러스
/ 식약처 고시 1일 섭취량 최대치 루테인 20mg 함유
/ 풍성한 자신감을 채워주는 고함량 비오틴, 판토텐산</t>
  </si>
  <si>
    <t>[유한메디카] 풍성한 비오틴 엔 탑 10000 맥스 60정x3개(6개월분)</t>
  </si>
  <si>
    <t>[S]네이처드림 엑스트라버진 아보카도오일 30캡슐 x 3박스</t>
  </si>
  <si>
    <t>네이처드림 엑스트라버진 아보카도오일 30캡슐 x 3박스</t>
  </si>
  <si>
    <t>2月 이너뷰티&amp;다이어트 첫걸음!
놓치지마세요!</t>
  </si>
  <si>
    <t>네이처드림 MCT오일 1000mg x 30캡슐 3박스</t>
  </si>
  <si>
    <t>네이처드림 저분자 콜라겐C 2g x 30포 3박스</t>
  </si>
  <si>
    <t>[S]네이처드림 아름다운 글루타치온 1,000mg x 60정 x 2박스/ 히알루론산 저분자 콜라겐</t>
  </si>
  <si>
    <t>[S]네이처드림 잔티젠 600mg x 30캡슐 2박스(8주분)</t>
  </si>
  <si>
    <t>[을지대학교] 에너지 더하기 멀티비타민미네랄23 60정x3개(6개월분)</t>
  </si>
  <si>
    <t>온 가족이 섭취 할 수 있는 23종 영양소 종합비타민
/ 뼈와 근육 건강의 핵심 성분 칼슘 마그네슘 비타민D 망간
/ 식약처에서 기능성을 인정받은 19종 유산균 함유</t>
  </si>
  <si>
    <t>(소비기한25.06.11)올바른 칼슘 마그네슘 비타민D 아연 x 30정 x 4박스</t>
  </si>
  <si>
    <t>올바른 칼슘 마그네슘 비타민D 아연 x 30정 x 4박스</t>
  </si>
  <si>
    <t>면역력 챙기셔야죠!
올바른 건강 칼슘 마그네슘 비타민D아연 &amp; 멀티비타민</t>
  </si>
  <si>
    <t>올바른 멀티비타민 900mg x 30정 4박스</t>
  </si>
  <si>
    <t>드림이음 오늘레몬 100 착즙 NFC 유기농 레몬즙 레몬수 15포 x 3박스</t>
  </si>
  <si>
    <t>드림이음 오늘레몬 100 착즙 NFC 유기농 레몬즙 레몬수 3박스/6박스/12박스</t>
  </si>
  <si>
    <t>물 없이 착즙한 100% 유기농 레몬즙
지중해 스페인산 유기농 레몬
1박스 유기농 통레몬 15개 함유
섭취 간편한 스틱형 타입</t>
  </si>
  <si>
    <t>드림이음 오늘레몬 100 착즙 NFC 유기농 레몬즙 레몬수 15포 x 6박스</t>
  </si>
  <si>
    <t>드림이음 오늘레몬 100 착즙 NFC 유기농 레몬즙 레몬수 15포 x 12박스</t>
  </si>
  <si>
    <t>로레알파리 엑셀랑스 크림 (프로케라틴 염색약) 2개</t>
  </si>
  <si>
    <t>[로레알파리]  신년맞이 쉽고빠른 헤어염색 로레알파리 특가 세일</t>
  </si>
  <si>
    <t>[로레알파리] 두피 샴푸와 마스크로
프리미엄 케어까지 한번에!</t>
  </si>
  <si>
    <t>로레알파리 엑셀랑스 듀오 크림 (더블튜브 염색약) 2개</t>
  </si>
  <si>
    <t>하라즈 맥주효모 샴푸 1000ml</t>
  </si>
  <si>
    <t>[유앤아이라이프]하라즈 맥주효모샴푸/트리트먼트 출시 49% 할인 특가</t>
  </si>
  <si>
    <t>[유앤아이라이프] 두피부터 탄탄하게
균형잡힌 두피활력케어!</t>
  </si>
  <si>
    <t>하라즈 맥주효모 샴푸 베이비파우더향 1000ml</t>
  </si>
  <si>
    <t>하라즈 맥주효모 트리트먼트 1000ml</t>
  </si>
  <si>
    <t>하라즈 맥주효모 트리트먼트 베이비파우더향 1000ml</t>
  </si>
  <si>
    <t>콜라겐 아이크림 40mlx4개</t>
  </si>
  <si>
    <t>[메디플라워]콜라겐 아이크림 40mlx4개</t>
  </si>
  <si>
    <t>[메디플라워] 건조하고 탄력잃은 피부를 위한
집중적인 수분&amp;탄력 홈케어 시리즈!</t>
  </si>
  <si>
    <t>펄케어</t>
  </si>
  <si>
    <t>펄케어 뉴소닉 갈바닉 마사지기 고주파 진동 EMS 얼굴 피부관리기</t>
  </si>
  <si>
    <t>[펄케어] 펄케어 뉴소닉
피부관리기 입문 BEST 아이템!</t>
  </si>
  <si>
    <t>[펄케어] 고주파 기술을 통해 피부 관리부터 개선까지, 피부 케어 토탈 솔루션!</t>
  </si>
  <si>
    <t>펄케어 딥블루 고주파 마사지기 핫&amp;쿨링 냉온 갈바닉 홈케어 피부관리기</t>
  </si>
  <si>
    <t>펄케어 트리플웨이 미용기기 고주파마사지기 멀티 초음파 탄력 마사지기</t>
  </si>
  <si>
    <t>TS 가드 마스크 KF 94 새부리형 마스크 대형 5매입 100매</t>
  </si>
  <si>
    <t>[일상이삼]안전한 숨, 편안한 착용감! KF94 &amp; KF-AD 마스크 기획전</t>
  </si>
  <si>
    <t>[일상이삼] 
최고의 필터링 성능과 편안한 착용감을 갖춘 KF94 &amp; KF-AD 마스크를 한 곳에서 만나보세요!</t>
  </si>
  <si>
    <t>상단편성7</t>
  </si>
  <si>
    <t>TS 티마 마스크 KF 94 새부리형 마스크 대형 5매입 100매</t>
  </si>
  <si>
    <t>스카이슘 KF94 새부리형 대형 기획팩 에어마스크 100매</t>
  </si>
  <si>
    <t>위가드 KF94 새부리형 대형 기획팩 마스크 100매</t>
  </si>
  <si>
    <t>레모나 프레쉬 비타 새부리형 마스크 KFAD 대형 100매(수수료 12%)</t>
  </si>
  <si>
    <t>C2Y 아쿠아 휩 폼 클렌징 220ml 6개</t>
  </si>
  <si>
    <t>[키즈이십사] 스테디셀러 아쿠아 휩 폼클렌징/비누 최저가 행사</t>
  </si>
  <si>
    <t>[키즈이십사] 쫀쫀한 미세거품으로 부드럽게 딥클렌징!</t>
  </si>
  <si>
    <t>C2Y 아쿠아 버블 폼 500ml 2개</t>
  </si>
  <si>
    <t>C2Y 아쿠아 휩 세안 세수 비누 올인원 대용량 100g 12개</t>
  </si>
  <si>
    <t>[네이처리퍼블릭] 1+1 쉐어버터 스팀크림 (3종 택 1)</t>
  </si>
  <si>
    <t>[네이처리퍼블릭] 수분 인기템 비공개 최저가!!★</t>
  </si>
  <si>
    <t>추운 겨울 건조한 피부에 보습을 듬뿍! 
크림부터 핸드크림까지 1+1로 더 촉촉하게 케어하세요♥</t>
  </si>
  <si>
    <t>[네이처리퍼블릭] 1+1 핸드 앤 네이처 핸드크림 대용량 (선셋 버베나+피치 리퀴어)</t>
  </si>
  <si>
    <t>미에뜰 순수 여성청결제 500ml 1+1 대용량</t>
  </si>
  <si>
    <t>[미에뜰] 나를 위한 365일 건강한 습관!
순한 여성청결제</t>
  </si>
  <si>
    <t>미에뜰 쿨링 남성청결제 500ml 1+1 대용량</t>
  </si>
  <si>
    <t>히아루론 약산성 여성청결제 500g 1+1 저자극 순한</t>
  </si>
  <si>
    <t>추위 필수 일월 카본
카페트/매트 비공개 최저가</t>
  </si>
  <si>
    <t>추위필수 일월 카본
카페트/매트 비공개 최저가</t>
  </si>
  <si>
    <t>[커스텀에이블]니트/티셔츠 간절기BEST</t>
  </si>
  <si>
    <t>트렌디함과 편안함을 동시에~</t>
  </si>
  <si>
    <t>[모리스커밍홈] 데일리 무드 스카프_M2501AC004A</t>
  </si>
  <si>
    <t>[모리스커밍홈]어디에나 안성맞춤! ACC/티셔츠</t>
  </si>
  <si>
    <t>리뉴얼 SS신상 간절기템</t>
  </si>
  <si>
    <t>[모리스커밍홈] 로코코 무드 스카프_M2501AC005A</t>
  </si>
  <si>
    <t>[모리스커밍홈] 슬림핏 반하이 캡소매 티셔츠_M2501TS005A</t>
  </si>
  <si>
    <t>[모리스커밍홈] 레이스 골지 캐미 슬리브리스 탑_M2501TS006A</t>
  </si>
  <si>
    <t>[모리스커밍홈] 소프트 셔링 슬리브리스 탑_M2501TS008A</t>
  </si>
  <si>
    <t>[올리비에스클로젯] 베이직 라벨 에코백_O2501AG001A</t>
  </si>
  <si>
    <t>[올리비에스클로젯]봄신상 BEST</t>
  </si>
  <si>
    <t>#니트베스트#팬츠#티셔츠#에코백</t>
  </si>
  <si>
    <t>[올리비에스클로젯] 꽈배기 브이넥 니트 베스트_O2501KV001A</t>
  </si>
  <si>
    <t>[올리비에스클로젯] [55-77]베이직 텐션 부츠컷 밴딩 팬츠_O2501PT002A</t>
  </si>
  <si>
    <t>[올리비에스클로젯] 데일리 카고 밴딩 팬츠_O2501PT003A</t>
  </si>
  <si>
    <t>[올리비에스클로젯] 어데이 영문 긴팔 티셔츠_O2501TS003A</t>
  </si>
  <si>
    <t>비엔비</t>
  </si>
  <si>
    <t>클라셰 (77까지)FAUX밍크박시후드자켓_B4M2245</t>
  </si>
  <si>
    <t>슈컴퍼니 여성남성</t>
  </si>
  <si>
    <t>리들리 나인 에코 무스탕 덕다운 롱패딩 4종 택1</t>
  </si>
  <si>
    <t xml:space="preserve">　[리들리나인] 덕다운 무스탕 / 케이블 가디건 1만원대!
</t>
  </si>
  <si>
    <t>　베스트 아우터 모음! 가디건 / 롱패딩 1만원대 !!</t>
  </si>
  <si>
    <t>[리들리나인] 케이블 모직 카디건_베이지</t>
  </si>
  <si>
    <t xml:space="preserve">[1+1] 내몸에 딱 맞는 매직힙색 슬림벨트백 남녀공용 슬림 요술가방 </t>
  </si>
  <si>
    <t>캠핑/레저/여행 가방 및 잡화
1+1 특가!</t>
  </si>
  <si>
    <t>남녀공용 등산/캠핑/여행 가방 및 모자
초특가 모음전!</t>
  </si>
  <si>
    <t>[1+1] 트래킹 허리가방 물병수납 등산/라이딩/캠핑 야외활동 힙색</t>
  </si>
  <si>
    <t>[1+1] 초경량 포켓백팩 아웃도어 기능성 등산가방 컬러4종</t>
  </si>
  <si>
    <t>[1+1] 포켓버킷햇 접이식 아웃도어 벙거지모자 남여공용</t>
  </si>
  <si>
    <t>[1+1] 똑딱고정 아웃도어 사파리 벙거지모자 넓은 챙 모자 컬러3종</t>
  </si>
  <si>
    <t>[1+1] 수납력 좋은 캐리어결합 뉴타입 사각보스턴백 방수 여행가방</t>
  </si>
  <si>
    <t>[1+1] 2단 확장 여행가방 폴딩 캐리어백 컬러 5종</t>
  </si>
  <si>
    <t>[1+1] 옥스포드 보스턴백 캐리어결합 여행가방</t>
  </si>
  <si>
    <t>[7종세트] 올인원 캐리어정리 여행용 파우치 여행준비 트래블백 컬러4종</t>
  </si>
  <si>
    <t>퀼트 면 거실화 5켤레 덧신 실내화 층간소음방지 세탁가능 워셔블 미끄럼방지</t>
  </si>
  <si>
    <t>1+1 2종세트 북유럽 발매트 욕실매트 세탁 가능한 다용도 면매트 주방매트 침실 퀼트 발 매트</t>
  </si>
  <si>
    <t>1+1 노와이어 무봉제 심리스 브라 스포츠브라</t>
  </si>
  <si>
    <t>2종세트 심리스 브라런닝 나시 캐미솔 노와이어 캡나시 노라인 볼륨업</t>
  </si>
  <si>
    <t>예스플러스 톤다운 정품 면팬티10매</t>
  </si>
  <si>
    <t>예스플러스 순면팬티 정품 면팬티10매</t>
  </si>
  <si>
    <t>가장 많이 입는 미디 타입의 팬티로 편하게 착용 가능하며,
살에 닿는 촉감이 부드러워 편하고무난한 디자인으로 여성 누구나 데일리로 입기 좋은 아이템!
 #데일리 #필수템 #순면 #부드러운</t>
  </si>
  <si>
    <t>CQR 여성 밍크 플리스 파자마 잠옷 가운 CQ-WPR510</t>
  </si>
  <si>
    <t>[공동구매 특가] 따듯한 홈웨어</t>
  </si>
  <si>
    <t>따듯하고 편안한 홈웨어 특가
#가운 #잠옷 #여성잠옷 #남성잠옷 #남성가운 #여성가운</t>
  </si>
  <si>
    <t>CQR 여성 파자마 순면 잠옷바지 체크파자마 CQ-WPJ200</t>
  </si>
  <si>
    <t>테슬라 라운지 긴팔 티셔츠 TM-FBT15</t>
  </si>
  <si>
    <t>CQR 여성 밍크 플리스 후드 파자마 잠옷 CQ-WPR520</t>
  </si>
  <si>
    <t>아티카 레이온 블렌드 7부 원피스 AT-OM301</t>
  </si>
  <si>
    <t>[바다원]일품 육수코인 깊은 맛 (5g x 20알)2봉</t>
  </si>
  <si>
    <t>[바다원] 일품 육수코인 깊은 맛 (5g x 20알)2봉</t>
  </si>
  <si>
    <t>따끈한 국물에 감칠맛 한스푼!
#육수팩 #국물용팩 #육수코인 #국물요리</t>
  </si>
  <si>
    <t>[바다원]일품 육수코인 매운 맛 (5g x 20알)2봉</t>
  </si>
  <si>
    <t>반찬단지 깻잎무침 1kg+1kg</t>
  </si>
  <si>
    <t>깻잎무침1kg+고추무침 1Kg</t>
  </si>
  <si>
    <t>무말랭이1Kg+콩장조림1Kg</t>
  </si>
  <si>
    <t>무말랭이1Kg+고추무침1kg</t>
  </si>
  <si>
    <t>무말랭이1Kg+간장깻잎1Kg</t>
  </si>
  <si>
    <t>[마음심은] 여수 돌산갓김치 2kg / 익을수록 시원한</t>
  </si>
  <si>
    <t>[마음심은] 여수 돌산갓김치 2kg</t>
  </si>
  <si>
    <t>우리 농산물 100% 
재구매 200% 김치</t>
  </si>
  <si>
    <t>[마음심은] 여수 돌산갓김치 3kg / 익을수록 시원한</t>
  </si>
  <si>
    <t>[마음심은] 여수 갓장아찌 1kg / 익을수록 시원한</t>
  </si>
  <si>
    <t>[마음심은] 여수 갓장아찌 2kg / 익을수록 시원한</t>
  </si>
  <si>
    <t>[마음심은] 나박김치 2kg / 익을수록 시원한</t>
  </si>
  <si>
    <t>바다원 국내가공 명엽채 500g+500g 쥐어채 일미채</t>
  </si>
  <si>
    <t>우리집 식탁 필수템 BEST 모음명엽채/황태채/도시락김</t>
  </si>
  <si>
    <t>바다원 황태채 500g (250g x 2봉) 보관용소분 명태 명태채 손질먹태</t>
  </si>
  <si>
    <t>[바다원]완도재래김 도시락김 (4gx16봉)x3묶음</t>
  </si>
  <si>
    <t>바다원 국산 완도 파래김 도시락김 4gx16봉 3묶음</t>
  </si>
  <si>
    <t>산과들에</t>
  </si>
  <si>
    <t>다크초콜릿아몬드x30봉</t>
  </si>
  <si>
    <t>산과들에 다크초콜릿아몬드 30봉</t>
  </si>
  <si>
    <t>내 입안에 감도는 달콤 쌉싸름한 다크 초코볼
자꾸만 손이가요~손이가~</t>
  </si>
  <si>
    <t>원데이에너지바초코미니200gx2봉</t>
  </si>
  <si>
    <t>다크초콜릿헤이즐넛x30봉</t>
  </si>
  <si>
    <t>다크초콜릿마카다미아x30봉</t>
  </si>
  <si>
    <t>초코건x20봉</t>
  </si>
  <si>
    <t>원데이에너지바오리지널10개세트x1</t>
  </si>
  <si>
    <t>원데이에너지바오리지널10개세트</t>
  </si>
  <si>
    <t>매일 먹어도 부담없는 원데이에너지바오리지널
견과류 40%이상/단백질 8g/타우린1000mg 함유</t>
  </si>
  <si>
    <t>원데이에너지바오리지널10개세트x2</t>
  </si>
  <si>
    <t>원데이에너지바오리지널10개세트x3</t>
  </si>
  <si>
    <t>원데이메이플넛츠x30봉</t>
  </si>
  <si>
    <t>[공동구매] 김규흔 한과 영양강정바 50개입 (25개입 X 2박스)</t>
  </si>
  <si>
    <t>[공동구매] 김규흔 한과 영양강정바 75개입 (25개입 X 3박스)</t>
  </si>
  <si>
    <t>[공동구매] 김규흔 한과 명인 꿀약과 (파우치형) 500g</t>
  </si>
  <si>
    <t>[공동구매] 김규흔 한과 단호박 꿀약과 (파우치형) 500g</t>
  </si>
  <si>
    <t>[공동구매] 쫀득하고 꾸덕한 찹쌀 쫀꾸약과 30개입</t>
  </si>
  <si>
    <t>[공동구매] 김규흔 한과 옛날과자 센베이 꼬마전병 3종 세트 (땅콩, 생강, 파래)</t>
  </si>
  <si>
    <t>[G]썬키스트 블랙라벨 오렌지 중과 총 3.5kg (18입/개당 190g내외) 공식유통사 선별출고</t>
  </si>
  <si>
    <t>썬키스트 블랙라벨 오렌지 중과 총 3.5kg</t>
  </si>
  <si>
    <t>하루 한개로 가득 채우는 건강한 습관, 오렌지와 함께 하세요!</t>
  </si>
  <si>
    <t>[G]썬키스트 블랙라벨 오렌지 중과 총 7.7kg (40입/개당 190g내외) 공식유통사 선별출고</t>
  </si>
  <si>
    <t>[G]썬키스트 블랙라벨 오렌지 중과 총 17kg (88입/개당 190g내외) 공식유통사 선별출고</t>
  </si>
  <si>
    <t>웰굿</t>
  </si>
  <si>
    <t>44824633</t>
  </si>
  <si>
    <t>[2박스구매+1kg]경북 가정용 사과 2kg(6과내,대과)</t>
  </si>
  <si>
    <t>[2박스구매+1kg] 경북 가정용 사과 2kg(6과내,대과)</t>
  </si>
  <si>
    <t>4계절 동안 먹는 생활 사과, 경북 가정용 부사 사과!</t>
  </si>
  <si>
    <t>상단편성 4</t>
  </si>
  <si>
    <t>44824635</t>
  </si>
  <si>
    <t>[2박스구매+1kg]경북 가정용 사과 2kg(7과내,중과)</t>
  </si>
  <si>
    <t>44824639</t>
  </si>
  <si>
    <t>[2박스구매+1kg]경북 가정용 사과 2kg(8과내,간식)</t>
  </si>
  <si>
    <t>44824641</t>
  </si>
  <si>
    <t>[2박스구매+1kg]경북 가정용 사과 2kg(9과내,소과)</t>
  </si>
  <si>
    <t>44824647</t>
  </si>
  <si>
    <t>[2박스구매+1kg]경북 가정용 사과 2kg(11과내,한입)</t>
  </si>
  <si>
    <t>44824653</t>
  </si>
  <si>
    <t>[2박스구매+1kg]경북 가정용 사과 2kg(13과내,꼬마)</t>
  </si>
  <si>
    <t>43297548</t>
  </si>
  <si>
    <t>[웰굿][GAP인증] 산지직송 논산 딸기 설향 720g(42과,상과)</t>
  </si>
  <si>
    <t>산지직송 논산 딸기 설향 720g</t>
  </si>
  <si>
    <t>산지직송! 진선하고 달콤한 향기의 GAP 인증 논산 설향 딸기입니다.</t>
  </si>
  <si>
    <t>43297540</t>
  </si>
  <si>
    <t>[웰굿][GAP인증] 산지직송 논산 딸기 설향 1.4kg(84과,상과)</t>
  </si>
  <si>
    <t>43224418</t>
  </si>
  <si>
    <t>[웰굿][GAP인증] 산지직송 논산 딸기 설향 800g(35과,특과)</t>
  </si>
  <si>
    <t>43224421</t>
  </si>
  <si>
    <t>[웰굿][GAP인증] 산지직송 논산 딸기 설향 1.6kg(70과,특과)</t>
  </si>
  <si>
    <t>동해안 국내손질 반건조오징어 10미 대 1.3kg 내외</t>
  </si>
  <si>
    <t>신선한 오징어를 손질하여 해풍에 자연건조했습니다.</t>
  </si>
  <si>
    <t>동해안 국내손질 반건조오징어 10미 중 1.1kg 내외</t>
  </si>
  <si>
    <t xml:space="preserve">■ 2/17주차  (2/17~2/23 진행, 발송예정일 : 2/24월) </t>
  </si>
  <si>
    <t>붉은색 음영칸 MD작성 요청 2/7(금) 마감</t>
  </si>
  <si>
    <t>[2+2]다용도 봉지롤 색상랜덤 (1팩당 150매) 총 600매</t>
  </si>
  <si>
    <t xml:space="preserve"> 다용도 봉지롤 2+2 포함 생활용품 모음전 초특가! </t>
  </si>
  <si>
    <t xml:space="preserve">꼭필요한 상품만 모아모아 #베스트 1위 #생활필수템 </t>
  </si>
  <si>
    <t>[2+2]뜯어쓰는 간편 봉지롤 (1팩당 100매) 총 400매</t>
  </si>
  <si>
    <t>[1+1] 슬라이드 캡 쓰레기통 싱크대 걸이 휴지통 S사이즈</t>
  </si>
  <si>
    <t>[1+1] 슬라이드 캡 쓰레기통 싱크대 걸이 휴지통 L사이즈</t>
  </si>
  <si>
    <t>[1+1] 슬라이드 캡 쓰레기통 싱크대 걸이 휴지통 혼합사이즈(S+L)</t>
  </si>
  <si>
    <t>[1+1] 버터크림 밀당 쓰레기통 걸이식 휴지통 S사이즈</t>
  </si>
  <si>
    <t>[1+1] 버터크림 밀당 쓰레기통 걸이식 휴지통 L사이즈</t>
  </si>
  <si>
    <t>[1+1] 버터크림 밀당 쓰레기통 걸이식 휴지통 혼합사이즈(S+L)</t>
  </si>
  <si>
    <t>코디</t>
  </si>
  <si>
    <t>코디 프레시에어 KF94 마스크 100매 (더마테스트 인증)</t>
  </si>
  <si>
    <t>코디 프레시에어 KF94 마스크 100매 外 마스크특가</t>
  </si>
  <si>
    <t>식약처 허가! 넓은 면적과 슬림한 V라인으로 스타일까지 챙긴 편안한 마스크</t>
  </si>
  <si>
    <t>코디 데일리 항균 다용도 클리너 30매입x10팩</t>
  </si>
  <si>
    <t>코디 데일리 컴포트핏 블랙 마스크 (KF94) (대형) 1매 *30매</t>
  </si>
  <si>
    <t xml:space="preserve">3CE FACE BLUSH 페이스 블러쉬 </t>
  </si>
  <si>
    <t>[3CE] 완벽피부 3CE 단독특가!</t>
  </si>
  <si>
    <t>[3CE] 투명하게 스며드는 수채화 발색!</t>
  </si>
  <si>
    <t>3CE 내추럴 루스 피니쉬 파우더</t>
  </si>
  <si>
    <t>하라즈 아르간오일 세럼 그린플로럴향 100ml</t>
  </si>
  <si>
    <t>[하라즈] 하라즈 오일 세럼 5종 공동구매 조건 최대 38% 특가!</t>
  </si>
  <si>
    <t>[하라즈] 극손실모발을 위한 
모로코왕실의 황금원액 하라즈 아르간오일 세럼!</t>
  </si>
  <si>
    <t>하라즈 아르간오일 세럼 퓨어코튼향 100ml</t>
  </si>
  <si>
    <t>하라즈 아르간오일 세럼 화이트머스크향 100ml</t>
  </si>
  <si>
    <t>하라즈 헤어랩 플러스 비오틴 세럼 100ml</t>
  </si>
  <si>
    <t>하라즈 극손상 에센스 모로코 아르간 오일 세럼</t>
  </si>
  <si>
    <t>히말라야코리아</t>
  </si>
  <si>
    <t>히말라야 풋케어크림 75g 1+1</t>
  </si>
  <si>
    <t xml:space="preserve">[히말라야코리아] 끈적임 없는 최강보습 히말라야 풋크림 1+1 </t>
  </si>
  <si>
    <t>[히말라야코리아] 히말라야만의 자연친화적 원료 천연허브 강황이 들어간 풋크림으로 겨울철 건조한 발을 케어!</t>
  </si>
  <si>
    <t>[메디플라워] 아로닉스 이데베논 앰플/크림 택2 + 이데베논 아이크림 증정</t>
  </si>
  <si>
    <t>[메디플라워] 세월이 가져다 준
자신감 잃은 피부를 케어하는 강력한 안티에이징!</t>
  </si>
  <si>
    <t>펄케어 피지흡입기</t>
  </si>
  <si>
    <t>[펄케어] 당신의 아름다운 피부, 펄케어로 빛을 깨워보세요!</t>
  </si>
  <si>
    <t>[펄케어] 매일 5분 투자로
하루하루 달라지는 피부변화!</t>
  </si>
  <si>
    <t>펄케어 뉴보르나 갈바닉 마사지기 고주파 진동 EMS 얼굴 피부관리기</t>
  </si>
  <si>
    <t>펄케어 고주파 아이마사지기 + 앰플</t>
  </si>
  <si>
    <t>펄케어 화이트진 갈바닉 마사지기 피부 속광 물광 관리기</t>
  </si>
  <si>
    <t>바세린 딥 모이스처 립에센스 립밤 허니 20ml 3개</t>
  </si>
  <si>
    <t>[바세린] 바세린 신제품! 립 에센스 출시기념 최저가 할인</t>
  </si>
  <si>
    <t>[바세린]트고 건조한 입술을 위한 고농축 립케어 에센스</t>
  </si>
  <si>
    <t>바세린 딥 모이스처 립에센스 립밤 체리 20ml 3개</t>
  </si>
  <si>
    <t>닥터바르고 퍼스트 에디션 히알루론산 5종 세트(토너+에멀전+폼클렌징+수분크림+마데크림)</t>
  </si>
  <si>
    <t>[닥터바르고] 닥터 바르고 히알루론산 스킨케어 기획전!</t>
  </si>
  <si>
    <t>[닥터바르고] 깊은 보습, 탄탄한 피부! 고농축 히알루론산이 선사하는 수분 폭탄 스킨케어 루틴으로 하루 종일 촉촉하게!</t>
  </si>
  <si>
    <t>닥터바르고 퍼스트 에디션 히알루론산 5종 세트(토너+에멀전+폼클렌징+수분크림+제로크림)</t>
  </si>
  <si>
    <t>닥터바르고 퍼스트 에디션 히알루론산 5종 세트(토너+에멀전+폼클렌징+수분크림+선크림)</t>
  </si>
  <si>
    <t>닥터바르고 퍼스트에디션 히알루론산 시카 UV 선크림 30ml SPF 50+/PA++++</t>
  </si>
  <si>
    <t>스칼프덤 리프레싱 샴푸 500ml*2</t>
  </si>
  <si>
    <t>[닥터트웬티프로젝트] 두피도 피부처럼 소중하게!
건강한 두피를 위한 한걸</t>
  </si>
  <si>
    <t>★G사 1위 탈모샴푸★ 신세계쇼핑 공동구매 특가! 정수리 볼륨 29.7% UP! 볼륨부터 탈모케어까지 한번에 하는 향기 좋은 탈모샴푸 특가!</t>
  </si>
  <si>
    <t>[공동구매]다자연 365 그린 선인장 마스크 10매</t>
  </si>
  <si>
    <t>[자연의벗] 다자연 365 그린 선인장 마스크 10매</t>
  </si>
  <si>
    <t>[자연의벗] 건조하고 푸석한 피부
선인장 마스크로 수분 진정!</t>
  </si>
  <si>
    <t>OK캐시백/상단편성1</t>
  </si>
  <si>
    <t>[네이처리퍼블릭] 비타페어C 잡티 세럼 90ml (대용량)</t>
  </si>
  <si>
    <t>[네이처리퍼블릭] 오늘 바르면 내일부터 환해져요★(잡티/미백)★</t>
  </si>
  <si>
    <t>[네이처리퍼블릭] 오늘 바르면 내일부터 환해져요!
대용량으로 기미+잡티+주근깨 케어는 물론, 
피부에 형광등 켜주는 꿀템♥</t>
  </si>
  <si>
    <t>[네이처리퍼블릭] 비타페어C 잡티 세럼</t>
  </si>
  <si>
    <t>레볼루션ll 남성화장품 스킨 로션 2종세트</t>
  </si>
  <si>
    <t>[코스메이트] 지친 남성피부에 활력을주는 스킨로션2종!</t>
  </si>
  <si>
    <t>[코스메이트] 체계적인 남성들의 피부관리를 책임질 레볼루션2!</t>
  </si>
  <si>
    <t>워모 남성화장품 스킨 로션 2종세트</t>
  </si>
  <si>
    <t>슈컴퍼니-레포츠</t>
  </si>
  <si>
    <t>[코몽트 外] 다시 추워진 날씨 ! 남녀공용 후리스 / 패딩자켓 / 패딩바지</t>
  </si>
  <si>
    <t xml:space="preserve"> #코몽트 #여자후리스 #남성후리스 #후리스 #패딩 #방풍팬츠 #기모맨투맨 #특가 #가성비 #홈쇼핑</t>
  </si>
  <si>
    <t>[커스텀에이블] 타이넥 블라우스_T2501BL002A</t>
  </si>
  <si>
    <t>[커스텀에이블]데이트룩은 여기서~</t>
  </si>
  <si>
    <t>#블라우스#데님팬츠#스커트</t>
  </si>
  <si>
    <t>[커스텀에이블] [55-77]투버튼 허리밴딩 와이드 데님 팬츠_T2501DP003A</t>
  </si>
  <si>
    <t>[커스텀에이블] 요크 주름A라인 밴딩 스커트_T2501SK002A</t>
  </si>
  <si>
    <t>[커스텀에이블] 스트라이프 배색테잎 셔츠 블라우스_T2501BL004A</t>
  </si>
  <si>
    <t>[커스텀에이블] 트임 니트 밴딩 롱 스커트_T2501SK001A</t>
  </si>
  <si>
    <t>[올리비에스클로젯] 영문 레터링 배색 면 티셔츠_O2501TS011A</t>
  </si>
  <si>
    <t>[올리비에스클로젯]티셔츠/팬츠 간절기잇템 추천!</t>
  </si>
  <si>
    <t>간절기 인기신상</t>
  </si>
  <si>
    <t>[올리비에스클로젯] 심플 면 라운드넥 티셔츠_O2501TS001A</t>
  </si>
  <si>
    <t>[올리비에스클로젯] 심플 카고 조거 밴딩 팬츠_O2501PT004A</t>
  </si>
  <si>
    <t>[올리비에스클로젯] 베이직 옆트임 레이어드 민소매 티셔츠_O2501TS013A</t>
  </si>
  <si>
    <t>[올리비에스클로젯] 아가일체크 단추 브이넥 니트 베스트_O2501KV002A</t>
  </si>
  <si>
    <t>남성 하이 퍼포먼스 투인원 레깅스 팬츠</t>
  </si>
  <si>
    <t>남성 투인원 레깅스 팬츠 특가! 9,500원</t>
  </si>
  <si>
    <t>남성 하이 퍼포먼스 투인원 레깅스 팬츠 특가!
 #남성레깅스 #남성팬츠 #남성바지 #남성스포츠 #투인원레깅스 #남성운동복 #레깅스 #특가</t>
  </si>
  <si>
    <t>비엔비인터내셔널/카라,클라셰</t>
  </si>
  <si>
    <t>겨울 시즌오프 할인 ~90% SALE! 7500원부터</t>
  </si>
  <si>
    <t>클라셰 하이핀턱와이드팬츠_B4M2496</t>
  </si>
  <si>
    <t>KARRA (77까지)라이크레더볼륨패딩_A4W0146</t>
  </si>
  <si>
    <t>KARRA 웜터치소프트니트팬츠_A4W0144</t>
  </si>
  <si>
    <t>테슬라 패커블경량 패딩 베스트 TM-YKJ15</t>
  </si>
  <si>
    <t>[공동구매 특가] 경량패딩 특가구매</t>
  </si>
  <si>
    <t>어디서든 가볍고 따듯하게
#경량패딩조끼 #경랭패딩 #패딩조끼 #봄아우터 #경량조끼 #경량롱패딩</t>
  </si>
  <si>
    <t>테슬라 패커블 경량 노카라  패딩 베스트 TM-XKJ21</t>
  </si>
  <si>
    <t>테슬라 패커블 경량 패딩 롱 자켓 TM-XKJ28</t>
  </si>
  <si>
    <t>테슬라  패거블 경량 패딩 자켓 TM-YKJ11</t>
  </si>
  <si>
    <t xml:space="preserve">예스플러스 무형광 노라인 6매 팬티 </t>
  </si>
  <si>
    <t>티나지 않고 장시간 착용하여도 편안한무형광 노라인 팬티 6매
 #노라인  #무형광 #형광증백제를 사용하지않은
 #부드러운</t>
  </si>
  <si>
    <t>[시즌오프 특가] 소프트윈터 기모양말 5+5 포함 양말모음 특가!</t>
  </si>
  <si>
    <t>겨울 필수템, 따뜻한 기모양말 모음특가</t>
  </si>
  <si>
    <t>[시즌오프 특가] 털슬리퍼 모음 특가!</t>
  </si>
  <si>
    <t>실내외 모두 착용가능한 털슬리퍼 공동구매 특가</t>
  </si>
  <si>
    <t>[1+1] 코지 체크머플러 남녀공용 머플러</t>
  </si>
  <si>
    <t>[시즌오프 특가] 머플러/모자 모음 특가!</t>
  </si>
  <si>
    <t>바라클라바/머플러 시즌오프 특가</t>
  </si>
  <si>
    <t>[1+1] 포근포근 니트 고리머플러 겨울목도리 컬러3종</t>
  </si>
  <si>
    <t>[1+1] 360도 완벽보온 멀티워머 방한마스크 남여공용</t>
  </si>
  <si>
    <t>[1+1] 방한귀도리 일체형 보온 귀마개 마스크 남여공용</t>
  </si>
  <si>
    <t>[시즌오프 특가] 수면잠옷 모음 특가!</t>
  </si>
  <si>
    <t>극세사 잠옷으로 올 겨울도 따뜻하게</t>
  </si>
  <si>
    <t>[시즌오프 특가] 니트/패딩장갑 모음 특가!</t>
  </si>
  <si>
    <t>겨울시즌 오프 패션잡화 모음특가!</t>
  </si>
  <si>
    <t>여성 레이온 숏 사각 팬티 3종세트 드로즈 90사이즈부터 110사이즈까지</t>
  </si>
  <si>
    <t>5장세트 대나무 섬유 팬티 편안한 삼각 빅사이즈 맥시 미디 요일팬티</t>
  </si>
  <si>
    <t>크레파스 BYC</t>
  </si>
  <si>
    <t>[BYC] 남성 순면 민소매 런닝 3매</t>
  </si>
  <si>
    <t>[BYC] 남성 런닝 언더웨어 기획 특가 행사</t>
  </si>
  <si>
    <t>질 좋은 BYC 속옷을 특별가로 만나보세요~!
#BYC #민소매 #반팔 #런닝 #언더웨어</t>
  </si>
  <si>
    <t>[BYC] 스포츠 머슬 런닝 2매</t>
  </si>
  <si>
    <t>[BYC] 남성 순면 컬러 민소매 런닝 3매</t>
  </si>
  <si>
    <t>[BYC] 남성 순면 반팔 런닝 3매</t>
  </si>
  <si>
    <t>[BYC] 남성 순면 컬러 반팔 런닝 3매</t>
  </si>
  <si>
    <t>[공구] ★1+1 히트온 초극세사 기모 내복 2벌세트(4종) [★299→189]</t>
  </si>
  <si>
    <t>시즌오프 초특가♥ 내복 잠옷 트레이닝복 시즌오프 특급세일</t>
  </si>
  <si>
    <t xml:space="preserve">♥창고대방출 역마진 초특가 득템찬스!♥ </t>
  </si>
  <si>
    <t>파워 브라이트 초고농축 캡슐세제 파우치(숲향) 30개입 x 2개(총 60개)</t>
  </si>
  <si>
    <t>무궁화 브라이트 캡슐세제 클리어런스 최저가
개당 182원 꼴</t>
  </si>
  <si>
    <t>무궁화 브라이트 캡슐세제 클리어런스 최저가
개당 182원꼴</t>
  </si>
  <si>
    <t>최저가 클리어런스 상단요청 () 신규 진입)</t>
  </si>
  <si>
    <t>무궁화 파워 브라이트 초고농축 캡슐세제 파우치(숲향) 4개 (120개입)</t>
  </si>
  <si>
    <t>프리미엄 브라이트 올인원 캡슐세제 향기부스트(30입)</t>
  </si>
  <si>
    <t>프리미엄 브라이트 올인원 캡슐세제 향기부스트(30입) x 2개</t>
  </si>
  <si>
    <t>파워 브라이트 초고농축 캡슐세제 파우치(아쿠아마린향) 30개입 x 4개</t>
  </si>
  <si>
    <t>파워 브라이트 초고농축 캡슐세제 파우치(라벤더향) 30개입 x 4개</t>
  </si>
  <si>
    <t>양털양면담요 공동구매 특가</t>
  </si>
  <si>
    <t>#양털담요 #쿠션방석 #고퀄리티 시즌특가 행사</t>
  </si>
  <si>
    <t>리치앤홈 배개솜&amp; 차렵이불 특가</t>
  </si>
  <si>
    <t xml:space="preserve">#경추높이 조절
#빨아쓰는 베개솜
#기분좋은 포근함
#모달100%
</t>
  </si>
  <si>
    <t>1+1 폭신베개솜 40x60cm</t>
  </si>
  <si>
    <t>1+1 폭신베개솜 50x70cm</t>
  </si>
  <si>
    <t>리치앤홈 사계절 부드럽고 포근한 뮤즈 차렵이불 S</t>
  </si>
  <si>
    <t>리치앤홈 사계절 부드럽고 포근한 뮤즈 차렵이불 Q</t>
  </si>
  <si>
    <t>리치앤홈 사계절 퓨어 차렵이불 S 싱글 그레이</t>
  </si>
  <si>
    <t>리치앤홈 사계절 퓨어 차렵이불 Q 퀸 그레이</t>
  </si>
  <si>
    <t>리치앤홈 먼지없는 침구 사계절 라비앙 차렵이불S 블루</t>
  </si>
  <si>
    <t>리치앤홈 먼지없는 침구 사계절 라비앙 차렵이불Q 블루</t>
  </si>
  <si>
    <t>리치앤홈 먼지없는 침구 사계절 라비앙 차렵베개세트S 핑크</t>
  </si>
  <si>
    <t>리치앤홈 먼지없는 침구 사계절 라비앙 차렵베개세트Q 블루</t>
  </si>
  <si>
    <t>리치앤홈 먼지없는 침구 사계절 라비앙 차렵패드세트S 핑크</t>
  </si>
  <si>
    <t>리치앤홈 먼지없는 침구 사계절 라비앙 차렵패드세트Q 블루</t>
  </si>
  <si>
    <t>리치앤홈 사계절 광목순면 로즈블루 차렵이불S 싱글 베이지</t>
  </si>
  <si>
    <t>리치앤홈 사계절 광목순면 로즈블루 차렵이불Q 퀸 베이지</t>
  </si>
  <si>
    <t>리치앤홈 사계절 광목순면 로즈블루 차렵이불베개세트S 싱글 베이지</t>
  </si>
  <si>
    <t>리치앤홈 사계절 광목순면 로즈블루 차렵이불베개세트Q 퀸 베이지</t>
  </si>
  <si>
    <t>리브맘 프레쉬 메트리스 특가</t>
  </si>
  <si>
    <t>100% 방수원단으로 땀,엎질러진 음료 등 일상 생활 속 오염 물질로부터 완벽 보호해줍니다.</t>
  </si>
  <si>
    <t>리브맘 안녕거북이 경추베개 1+1</t>
  </si>
  <si>
    <t>매일 마사지 받는 듯 개운한 아침을 맞이해보세요!</t>
  </si>
  <si>
    <t>광개토쇼핑3</t>
  </si>
  <si>
    <t>장농을 슬림하게 해주는 압축팩 모음전
쌓여만 가는 옷들 이제는 리브맘 옷걸이 압축팩을 사용하세요</t>
  </si>
  <si>
    <t>리브맘 파우치형 청소기없이 5초 맨손 압축팩 중형 50x30X70cm 3매</t>
  </si>
  <si>
    <t>리브맘 파우치형 청소기없이 5초 맨손 압축팩 특대형 80x38X100cm 2매</t>
  </si>
  <si>
    <t>리브맘 초대형 대용량 매트리스 이불 압축팩 220cmX100cm 1매</t>
  </si>
  <si>
    <t>[유통기한 2025-11-14] 로엘 웰업 핫/아이스 콤부차 얼그레이 2박스, (총 60포)</t>
  </si>
  <si>
    <t>뉴트리디데이 소연골 뮤코다당단백 콘드로이친 골드 2개월분 [소비기한 2025.05.29]</t>
  </si>
  <si>
    <t>뉴트리디데이 소연골 뮤코다당단백 콘드로이친 골드 2개월분/4개월분</t>
  </si>
  <si>
    <t>[뉴트리디데이 온라인 단독 최저가 ~UP TO 80%]
★MD추천★ 소연골 유래 100%, 식약처 관절·연골 건강!
뮤코다당[콘드로이친 황산]·단백 순도 90% 이상~
뼈가 시린 날씨, 관절·연골 건강 꼭 지키세요 :)
#부모님선물 #갱년기 #사무직 #손목 #무릎관절</t>
  </si>
  <si>
    <t>뉴트리디데이 소연골 뮤코다당단백 콘드로이친 골드 2병 총 4개월분 [소비기한 2025.05.29]</t>
  </si>
  <si>
    <t>덴마크 프리미엄 구강유산균 30정 3박스 (총 3개월분)</t>
  </si>
  <si>
    <t>매일 상쾌한 하루를 위한 습관! 세계 구강 특허 유산균</t>
  </si>
  <si>
    <t>헬로바이오 맥스 비타민C 3000 90포 3박스 (총 270포)</t>
  </si>
  <si>
    <t>#필수영양소 비타민C 100%!</t>
  </si>
  <si>
    <t>에이치엘사이언스</t>
  </si>
  <si>
    <t>[소비기한 2025/08/07] 닥터슈퍼칸 밀크씨슬 앤 멀티비타민 에디션 90정 1박스 (3개월분)</t>
  </si>
  <si>
    <t>"#항산화 #활력 #에너지 #간피로 #저격템
하루 한알로 간 건강에 활력까지!"</t>
  </si>
  <si>
    <t>홀리데이즈 쑤욱빼 다이어트 커피맛 28포 1박스 외</t>
  </si>
  <si>
    <t>1포 200원대로 간편하고 맛있게 즐기는 다이어트~ 하루 2잔 체지방 집중 감소!
3만원 이상 구매시 보틀 추가 증정!</t>
  </si>
  <si>
    <t>식 전, 식 후 건강한 다이어트 및 체지방 관리 플랜
하루 2번 섭취로 HCA 및 카테킨의 지속력을 높여
지속적인 관리 시스템 마련</t>
  </si>
  <si>
    <t>엔탑/광고비집행/상단요청</t>
  </si>
  <si>
    <t>[을지대학교] 탄수화물 컷 가르시니아 120정x2개(4개월분)+체지방 컷 녹차카테킨 120정x2개(4개월분)</t>
  </si>
  <si>
    <t>[유한메디카] 당케어 엔 탑 혈당 유산균 30캡슐x3개(3개월분)</t>
  </si>
  <si>
    <t>특허 유산균과 순도 높은 식물성 바나바잎을 채운 당케어 유산균
/ 식후 혈당상승이 걱정이신 분들을 위한 바나바
/ 은행잎추출물 식약처 고시 1일 섭취량 최대치 함유</t>
  </si>
  <si>
    <t>이탈리아산 정품 몬테로소社 파로 엠머 밀 발효효소!
#역가수치 62만 #17종 혼합유산균 #최저가 #무료배송</t>
  </si>
  <si>
    <t>올바른/광고비집행/상단요청</t>
  </si>
  <si>
    <t>드림이음 햄프씨드 식물성 대마종자유 오일 캡슐 2개월/4개월/6개월부</t>
  </si>
  <si>
    <t>드림이음 햄프씨드 식물성 대마종자유 오일 캡슐 4개월분</t>
  </si>
  <si>
    <t>건국유업 눈건강 루테인 솔루션 미니 60캡슐 1개 2개월/6개월/12개월부</t>
  </si>
  <si>
    <t>웰던푸드</t>
  </si>
  <si>
    <t>금성에서 ON 순살 닭다리살 닭갈비 800g</t>
  </si>
  <si>
    <t>부드럽고 쫄깃한 100% 닭다리살 사용! 특제 비법 양념을 더 해, 입맛을 확 사로잡는 감칠맛이 입안 가득!</t>
  </si>
  <si>
    <t>구본길 대가의 한우 한판불고기 180g x 5팩</t>
  </si>
  <si>
    <t>구본길 대가의 안창살구이 300g x 4팩</t>
  </si>
  <si>
    <t>구본길 대가의 토시살구이 300g x 4팩</t>
  </si>
  <si>
    <t>72501906</t>
  </si>
  <si>
    <t>[우아한소] 부드러운 토시살(200gx5)1kg</t>
  </si>
  <si>
    <t>살코기가 부드럽고 육색이 짙은 쫄깃쫄깃한 씹는 맛이 독특한 부위입니다.</t>
  </si>
  <si>
    <t>69149391</t>
  </si>
  <si>
    <t>[우아한소] 호주산 안창살 구이용(200gx5)</t>
  </si>
  <si>
    <t>72501728</t>
  </si>
  <si>
    <t>[우아한소] 호주산 부채살 구이용(200gx4)</t>
  </si>
  <si>
    <t>66776986</t>
  </si>
  <si>
    <t>[G][소돈가] 한우 사골(2kg)+잡뼈(2kg) 4kg 일반포장</t>
  </si>
  <si>
    <t>제주 비가림 감귤 1kg 중대</t>
  </si>
  <si>
    <t>껍질이 얇고 당도가 높은 제주 비가림 감귤입니다.</t>
  </si>
  <si>
    <t>제주 비가림 감귤 1kg 꼬마</t>
  </si>
  <si>
    <t>가정용 한라봉 혼합과 2kg 내외</t>
  </si>
  <si>
    <t>가정용 한라봉 혼합과 3kg 내외</t>
  </si>
  <si>
    <t>가정용 한라봉 혼합과 5kg 내외</t>
  </si>
  <si>
    <t>72201627</t>
  </si>
  <si>
    <t>제주 구좌당근 흙당근 2kg 중</t>
  </si>
  <si>
    <t>몸에 좋고 맛도 좋은 구좌 흙당근!</t>
  </si>
  <si>
    <t>72201624</t>
  </si>
  <si>
    <t>제주 구좌당근 흙당근 3kg 중</t>
  </si>
  <si>
    <t>72201621</t>
  </si>
  <si>
    <t>제주 구좌당근 흙당근 5kg 중</t>
  </si>
  <si>
    <t>62951252</t>
  </si>
  <si>
    <t>부산 대저토마토 2.5kg L</t>
  </si>
  <si>
    <t>중독적인 단짠단짠의 풍미를 가지고 있는 대저토마토입니다.</t>
  </si>
  <si>
    <t>62951251</t>
  </si>
  <si>
    <t>부산 대저토마토 2.5kg M</t>
  </si>
  <si>
    <t>62951247</t>
  </si>
  <si>
    <t>부산 대저 짭짤이 토마토 2.5kg M</t>
  </si>
  <si>
    <t>62951253</t>
  </si>
  <si>
    <t>부산 짭짤이 대저토마토 2.5kg(S-2S)</t>
  </si>
  <si>
    <t>㈜좋은꿈마케팅</t>
  </si>
  <si>
    <t>[수확후바로삶은] 괴산 못난이대학찰옥수수 20개(4개씩포장)</t>
  </si>
  <si>
    <t>2024년 여름 제철에 수확한 충북 괴산의 대학 찰옥수수를 당일에 바로 삶아 급속냉동하여 특유의 고소하고 탱글탱글한 식감입니다.</t>
  </si>
  <si>
    <t>[수확후바로삶은] 괴산 못난이대학찰옥수수 24개(4개씩포장)</t>
  </si>
  <si>
    <t>[수확후바로삶은] 괴산 못난이대학찰옥수수 28개(4개씩포장)</t>
  </si>
  <si>
    <t>[수확후바로삶은] 괴산 못난이대학찰옥수수 32개(4개씩포장)</t>
  </si>
  <si>
    <t>[수확후바로삶은] 괴산 못난이대학찰옥수수 36개(4개씩포장)</t>
  </si>
  <si>
    <t>[수확후바로삶은] 괴산 못난이대학찰옥수수 40개(4개씩포장)</t>
  </si>
  <si>
    <t>[바다원] 촉촉한 원양산 반건조오징어 5미 (550g 내외) 특대</t>
  </si>
  <si>
    <t xml:space="preserve">고소하고 쫄깃한 식감으로 가득한 일품 안주
풍부한 맛과 단백질로 건강과 맛 모두 챙기세요.
#오징어 #반건조오징어 #오징어안주 #안주 #간식 </t>
  </si>
  <si>
    <t>[바다원] 촉촉한 원양산 반건조오징어 5미 (650g 내외) 특대</t>
  </si>
  <si>
    <t>[바다원] 촉촉한 원양산 반건조오징어 5+5미 (550+550g) 특대</t>
  </si>
  <si>
    <t>[바다원] 촉촉한 원양산 반건조오징어 5+5미 (650+650g) 특대</t>
  </si>
  <si>
    <t>[참맛나젓갈] 신선한 오징어젓 400g</t>
  </si>
  <si>
    <t xml:space="preserve"> ★무료배송 / 구매수량별 증정★
2개이상 : 오징어젓 200g ,  3개이상 : 양념명란200g
4개이상 : 창란젓 : 200g , 5개이상 : 낙지젓 400g</t>
  </si>
  <si>
    <t>[참맛나젓갈] 쌈장젓갈 350g 가정식 밥반찬</t>
  </si>
  <si>
    <t>[참맛나젓갈] 백명란 파지 400g 밥도둑 반찬</t>
  </si>
  <si>
    <t>[참맛나젓갈] 씨앗젓갈 400g</t>
  </si>
  <si>
    <t>[참맛나젓갈] 낙지젓 400g</t>
  </si>
  <si>
    <t>[참맛나젓갈] 창란젓 400g 가정식 반찬</t>
  </si>
  <si>
    <t>반찬단지 연근조림 1Kg 밑반찬 반찬</t>
  </si>
  <si>
    <t>반찬단지 무말랭이 1kg+1kg</t>
  </si>
  <si>
    <t>반찬단지 무말랭이1kg+깻잎무침1kg 밑반찬종류 저녁메뉴 반찬가게</t>
  </si>
  <si>
    <t>간장깻잎 1Kg + 고추무침 1Kg</t>
  </si>
  <si>
    <t>[10봉세트] 태국쇼핑템 파인애플잼 비스킷+파인1봉(2세트 청소빗자루 증정)</t>
  </si>
  <si>
    <t>태국쇼핑템 파인애플잼 비스킷 10봉+1봉 더! (2세트 구매시 청소빗자루 증정) 포함 세계과자 모음 특가!
# 10봉+1봉 #세계과자 #개별위생포장 #태국쇼핑템 #단독특가</t>
  </si>
  <si>
    <t>[10봉세트] 태국쇼핑템 코코넛크림 비스킷+파인1봉(2세트 청소빗자루 증정)</t>
  </si>
  <si>
    <t>[5봉+5봉] 파인애플잼 비스킷 5봉+코코넛크림 비스킷 5봉+파인1봉(2세트 청소빗자루 증정)</t>
  </si>
  <si>
    <t>[3개세트] 태국쇼핑템 디어테디 곰돌이 틴케이스 쿠키+파인1봉(2세트 청소빗자루 증정)</t>
  </si>
  <si>
    <t>[쿠키선물박스] 한정판 디어테디 틴케이스 3가지맛 선물세트(감동문구증정)+파인1봉(2세트 청소빗자루 증정)</t>
  </si>
  <si>
    <t>[VIDAL] 비달 멀티비타민 롤리팝캔디 98g (7g x 14개입) 글루텐프리 막대사탕 x 3봉세트</t>
  </si>
  <si>
    <t>[VIDAL] 비달 사우어 플라이 워터멜론향 젤리 80g x 6봉세트 혓바닥 페인터 젤리 대용량</t>
  </si>
  <si>
    <t>[VIDAL] 비달 사우어 플라이 라즈베리향 젤리 80g x 6봉세트 혓바닥 페인터 젤리 대용량</t>
  </si>
  <si>
    <t>[VIDAL] 비달 파이어 데블젤리 매운맛 젤리 80g x 6봉세트</t>
  </si>
  <si>
    <t>[VIDAL] 비달 딸기향 롤젤리 스페인 스트로베리맛 젤리 2박스(총 48P)</t>
  </si>
  <si>
    <t>[바다원] 한입만 시리즈 세트 (어포튀각,새우튀김,김부각,먹태구이)</t>
  </si>
  <si>
    <t xml:space="preserve">우리집 주전부리 필수템!
아이와 어른이 함께 즐기는 스낵류 BEST
 #한입만 # 어포튀각 #먹태구이 #새우튀김 #안주 #간식
</t>
  </si>
  <si>
    <t>바다원 한입만 어포튀각 50g x 4봉</t>
  </si>
  <si>
    <t>[바다원] 한입만 먹태구이 스파이시 25g x 4봉</t>
  </si>
  <si>
    <t>[바다원] 한입만 먹태구이 바질어니언 25g x 4봉</t>
  </si>
  <si>
    <t>[바다원] 한입만 새우플렉스 하바네로 30g x 4봉</t>
  </si>
  <si>
    <t>★Only 신세계 공동구매 혜택가★ 슬레진저 다이얼 운동화 특가 모음전 워킹화/골프화/트래킹화</t>
  </si>
  <si>
    <t>[공동구매] 슬레진저 원터치 다이얼 에어 운동화 CR3SL62</t>
  </si>
  <si>
    <t>14K 골드필드핀 빅드롭 로즈골드 귀걸이</t>
  </si>
  <si>
    <t>[미니아트] 실버 92.5 은 체인 심플 진주 목걸이</t>
  </si>
  <si>
    <t>14K GF 3mm 큐빅 골드필드핀 일자핀  금 침 귀걸이</t>
  </si>
  <si>
    <t>[메리그린] 14K 골드필드 해피 스마일 귀걸이</t>
  </si>
  <si>
    <t>행운아이템! 쥬얼리 특별가</t>
  </si>
  <si>
    <t>92.5실버 외  쥬얼리 특별가
행운 아이템을 최저가로 만나보세요!</t>
  </si>
  <si>
    <t>[메리그린] 14K 골드필드 로망스 귀걸이</t>
  </si>
  <si>
    <t>[메리그린] 925 SILVER 실버 데이지 귀걸이</t>
  </si>
  <si>
    <t>동원 샘물 웨이크업 뷰티 500ml 40병</t>
  </si>
  <si>
    <t>[동원]샘물 웨이크업 뷰티</t>
  </si>
  <si>
    <t>지구를 생각하는 무라벨! 분리배출 걱정 없이 마시고 그대로 버릴 수 있어요.</t>
  </si>
  <si>
    <t>동원 샘물 웨이크업 뷰티 500ml 60병</t>
  </si>
  <si>
    <t>동원 샘물 웨이크업 뷰티 500ml 80병</t>
  </si>
  <si>
    <t xml:space="preserve">■ 2/24주차  (2/24~3/2 진행, 발송예정일 : 3/4 화) </t>
  </si>
  <si>
    <t xml:space="preserve">붉은색 음영칸 MD작성 요청 2/14(금) 마감  </t>
  </si>
  <si>
    <t>[오그램코스메틱스] 두 가지 방법으로 얼굴주름을 동시에 관리해주는
오그램 투트랙 링클 필름 패치!</t>
  </si>
  <si>
    <t>피부 주름 고민 부위에 자기전 착착 붙여주세요! 두 가지 방법으로 주름을 동시에 관리해주는
오그램 투트랙 링클 필름 패치!</t>
  </si>
  <si>
    <t>로레알파리 엑스트라오디네리 오일 실크 마스크 팩 250ml[증정] 전용 펌프</t>
  </si>
  <si>
    <t>[로레알파리] 차원이 다른 부드러움 로레알 오디네리 마스크팩 출시 특가!</t>
  </si>
  <si>
    <t>[로레알파리] 순간의 부드러움이 아닌
그 이상의 극손상 케어!</t>
  </si>
  <si>
    <t>로레알파리 엑스트라오디네리 오일 실크 마스크 팩 250ml 1+1[증정] 전용 펌프</t>
  </si>
  <si>
    <t>하라즈 카페인 샴푸 대용량 1000ml</t>
  </si>
  <si>
    <t xml:space="preserve">[하라즈] 대용량 카페인 샴푸/트리트먼트 공동구매 초특가! </t>
  </si>
  <si>
    <t>[하라즈] 두피 활력을 담은 카페인 샴푸/트리트먼트로 건강한 두피환경 조성!</t>
  </si>
  <si>
    <t>하라즈 카페인 샴푸 대용량 1000ml [2개]</t>
  </si>
  <si>
    <t>하라즈 카페인 샴푸 대용량 1000ml [4개]</t>
  </si>
  <si>
    <t>[메디플라워] 그래놀라/센텔라/시카 클렌징 티슈 3개 골라담기</t>
  </si>
  <si>
    <t>[메디플라워] 시카 워터 시트 한 장으로 
저자극 퀵 클렌징!</t>
  </si>
  <si>
    <t>메디테라피</t>
  </si>
  <si>
    <t>메디테라피 슈마지 샷 골드실 리프팅 앰플 12ml</t>
  </si>
  <si>
    <t>메디테라피 탄력 홈케어 루틴★골드실 앰플/크림/EMS디바이스</t>
  </si>
  <si>
    <t>홈케어로 내 피부탄력 올리기! 골드실 리프팅 앰플로 1회만에 탄력UP! 고보습 탄력크림까지 바른 후 중주파 디바이스로 최상의 피부컨디션을 만들어주세요.</t>
  </si>
  <si>
    <t>메디테라피 슈마지 골드실 리프팅 크림 50ml</t>
  </si>
  <si>
    <t>메디테라피 슈마지 EMS 디바이스</t>
  </si>
  <si>
    <t>AHC</t>
  </si>
  <si>
    <t>[ 홈쇼핑 최신상 ] AHC 아이크림 앰플인 코어 리프팅 40ml 8개+12ml 3개+샘플2개</t>
  </si>
  <si>
    <t>[ AHC ] AHC 아이크림 앰플인 코어 리프팅 40ml 8개+12ml 3개+샘플2개</t>
  </si>
  <si>
    <t>[AHC] 세우고 올리고 탄탄하게 잡아주는
6각존 피부 코어 리프팅!</t>
  </si>
  <si>
    <t>도미나스</t>
  </si>
  <si>
    <t>[홈쇼핑 최신상] TG 도미나스 브라이트닝 마스크팩 4회분 3박스 (총 12회분)</t>
  </si>
  <si>
    <t>[도미나스] TG 도미나스 브라이트닝 마스크팩 4회분 3박스 (총 12회분)</t>
  </si>
  <si>
    <t>[도미나스] TG도미나스 마스크 브라이트닝 퀴논</t>
  </si>
  <si>
    <t>유닉스</t>
  </si>
  <si>
    <t>유닉스 접이식 이온 헤어 드라이기 드라이어 1700W UN-A1690</t>
  </si>
  <si>
    <t>[유닉스]유닉스 접이식 이온 헤어 드라이기</t>
  </si>
  <si>
    <t>[유닉스] 이온 에센셜 케어로 반복되는 건조와 스타일링에도 손상없이 건강한 머릿결 연출 가능!</t>
  </si>
  <si>
    <t>TS</t>
  </si>
  <si>
    <t>[한정수량 50개][핫팩대형 10개증정] TS골드플러스샴푸500g*4개+TS골드플러스샴푸100g*4개+TS저스트샴푸 6g*8개</t>
  </si>
  <si>
    <t>[TS샴푸] TS 골드플러스 단독특가!</t>
  </si>
  <si>
    <t>[TS샴푸] 탈모 완화와 모발의 윤기부터 풍성한 모발 볼륨감까지 연출해주는 골드플러스 샴푸!</t>
  </si>
  <si>
    <t>엘라스틴</t>
  </si>
  <si>
    <t>엘라스틴 모이스처라이징 샴푸/컨디셔너 1800ml (2종 택1)</t>
  </si>
  <si>
    <t>[LG생활건강] 엘라스틴 모이스처라이징 샴푸/컨디셔너 1800ml (2종 택1)</t>
  </si>
  <si>
    <t>[엘라스틴] 머릿결의 수분을 균일하게 지켜
한올 한올 촉촉하고 건강한 모발로 가꾸어주는 엘라스틴 샴푸/컨디셔너</t>
  </si>
  <si>
    <t>바세린 퓨어 스킨 젤리 오리지널 100ml 2개</t>
  </si>
  <si>
    <t>[바세린/도브] 유니레버 뷰티 스테디셀러
보습종결 원조 바세린 / 수분촉촉 도브 바디로션</t>
  </si>
  <si>
    <t>[바세린/도브] 한층 더 깊은 보습감의 비밀,
뉴트리듀오 컴플렉스!</t>
  </si>
  <si>
    <t>도브 바디워시 1L 2개</t>
  </si>
  <si>
    <t>도브 바디러브 바디로션 라이트 하이드레이션 400ml 2개</t>
  </si>
  <si>
    <t>도브 바디러브 바디로션 서플 바운스 400ml 2개</t>
  </si>
  <si>
    <t>도브 바디러브 바디로션 너리쉬드 라디언스 400ml 2개</t>
  </si>
  <si>
    <t>[1+1] 콜라겐 드림 올인원 래디언스 톤 업 크림</t>
  </si>
  <si>
    <t>[네이처리퍼블릭] 1+1 특가 탄력/주름/리프팅 콜라겐 관리!</t>
  </si>
  <si>
    <t>[네이처리퍼블릭] 톤 업과 아이 케어를 동시에! 
탄력 UP! 영양 UP!
1+1 혜택으로 더 환하고 젊어진 피부를 경험하세요♥</t>
  </si>
  <si>
    <t>[1+1] 콜라겐 드림 아이크림</t>
  </si>
  <si>
    <t>청정미인 에센스 마스크팩 100매 (10종 X 10매씩)</t>
  </si>
  <si>
    <t>[청정미인] 청정미인 에센스 마스크팩 100매 (10종 X 10매씩)</t>
  </si>
  <si>
    <t>[청정미인] 고농축 에센스가 함유된
수분가득한 마스크팩 10종!</t>
  </si>
  <si>
    <t>먼지 싹! 길이조절이 가능한 밀대걸레 외 청소용품 1+1/2+2 특가</t>
  </si>
  <si>
    <t>꼭 필요한 상품만 모은 생활용품 특가전</t>
  </si>
  <si>
    <t xml:space="preserve">여행 필수템 압축파우치 최저가
</t>
  </si>
  <si>
    <t>[올리비에스클로젯] 크로스 크로와상 호보백_O2502AG002A</t>
  </si>
  <si>
    <t>[올리비에스클로젯]갓성비 간절기템 추천</t>
  </si>
  <si>
    <t>#호보백#트레이닝팬츠#티셔츠</t>
  </si>
  <si>
    <t>[올리비에스클로젯] P패치 와이드 트레이닝 팬츠_O2502PT008A</t>
  </si>
  <si>
    <t>[올리비에스클로젯] 곰돌이패치 와이드 트레이닝 팬츠_O2502PT009A</t>
  </si>
  <si>
    <t>[올리비에스클로젯] 슬림핏 라운드넥 티셔츠_O2502TS014A</t>
  </si>
  <si>
    <t>[올리비에스클로젯] 투데이 레터링 라운드넥 티셔츠_O2502TS016A</t>
  </si>
  <si>
    <t>[커스텀에이블]봄신상 트렌드 득템찬스</t>
  </si>
  <si>
    <t>봄 나들이 완벽코디~!</t>
  </si>
  <si>
    <t>[커스텀에이블] 홀스 사각 쁘띠 스카프_T2501AC003A</t>
  </si>
  <si>
    <t>[모리스커밍홈]이너필수 티셔츠/탑 5종!</t>
  </si>
  <si>
    <t>여기저기 휘뚤마뚤 기본템</t>
  </si>
  <si>
    <t>[모리스커밍홈] 베이직 레이스 캐미 슬리브리스 탑_M2501TS010A</t>
  </si>
  <si>
    <t>[모리스커밍홈] 끈조절 캡내장 레이스 탑_M2501TS007A</t>
  </si>
  <si>
    <t>넬라 오픈 배색 하프 코트</t>
  </si>
  <si>
    <t>봄신상&amp;간절기베스트 추천!</t>
  </si>
  <si>
    <t>간절기 BEST &amp;봄신상 추천!
#봄신상 #간절기코트 #니트 #니트베스트 #팬츠 #블라우스 #코트 #루즈핏코트</t>
  </si>
  <si>
    <t>로이라 니트 미디 스커트</t>
  </si>
  <si>
    <t>겨울 시즌오프 할인 ~90% SALE! 8400원부터</t>
  </si>
  <si>
    <t>인기 데일리룩 시즌오프 특가♥</t>
  </si>
  <si>
    <t>클라셰 오픈커스텀라운드니트_B3F1736</t>
  </si>
  <si>
    <t>KARRA 쿠키앤크림크레이프니트_A4S0740</t>
  </si>
  <si>
    <t>[시스넬라]남성 기모타이즈 1+1 2장구성 시즌오프 재고정리 할인 무료배송 남자 레깅스 발열 내복 9부 겨울 방한</t>
  </si>
  <si>
    <t>남성 기모타이즈 1+1 총 2장 시즌오프 재고정리 특가 무료배송 쟁여두기 기회!</t>
  </si>
  <si>
    <t>남성 기모타이즈 시즌오프 창고정리 1+1 2장구성 특가 무료배송 쟁여두기 찬스
#남성타이즈 #남자 기모타이즈 #겨울내의 #기모내복바지 #남자기모레깅스</t>
  </si>
  <si>
    <t>9부 선염 컴포터블파자마2매</t>
  </si>
  <si>
    <t xml:space="preserve">1+1 2매 선염 9부컴포터블 파자마 </t>
  </si>
  <si>
    <t xml:space="preserve">기존 파자마와는 다르게 주머니가 있어
이지복 겸용으로 집에서 또는 잠깐 마트 갈때
부담 없이 입고 나갈 수 있는 아이템!
#주머니  #편안함  </t>
  </si>
  <si>
    <t>테슬라 원마일 캐주얼 조거팬츠 TM-FBP77</t>
  </si>
  <si>
    <t>트레이닝팬츠 특가</t>
  </si>
  <si>
    <t>따듯해지는 날을 맞아 트레이닝 팬츠 특가
#조거팬츠#여성조거팬츠 #남성조거팬츠 #트래이닝팬츠 #남성트레이닝팬츠</t>
  </si>
  <si>
    <t>CQR 여성 등산 클라이밍 카고 조거팬츠 CQ-WBP112</t>
  </si>
  <si>
    <t>테슬라 쿨링 트레이닝 조거팬츠 TM-MBK21</t>
  </si>
  <si>
    <t>테슬라 기모 스웻 조거 팬츠 TM-YKB24</t>
  </si>
  <si>
    <t>크레파스/보디가드</t>
  </si>
  <si>
    <t>[보디가드] 남성 스틸밴드 모달 드로즈 5종 세트</t>
  </si>
  <si>
    <t>[BG/보디가드] 남성 남아 드로즈 세트 초특가 할인 행사</t>
  </si>
  <si>
    <t>남성 브랜드 언더웨어 세트 초특가 할인 행사
#BG #보디가드 #드로즈 #세트 #언더웨어</t>
  </si>
  <si>
    <t>[보디가드] 남성 프리미엄 스포츠 드로즈 4종 세트</t>
  </si>
  <si>
    <t>[보디가드] 남성 쿨리쉬 프리컷팅 드로즈 5종 B세트</t>
  </si>
  <si>
    <t>[보디가드] 남성 쿨리쉬 프리컷팅 드로즈 5종 A세트</t>
  </si>
  <si>
    <t>[보디가드] 주니어 쿨리쉬 프리컷팅 드로즈 5종 세트</t>
  </si>
  <si>
    <t>등산/캠핑/레저 가방 및 모자 1+1 특가</t>
  </si>
  <si>
    <t>남녀공용 등산/캠핑/여행 잡화모음 1+1 특가</t>
  </si>
  <si>
    <t>[10+10] 베이직삭스 파스텔 무지양말 (총 20켤레세트)</t>
  </si>
  <si>
    <t>데일리 양말 10+10/7+7/6+6 특가</t>
  </si>
  <si>
    <t>사계절 내내 착용 가능한 양말 잡화 특가행사</t>
  </si>
  <si>
    <t>[1+1] 스마일자수 컬러풀 발목양말 7개세트 (총 14개세트)</t>
  </si>
  <si>
    <t>로엘 국내산 자연방목 흑염소 진액 엑기스 70ml 2박스</t>
  </si>
  <si>
    <t>로엘 국내산 자연방목 흑염소 진액 엑기스&amp;레몬즙</t>
  </si>
  <si>
    <t xml:space="preserve"> 신세계TV 단독 로엘 흑염소즙&amp;레몬즙 초특가 세일 ♥ </t>
  </si>
  <si>
    <t>로엘 웰업 NFC 유기농 레몬즙 100 14포, 6박스</t>
  </si>
  <si>
    <t>[공동구매/+2개 이상 구매시 증정] 뉴트리디데이 독일산 맥주효모 비오틴 10000 1병 2개월분</t>
  </si>
  <si>
    <t>[공동구매/+2개 이상 구매시 증정] 뉴트리디데이 독일산 맥주효모 비오틴 10000</t>
  </si>
  <si>
    <t>뉴트리디데이 온라인 단독 최저가+증정 이벤트♥
★MD추전★ 구성 상관없이 옵션 2개 이상 구매시 
비타민B 컴플렉스 골드 1병 무.조.건 증정!!
고순도 100% 독일산 맥주효모! 섭취 간편한 초소형 정제~
#고함량_비오틴 #맥주효모 #탈모 #머리카락 #단백질</t>
  </si>
  <si>
    <t>[공동구매/+2개 이상 구매시 증정] 뉴트리디데이 독일산 맥주효모 비오틴 10000 2병 총4개월분</t>
  </si>
  <si>
    <t>[공동구매/+2개 이상 구매시 증정] 뉴트리디데이 독일산 맥주효모 비오틴 10000 3병 총6개월분</t>
  </si>
  <si>
    <t>홀리데이즈 혈당케어 바나바 유산균 30캡슐 1병 (1개월분)</t>
  </si>
  <si>
    <t>홀리데이즈 혈당케어 바나바 유산균 30캡슐 1개월/2개월/4개월분</t>
  </si>
  <si>
    <t>혈당 &amp; 장 건강 어렵게 생각마세요! 식후 혈당상승 억제부터 장 건강까지 동시에 케어하는 홀리데이즈 혈당케어 바나바 유산균 하루 1캡슐로 동시에 챙기세요.</t>
  </si>
  <si>
    <t>홀리데이즈 혈당케어 바나바 유산균 30캡슐 2병 (2개월분)</t>
  </si>
  <si>
    <t>홀리데이즈 혈당케어 바나바 유산균 30캡슐 4병 (4개월분)</t>
  </si>
  <si>
    <t>[소비기한 25/08/08] 유기농 타트체리966 2병</t>
  </si>
  <si>
    <t>유기농 타트체리966 2병/3병</t>
  </si>
  <si>
    <t xml:space="preserve">#숙면템 #꿀잠템 #433%고농축
밤이 없어진 현대인을 위한 타트체리
자기전 한잔으로 불면증 탈출!
</t>
  </si>
  <si>
    <t>[소비기한 25/08/08] 유기농 타트체리966 3병</t>
  </si>
  <si>
    <t>GNC</t>
  </si>
  <si>
    <t>[GNC] 밀크씨슬 (60캡슐) 1개월분x2병</t>
  </si>
  <si>
    <t xml:space="preserve">고객의 영양 상태 향상과 건강증진을 위해 노력하고 있는 세계적인 건강기능식품 전문기업 </t>
  </si>
  <si>
    <t xml:space="preserve">[GNC] 알티지 오메가3 60캡슐 (1개월분) x 2병 </t>
  </si>
  <si>
    <t>[GNC] 마그네슘 200 30정 (1개월분) x 2병</t>
  </si>
  <si>
    <t>천지인</t>
  </si>
  <si>
    <t>KINU 핑크퐁 츄어블 멀티비타민x2개(60일)</t>
  </si>
  <si>
    <t>하늘, 땅, 사람이 키운 인삼을 정성껏 찌고 말렸습니다. 홍삼 본연의 맛과 향이 우수한 홍삼만을 전달 합니다.</t>
  </si>
  <si>
    <r>
      <t>[</t>
    </r>
    <r>
      <rPr>
        <sz val="10"/>
        <color rgb="FF000000"/>
        <rFont val="돋움"/>
        <family val="3"/>
        <charset val="129"/>
      </rPr>
      <t>동원천지인</t>
    </r>
    <r>
      <rPr>
        <sz val="10"/>
        <color rgb="FF000000"/>
        <rFont val="Calibri"/>
        <family val="2"/>
      </rPr>
      <t xml:space="preserve">] </t>
    </r>
    <r>
      <rPr>
        <sz val="10"/>
        <color rgb="FF000000"/>
        <rFont val="돋움"/>
        <family val="3"/>
        <charset val="129"/>
      </rPr>
      <t>메가사포니아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골드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홍삼</t>
    </r>
    <r>
      <rPr>
        <sz val="10"/>
        <color rgb="FF000000"/>
        <rFont val="Calibri"/>
        <family val="2"/>
      </rPr>
      <t xml:space="preserve"> (60</t>
    </r>
    <r>
      <rPr>
        <sz val="10"/>
        <color rgb="FF000000"/>
        <rFont val="돋움"/>
        <family val="3"/>
        <charset val="129"/>
      </rPr>
      <t>캡슐</t>
    </r>
    <r>
      <rPr>
        <sz val="10"/>
        <color rgb="FF000000"/>
        <rFont val="Calibri"/>
        <family val="2"/>
      </rPr>
      <t>)</t>
    </r>
  </si>
  <si>
    <t>네이처드림 리얼 유기농 레몬즙 100 20g 14포 1박스/레몬수</t>
  </si>
  <si>
    <t>와! 이.구.성.미.쳤.다 ! ★
신세계라이브쇼핑 고객님들만을 위한 턱.별.구.성!
2만원 이상 무료배송!</t>
  </si>
  <si>
    <t>네이처드림 리얼 유기농 레몬생강즙 100 15g 14포 1박스/진저샷</t>
  </si>
  <si>
    <t>네이처드림 유기농 애플사이다비니거 100 15g 14포 1박스/애사비</t>
  </si>
  <si>
    <t>네이처드림 유기농 레몬 애플사이다비니거 20g x 14포 1박스/ 레몬애사비</t>
  </si>
  <si>
    <t>[보뚜] 이너케어 유산균 아연 셀레늄 30캡슐 x 3박스</t>
  </si>
  <si>
    <t xml:space="preserve">프로바이오틱스, 아연, 셀레늄 3중 기능성 포뮬러 /
 질 유래 특허 유산균 / 30억 CFU </t>
  </si>
  <si>
    <t>간 건강과 지친 몸에 활력을 주는 밀크씨슬
/ 뼈와 근육 건강의 핵심 성분 칼슘 마그네슘 비타민D 망간
/ 체내 흡수율이 좋은 원료 사용 및 뼈 건강을 위한 비타민D 함유</t>
  </si>
  <si>
    <t>광고비100</t>
    <phoneticPr fontId="4" type="noConversion"/>
  </si>
  <si>
    <t>[을지대학교] 뼈 더하기 칼슘 마그네슘 비타민D 망간 60정x2개(4개월분)</t>
  </si>
  <si>
    <t>올바른 유기농 애사비 클렌즈 애플사이다비니거 14포 3박스 총 42포</t>
  </si>
  <si>
    <t>★올바른 창고 대방출★ 전채널 최저가!
#애사비 #다이어트카페 #레몬즙 #유산균 #카무트효소 #여주환</t>
  </si>
  <si>
    <t>올바른 다이어트 카페 블랙컷 2박스 총120포</t>
  </si>
  <si>
    <t>올바른 레몬즙 100 14포 4박스 (총 56포)</t>
  </si>
  <si>
    <t>올바른 건강한 유산균 프로바이오틱스 아연 30포 6박스 총 6개월분</t>
  </si>
  <si>
    <t>올바른 카무트 브랜드 밀 효소 유산균 골드 30포 3박스 총 3개월분</t>
  </si>
  <si>
    <t>올바른 제주산 여주환 4박스 총4개월분 120포</t>
  </si>
  <si>
    <t>프롤린 모유 유산균 프로바이오틱스 프리 바이오틱스 포스트 바이오틱스 3박스</t>
  </si>
  <si>
    <t>[유한메디카] 징코 플러스 엔 탑 혈행 기억력 케어 60정x2개(4개월)</t>
  </si>
  <si>
    <t>하루 1정으로 채우는 혈행 기억력 케어 (은행잎추출물 150mg)
/ 신체 활력과 신경, 근육기능에 도움을 주는 고함량 마그네슘
/ 하루 1정으로 온가족에게 필요한 영양소 23종 섭취</t>
  </si>
  <si>
    <t>우리마을</t>
  </si>
  <si>
    <t>[참다올] 고려은단 비타민C 1000 480정</t>
  </si>
  <si>
    <t>아직 끝나지 않은 추위! 
면역&amp;기관지케어 단단히!
비타민C/도라지청 공동구매 특가★</t>
  </si>
  <si>
    <t>경남제약 레모나C 2g x 140포</t>
  </si>
  <si>
    <t>센트룸 멀티비타민 실버우먼 112CT</t>
  </si>
  <si>
    <t>[참다올]태백농협 5년근 도라지청 280g</t>
  </si>
  <si>
    <t>[참다올]태백농협 5년근 도라지 진액 80ml x 30포</t>
  </si>
  <si>
    <t>[바이탈큐브] 프로폴리스 면역 플러스 3개월/6개월/12개월</t>
  </si>
  <si>
    <t>[바이탈큐브] 프로폴리스 면역 플러스 90정x4개(12개월)</t>
  </si>
  <si>
    <t>드림이음 관절연골엔 소연골 콘드로이친 뮤코다당단백 1200 뼈엔 비타민D 비타민k 2개월분</t>
  </si>
  <si>
    <t xml:space="preserve">드림이음 관절연골엔 소연골 콘드로이친 뮤코다당단백 1200 </t>
  </si>
  <si>
    <t>식약처 관절.연골.뼈건강 기능성 인정원료 간강기능식품
소연골 유래 100% 뮤코다당 단백 1200mg 함유
뼈 건강에 필요한 비타민D, 비타민K, 망간 주원료 추가 함유
깐깐하게 엄선하여 채운 10종 복합 부원료</t>
  </si>
  <si>
    <t>드림이음 관절연골엔 소연골 콘드로이친 뮤코다당단백 1200 뼈엔 비타민D 비타민k 3개월분</t>
  </si>
  <si>
    <t>드림이음 관절연골엔 소연골 콘드로이친 뮤코다당단백 1200 뼈엔 비타민D 비타민k 6개월분</t>
  </si>
  <si>
    <t>올바른 칼슘 마그네슘 비타민D 아연 x 30정</t>
  </si>
  <si>
    <t>많이 담을수록 이~득!
면역관리, 쉽고 간편하게!
2만원이상 구매시 무/료/배/송 놓치지마세요!</t>
  </si>
  <si>
    <t>올바른 멀티비타민 900mg x 30정</t>
  </si>
  <si>
    <t>네이처드림과 함께하는 이너뷰티&amp;다이어트 첫걸음!
놓치지마세요!</t>
  </si>
  <si>
    <t>[1+1] 디마인드 한알 살균표백제 60개입x2개(총120개입)+세탁망&amp;접이식 옷걸이x2개 증정</t>
  </si>
  <si>
    <t>한알 살균표백제 1+1 특가</t>
  </si>
  <si>
    <t>세균들로 두려운 야외활동! 한알로 살균 효과</t>
  </si>
  <si>
    <t>시즌오프 극세사 담요 단독 초특가!</t>
  </si>
  <si>
    <t>#양털담요 #포근담요 #사무실담요 #학교담요 #이불담요</t>
  </si>
  <si>
    <t>리치앤홈 차렵이불/베개솜 모음전</t>
  </si>
  <si>
    <t xml:space="preserve">#경추높이 조절
#빨아쓰는 베개솜
#마이크로화이바
#광폭원단사용
</t>
  </si>
  <si>
    <t>리치앤홈 먼지없는 침구 사계절 라비앙 차렵이불Q 핑크</t>
  </si>
  <si>
    <t>리치앤홈 먼지없는 침구 사계절 라비앙 차렵베개세트S 블루</t>
  </si>
  <si>
    <t>리치앤홈 먼지없는 침구 사계절 라비앙 차렵베개세트Q 핑크</t>
  </si>
  <si>
    <t>리치앤홈 먼지없는 침구 사계절 라비앙 차렵패드세트S 블루</t>
  </si>
  <si>
    <t>리치앤홈 먼지없는 침구 사계절 라비앙 차렵패드세트Q 핑크</t>
  </si>
  <si>
    <t xml:space="preserve">리치앤홈 데일리 순면 워싱이불패드 S </t>
  </si>
  <si>
    <t xml:space="preserve">리치앤홈 데일리 순면 워싱이불패드 Q </t>
  </si>
  <si>
    <t>자연산 손질통오징어 특대(320g) x 3팩 6마리</t>
  </si>
  <si>
    <t>점싱싱한 제철 오징어로 손질이 되어 간편한 사용이 가능합니다! 진공으로 2마리씩 들어있어 한 끼에 요리하기 편리합니다.</t>
  </si>
  <si>
    <t>자연산 손질통오징어 특대(320g) x 5팩 10마리</t>
  </si>
  <si>
    <t>자연산 손질통오징어 특대(320g) x 10팩 20마리</t>
  </si>
  <si>
    <t>[바다원] 국내산 반건조 손질가자미 200g x 3팩 (총 6미)</t>
  </si>
  <si>
    <t xml:space="preserve">싱싱한 바다의 맛!
자연 그대로를 담아, 집에서도 쉽게 즐기는 해산물의 진미!
#가자미 #병어 #반건조생선 #생선 #손질생선 #반찬 </t>
  </si>
  <si>
    <t>[바다원] 국내산 반건조 손질가자미 200g x 7팩 (총 14미)</t>
  </si>
  <si>
    <t>[바다원] 국내산 손질 은병어 170g(1미) 5팩</t>
  </si>
  <si>
    <t>[바다원] 국내산 손질 은병어 170g(1미) 6팩</t>
  </si>
  <si>
    <t>[공동구매★증정이벤트]
3개이상 구매시 : 한돈 메추리알 장조림 320g 증정</t>
  </si>
  <si>
    <t>우리 농산물 100%!
재구매 200%  김치</t>
  </si>
  <si>
    <t>[소문난일품] 백김치 3kg</t>
  </si>
  <si>
    <t>[마음심은] 백김치 3kg / 익을수록 시원한</t>
  </si>
  <si>
    <t>[마음심은] 맛김치 3kg / 익을수록 시원한</t>
  </si>
  <si>
    <t>바다원 생새우살 200g x 2팩 야들야들 맛있는 새우살</t>
  </si>
  <si>
    <t>바다원 생새우살 200g x 2팩</t>
  </si>
  <si>
    <t xml:space="preserve">신선한 바다의 풍미를 그대로 담은
입안에서 살살 녹는 맛의 일품 새우입니다. </t>
  </si>
  <si>
    <t>바다원 생새우살 200g x 4팩 야들야들 맛있는 새우살</t>
  </si>
  <si>
    <t>바다원 칵테일새우 냉동흰다리 새우살 150gx2팩</t>
  </si>
  <si>
    <t>바다원 칵테일새우 냉동흰다리 새우살 150gx4팩</t>
  </si>
  <si>
    <t>허쉬 키세스 펜슬 케이스 208G(밀크52gx2+아몬드 52gx2) x 1개</t>
  </si>
  <si>
    <t>특별한 순간을 더욱 특별하게!
허쉬 펜슬&amp;북 패키지로 뜻깊은 순간을 기념하세요. 한정판으로만 만날 수 있는 특별한 디자인. 초콜릿과 함께하는 달콤한 선물!</t>
  </si>
  <si>
    <t>허쉬 네겟 북 케이스 224G(너겟 밀크 56gx2+너겟 쿠앤크 56gx2) x 1개</t>
  </si>
  <si>
    <t>허쉬 키세스 펜슬 케이스 208Gx1개+허쉬 네겟 북 케이스 224Gx1개</t>
  </si>
  <si>
    <t>허쉬 네겟 북 케이스 224Gx2개+허쉬 키세스 펜슬 케이스 208Gx1개</t>
  </si>
  <si>
    <t>허쉬 해리포터 스낵사이즈 밀크 267gx2봉</t>
  </si>
  <si>
    <t>허쉬 해리포터 스낵사이즈 밀크 267gx3봉</t>
  </si>
  <si>
    <t>[부산산지직송] 대저토마토 2kg(개당70-170g) 로얄과(S~M사이즈)</t>
  </si>
  <si>
    <t>1년 중 이때만 먹을 수있는 달고짜고맛있는 대저토마토! 25년 첫출하 기념 2세트구매시 1kg 추가증정으로 총 5kg 배송</t>
  </si>
  <si>
    <t>오케이쇼핑</t>
  </si>
  <si>
    <t>70101971</t>
  </si>
  <si>
    <t>[G][횡성한우] 마블링가득 시즈닝 1등급 한우 스테이크 160g x 3팩</t>
  </si>
  <si>
    <t>[횡성한우] 마블링가득 시즈닝 1등급 한우 스테이크 160g x 3팩</t>
  </si>
  <si>
    <t>설도, 우둔, 앞다리 3가지 부위를 사용하여 각 부위별로 다양한 맛과 질감을 동시에 즐기실 수 있습니다.</t>
  </si>
  <si>
    <t>70102006</t>
  </si>
  <si>
    <t>[G][횡성한우] 마블링가득 시즈닝 1등급 한우 스테이크 160g x 5팩</t>
  </si>
  <si>
    <t>30205874</t>
  </si>
  <si>
    <t>[G][횡성한우] 마블링가득 시즈닝 1등급 한우 스테이크 180g x 3팩</t>
  </si>
  <si>
    <t>30205888</t>
  </si>
  <si>
    <t>[G][횡성한우] 마블링가득 시즈닝 1등급 한우 스테이크 180g x 5팩</t>
  </si>
  <si>
    <t>70101736</t>
  </si>
  <si>
    <t>[G][횡성한우] 마블링가득 시즈닝 1등급 한우 스테이크 180g x 7팩</t>
  </si>
  <si>
    <t>주식회사 행복이야기 홈스토리</t>
  </si>
  <si>
    <t>[삼남매네]해남 꿀고구마 특상 5KG</t>
  </si>
  <si>
    <t>해남 땅끝 자연이 준 달콤함, 맛있는 꿀 고구마!</t>
  </si>
  <si>
    <t>에이치앤에스리테일</t>
  </si>
  <si>
    <t>집에서 즐기는 실속 햇 부사사과 2.5kg 꼬마소과 (16-22과내외)</t>
  </si>
  <si>
    <t>아삭하고 달콤한 경북부사! 새콤달콤해서 온 가족이 좋아하는 맛입니다.</t>
  </si>
  <si>
    <t>집에서 즐기는 실속 햇 부사사과 2.5kg 중소과 (13-15과내외)</t>
  </si>
  <si>
    <t>집에서 즐기는 실속 햇 부사사과 2.5kg 중과 (11-12과내외)</t>
  </si>
  <si>
    <t>집에서 즐기는 실속 햇 부사사과 2.5kg 중대과 (9-10과내외)</t>
  </si>
  <si>
    <t>집에서 즐기는 실속 햇 부사사과 2.5kg 대과 (5-8과내외)</t>
  </si>
  <si>
    <t>(주)인정에프엔비</t>
  </si>
  <si>
    <t>77584835</t>
  </si>
  <si>
    <t>가정용 성주참외 로얄과 1kg내외(3-5과 내외)</t>
  </si>
  <si>
    <t>고당도 100% 영양소가 풍부한 성주 꿀 참외!</t>
  </si>
  <si>
    <t>77584847</t>
  </si>
  <si>
    <t>가정용 성주참외 로얄과 1.5kg내외(4-7과 내외)</t>
  </si>
  <si>
    <t>77584854</t>
  </si>
  <si>
    <t>가정용 성주참외 로얄과 2kg내외(6-10과 내외)</t>
  </si>
  <si>
    <t>77584864</t>
  </si>
  <si>
    <t>가정용 성주참외 로얄과 2.5kg내외(7-12과 내외)</t>
  </si>
  <si>
    <t>주식회사 에이치웰컴퍼니</t>
  </si>
  <si>
    <t>몽테이블 제주 못난이 한라봉 4.5kg(혼합과)</t>
  </si>
  <si>
    <t>겉과 속이 다른 반전 매력의 맛있는 못난이 한라봉!</t>
  </si>
  <si>
    <t>몽테이블 제주 못난이 한라봉 2.5kg(혼합과)</t>
  </si>
  <si>
    <t xml:space="preserve">주식회사 에이치웰컴퍼니
</t>
  </si>
  <si>
    <t>[킹콩부대찌개]마라핫도그 100g x 10개</t>
  </si>
  <si>
    <t>은은한 마라향과 부담스럽지 않은 매운맛!</t>
  </si>
  <si>
    <t>[킹콩부대찌개]마라핫도그 100g x 5개</t>
  </si>
  <si>
    <t>명장의 비법을 담아낸 만능 무청 된장 시래기!</t>
  </si>
  <si>
    <t>국내산 100% 두부와 밀을 사용한 두부과자! 남녀노소 누구나 부담없이 즐길 수 있는 간식입니다.</t>
  </si>
  <si>
    <t>[공동구매] 우리콩 오곡 두부과자 50g x 10봉</t>
  </si>
  <si>
    <t>[공동구매] 우리콩 오곡 두부과자 50g x 20봉</t>
  </si>
  <si>
    <t>[공동구매] 우리콩 오곡 두부과자 50g x 30봉</t>
  </si>
  <si>
    <t>[메리그린] 패션 스퀘어 블랙 반지</t>
  </si>
  <si>
    <t>메리그린 봄맞이 특가!
로즈골드 패션 반지 9900원부터~</t>
  </si>
  <si>
    <t>인기 로즈골드 반지
2025년 봄맞이 기념 특별가로 만나보세요♥</t>
  </si>
  <si>
    <t>[메리그린] 듀플렉스 패션 반지</t>
  </si>
  <si>
    <t>[메리그린] 패션 버뮤다 웨이브 반지</t>
  </si>
  <si>
    <t>[메리그린] 패션 로얄블루 반지</t>
  </si>
  <si>
    <t>[메리그린] 패션 레이어드 데일리 5종 세트 반지</t>
  </si>
  <si>
    <t>14K 골드필드 탄생석 컬러 미러볼  데일리 스터드 금 귀걸이</t>
  </si>
  <si>
    <t>★Only 신세계 공동구매 혜택가★ 슬레진저 인기 운동화 모음!</t>
  </si>
  <si>
    <t>[공동구매] 슬레진저 남녀공용 슬립온 로니 CR3S6L0</t>
  </si>
  <si>
    <t>[라쿠치나] 파니니 8팩 골라담기</t>
  </si>
  <si>
    <t>동원 비타C 에이드 레몬 500ml 24개 (소비기한 25.05.22)</t>
  </si>
  <si>
    <t>[동원] 소비기한 임박 음료 특가</t>
  </si>
  <si>
    <t>부담없이 즐길 수 있는 제로 칼로리 음료 소비기한 임박 특가!</t>
  </si>
  <si>
    <t>동원 보성홍차 아이스티 제로 500ml 24병 애플/샤인머스캣 (소비기한 25.09)</t>
  </si>
  <si>
    <t>동원 보성홍차 아이스티 제로 500ml 24병 복숭아/레몬 (소비기한 25.09)</t>
  </si>
  <si>
    <t xml:space="preserve">■ 3/3주차  (3/3~3/9 진행, 발송예정일 : 3/10 월) </t>
  </si>
  <si>
    <t xml:space="preserve">붉은색 음영칸 MD작성 요청 2/21(금) 마감  </t>
  </si>
  <si>
    <t>까사마루</t>
  </si>
  <si>
    <t>(공구)[까사마루] 3단 행거</t>
  </si>
  <si>
    <t>홈쇼핑 1100억 판매 신화, 까사마루 행거, 시크릿 최저가 자신</t>
  </si>
  <si>
    <t>TV 1000억판매 상품, 최조 공구, 상단요청</t>
  </si>
  <si>
    <t>(공구)[까사마루] 2단 행거</t>
  </si>
  <si>
    <t>(공구)[까사마루] NEW 3단 행거</t>
  </si>
  <si>
    <t>(공구)[까사마루] 키다리 행거 1세트</t>
  </si>
  <si>
    <t>(공구)[까사마루] 키다리 행거 1+1세트</t>
  </si>
  <si>
    <t>송월타월</t>
  </si>
  <si>
    <t>(공동구매)송월타월 다니엘 30수 190g 호텔수건 10매</t>
  </si>
  <si>
    <t>송월타월 다니엘 190G 고중량 호텔 수건 비공개 특가</t>
  </si>
  <si>
    <t>신규, 단독할인 상단 요청</t>
  </si>
  <si>
    <t>아이프리</t>
  </si>
  <si>
    <t>(공동구매)아이프리 보풀제거기 UK-55</t>
  </si>
  <si>
    <t>아이프리 보풀제거기, 비공개 최저가 공동구매</t>
  </si>
  <si>
    <t xml:space="preserve">역시즌 특가 </t>
  </si>
  <si>
    <t>(공동구매)아이프리 보풀제거기 FX-9 스타킹전용 휴대용</t>
  </si>
  <si>
    <t>(공동구매)보풀제거기 FX-950 원터치 세탁소용 USB 충전식 코드 원피스 레깅스 보풀 제거</t>
  </si>
  <si>
    <t xml:space="preserve">(공동구매)아이프리 PTC 전기히터 온풍기 시즌2 가정/사무실용 </t>
  </si>
  <si>
    <t>(공동구매)아이프리 무선 가정용 휴대용 벌레 충전식 모기 퇴치기 캠핑용품</t>
  </si>
  <si>
    <t>네이처리퍼블릭</t>
    <phoneticPr fontId="4" type="noConversion"/>
  </si>
  <si>
    <t>[2+2+2] 어린녹차 순한 토너+에멀전+크림</t>
  </si>
  <si>
    <t xml:space="preserve"> ★초특가 2+2+2 어린녹차 케어 세트!!★</t>
    <phoneticPr fontId="4" type="noConversion"/>
  </si>
  <si>
    <t>오직 공동구매에서만 만날 수 있는 가격!
봄의 시작 네이처리퍼블릭과
촉촉하게 케어 하세요 ♥</t>
    <phoneticPr fontId="4" type="noConversion"/>
  </si>
  <si>
    <t>[1+1] 슈퍼 아쿠아 맥스 프레시 수분크림 [지성용]</t>
  </si>
  <si>
    <t>[1+1] 슈퍼 아쿠아 맥스 컴비네이션 수분크림 [복합성용]</t>
  </si>
  <si>
    <t>[1+1] 슈퍼 아쿠아 맥스 모이스처 수분크림 [건성용]</t>
  </si>
  <si>
    <t>[1+1+1] 매끈매끈 때샤워</t>
  </si>
  <si>
    <t>[1+1+1] 퍼퓸 드 네이처 바디워시</t>
  </si>
  <si>
    <t>[네이처리퍼블릭] 아워스 모닝모스 바디케어 세트</t>
  </si>
  <si>
    <t>[네이처리퍼블릭] 아워스 썬스텝 바디케어 세트</t>
  </si>
  <si>
    <t>[네이처리퍼블릭] 아워스 딥다크 바디케어 세트</t>
  </si>
  <si>
    <t>리엔케이</t>
  </si>
  <si>
    <t>얼티밋 페이스업 리프팅 4종 기획세트+클렌징폼 120ml 본품 증정</t>
  </si>
  <si>
    <t>리엔케이 리프팅 스킨케어 5종 특가</t>
  </si>
  <si>
    <t>리엔케이 가성비 갑 기초세트! 
얼티밋 안티에이징 기초세트가 선물 패키지로 리뉴얼되어 컴백!
4종 기획세트 풀구성+2in1 스크럽 클렌징폼 대용량 본품까지 증정하는 구성으로 놓치지 마세요!</t>
  </si>
  <si>
    <t>하수오</t>
    <phoneticPr fontId="4" type="noConversion"/>
  </si>
  <si>
    <t>하수오 오리엔탈 헤어 샴푸 린스 1500ml 1+1</t>
  </si>
  <si>
    <t>과일나라 하수오 오리엔탈 헤어 샴푸 린스 1500ml 1+1</t>
    <phoneticPr fontId="4" type="noConversion"/>
  </si>
  <si>
    <t>대용량 샴푸&amp;린스 하수오가 함유되어 있어 건강하고 윤기나는 아름다운 모발케어!</t>
    <phoneticPr fontId="4" type="noConversion"/>
  </si>
  <si>
    <t>코스메이트</t>
    <phoneticPr fontId="4" type="noConversion"/>
  </si>
  <si>
    <t>워모 남성화장품 스킨 로션 4종세트(스킨2개+로션2개)</t>
  </si>
  <si>
    <t xml:space="preserve">남성 피부 관리 지친피부에 촉촉한 수분감! 
워모 스킨로션&amp;레볼루션ll 트러블케어&amp;엑스퍼트 올인원 기능성 화장품을 만나보세요 </t>
    <phoneticPr fontId="4" type="noConversion"/>
  </si>
  <si>
    <t>레볼루션ll 남성화장품 스킨 로션 4종세트(스킨2개+로션2개)</t>
  </si>
  <si>
    <t>엑스퍼트 프로텍션 올인원 200ml 1+1 남성화장품</t>
  </si>
  <si>
    <t>아이프리홀딩스</t>
  </si>
  <si>
    <t>1+1 아이프리 미끄럼방지 욕실 발매트 M</t>
  </si>
  <si>
    <t>아이프리 홀딩스 발매트/그루밍스틱 특가</t>
  </si>
  <si>
    <t>1+1 아이프리 미끄럼방지 욕실 발매트 L</t>
  </si>
  <si>
    <t>1+1 아이프리 미끄럼방지 욕실 발매트 M+L</t>
  </si>
  <si>
    <t>[그루밍 스틱 혓바닥 브러쉬] 고양이 스크래쳐 교감도구 그루밍 스틱 혓바닥 브러쉬 그루미 빗</t>
  </si>
  <si>
    <t>대용량 리빙박스 外 봄맞이 정리함 특가</t>
  </si>
  <si>
    <t>[5+5] 어깨뿔방지 논슬립 자국없는 튼튼 철제옷걸이 (총 10P)</t>
  </si>
  <si>
    <t>[1+1] 책상/탁상/화장대 깔끔수납합 컬러2종</t>
  </si>
  <si>
    <t>[3+3] 부드러운 라운드 손잡이 수납함 (총 6개세트)</t>
  </si>
  <si>
    <t>알러지케어 고밀도원단 + 부드럽고 푹신한 저데니아솜 + 3D경추 입체봉제 + 통세탁 가능!</t>
  </si>
  <si>
    <t>순면피그먼트 침대패드 특가</t>
  </si>
  <si>
    <t>고온에서 장시간 삶아 연색하는 피그먼트 워싱 기법으로 불순물이 제거되며</t>
  </si>
  <si>
    <t>아가일 꽈배기패턴 극세사 양털 양면담요 특가</t>
  </si>
  <si>
    <t>포근 따뜻 양털담요 단독특가!
#양털담요 #무릎담요 #사무실담요 #학교담요 #이불담요</t>
  </si>
  <si>
    <t>리치앤홈 봄맞이 이불 특가전</t>
  </si>
  <si>
    <t>사계절 전용 이불로 따끈포근한 기분좋은 포근함
을 느껴보세요</t>
  </si>
  <si>
    <t>리치앤홈 사계절 퓨어 차렵이불 Q 퀸 핑크</t>
  </si>
  <si>
    <t>★500세트 한정★[늘조은하누] 한우 1등급 구이세트 (등심200g+등심200g+차돌200g)</t>
  </si>
  <si>
    <t>한우 1등급 이상의 질 좋고 신선한 고기만을 선별했습니다.</t>
  </si>
  <si>
    <t>★500세트 한정★[늘조은하누] 한우 1등급 모둠구이세트 (등심200g+채끝300g+차돌200g)</t>
  </si>
  <si>
    <t>(주)아이마코</t>
  </si>
  <si>
    <t>77637030</t>
  </si>
  <si>
    <t>[우아한돼지] 손질 절단 미니족발 1kg</t>
  </si>
  <si>
    <t>쫄깃한 껍질과 부드러운 살코기로 양념요리시 맛있게 드실 수 있는 부위입니다.</t>
  </si>
  <si>
    <t>77637024</t>
  </si>
  <si>
    <t>[우아한돼지] 손질 절단 미니족발(1kgx2)2kg</t>
  </si>
  <si>
    <t>정월 대보름 비빕밥재료 올타 삼색 나물세트 3종X1세트 (고사리/도라지/취나물)</t>
  </si>
  <si>
    <t xml:space="preserve"> 올타 삼색 나물세트 3종X1세트 (고사리/도라지/취나물)</t>
  </si>
  <si>
    <t>해동 후 바로 먹을 수 있는 간편한 올타 나물</t>
  </si>
  <si>
    <t>정월 대보름 비빕밥재료 올타 삼색 나물세트 3종X2세트 (고사리/도라지/취나물)</t>
  </si>
  <si>
    <t>주식회사 넛파인</t>
  </si>
  <si>
    <t>(중대과) 달콤하고 아삭한 경북 부사 사과 3kg 가정용</t>
  </si>
  <si>
    <t>달콤하고 아삭한 경북 부사 사과 3kg 가정용 중대과</t>
  </si>
  <si>
    <t>아삭한 식감과 달콤한 맛! 맛있기로 소문난 경북 사과!</t>
  </si>
  <si>
    <t>(중대과) 달콤하고 아삭한 경북 부사 사과 5kg 가정용</t>
  </si>
  <si>
    <t>(중대과) 달콤하고 아삭한 경북 부사 사과 8kg 가정용</t>
  </si>
  <si>
    <t>(중대과) 달콤하고 경북 햇 부사 사과 9kg 가정용</t>
  </si>
  <si>
    <t>47819714</t>
  </si>
  <si>
    <t>[춘천직송]참다른 순살 춘천닭갈비 500g x 2팩</t>
  </si>
  <si>
    <t>황금비율 레시피로 만들어진 수제 비법양념으로 깔끔하고 깊은 감칠맛이 일품입니다.</t>
  </si>
  <si>
    <t>47819726</t>
  </si>
  <si>
    <t>[춘천직송]참다른 순살 간장닭갈비 500g x 2팩</t>
  </si>
  <si>
    <t>47819718</t>
  </si>
  <si>
    <t>[춘천직송]참다른 순살 춘천닭갈비 500g + 간장닭갈비 500g</t>
  </si>
  <si>
    <t>72339081</t>
  </si>
  <si>
    <t>[춘천직송]참다른 순살 마라닭갈비 500g x 2팩</t>
  </si>
  <si>
    <t>72339077</t>
  </si>
  <si>
    <t>[춘천직송]참다른 순살 불닭 닭갈비 500g x 2팩</t>
  </si>
  <si>
    <t>72339075</t>
  </si>
  <si>
    <t>[춘천직송]참다른 순살 로제닭갈비 500g x 2팩</t>
  </si>
  <si>
    <t>42530370</t>
  </si>
  <si>
    <t>[남해바다] 국내산 가리비 1kg</t>
  </si>
  <si>
    <t>맛과 영양이 꽉 담긴 국내산 가리비입니다.</t>
  </si>
  <si>
    <t>42530378</t>
  </si>
  <si>
    <t>[남해바다] 국내산 가리비 2kg</t>
  </si>
  <si>
    <t>42530373</t>
  </si>
  <si>
    <t>[남해바다] 국내산 가리비 3kg</t>
  </si>
  <si>
    <t>48339249</t>
  </si>
  <si>
    <t>[남해바다] 국내산 석화굴 2kg(각굴)+ 가리비 2kg</t>
  </si>
  <si>
    <t>48339250</t>
  </si>
  <si>
    <t>[남해바다] 국내산 석화굴 2kg(각굴)+ 가리비 3kg</t>
  </si>
  <si>
    <t>생 블루베리 125g 4팩</t>
  </si>
  <si>
    <t>세계 10대 슈퍼푸드 블루베리! 자연의 맛 그대로 담았습니다.</t>
  </si>
  <si>
    <t>생 블루베리 125g 6팩</t>
  </si>
  <si>
    <t>바나나 3송이 4kg 내외</t>
  </si>
  <si>
    <t>바나나 4송이 5kg 내외</t>
  </si>
  <si>
    <t>(주)아이홈푸드</t>
  </si>
  <si>
    <t>24년 소리팜 해남 꿀고구마 3kg (중상) (2개구매시 7kg로발송)</t>
  </si>
  <si>
    <t>끌처럼 달콤한 해남 고구마!</t>
  </si>
  <si>
    <t>24년 소리팜 해남 꿀고구마 3kg (특상) (2개구매시 7kg로발송)</t>
  </si>
  <si>
    <t>[김치대가] 전라도 배추 겉절이 2kg</t>
  </si>
  <si>
    <t>국내산 100% 재료로 만든 김치입니다.</t>
  </si>
  <si>
    <t>[김치대가] 전라도 석박지 2kg</t>
  </si>
  <si>
    <t>[김치대가] 전라도 포기김치 2kg</t>
  </si>
  <si>
    <t>[김치대가] 전라도 백김치 2kg</t>
  </si>
  <si>
    <t>[김치대가] 전라도 총각김치(알타리) 2kg</t>
  </si>
  <si>
    <t>천연 비법 육수로 더욱 감칠맛 나는 김치입니다.</t>
  </si>
  <si>
    <t>[규수댁] 한결같은 총각김치 3kg</t>
  </si>
  <si>
    <t>[규수댁] 한결같은 열무김치 3kg</t>
  </si>
  <si>
    <t>[우리남도] 산지직송 여수 갓피클(갓장아찌) 1kg</t>
  </si>
  <si>
    <t>여수에서 직접 재배한 새콤달콤한 맛!</t>
  </si>
  <si>
    <t>[우리남도] 산지직송 여수 고들빼기 1kg</t>
  </si>
  <si>
    <t>[우리남도] 산지직송 여수 돌산 갓김치 2kg</t>
  </si>
  <si>
    <t>반찬단지 깻잎무침1kg + 고추무침 1Kg</t>
  </si>
  <si>
    <t>반찬단지 진미채무침1kg+무말랭이1kg</t>
  </si>
  <si>
    <t>㈜우리가스토리</t>
  </si>
  <si>
    <t>삼립 오븐에구운도넛 50개입</t>
  </si>
  <si>
    <t>튀기지 않아 고소하고 부드러운 식감!</t>
  </si>
  <si>
    <t>[봉우리농장]카라카라오렌지 중과 10과 (개당193g 내외 총1.9kg)</t>
  </si>
  <si>
    <t>비타민C 가득한 카라카라오렌지! 상큼 달콤한 과일로
다가오는 봄을 맞이하세요!</t>
  </si>
  <si>
    <t>[봉우리농장]카라카라오렌지 중과 20과 (개당193g 내외 총3.8kg)</t>
  </si>
  <si>
    <t>[봉우리농장]카라카라오렌지 중과 40과 (개당193g 내외 5.7kg)</t>
  </si>
  <si>
    <t>바삭한 식감과 깊은 풍미,
 바다원 쥐포로 특별한 간식 시간을 즐겨보세요!</t>
  </si>
  <si>
    <t>[여수사나이] 여수 돌산 갓김치 1kg 국내산 당일생산</t>
  </si>
  <si>
    <t>[공동구매★증정이벤트]
3개이상 구매시 : 깍두기 500g 증정해 드립니다</t>
  </si>
  <si>
    <t>[여수사나이] 여수 돌산 갓물김치 1kg 국내산 김치 당일생산</t>
  </si>
  <si>
    <t>[여수사나이] 여수 돌산 갓장아찌 1kg 국내산 김치</t>
  </si>
  <si>
    <t>[여수사나이] 별미 깍두기 1kg 국내산 김치 당일생산</t>
  </si>
  <si>
    <t>[여수사나이] 총각김치 1kg 국내산 김치 당일생산</t>
  </si>
  <si>
    <t>[여수사나이] 겨울동치미 5kg 국내산 김치 당일생산</t>
  </si>
  <si>
    <t>바다원 산지직송 완도 활전복 1kg (9-10미 내외) 싱싱한 전복</t>
  </si>
  <si>
    <t>신선한 바다의 맛, 완도 활전복으로 특별한 미식을 경험하세요! 자연의 풍미가 가득한 전복을 지금 만나보세요!</t>
  </si>
  <si>
    <t>바다원 산지직송 완도 활전복 1kg (8-9미 내외) 싱싱한 전복</t>
  </si>
  <si>
    <t>바다원 산지직송 완도 활전복 19-20미 1kg 싱싱한 전복</t>
  </si>
  <si>
    <t>바다원 산지직송 완도 활전복 1kg (50-60미 내외) 싱싱한 전복</t>
  </si>
  <si>
    <t>[3봉세트] 비달 멀티비타민 롤리팝캔디 98g (7g x 14개입) 글루텐프리 막대사탕</t>
  </si>
  <si>
    <t>[VIDAL] 스페인 비달 캔디 &amp; 젤리 특가!
#스페인젤리 #스페인캔디 #비달캔디 #비달젤리 #스페인비달</t>
  </si>
  <si>
    <t>[6봉세트] 비달 사우어 플라이 워터멜론향 젤리 80g 혓바닥 페인터 젤리 대용량</t>
  </si>
  <si>
    <t>[6봉세트] 비달 사우어 플라이 라즈베리향 젤리 80g 혓바닥 페인터 젤리 대용량</t>
  </si>
  <si>
    <t>[6봉세트] 비달 파이어 데블젤리 매운맛 젤리 80g</t>
  </si>
  <si>
    <t>제로 연양갱 팥 50gx12개</t>
  </si>
  <si>
    <t xml:space="preserve">설탕 없이 부드럽고 달콤하게 즐기는 제로 연양갱! 
부드러운 식감과 팥의 달콤함, 풍부한 식이섬유로 포만감과 건강함을 동시에! </t>
  </si>
  <si>
    <t>제로 연양갱 팥 50gx24개</t>
  </si>
  <si>
    <t>제로 연양갱 팥 50gx40개</t>
  </si>
  <si>
    <t>제로 연양갱 팥 50gx12개+초에너지바 40gx12개</t>
  </si>
  <si>
    <t>제로 연양갱 팥 50gx12개+가나초코바 아몬드 43gx12개</t>
  </si>
  <si>
    <t>㈜대두식품</t>
  </si>
  <si>
    <t>[화과방] 앙금 가득한 프리미엄 앙빵(40개입)-냉동배송상품</t>
  </si>
  <si>
    <t>국산재료 팥, 단호박, 고구마를 사용한 프리미엄 앙금을 가득 담았습니다.</t>
  </si>
  <si>
    <t xml:space="preserve">독일산 맥주효모와 고함량 비오틴으로 건강챙기세요!
</t>
  </si>
  <si>
    <t>뉴트리디데이 인지력 기억력 포스파티딜세린 징코 1박스 60캡슐</t>
  </si>
  <si>
    <t>뉴트리디데이 온라인 단독 최저가 ~UP TO 58%
★MD추전★ 두뇌건강/기억력 집중관리
노화로 인해 저하된 인지력 개선 必
100% 식물성 캡슐로 소화+흡수력 UP !
#기억력 #뇌건강 #인지력</t>
  </si>
  <si>
    <t>뉴트리디데이 인지력 기억력 포스파티딜세린 징코 3박스 총180캡슐</t>
  </si>
  <si>
    <t xml:space="preserve"> 로엘 곤약젤리 신세계TV쇼핑 단독 공동구매 특가!
맛별로 쟁여두고 먹는 온 가족 간식♥ </t>
  </si>
  <si>
    <t>로엘 팅글 ABC 곤약젤리 1박스, 20팩</t>
  </si>
  <si>
    <t>로엘 팅글 곤약젤리 애사비 2박스, 20팩</t>
  </si>
  <si>
    <t>비타블룸 L-아르기닌 파워 20g x 15포 3박스</t>
  </si>
  <si>
    <t>한국야쿠르트 개별인정원료</t>
  </si>
  <si>
    <t>장건강과 다이어트는 한번에 챙길 수 있는 제품</t>
  </si>
  <si>
    <t>올바른 엘라스틴 초저분자 콜라겐 비오틴 60정 1박스 2개월분</t>
  </si>
  <si>
    <t xml:space="preserve">300Da 초저분자 피쉬콜라겐 + 1,333% 충족 비오틴
#씹어먹는 콜라겐 #엘라스틴 #히알루론산 #2개월분 #무료배송
</t>
  </si>
  <si>
    <t>[s][보뚜] 석류즙100 80ml x 30포 x 1박스 / HACCP인증</t>
  </si>
  <si>
    <t>엄선한 스페인산 석류로 만든 석류즙! #무료배송</t>
  </si>
  <si>
    <t>[보뚜] 석류즙100 80ml x 30포 x 2박스 / HACCP인증</t>
  </si>
  <si>
    <t>[공동구매][건국유업] 관절건강 엠에스엠 2000 120정x1개(2개월)</t>
  </si>
  <si>
    <t>관절&amp;연골건강에 도움을 주는 MSM 100% 함유
1일 권장섭취량 대비 최대치 2000mg 으로 관절건강 지키세요</t>
  </si>
  <si>
    <t>[공동구매][건국유업] 관절건강 엠에스엠 2000 120정x3개(6개월)</t>
  </si>
  <si>
    <t>[건국유업] 관절건강 엠에스엠 2000 120정x5개(10개월)</t>
  </si>
  <si>
    <t>프리미엄 미국산 MSM 100% 부원료 NO
/ 하루 1포로 지키는 우리 가족 장 건강
/ 하루 1정으로 23종 영양소 섭취</t>
  </si>
  <si>
    <t>[을지대학교] 생유산균 더하기 프로바이오틱스19 30포x3개(3개월분)</t>
  </si>
  <si>
    <t>비린맛 때문에 오메가 섭취가 힘드셨다면 식물성 대마종자유
/ 건강한 세포와 혈액 생성을 위한 고함량 철분, 엽산
/ 간 건강과 지친 몸에 활력을 더해주는 밀크씨슬</t>
  </si>
  <si>
    <t xml:space="preserve">건강한 다이어트의 시작!
잘못된 다이어트로 굶지말고 식후 하루 1정 섭취하여
체지방 감소와 혈당 케어를 함께 건강하게 케어하세요
적절한 운동, 식이조절과 함께 본 제품을 섭취해주세요
</t>
  </si>
  <si>
    <t>드림이음 혈당케어 바나바잎 체지방 다이어트 카테킨 플랜컷 최하슬 혈당 다이어트 3개월분</t>
  </si>
  <si>
    <t>드림이음 혈당케어 바나바잎 체지방 다이어트 카테킨 플랜컷 최하슬 혈당 다이어트 6개월분</t>
  </si>
  <si>
    <t>베니스에프엔비</t>
  </si>
  <si>
    <t>조성아 원더바스 슈퍼 베지톡스 클렌저 그린 300ml 1+1</t>
  </si>
  <si>
    <t>조성아 원더바스 슈퍼 베지톡스 클렌저 퍼플 300ml 1+1</t>
  </si>
  <si>
    <t>조성아 원더바스 슈퍼 베지톡스 클렌저 레드 300ml 1+1</t>
  </si>
  <si>
    <t>아로닉스 비건아이 블랙빈 헤어토닉 100mlx2개+두피마사지기</t>
  </si>
  <si>
    <t>하라즈</t>
  </si>
  <si>
    <t>하라즈 샴푸형 앰플 염색 염색제 5개입</t>
  </si>
  <si>
    <t>하라즈 샴푸형 앰플 염색 염색제 10개입</t>
  </si>
  <si>
    <t>하라즈 샴푸형 앰플 염색 염색제 15개입</t>
  </si>
  <si>
    <t>하라즈 샴푸형 앰플 염색 염색제 30개입</t>
  </si>
  <si>
    <t>하라즈 샴푸형 앰플 염색 염색제 40개입</t>
  </si>
  <si>
    <t>[DELAHAYE] 아트워크 남성 니트_네이비</t>
  </si>
  <si>
    <t>[들라이예] 아트워크 남성 니트 특가! ~12,900원부터</t>
  </si>
  <si>
    <t>[들라이예] 아트워크 남성 니트 특가!
 #남성니트 #봄니트 #니트 #홈쇼핑니트 #들라이예 #가성비니트 #특가니트 #패션니트</t>
  </si>
  <si>
    <t>[DELAHAYE] 아트워크 남성 니트_블루</t>
  </si>
  <si>
    <t>[DELAHAYE] 아트워크 남성 니트_그레이</t>
  </si>
  <si>
    <t>[DELAHAYE] 아트워크 남성 니트 3종 세트</t>
  </si>
  <si>
    <t>[올리비에스클로젯] 소매라벨 포인트 줄지 티셔츠_O2502TS015A</t>
  </si>
  <si>
    <t>[올리비에스클로젯]시즌BEST</t>
  </si>
  <si>
    <t>티셔츠&amp;스커트 외 간절기템</t>
  </si>
  <si>
    <t>[올리비에스클로젯] [SET]복숭아패턴 잠옷 2종세트_O2502SE007A</t>
  </si>
  <si>
    <t>[올리비에스클로젯] 리본패턴 레이어드 랩 스커트_O2502SK013A</t>
  </si>
  <si>
    <t>[올리비에스클로젯] 나그랑 포켓 밑단트임 롱 티셔츠_O2502TS031A</t>
  </si>
  <si>
    <t>[올리비에스클로젯] 스토리 영문 라운드넥 티셔츠_O2502TS019A</t>
  </si>
  <si>
    <t>[커스텀에이블] 스판 잭클린 라운드 티셔츠_T2501TS005A</t>
  </si>
  <si>
    <t>[커스텀에이블]MD추천!봄나들이룩</t>
  </si>
  <si>
    <t>#티셔츠#스커트#블라우스</t>
  </si>
  <si>
    <t>[커스텀에이블] 주름 허리 뒷밴딩 스커트_T2501SK003A</t>
  </si>
  <si>
    <t>[커스텀에이블] 꽈배기 브이넥 긴팔 니트_T2501KN009A</t>
  </si>
  <si>
    <t>[커스텀에이블] 컬러 박시핏 셔츠 블라우스_T2501BL005A</t>
  </si>
  <si>
    <t>[커스텀에이블] 스카프 나염 블라우스_T2501BL003A</t>
  </si>
  <si>
    <t>[모리스커밍홈] 랍빠 베이직 텐션 티셔츠_M2502TS013A</t>
  </si>
  <si>
    <t>[모리스커밍홈]봄신상 티셔츠&amp;니트</t>
  </si>
  <si>
    <t>하나쯤 필수! 기본템 get하세요~</t>
  </si>
  <si>
    <t>[모리스커밍홈] 하트넥 스판 크롭 티셔츠_M2502TS014A</t>
  </si>
  <si>
    <t>[모리스커밍홈] 유넥 스판 티셔츠_M2502TS012A</t>
  </si>
  <si>
    <t>[모리스커밍홈] 쫀쫀 슬리밍 카울넥 티셔츠_M2502TS011A</t>
  </si>
  <si>
    <t>[모리스커밍홈] 데일리 U넥 뱀부니트_M2502KN006A</t>
  </si>
  <si>
    <t>KARRA 펀칭진주볼버튼가디건_A5S0259</t>
  </si>
  <si>
    <t>[KARRA] 다가오는 봄! 카라 봄 신상 데일리룩</t>
  </si>
  <si>
    <t>봄 신상 데일리룩 특가 모음전</t>
  </si>
  <si>
    <t>KARRA 심플골지니트베스트_A5S0254</t>
  </si>
  <si>
    <t>KARRA 세미와이드볼드링9부팬츠_A5S0267</t>
  </si>
  <si>
    <t>KARRA 스티치스냅체크배색데님자켓_A5S0265</t>
  </si>
  <si>
    <t>KARRA 배색탑라인캐주얼점퍼_A5S0258</t>
  </si>
  <si>
    <t>디그레이프/리즈무드</t>
  </si>
  <si>
    <t>공동구매 특가로 편한하고 따듯한 기모바지와 함께 겨울나기
#헬스#기모바지#바지#기모</t>
  </si>
  <si>
    <t>남성용 국내생산 두꺼운 이중바닥 단목 스포츠양말 5켤레 무지 이중쿠션 작업양말 파일</t>
  </si>
  <si>
    <t>베이직 트리플 니삭스 3켤레 세트 골프양말 헬스양말 롱삭스</t>
  </si>
  <si>
    <t>오버 니삭스 3켤레세트 니삭스 무지 반스타킹 골프 요가 필라테스 양말</t>
  </si>
  <si>
    <t>판타롱스타킹 10켤레 고탄력 국내생산 스타킹 20데니아</t>
  </si>
  <si>
    <t>개별포장 고탄력 판타롱 밴드 스타킹 10켤레 국산 80D 고급 두꺼운 무릎스타킹</t>
  </si>
  <si>
    <t>[1+1] 데일리 반달 이지 호보 크로스백 컬러4종</t>
  </si>
  <si>
    <t>데일리 크로스백/니트백 1+1 균일가 7,900원!</t>
  </si>
  <si>
    <t>사계절 데일리로 착용하기 좋은 크로스백/니트백 단돈 7,900원!</t>
  </si>
  <si>
    <t>[1+1] 데일리 탄탄 미니니트백 손목가방 8종</t>
  </si>
  <si>
    <t>[1+1] 튼튼한 원터치 UV차단 3단 자동우산 양산겸용 컬러 5종</t>
  </si>
  <si>
    <t>1개사면 1개 더!
미니 포켓우산/3단 자동우산 1+1 특가</t>
  </si>
  <si>
    <t>미니 포켓사이즈로 들고다니기 편한
초경량 우산 모음!</t>
  </si>
  <si>
    <t>[1+1] 메종플라워 자외선 차단 3단 암막우산 양산겸용(+전용파우치)</t>
  </si>
  <si>
    <t>[1+1] 초경량 미니포켓 우산 양산겸용+전용파우치 컬러 9종</t>
  </si>
  <si>
    <t>[1+1] 초경량 자외선차단 미니 우산/양산+보관케이스 포함</t>
  </si>
  <si>
    <t>여행용 파우치/캐리어백 모음전
공동구매 단독 특가</t>
  </si>
  <si>
    <t>여행/캠핑/레저용 캐리어백 1+1 특가</t>
  </si>
  <si>
    <t>[제임스딘] 주니어 네이처 패브릭 드로즈 3종 세트</t>
  </si>
  <si>
    <t>[좋은사람들] 보디가드/제임스딘 남성 남아 인기 드로즈 세트 특가 모음</t>
  </si>
  <si>
    <t>좋은사람들 남성 드로즈 세트 특별가 행사전
#좋은사람들 #보디가드 #제임스딘 #드로즈 #언더웨어</t>
  </si>
  <si>
    <t>[제임스딘] 남성 네이처 패브릭 드로즈 5종 세트</t>
  </si>
  <si>
    <t>[보디가드] 남성 오리지널 어메니티 드로즈 5종 세트</t>
  </si>
  <si>
    <t>[제임스딘] 남성 무봉제 프리 컷팅 드로즈 5종 세트</t>
  </si>
  <si>
    <t>[좋은사람들] 남성 네이처 어메니티 드로즈 10종 세트</t>
  </si>
  <si>
    <t xml:space="preserve">■ 3/10주차  (3/10~3/16 진행, 발송예정일 : 3/17 월) </t>
  </si>
  <si>
    <t xml:space="preserve">붉은색 음영칸 MD작성 요청 2/28(금) 마감  </t>
  </si>
  <si>
    <t>25년 모바일 브랜드샵 취합시트</t>
    <phoneticPr fontId="4" type="noConversion"/>
  </si>
  <si>
    <t>단위 만</t>
    <phoneticPr fontId="4" type="noConversion"/>
  </si>
  <si>
    <t>단위 천만</t>
  </si>
  <si>
    <t>CAT</t>
    <phoneticPr fontId="4" type="noConversion"/>
  </si>
  <si>
    <t>MD CAT</t>
    <phoneticPr fontId="4" type="noConversion"/>
  </si>
  <si>
    <t>MD</t>
    <phoneticPr fontId="4" type="noConversion"/>
  </si>
  <si>
    <t>순위</t>
    <phoneticPr fontId="4" type="noConversion"/>
  </si>
  <si>
    <t>행사 브랜드</t>
  </si>
  <si>
    <t xml:space="preserve">광고비 </t>
  </si>
  <si>
    <t>목표매출</t>
    <phoneticPr fontId="4" type="noConversion"/>
  </si>
  <si>
    <t>행사기간</t>
    <phoneticPr fontId="4" type="noConversion"/>
  </si>
  <si>
    <t>주력기간</t>
    <phoneticPr fontId="4" type="noConversion"/>
  </si>
  <si>
    <t>행사타이틀 / 프로모션 / 소구포인트</t>
    <phoneticPr fontId="4" type="noConversion"/>
  </si>
  <si>
    <t>참고사항</t>
    <phoneticPr fontId="4" type="noConversion"/>
  </si>
  <si>
    <t>디자인 내부 요청
여부 표시 (OX)</t>
  </si>
  <si>
    <t>기획전 코드</t>
  </si>
  <si>
    <t>컴포넌트 코드</t>
    <phoneticPr fontId="4" type="noConversion"/>
  </si>
  <si>
    <r>
      <rPr>
        <b/>
        <sz val="11"/>
        <color rgb="FF000000"/>
        <rFont val="Malgun Gothic"/>
        <family val="3"/>
        <charset val="129"/>
      </rPr>
      <t xml:space="preserve">■ 12/30주차 </t>
    </r>
    <r>
      <rPr>
        <b/>
        <sz val="11"/>
        <color rgb="FFFF0000"/>
        <rFont val="Malgun Gothic"/>
        <family val="3"/>
        <charset val="129"/>
      </rPr>
      <t>(취합마감 12/20)</t>
    </r>
  </si>
  <si>
    <t>패션</t>
    <phoneticPr fontId="4" type="noConversion"/>
  </si>
  <si>
    <t>명품/잡화/주얼리</t>
    <phoneticPr fontId="4" type="noConversion"/>
  </si>
  <si>
    <t>김지은</t>
    <phoneticPr fontId="4" type="noConversion"/>
  </si>
  <si>
    <t>캉골</t>
  </si>
  <si>
    <t>12/30~1/5</t>
  </si>
  <si>
    <t>1/2~3</t>
  </si>
  <si>
    <t>캉골 본사 신규입점! 백팩/파카 최대 60% 할인찬스!</t>
  </si>
  <si>
    <t>브랜드 본사 신규입점</t>
  </si>
  <si>
    <t>x</t>
  </si>
  <si>
    <t>한국동산감정원(순금나라)</t>
  </si>
  <si>
    <t>순금나라 신규 입점! 24K 순금 골드바/주얼리 10% 할인</t>
  </si>
  <si>
    <t>레포츠/캐주얼/언더</t>
    <phoneticPr fontId="4" type="noConversion"/>
  </si>
  <si>
    <t>송현주</t>
    <phoneticPr fontId="4" type="noConversion"/>
  </si>
  <si>
    <t>플루크</t>
  </si>
  <si>
    <t xml:space="preserve">플루크 / 신세계백화점 캐주얼 브랜드 특집전   </t>
  </si>
  <si>
    <t>O</t>
  </si>
  <si>
    <t>에잇세컨즈</t>
  </si>
  <si>
    <t>에잇세컨즈 / 신세계몰 캐주얼 브랜드 특집전</t>
  </si>
  <si>
    <t>여성/남성 의류</t>
    <phoneticPr fontId="4" type="noConversion"/>
  </si>
  <si>
    <t>신정윤</t>
    <phoneticPr fontId="4" type="noConversion"/>
  </si>
  <si>
    <t>리오벨&amp;루나코어스</t>
  </si>
  <si>
    <t>1/2~1/5</t>
  </si>
  <si>
    <t>고품격 연말&amp;신년룩 아이템 #모피 #퍼아이템 #리얼레더</t>
  </si>
  <si>
    <t>1/3일 브랜드데이</t>
  </si>
  <si>
    <t>막스까르띠지오</t>
  </si>
  <si>
    <t>#캐시미어 #구스다운 #울니트 클리어런스 특가전</t>
  </si>
  <si>
    <t xml:space="preserve">PAT 여성&amp;남성 </t>
  </si>
  <si>
    <t>1/4~1/6</t>
  </si>
  <si>
    <t>PAT 여성&amp;남성 한정수량 아우터 특가전</t>
  </si>
  <si>
    <t>1/5일 브랜드데이</t>
  </si>
  <si>
    <t>쉬즈미스(본사)</t>
  </si>
  <si>
    <t>쉬즈미스 2024 신상 최종인하 시크릿 FESTA</t>
  </si>
  <si>
    <t>보니스팍스</t>
  </si>
  <si>
    <t>보니스팍스 본사직영 겨울클리어런스 숏다운 2만원대~</t>
  </si>
  <si>
    <t>UNE 윈</t>
  </si>
  <si>
    <t>UNE 윈 나를 빛내줄 연말&amp;신년 모임룩 특가전</t>
  </si>
  <si>
    <t>에이블 연합전</t>
  </si>
  <si>
    <t>#커스텀에이블 #모리스커밍홈 #올리비에스클로젯 트렌드패션</t>
  </si>
  <si>
    <t>루시앙</t>
  </si>
  <si>
    <t>합리적인 쇼핑! 기모니트/코듀로이 팬츠 9,900원~</t>
  </si>
  <si>
    <t>지센/라이프로그</t>
  </si>
  <si>
    <t>지센/라이프로그 본사직영 겨울 최종 클리어런스 특가전!</t>
  </si>
  <si>
    <t>르오트/아리스토우(패션지오)</t>
  </si>
  <si>
    <t>르오트/아리스토우 품절임박 겨울 클리어런스 특가전!</t>
  </si>
  <si>
    <t>뷰티</t>
    <phoneticPr fontId="4" type="noConversion"/>
  </si>
  <si>
    <t>스킨케어/메이크업</t>
    <phoneticPr fontId="4" type="noConversion"/>
  </si>
  <si>
    <t>진다슬</t>
    <phoneticPr fontId="4" type="noConversion"/>
  </si>
  <si>
    <t>김정문알로에</t>
  </si>
  <si>
    <t>12/30~31</t>
  </si>
  <si>
    <t>김정문알로에 신년맞이 보습대전</t>
  </si>
  <si>
    <t>12/30 브랜드데이</t>
  </si>
  <si>
    <t>프리메라</t>
  </si>
  <si>
    <t>레티놀X비타민C 혁신의 안티에이징, 프리메라</t>
  </si>
  <si>
    <t>라네즈</t>
  </si>
  <si>
    <t>1/1~2</t>
  </si>
  <si>
    <t>아모레퍼시픽 라네즈 신년특가</t>
  </si>
  <si>
    <t>로레알</t>
  </si>
  <si>
    <t>1/3~5</t>
  </si>
  <si>
    <t xml:space="preserve">한소희의 빛나는 머릿결, 로레알파리 </t>
  </si>
  <si>
    <t>헤어/바디/향수</t>
    <phoneticPr fontId="4" type="noConversion"/>
  </si>
  <si>
    <t>이시준</t>
    <phoneticPr fontId="4" type="noConversion"/>
  </si>
  <si>
    <t>뷰티 3</t>
    <phoneticPr fontId="4" type="noConversion"/>
  </si>
  <si>
    <t>이선영</t>
    <phoneticPr fontId="4" type="noConversion"/>
  </si>
  <si>
    <t>카밀</t>
  </si>
  <si>
    <t>12/30~1/2</t>
  </si>
  <si>
    <t>NO1.핸드크림 카밀 +미니핸드크림 증정</t>
  </si>
  <si>
    <t>알페신</t>
  </si>
  <si>
    <t>모발&amp;두피 강화 알페신 카페인샴푸 특가</t>
  </si>
  <si>
    <t>생활/가전</t>
    <phoneticPr fontId="4" type="noConversion"/>
  </si>
  <si>
    <t>주방/유아동/생활</t>
    <phoneticPr fontId="4" type="noConversion"/>
  </si>
  <si>
    <t>유지호</t>
    <phoneticPr fontId="4" type="noConversion"/>
  </si>
  <si>
    <t>엘지생활건강_생리대/기저귀</t>
  </si>
  <si>
    <t>엘지생활건강_구강케어</t>
  </si>
  <si>
    <t>락앤락</t>
  </si>
  <si>
    <t>미진행</t>
  </si>
  <si>
    <t>동아제약(아이홀릭)</t>
  </si>
  <si>
    <t>쿤달(투윙스)</t>
  </si>
  <si>
    <t>클레보스 화장지</t>
  </si>
  <si>
    <t>일론</t>
  </si>
  <si>
    <t>아로펫</t>
  </si>
  <si>
    <t>유한킴벌리(브랜드데이)</t>
  </si>
  <si>
    <t>1/1 브랜드데이</t>
  </si>
  <si>
    <t>가전/생활</t>
  </si>
  <si>
    <t>김호동</t>
    <phoneticPr fontId="4" type="noConversion"/>
  </si>
  <si>
    <t>미로 가습기(가전)</t>
  </si>
  <si>
    <t>미로가습기 총집합 기획전 적립금 10%</t>
  </si>
  <si>
    <t>딤채(가전)</t>
  </si>
  <si>
    <t>딤채 김치냉장고 BEST 브랜드샵 적립금 10%</t>
  </si>
  <si>
    <t>쿠쿠전자(가전)</t>
  </si>
  <si>
    <t>쿠쿠전자 BEST 브랜드샵 적립금 10%</t>
  </si>
  <si>
    <t>위니아(가전)</t>
  </si>
  <si>
    <t>위니아 BEST 모델 결산 적립금 10%</t>
  </si>
  <si>
    <t>홈인테리어</t>
    <phoneticPr fontId="4" type="noConversion"/>
  </si>
  <si>
    <t>가구</t>
    <phoneticPr fontId="4" type="noConversion"/>
  </si>
  <si>
    <t>안재형</t>
    <phoneticPr fontId="4" type="noConversion"/>
  </si>
  <si>
    <t>라자가구*</t>
  </si>
  <si>
    <t>-</t>
  </si>
  <si>
    <t>라자가구 브랜드샵 / 단독 최저가+적립금 10%</t>
  </si>
  <si>
    <t>동서가구*</t>
  </si>
  <si>
    <t>동서가구 본사 브랜드샵 / 단독 최저가+적립금 10%</t>
  </si>
  <si>
    <t>파로마(리샘)*</t>
  </si>
  <si>
    <t>파로마 브랜드샵 / 단독 최저가+적립금 10%</t>
  </si>
  <si>
    <t>해찬솔(프라이드리빙)*</t>
  </si>
  <si>
    <t>해찬솔 원목가구 브랜드샵 / 단독 최저가+적립금 10%</t>
  </si>
  <si>
    <t>사라방드*</t>
  </si>
  <si>
    <t>사라방드 아웃도어 가구 브랜드샵 / 단독 최저가+적립금 10%</t>
  </si>
  <si>
    <t>장수돌침대 다하스*</t>
  </si>
  <si>
    <t>장수돌침대 다하스 신년특집 브랜드샵 / 단독 최저가+적립금 10%</t>
  </si>
  <si>
    <t>금성침대*</t>
  </si>
  <si>
    <t>금성침대X베드리움 브랜드샵 / 단독 최저가+적립금 10%</t>
  </si>
  <si>
    <t>현대리바트</t>
  </si>
  <si>
    <t>1/3-1/5</t>
  </si>
  <si>
    <t>신년특집 현대리바트 특가! 비밀쿠폰 + 최대 10만원 적립금</t>
  </si>
  <si>
    <t>기획전</t>
  </si>
  <si>
    <t>시트앤모어</t>
  </si>
  <si>
    <t>시트앤모어 신년특집 단독 최저가 / 쇼핑라이브 특집 가격과 혜택</t>
  </si>
  <si>
    <t>쇼핑라이브</t>
  </si>
  <si>
    <t>식품</t>
    <phoneticPr fontId="4" type="noConversion"/>
  </si>
  <si>
    <t>건강식품1</t>
    <phoneticPr fontId="4" type="noConversion"/>
  </si>
  <si>
    <t>차은미</t>
    <phoneticPr fontId="4" type="noConversion"/>
  </si>
  <si>
    <t>정관장</t>
  </si>
  <si>
    <t>정관장 기획전  (7%청구+10%적립)</t>
  </si>
  <si>
    <t>에치와이 외</t>
    <phoneticPr fontId="4" type="noConversion"/>
  </si>
  <si>
    <t>건식 빠른배송 연합행사</t>
  </si>
  <si>
    <t>씨제이웰케어</t>
  </si>
  <si>
    <t>CJ바이오코어 외 브랜드위크</t>
  </si>
  <si>
    <t>X</t>
  </si>
  <si>
    <t>코스네이처</t>
    <phoneticPr fontId="4" type="noConversion"/>
  </si>
  <si>
    <t>닥터린 브랜드위크</t>
  </si>
  <si>
    <t>휴럼</t>
    <phoneticPr fontId="4" type="noConversion"/>
  </si>
  <si>
    <t>휴럼 브랜드위크</t>
  </si>
  <si>
    <t>대상웰라이프</t>
    <phoneticPr fontId="4" type="noConversion"/>
  </si>
  <si>
    <t>뉴케어/마이밀 브랜드위크</t>
  </si>
  <si>
    <t>프롬바이오</t>
    <phoneticPr fontId="4" type="noConversion"/>
  </si>
  <si>
    <t>프롬바이오 브랜드위크</t>
  </si>
  <si>
    <t>한국생활건강</t>
    <phoneticPr fontId="4" type="noConversion"/>
  </si>
  <si>
    <t>로엘 브랜드위크</t>
  </si>
  <si>
    <t>헬스밸런스</t>
    <phoneticPr fontId="4" type="noConversion"/>
  </si>
  <si>
    <t>스키니랩/천지양 브랜드위크</t>
  </si>
  <si>
    <t>건강식품2</t>
    <phoneticPr fontId="4" type="noConversion"/>
  </si>
  <si>
    <t>1/1~1/5</t>
  </si>
  <si>
    <t>올바른 브랜드위크</t>
  </si>
  <si>
    <t>12/30~1/1</t>
  </si>
  <si>
    <t>보뚜 브랜드위크</t>
  </si>
  <si>
    <t>신선식품</t>
    <phoneticPr fontId="4" type="noConversion"/>
  </si>
  <si>
    <t>신용식</t>
    <phoneticPr fontId="4" type="noConversion"/>
  </si>
  <si>
    <t>자연맛남</t>
  </si>
  <si>
    <t>자연맛남 브랜드위크</t>
  </si>
  <si>
    <t>아이마코 브랜드위크</t>
  </si>
  <si>
    <t>인정에프앤비 브랜드위크</t>
  </si>
  <si>
    <t>미미의밥상 브랜드위크</t>
  </si>
  <si>
    <t>웰던푸드 브랜드위크</t>
  </si>
  <si>
    <t>참바다 브랜드위크</t>
  </si>
  <si>
    <t>가공식품1</t>
    <phoneticPr fontId="4" type="noConversion"/>
  </si>
  <si>
    <t>이혜인</t>
    <phoneticPr fontId="4" type="noConversion"/>
  </si>
  <si>
    <t>코카콜라</t>
  </si>
  <si>
    <t>코카콜라 브랜드위크</t>
  </si>
  <si>
    <t>베지밀</t>
  </si>
  <si>
    <t>베지밀 브랜드위크</t>
  </si>
  <si>
    <t>연세</t>
  </si>
  <si>
    <t>연세 브랜드위크</t>
  </si>
  <si>
    <t>끼리</t>
  </si>
  <si>
    <t>끼리 브랜드위크</t>
  </si>
  <si>
    <t>삼립</t>
  </si>
  <si>
    <t>삼립 브랜드위크</t>
  </si>
  <si>
    <t>루솔</t>
  </si>
  <si>
    <t>루솔 브랜드위크</t>
  </si>
  <si>
    <t>가공식품2</t>
    <phoneticPr fontId="4" type="noConversion"/>
  </si>
  <si>
    <t>김아름</t>
    <phoneticPr fontId="4" type="noConversion"/>
  </si>
  <si>
    <t>굽네</t>
  </si>
  <si>
    <t>굽네 브랜드위크</t>
  </si>
  <si>
    <t>허닭</t>
  </si>
  <si>
    <t>허닭 브랜드위크</t>
  </si>
  <si>
    <t>■ 1/6주차 (취합마감 12/27)</t>
  </si>
  <si>
    <t>수앤진골드</t>
  </si>
  <si>
    <t>1/6~12</t>
  </si>
  <si>
    <t>1/8~10</t>
  </si>
  <si>
    <t>수앤진골드 브랜드위크</t>
  </si>
  <si>
    <t>MCM</t>
  </si>
  <si>
    <t>MCM 잡화 브랜드위크</t>
  </si>
  <si>
    <t>브랜드패키지</t>
  </si>
  <si>
    <t>K2그룹</t>
  </si>
  <si>
    <t>1/6~9</t>
  </si>
  <si>
    <t>K2그룹 브랜드위크</t>
  </si>
  <si>
    <t xml:space="preserve">블랙야크 </t>
  </si>
  <si>
    <t>블랙야크 브랜드위크</t>
  </si>
  <si>
    <t xml:space="preserve">푸마/아디다스  </t>
  </si>
  <si>
    <t>1/9~12</t>
  </si>
  <si>
    <t xml:space="preserve">푸마/아디다스 브랜드위크 </t>
  </si>
  <si>
    <t xml:space="preserve">지센&amp;라이프로그 </t>
  </si>
  <si>
    <t>1/10~12</t>
  </si>
  <si>
    <t>[ 지센&amp;라이프로그 브랜드데이 ] 최대 30%쿠폰+무료배송</t>
  </si>
  <si>
    <t>웬디즈갤러리 (주력주간)</t>
  </si>
  <si>
    <t>웬디즈갤러리 취향저격 SALE WEEK</t>
  </si>
  <si>
    <t>모리스커밍홈 (주력주간)</t>
  </si>
  <si>
    <t>모리스커밍홈 #정장원피스 #셋업 #슬래스 #에코퍼</t>
  </si>
  <si>
    <t xml:space="preserve">펠틱스/지베르니/NNF </t>
  </si>
  <si>
    <t>펠틱스/지베르니/NNF 브랜드위크</t>
  </si>
  <si>
    <t>방송연계 협력사 입점</t>
  </si>
  <si>
    <t>오아마루</t>
  </si>
  <si>
    <t>오아마루 캐주얼 브랜드 신규입점위크</t>
  </si>
  <si>
    <t>신규입점</t>
  </si>
  <si>
    <t>o</t>
  </si>
  <si>
    <t>카라/클라셰</t>
  </si>
  <si>
    <t xml:space="preserve">카라/클라셰 실시간 트렌드패션 BEST </t>
  </si>
  <si>
    <t xml:space="preserve">리빌모아 </t>
  </si>
  <si>
    <t>리빌모아 남성 캐주얼 &amp; 젠틀룩 특가전</t>
  </si>
  <si>
    <t>패션그룹형지 연합전</t>
  </si>
  <si>
    <t>크로커다일레이디/샤트렌/올리비아하슬러 WEEK</t>
  </si>
  <si>
    <t xml:space="preserve">올리비아로렌 </t>
  </si>
  <si>
    <t>올리비아로렌 이지아와 함께하는 클리어런스</t>
  </si>
  <si>
    <t>아날도바시니/레코브</t>
  </si>
  <si>
    <t>아날도바시니/예쎄/레코브 브랜드위크</t>
  </si>
  <si>
    <t>헤라</t>
  </si>
  <si>
    <t>1/6~7</t>
  </si>
  <si>
    <t>헤라 설 선물대전 최대 20%쿠폰</t>
  </si>
  <si>
    <t>명절 대표브랜드</t>
  </si>
  <si>
    <t>아이오페</t>
  </si>
  <si>
    <t>1/8~9</t>
  </si>
  <si>
    <t>아이오페 NEW 6세대 슈퍼바이탈</t>
  </si>
  <si>
    <t>3CE</t>
  </si>
  <si>
    <t>3CE 메이크업 브랜드위크</t>
  </si>
  <si>
    <t>온가족 화장품 버츠비 브랜드위크</t>
  </si>
  <si>
    <t>미샤</t>
  </si>
  <si>
    <t>미샤 브랜드위크</t>
  </si>
  <si>
    <t>애경_헤어바디_명절선물세트</t>
  </si>
  <si>
    <t>2025 설맞이 애경 선물세트 특가전 최대 25% 특</t>
  </si>
  <si>
    <t>명절선물세트</t>
  </si>
  <si>
    <t>홈쇼핑 뷰티 인기상품(연합브랜드)</t>
  </si>
  <si>
    <t>명절맞이 홈쇼핑 인기상품 최대 15% 할인특가전</t>
  </si>
  <si>
    <t>명품향수 (연합브랜드)</t>
  </si>
  <si>
    <t>신년맞이 인기 니치향수 할인특가 (최대 10%할인)</t>
  </si>
  <si>
    <t>다자연 브랜드위크+5% 즉시할인 +무료배송</t>
  </si>
  <si>
    <t>~1/12까지 무배기간</t>
  </si>
  <si>
    <t xml:space="preserve">무궁화 브랜드위크 </t>
  </si>
  <si>
    <t>엘지생활건강 1_세탁/섬유</t>
  </si>
  <si>
    <t>엘지생활건강 2_선물세트</t>
  </si>
  <si>
    <t>유한킴벌리_하위브랜드</t>
  </si>
  <si>
    <t>쿤달</t>
  </si>
  <si>
    <t>테팔(티피)</t>
  </si>
  <si>
    <t>깨끗한나라(디에치)</t>
  </si>
  <si>
    <t>더쿠커스</t>
  </si>
  <si>
    <t>가전/생활/반려</t>
    <phoneticPr fontId="4" type="noConversion"/>
  </si>
  <si>
    <t>헹켈</t>
  </si>
  <si>
    <t>헹켈 브랜드샵 즉시할인</t>
  </si>
  <si>
    <t>오리니지크</t>
  </si>
  <si>
    <t>오리지니크 브랜드샵 즉시할인</t>
  </si>
  <si>
    <t>애경_리큐</t>
  </si>
  <si>
    <t>애경 브랜드샵 즉시할인</t>
  </si>
  <si>
    <t>린나이(가전)</t>
  </si>
  <si>
    <t>린나이 브랜드샵 즉시할인</t>
  </si>
  <si>
    <t>매직쉐프(가전)</t>
  </si>
  <si>
    <t>매직쉐프 브랜드샵 즉시할인</t>
  </si>
  <si>
    <t>세스코(가전)</t>
  </si>
  <si>
    <t xml:space="preserve">세스코 브랜드샵 즉시할인 </t>
  </si>
  <si>
    <t>1/6-1/12</t>
  </si>
  <si>
    <t>라자가구 브랜드샵 / 단독 최저가</t>
  </si>
  <si>
    <t>동서가구 본사 브랜드샵 / 단독 최저가</t>
  </si>
  <si>
    <t>파로마 브랜드샵 / 단독 최저가</t>
  </si>
  <si>
    <t>해찬솔 원목가구 브랜드샵 / 단독 최저가</t>
  </si>
  <si>
    <t>사라방드 아웃도어 가구 브랜드샵 / 단독 최저가</t>
  </si>
  <si>
    <t>장수돌침대 다하스 신년특집 브랜드샵 / 단독 최저가</t>
  </si>
  <si>
    <t>금성침대X베드리움 브랜드샵 / 단독 최저가</t>
  </si>
  <si>
    <t>까사미아 (브랜드데이,쇼핑라이브)</t>
  </si>
  <si>
    <t>까사미아 캄포데이★신년맞이 특집, 단독 최저가</t>
  </si>
  <si>
    <t>브랜드데이 / 쇼핑라이브</t>
  </si>
  <si>
    <t>시몬스 (브랜드데이,쇼핑라이브)</t>
  </si>
  <si>
    <t>시몬스 신년맞이 단독 최저가 특집 (베개 증정 이벤트)</t>
  </si>
  <si>
    <t>에싸 (브랜드데이,쇼핑라이브)</t>
  </si>
  <si>
    <t>에싸 신년맞이 베스트셀러 단독 최저가 특집</t>
  </si>
  <si>
    <t>정관장 기획전  (7%카드+10%적립)</t>
  </si>
  <si>
    <t>건식연합브랜드 설선물특가전</t>
  </si>
  <si>
    <t>퍼니트/홍삼진건 외 브랜드위크</t>
  </si>
  <si>
    <t>하이뮨 브랜드위크</t>
  </si>
  <si>
    <t>종근당 외 브랜드위크</t>
  </si>
  <si>
    <t>스키니랩 외 브랜드위크</t>
  </si>
  <si>
    <t>GC녹십자+셀렉스 브랜드위크</t>
  </si>
  <si>
    <t>홀리데이즈 브랜드위크</t>
  </si>
  <si>
    <t>에치와이 브랜드위크</t>
  </si>
  <si>
    <t>네이처메이드 브랜드위크</t>
  </si>
  <si>
    <t>온유약품</t>
  </si>
  <si>
    <t>온유약품 파인애플효소 / 띵똥 특가 5% 할인</t>
  </si>
  <si>
    <t>로그온/네이처드림</t>
  </si>
  <si>
    <t>로그온/네이처드림 브랜드위크</t>
  </si>
  <si>
    <t>씨유웰 브랜드위크</t>
  </si>
  <si>
    <t>홍천철원</t>
  </si>
  <si>
    <t>홍천철원 브랜드위크</t>
  </si>
  <si>
    <t>돌코리아</t>
  </si>
  <si>
    <t>돌코리아 브랜드위크</t>
  </si>
  <si>
    <t>다인푸른농장 브랜드위크</t>
  </si>
  <si>
    <t>롯데제과</t>
  </si>
  <si>
    <t>롯데제과 브랜드위크</t>
  </si>
  <si>
    <t>장인의밥상</t>
  </si>
  <si>
    <t>장인의밥상 브랜드위크</t>
  </si>
  <si>
    <t>대천김</t>
  </si>
  <si>
    <t>대천김 브랜드위크</t>
  </si>
  <si>
    <t>오트리</t>
  </si>
  <si>
    <t>오트리 브랜드위크</t>
  </si>
  <si>
    <t>화과방</t>
  </si>
  <si>
    <t>화과방 브랜드위크</t>
  </si>
  <si>
    <t>스타벅스</t>
  </si>
  <si>
    <t>스타벅스 브랜드위크</t>
  </si>
  <si>
    <t>대상</t>
  </si>
  <si>
    <t>대상 브랜드위크</t>
  </si>
  <si>
    <t>산과들에 브랜드위크</t>
  </si>
  <si>
    <t>광동</t>
  </si>
  <si>
    <t>광동 브랜드위크</t>
  </si>
  <si>
    <t>CJ제일제당</t>
  </si>
  <si>
    <t>풀무원</t>
  </si>
  <si>
    <t>동원</t>
  </si>
  <si>
    <t>마녀바스켓</t>
  </si>
  <si>
    <t>푸라닭</t>
  </si>
  <si>
    <t>본죽</t>
  </si>
  <si>
    <t>■ 1/13주차 (취합마감 1/3까지)</t>
  </si>
  <si>
    <t>LF</t>
  </si>
  <si>
    <t>1/13~19</t>
  </si>
  <si>
    <t>LF 브랜드 패션잡화 행사</t>
  </si>
  <si>
    <t>막스마라</t>
  </si>
  <si>
    <t>1/13~14</t>
  </si>
  <si>
    <t>막스마라 코트/패딩 외 FW 신상+베스트 특집전</t>
  </si>
  <si>
    <t>라이브 진행</t>
  </si>
  <si>
    <t>내셔널지오그래픽</t>
  </si>
  <si>
    <t>1/15~17</t>
  </si>
  <si>
    <t>내셔널지오그래픽 런칭! 25SS 시즌 오픈&amp;BEST 가방+의류 최대 50%</t>
  </si>
  <si>
    <t>브랜드패키지 진행</t>
  </si>
  <si>
    <t>메트로시티(잡화/주얼리/시즌잡화 연합)</t>
  </si>
  <si>
    <t>1/17~19</t>
  </si>
  <si>
    <t>메트로시티 잡화/주얼리/머플러/장갑 연합전</t>
  </si>
  <si>
    <t>가이거 (가방)</t>
  </si>
  <si>
    <t>신년맞이 가방 특가 모음</t>
  </si>
  <si>
    <t xml:space="preserve"> 대구백화점 닥스</t>
  </si>
  <si>
    <t>설 맞이! 닥스 양말선물세트/ ACC 선물세트 특가전</t>
  </si>
  <si>
    <t>CKP&amp;카파</t>
  </si>
  <si>
    <t xml:space="preserve"> [캘빈클라인퍼포먼스/카파] 신년맞이 최대 63% OFF  </t>
  </si>
  <si>
    <t>폴로 랄프로렌/ 챔피온 외</t>
  </si>
  <si>
    <t>2025 신년세일 최대 65% + 무료배송</t>
  </si>
  <si>
    <t>네파 / 미즈노 / 지프 / 클라이드</t>
  </si>
  <si>
    <t>엔터식스/대구백화점_HAPPY NEW YEAR 스포츠/캐주얼 특집전</t>
  </si>
  <si>
    <t>에블린/리바이스바디웨어/비너스</t>
  </si>
  <si>
    <t>엔터식스/대구백화점_BEST 언더웨어 브랜드 연합전</t>
  </si>
  <si>
    <t>올리비아로렌/인디안 (브랜드패키지)</t>
  </si>
  <si>
    <t>1/14~16</t>
  </si>
  <si>
    <t>올리비아로렌/인디안 세정브랜드 윈터-클리어런스 DAY</t>
  </si>
  <si>
    <t>1/15일 브랜드데이</t>
  </si>
  <si>
    <t>쉬즈미스/리스트/시스티나 (브랜드패키지)</t>
  </si>
  <si>
    <t>쉬즈미스/리스트/시스티나 본사직영 겨울신상 시크릿특가</t>
  </si>
  <si>
    <t>1/19일 브랜드데이</t>
  </si>
  <si>
    <t>1/13~15</t>
  </si>
  <si>
    <t xml:space="preserve">지센/라이프로그 겨울시즌 최종 클리어런스 특가전 </t>
  </si>
  <si>
    <t>아날도바시니/예쎄</t>
  </si>
  <si>
    <t>올리비에스클로젯</t>
  </si>
  <si>
    <t>올리비에스클로젯 한눈에 보는 2025 트렌드패션</t>
  </si>
  <si>
    <t>엔터식스 여성</t>
  </si>
  <si>
    <t>더아이잗/SOUP/리스트 엔터식스 여성패션</t>
  </si>
  <si>
    <t>대구백화점 남성</t>
  </si>
  <si>
    <t>듀퐁/세르지오/프랑코페라로 대구백화점 남성패션</t>
  </si>
  <si>
    <t>보니스팍스/르샵</t>
  </si>
  <si>
    <t>보니스팍스/르샵 한정수량 클리어런스 FESTA</t>
  </si>
  <si>
    <t>HWASE 화세</t>
  </si>
  <si>
    <t>HWASE 화세 편안함과 스타일을 동시에!</t>
  </si>
  <si>
    <t>리즈무드/에이주미</t>
  </si>
  <si>
    <t>리즈무드 매일 입고싶은 데일리룩 특가전</t>
  </si>
  <si>
    <t>에스트라</t>
  </si>
  <si>
    <t>에스트라 브랜드위크</t>
  </si>
  <si>
    <t>한율</t>
  </si>
  <si>
    <t>한율 신년맞이 설 선물특가전</t>
  </si>
  <si>
    <t>동국제약</t>
  </si>
  <si>
    <t>1/15~16</t>
  </si>
  <si>
    <t>동국제약 신년맞이 설 선물특가전</t>
  </si>
  <si>
    <t>김정문알로에 설 선물특가전</t>
  </si>
  <si>
    <t>리엔케이 설 선물특가전</t>
  </si>
  <si>
    <t>참존</t>
  </si>
  <si>
    <t>참존 신년맞이 설 선물특가전</t>
  </si>
  <si>
    <t>스와니코코</t>
  </si>
  <si>
    <t>스와니코코 브랜드위크</t>
  </si>
  <si>
    <t>헤드스파7</t>
  </si>
  <si>
    <t>헤드스파7 브랜드위크</t>
  </si>
  <si>
    <t>애경</t>
  </si>
  <si>
    <t>애경 설 선물특가전</t>
  </si>
  <si>
    <t>맥퀸뉴욕</t>
    <phoneticPr fontId="4" type="noConversion"/>
  </si>
  <si>
    <t>1/13-1/19</t>
  </si>
  <si>
    <t>1/13~16</t>
    <phoneticPr fontId="4" type="noConversion"/>
  </si>
  <si>
    <t>맥퀸뉴욕 메이크업 / 선케어 설 맞이 특가</t>
    <phoneticPr fontId="4" type="noConversion"/>
  </si>
  <si>
    <t>바세린(코스메이트)</t>
  </si>
  <si>
    <t>1/17~19</t>
    <phoneticPr fontId="4" type="noConversion"/>
  </si>
  <si>
    <t>바세린 베스트 모음 브랜드 위크</t>
  </si>
  <si>
    <t>유한킴벌리(디펜드,좋은느낌)</t>
  </si>
  <si>
    <t>디펜드 성인기저귀, 좋은느낌 생리대 특가</t>
  </si>
  <si>
    <t>엘지생활건강 선물세트_브랜드데이</t>
  </si>
  <si>
    <t>명절맞이 엘지생활건강 선물세트 특가</t>
  </si>
  <si>
    <t>브랜드데이</t>
  </si>
  <si>
    <t>엘지생활건강 하위브랜드</t>
  </si>
  <si>
    <t>엘지 생활건강 주거/주방세제 특가</t>
  </si>
  <si>
    <t>테팔(세상담기)</t>
  </si>
  <si>
    <t>명절맞이 테팔 주방용품 특가</t>
  </si>
  <si>
    <t>명절맞이 에델코친 주방용품 특가</t>
  </si>
  <si>
    <t>유한양행</t>
  </si>
  <si>
    <t>유안양행 락스/세정제 특가</t>
  </si>
  <si>
    <t>퍼실</t>
  </si>
  <si>
    <t>퍼실 세탁세제 특가</t>
  </si>
  <si>
    <t>미참여</t>
  </si>
  <si>
    <t>크리오</t>
  </si>
  <si>
    <t>크리오 칫솔/치약 개인위생용품 특가</t>
  </si>
  <si>
    <t>리빙페스타</t>
  </si>
  <si>
    <t>리빙인기브랜드 연합전</t>
  </si>
  <si>
    <t>생리대 연합전</t>
  </si>
  <si>
    <t>핏펫 브랜드위크</t>
  </si>
  <si>
    <t>핏펫 브랜드샵 / 7일 특가</t>
  </si>
  <si>
    <t>너클렉스 린칭 브랜드위크(세컨드홈)</t>
  </si>
  <si>
    <t>너클렉스 린칭 브랜드 위크</t>
  </si>
  <si>
    <t>오리니지크 브랜드위크(세컨드홈)</t>
  </si>
  <si>
    <t>오리니니크 브랜드 위크</t>
  </si>
  <si>
    <t>애경 스파크/르샤트라 브랜드위크</t>
  </si>
  <si>
    <t>쿠쿠전자 브랜드위크(가전)</t>
  </si>
  <si>
    <t>딤채 브랜드위크(가전)</t>
  </si>
  <si>
    <t>위니아 브랜드위크(가전)</t>
  </si>
  <si>
    <t>에이스침대 (쇼핑라이브)</t>
  </si>
  <si>
    <t>에이스침대★신년맞이 특집, 신세계 단독 최저가</t>
  </si>
  <si>
    <t>시몬스 (쇼핑라이브)</t>
  </si>
  <si>
    <t>시몬스 신년맞이 단독 최저가 앵콜 (베개 증정 이벤트)</t>
  </si>
  <si>
    <t>헬로입주 (쇼핑라이브), 18-19일 진행</t>
  </si>
  <si>
    <t>1/18-1/19</t>
  </si>
  <si>
    <t>겨울철 필수시공★히트볼 프리미엄 탄성코트 리모델링</t>
  </si>
  <si>
    <t>이경제(쇼핑라이브1/17)</t>
  </si>
  <si>
    <t>이경제 흑염소즙 외 건강즙 특가 (통합매입코드 포함)</t>
  </si>
  <si>
    <t>휴럼</t>
  </si>
  <si>
    <t>휴럼 온가족 유산균 외 다이어트건식 브랜드위크</t>
  </si>
  <si>
    <t>내츄럴플러스</t>
  </si>
  <si>
    <t>내츄럴플러스 브랜드위크</t>
  </si>
  <si>
    <t>닥터린</t>
  </si>
  <si>
    <t>닥터린 홈쇼핑진행 품목 온라인전용구성 특가</t>
  </si>
  <si>
    <t>뉴케어/마이밀</t>
  </si>
  <si>
    <t>뉴케어/마이밀 균형영양식품 브랜드위크단독특가</t>
  </si>
  <si>
    <t>비타민마을</t>
  </si>
  <si>
    <t>01-15~18</t>
  </si>
  <si>
    <t>비타민마을 효소/비타민C 외 건강선물특가전</t>
  </si>
  <si>
    <t>메디트리</t>
  </si>
  <si>
    <t>메디트리 당케어 유산균 외 인기건강식품 선물특가</t>
  </si>
  <si>
    <t>바이퀸</t>
  </si>
  <si>
    <t>바이퀸 백화점입점브랜드 프리미엄 레몬즙 특가</t>
  </si>
  <si>
    <t>GNM자연의품격</t>
  </si>
  <si>
    <t>GNM 가성비 인기건강식품 선물특가</t>
  </si>
  <si>
    <t>로엘</t>
  </si>
  <si>
    <t>로엘 신년맞이 다이어트건식 특가추천</t>
  </si>
  <si>
    <t>천지양</t>
  </si>
  <si>
    <t>천지양 프리미엄 홍삼선물 특가</t>
  </si>
  <si>
    <t>유한메디카</t>
    <phoneticPr fontId="4" type="noConversion"/>
  </si>
  <si>
    <t>유한메디카/을지대학교 설 맞이 특가</t>
    <phoneticPr fontId="4" type="noConversion"/>
  </si>
  <si>
    <t>건국유업</t>
    <phoneticPr fontId="4" type="noConversion"/>
  </si>
  <si>
    <t>루테인/비타민/오메가3 설 맞이 특가</t>
    <phoneticPr fontId="4" type="noConversion"/>
  </si>
  <si>
    <t>당당</t>
  </si>
  <si>
    <t>당당 브랜드위크</t>
  </si>
  <si>
    <t>대복</t>
  </si>
  <si>
    <t>대복 브랜드위크</t>
  </si>
  <si>
    <t>청정원/종가 브랜드위크</t>
  </si>
  <si>
    <t>김규흔한과 브랜드위크</t>
  </si>
  <si>
    <t>송도순김치</t>
  </si>
  <si>
    <t>송도순김치 브랜드위크</t>
  </si>
  <si>
    <t>오리온</t>
  </si>
  <si>
    <t>오리온 브랜드위크</t>
  </si>
  <si>
    <t>넛츠피아</t>
  </si>
  <si>
    <t>넛츠피아 브랜드위크</t>
  </si>
  <si>
    <t>1/13-19</t>
  </si>
  <si>
    <t>1/13 브랜드데이</t>
  </si>
  <si>
    <t>지앤생활건강</t>
  </si>
  <si>
    <t>오뚜기</t>
  </si>
  <si>
    <t>목우촌</t>
  </si>
  <si>
    <t>경복궁</t>
  </si>
  <si>
    <t>삼진어묵</t>
  </si>
  <si>
    <t>사조</t>
  </si>
  <si>
    <t>(쿠폰비 지원)</t>
  </si>
  <si>
    <t>사조 브랜드위크</t>
  </si>
  <si>
    <t>■ 1/20주차 (취합마감 1/10까지)</t>
  </si>
  <si>
    <t>도로시</t>
  </si>
  <si>
    <t>1/20~26</t>
  </si>
  <si>
    <t>1/20~21</t>
  </si>
  <si>
    <t>도로시 랩다이아 주얼리 브랜드위크</t>
  </si>
  <si>
    <t>브랜드패키지 및 1/20 라이브</t>
  </si>
  <si>
    <t>1/21~22</t>
  </si>
  <si>
    <t>수앤진골드 24K 순금 골드바/주얼리 특가전</t>
  </si>
  <si>
    <t>1/21 라이브</t>
  </si>
  <si>
    <t>지산글로벌</t>
  </si>
  <si>
    <t>신규입점 기념 명품 브랜드 연합전</t>
  </si>
  <si>
    <t>엘르 주얼리</t>
  </si>
  <si>
    <t>엘르 주얼리 브랜드위크</t>
  </si>
  <si>
    <t>푸마/아디다스</t>
  </si>
  <si>
    <t>1/20~23</t>
  </si>
  <si>
    <t>아디다스 푸마 外 판매BEST/홈웨어/동내의 막바지 클리어런스 세일</t>
  </si>
  <si>
    <t xml:space="preserve"> 가먼트골프</t>
  </si>
  <si>
    <t>가먼트골프 브랜드위크</t>
  </si>
  <si>
    <t>스케쳐스</t>
  </si>
  <si>
    <t>1/24~26</t>
  </si>
  <si>
    <t xml:space="preserve">스케쳐스 브랜드위크 </t>
  </si>
  <si>
    <t xml:space="preserve">비비안 </t>
  </si>
  <si>
    <t>비비안 브랜드위크</t>
  </si>
  <si>
    <t>데니스골프</t>
  </si>
  <si>
    <t xml:space="preserve">데니스골프 브랜드위크 </t>
  </si>
  <si>
    <t>윈 (연휴이슈-모임룩)</t>
  </si>
  <si>
    <t>UNE 윈 신년모임룩 특가전</t>
  </si>
  <si>
    <t>신년모임룩</t>
  </si>
  <si>
    <t>디얼마미 (설명절 이슈-개량한복外)</t>
  </si>
  <si>
    <t>디얼마미 설맞이 프리미엄 생활한복 특가전</t>
  </si>
  <si>
    <t>설명절 개량한복</t>
  </si>
  <si>
    <t>파파브로</t>
  </si>
  <si>
    <t>파파브로 따듯하게 편하게 입는 남성패션</t>
  </si>
  <si>
    <t>에이블연합전</t>
  </si>
  <si>
    <t>#2025 트렌드 패션 #커스텀에이블 #모리스커밍홈</t>
  </si>
  <si>
    <t>25' 신상</t>
  </si>
  <si>
    <t>웬디즈갤러리</t>
  </si>
  <si>
    <t>웬디즈갤러리 매일 입고싶은 데일리룩</t>
  </si>
  <si>
    <t>페이지플린</t>
  </si>
  <si>
    <t>페이지플린 25'시즌 신상 단독특가전</t>
  </si>
  <si>
    <t>루시앙 합리적인 쇼핑하기 WEEK</t>
  </si>
  <si>
    <t>쉬즈미스/리스트/시스티나</t>
  </si>
  <si>
    <t>쉬즈미스/리스트/시스티나 신상 시크릿쿠폰</t>
  </si>
  <si>
    <t>엘라스겐</t>
  </si>
  <si>
    <t>1/20~22</t>
  </si>
  <si>
    <t>엘라스겐 신세계 단독 런칭</t>
  </si>
  <si>
    <t>헤라 NEW 글로우쿠션 런칭</t>
  </si>
  <si>
    <t>1/22~23</t>
  </si>
  <si>
    <t>일명 김성령크림, 아이오페 6세대 슈퍼바이탈</t>
  </si>
  <si>
    <t>1/23~26</t>
  </si>
  <si>
    <t xml:space="preserve">고효능X저자극 뷰티 프리메라 </t>
  </si>
  <si>
    <t>코스니크</t>
  </si>
  <si>
    <t>시세이도 브랜드위크</t>
  </si>
  <si>
    <t>맨담 브랜드위크</t>
  </si>
  <si>
    <t>조말론(향수)</t>
  </si>
  <si>
    <t>조말론 쇼핑라이브 단독 진행</t>
  </si>
  <si>
    <t>갸스비</t>
  </si>
  <si>
    <t>갸스비 헤어케어템 특가전</t>
  </si>
  <si>
    <t>애플(가전)</t>
  </si>
  <si>
    <t>애플공식리퍼 아이폰 특가</t>
  </si>
  <si>
    <t>갤럭시탭(가전)</t>
  </si>
  <si>
    <t>갤럭시탭 외 신년맞이 리퍼템 특가</t>
  </si>
  <si>
    <t>카밀</t>
    <phoneticPr fontId="4" type="noConversion"/>
  </si>
  <si>
    <t>핸드크림 no.1 카밀 브랜드위크</t>
    <phoneticPr fontId="4" type="noConversion"/>
  </si>
  <si>
    <t>우르오스</t>
    <phoneticPr fontId="4" type="noConversion"/>
  </si>
  <si>
    <t>우르오스 브랜드위크</t>
    <phoneticPr fontId="4" type="noConversion"/>
  </si>
  <si>
    <t>킨도</t>
  </si>
  <si>
    <t>1/20-1/26</t>
  </si>
  <si>
    <t>킨도기저귀 월중 최대 40% 할인행사</t>
  </si>
  <si>
    <t>엘지생활건강 선물세트</t>
  </si>
  <si>
    <t>2025설 선물세트 특가</t>
  </si>
  <si>
    <t xml:space="preserve">엘지생활건강 </t>
  </si>
  <si>
    <t>LG생활건강 브랜드위크 (생리대&amp;기저귀)</t>
  </si>
  <si>
    <t>크리넥스(유한킴벌리)</t>
  </si>
  <si>
    <t>유한킴벌리 브랜드위크</t>
  </si>
  <si>
    <t>에델코친</t>
  </si>
  <si>
    <t>에델코친 주방용품 브랜드위크</t>
  </si>
  <si>
    <t>스타우브 외 수입주방</t>
  </si>
  <si>
    <t>스타우브 외 수입주방 연합전</t>
  </si>
  <si>
    <t>스너글</t>
  </si>
  <si>
    <t>스너글 브랜드위크 히든특가</t>
  </si>
  <si>
    <t>리빙페어</t>
  </si>
  <si>
    <t>리빙 인기브랜드 연합전</t>
  </si>
  <si>
    <t>리빙 주말특가</t>
  </si>
  <si>
    <t>주말만 가능 리빙 히든특가 (글라스락, 아이팜 外)</t>
  </si>
  <si>
    <t>애경 랩신</t>
  </si>
  <si>
    <t>애경 랩신 브랜드 위크</t>
  </si>
  <si>
    <t>부하우스</t>
  </si>
  <si>
    <t>부하우스 브랜드 위크</t>
  </si>
  <si>
    <t>애니가드 브랜드 위크</t>
  </si>
  <si>
    <t>헹켈 브랜드위크</t>
  </si>
  <si>
    <t>네오플램(세컨드홈)</t>
  </si>
  <si>
    <t>알텐바흐(세컨드홈)</t>
  </si>
  <si>
    <t>쿠쿠전자</t>
  </si>
  <si>
    <t>쿠쿠전자(가전)브랜드위크</t>
  </si>
  <si>
    <t>씰리 (쇼핑라이브)</t>
  </si>
  <si>
    <t>명품침대 씰리★신년맞이 특집, 신세계 단독 최저가</t>
  </si>
  <si>
    <t>에싸 (쇼핑라이브)</t>
  </si>
  <si>
    <t>에싸 신년맞이 베스트셀러 단독 최저가 특집 앵콜</t>
  </si>
  <si>
    <t>정관장 프리미엄 홍삼특가 브랜드위크</t>
  </si>
  <si>
    <t>이경제</t>
  </si>
  <si>
    <t>이경제 브랜드위크</t>
  </si>
  <si>
    <t>바이탈뷰티</t>
  </si>
  <si>
    <t>바이탈뷰티 브랜드위크</t>
  </si>
  <si>
    <t>여에스더</t>
  </si>
  <si>
    <t>여에스더 브랜드위크</t>
  </si>
  <si>
    <t>김소형원방</t>
  </si>
  <si>
    <t>김소형원방 외 브랜드위크</t>
  </si>
  <si>
    <t>비타민마을 브랜드위크</t>
  </si>
  <si>
    <t>덴프스</t>
  </si>
  <si>
    <t>덴프스 브랜드위크</t>
  </si>
  <si>
    <t>뉴트리디데이 브랜드위크</t>
  </si>
  <si>
    <t xml:space="preserve">주식회사 올바른 </t>
    <phoneticPr fontId="4" type="noConversion"/>
  </si>
  <si>
    <t>올바른 브랜드위크</t>
    <phoneticPr fontId="4" type="noConversion"/>
  </si>
  <si>
    <t xml:space="preserve"> (주)엘지생활건강</t>
    <phoneticPr fontId="4" type="noConversion"/>
  </si>
  <si>
    <t xml:space="preserve"> (주)엘지생활건강 브랜드위크</t>
    <phoneticPr fontId="4" type="noConversion"/>
  </si>
  <si>
    <t>소돈가 브랜드위크</t>
  </si>
  <si>
    <t>제스프리 브랜드위크</t>
  </si>
  <si>
    <t>맥심</t>
  </si>
  <si>
    <t>맥심 브랜드위크</t>
  </si>
  <si>
    <t>롯데칠성</t>
  </si>
  <si>
    <t>롯데칠성 브랜드위크</t>
  </si>
  <si>
    <t>머거본</t>
  </si>
  <si>
    <t>머거본 브랜드위크</t>
  </si>
  <si>
    <t>남양</t>
  </si>
  <si>
    <t>남양 브랜드위크</t>
  </si>
  <si>
    <t>참맛나/여수사나이 브랜드위크</t>
  </si>
  <si>
    <t>중앙맛김</t>
  </si>
  <si>
    <t>중앙맛김/현대수산맛김 브랜드위크</t>
  </si>
  <si>
    <t>매일유업</t>
  </si>
  <si>
    <t>매일유업 브랜드위크</t>
  </si>
  <si>
    <t>해찬</t>
  </si>
  <si>
    <t>유동</t>
  </si>
  <si>
    <t>던킨</t>
  </si>
  <si>
    <t>■ 1/27주차 (취합마감 1/17까지)</t>
  </si>
  <si>
    <t>1/27~2/2</t>
  </si>
  <si>
    <t>1/28~2/2</t>
  </si>
  <si>
    <t>막스마라 코트/패딩 외 브랜드위크</t>
  </si>
  <si>
    <t>1/31 라이브 및 브랜드패키지 진행</t>
  </si>
  <si>
    <t>한국금거래소</t>
  </si>
  <si>
    <t>한국금거래소 24K 순금 골드바/주얼리 브랜드위크</t>
  </si>
  <si>
    <t>명품 (라벨루쏘)</t>
  </si>
  <si>
    <t>2025 럭셔리 히든 세일 기획전</t>
  </si>
  <si>
    <t>아디다스 푸마 外 판매BEST/홈웨어/동내의 클리어런스 세일</t>
  </si>
  <si>
    <t>뱅뱅 (브랜드패키지)</t>
  </si>
  <si>
    <t>1/30~2/2</t>
  </si>
  <si>
    <t>뱅뱅 지금부터 봄까지! 캐주얼 브랜드데이</t>
  </si>
  <si>
    <t>2/2일 브랜드패키지</t>
  </si>
  <si>
    <t>로레알파리</t>
  </si>
  <si>
    <t>한소희 PICK! 로레알파리 연휴특가</t>
  </si>
  <si>
    <t>1/28~30</t>
  </si>
  <si>
    <t>설특집 리빙페어</t>
  </si>
  <si>
    <t>설 연휴특집 리빙 브랜드연합 빅세일</t>
  </si>
  <si>
    <t>LG생활건강(주거주방)</t>
  </si>
  <si>
    <t>LG생활건강 연휴특집 히든특가</t>
  </si>
  <si>
    <t>LG생활건강(세탁섬유)</t>
  </si>
  <si>
    <t>유한킴벌리(디펜드)</t>
  </si>
  <si>
    <t>유한킴벌리 연휴특집 히든특가</t>
  </si>
  <si>
    <t xml:space="preserve">PN풍년 </t>
  </si>
  <si>
    <t>PN풍년 연휴특집 히든특가</t>
  </si>
  <si>
    <t>글라스락</t>
  </si>
  <si>
    <t>글라스락 연휴특집 히든특가</t>
  </si>
  <si>
    <t>더블하트</t>
  </si>
  <si>
    <t>더블하트 연휴특집 히든특가</t>
  </si>
  <si>
    <t>스너글 연휴특집 히든특가</t>
  </si>
  <si>
    <t>마스크 특집</t>
  </si>
  <si>
    <t>추운겨울 건강챙기기 마스크 특가</t>
  </si>
  <si>
    <t>코디 연휴특집 히든특가</t>
  </si>
  <si>
    <t>수입 주방연합 (더쿠커스)</t>
  </si>
  <si>
    <t>수입주방 연합 연휴특집전</t>
  </si>
  <si>
    <t>베네플러스(브랜드데이)</t>
  </si>
  <si>
    <t>베네플러스 브랜드데이</t>
  </si>
  <si>
    <t>애경_2080덴탈</t>
  </si>
  <si>
    <t>오리지니크(세컨드홈)</t>
  </si>
  <si>
    <t>비스비바(생활)</t>
  </si>
  <si>
    <t>콘에어(가전)</t>
  </si>
  <si>
    <t>바비리스(가전)</t>
  </si>
  <si>
    <t>1/27-2/2</t>
  </si>
  <si>
    <t>까사미아 (쇼핑라이브)</t>
  </si>
  <si>
    <t>까사미아 캄포데이★신년맞이 특집 앵콜, 신세계 단독 최저가</t>
  </si>
  <si>
    <t>덴프스 덴마크유산균 외 인기건강식품 브랜드위크</t>
  </si>
  <si>
    <t>하이뮨</t>
  </si>
  <si>
    <t>하이뮨 홈쇼핑동시판매 프로틴특가</t>
  </si>
  <si>
    <t>브랜드데이(1/31)</t>
  </si>
  <si>
    <t>셀렉스</t>
  </si>
  <si>
    <t>셀렉스 프로틴특가 브랜드위크</t>
  </si>
  <si>
    <t>풀무원녹즙</t>
  </si>
  <si>
    <t>풀무원녹즙 과채주스 매일배송 브랜드위크</t>
  </si>
  <si>
    <t>제누</t>
  </si>
  <si>
    <t>제누 단백질 커피믹스 브랜드위크</t>
  </si>
  <si>
    <t>VSL3 외</t>
  </si>
  <si>
    <t>VSL3 외 온가족 유산균 외브랜드위크</t>
  </si>
  <si>
    <t>CJ바이오코어 외</t>
  </si>
  <si>
    <t>뉴오리진</t>
  </si>
  <si>
    <t>뉴오리진 브랜드위크</t>
  </si>
  <si>
    <t>유한양행 브랜드위크</t>
  </si>
  <si>
    <t>세노비스</t>
  </si>
  <si>
    <t>세노비스 브랜드위크</t>
  </si>
  <si>
    <t>올즙/네이처드림</t>
    <phoneticPr fontId="4" type="noConversion"/>
  </si>
  <si>
    <t>아이홈푸드 브랜드위크</t>
  </si>
  <si>
    <t>도드람한돈</t>
  </si>
  <si>
    <t>도드람한돈 브랜드위크</t>
  </si>
  <si>
    <t>수플린</t>
  </si>
  <si>
    <t>수플린 브랜드위크</t>
  </si>
  <si>
    <t>마이하우스</t>
  </si>
  <si>
    <t>마이하우스 브랜드위크</t>
  </si>
  <si>
    <t>웰굿 브랜드위크</t>
  </si>
  <si>
    <t>케이엠푸드 브랜드위크</t>
  </si>
  <si>
    <t>온작</t>
  </si>
  <si>
    <t>온작 브랜드위크</t>
  </si>
  <si>
    <t>■ 2/3주차 (취합마감 1/17까지)</t>
  </si>
  <si>
    <t>2/3~2/9</t>
  </si>
  <si>
    <t>한국금거래소 24K순금 골드바/주얼리 브랜드위크</t>
  </si>
  <si>
    <t>2/3 브랜드패키지 및 2/6 라방</t>
  </si>
  <si>
    <t>페이지플린 주얼리</t>
  </si>
  <si>
    <t>2/3~4</t>
  </si>
  <si>
    <t>페이지플린 주얼리 브랜드위크</t>
  </si>
  <si>
    <t>2/3 라방 및 2/6 브랜드패키지</t>
  </si>
  <si>
    <t>만다리나덕</t>
  </si>
  <si>
    <t>2/3~5</t>
  </si>
  <si>
    <t>만다리나덕 가방/여행용캐리어 신규입점 기념 브랜드위크</t>
  </si>
  <si>
    <t xml:space="preserve"> 신규입점 기념 2/4 라방</t>
  </si>
  <si>
    <t xml:space="preserve">자주 브랜드패키지 </t>
  </si>
  <si>
    <t>2/4 브랜드패키지</t>
  </si>
  <si>
    <t>DKNY/디아도라</t>
  </si>
  <si>
    <t>2/3~9</t>
  </si>
  <si>
    <t>2025 남여 언더웨어 클리어런스 특가전</t>
  </si>
  <si>
    <t>보니스팍스/데코 (브랜드패키지)</t>
  </si>
  <si>
    <t>2/4~6</t>
  </si>
  <si>
    <t>보니스팍스/데코 브랜드데이</t>
  </si>
  <si>
    <t>2/5일 브랜드패키지</t>
  </si>
  <si>
    <t>리오벨/루나코어스 (브랜드패키지)</t>
  </si>
  <si>
    <t>2/7~9</t>
  </si>
  <si>
    <t>리오벨/루나코어스 브랜드데이</t>
  </si>
  <si>
    <t>2/8일 브랜드패키지</t>
  </si>
  <si>
    <t>지센/라이프로그 FW시즌 결산</t>
  </si>
  <si>
    <t>다니엘크레뮤/워모</t>
  </si>
  <si>
    <t xml:space="preserve">다니엘크레뮤/워모 남성패션 DAY </t>
  </si>
  <si>
    <t>잭필드/마르조</t>
  </si>
  <si>
    <t>잭필드/마르조 합리적인 쇼핑</t>
  </si>
  <si>
    <t xml:space="preserve">리즈무드 2025 트렌드패션 </t>
  </si>
  <si>
    <t>루미루나</t>
  </si>
  <si>
    <t>루미루나 데일리룩의 정석</t>
  </si>
  <si>
    <t>카라/클라세 신상 FESTA</t>
  </si>
  <si>
    <t>아날도바시니/레코브 브랜드위크</t>
  </si>
  <si>
    <t>패션그룹형지 브랜드위크</t>
  </si>
  <si>
    <t xml:space="preserve">센텔리안24 X 마데카프라임 홈케어 특집 </t>
  </si>
  <si>
    <t>김정문알로에 브랜드위크</t>
  </si>
  <si>
    <t>2/6~8</t>
  </si>
  <si>
    <t>헤라 브랜드위크</t>
  </si>
  <si>
    <t>3CE 메이크업 대전</t>
  </si>
  <si>
    <t>조말론/딥티크 외 (연합브랜드)</t>
  </si>
  <si>
    <t>2/3-2/9</t>
  </si>
  <si>
    <t>조말론/딥티크/바이레도 외 명품향수 선물포장 특가전</t>
  </si>
  <si>
    <t>기획전상품그룹</t>
  </si>
  <si>
    <t>상품코드</t>
  </si>
  <si>
    <t>상품명</t>
  </si>
  <si>
    <t>임직원전용상품</t>
  </si>
  <si>
    <t>전체우선순위</t>
  </si>
  <si>
    <t>우선순위</t>
  </si>
  <si>
    <t>상품 판매 상태</t>
  </si>
  <si>
    <t>판매구분</t>
  </si>
  <si>
    <t>판매가</t>
  </si>
  <si>
    <t>이익율</t>
  </si>
  <si>
    <t>업체코드</t>
  </si>
  <si>
    <t>업체명</t>
  </si>
  <si>
    <t>달바/AHC 외</t>
  </si>
  <si>
    <t>2/3-2/10</t>
  </si>
  <si>
    <t>AHC/달바 외 홈쇼핑 인기상품 기초패키지 단독특가</t>
  </si>
  <si>
    <t>고기능성 탈모샴푸 닥터올 런칭특가</t>
  </si>
  <si>
    <t>샤넬</t>
  </si>
  <si>
    <t>[한정수량] 샤넬 코코 마드모아젤 로 프리베 50ml+쇼핑백+리본포장</t>
  </si>
  <si>
    <t>정상</t>
  </si>
  <si>
    <t>진행</t>
  </si>
  <si>
    <t>주식회사 메데이아</t>
  </si>
  <si>
    <t>삼성전자</t>
  </si>
  <si>
    <t>삼성전자 노트북/탭 외 리퍼템 가성비 초특가전</t>
  </si>
  <si>
    <t>다이안/클레보스 외 (연합브랜드)</t>
  </si>
  <si>
    <t>02월 6일</t>
  </si>
  <si>
    <t>해외 명품 헤어/바디케어 특</t>
  </si>
  <si>
    <t>아뗴</t>
    <phoneticPr fontId="4" type="noConversion"/>
  </si>
  <si>
    <t xml:space="preserve">비건 뷰티 아떼 브랜드 특가 </t>
    <phoneticPr fontId="4" type="noConversion"/>
  </si>
  <si>
    <t>신규브랜드</t>
    <phoneticPr fontId="4" type="noConversion"/>
  </si>
  <si>
    <t>무궁화 브랜드위크</t>
  </si>
  <si>
    <t>무궁화 비누/바디용품 특가</t>
    <phoneticPr fontId="4" type="noConversion"/>
  </si>
  <si>
    <t>LG생활건강 구강케어</t>
  </si>
  <si>
    <t>엘지생활건강</t>
  </si>
  <si>
    <t>LG생활건강 생리대</t>
  </si>
  <si>
    <t>더블하트 당사단독 히든특가</t>
  </si>
  <si>
    <t>강추위 대비 마스크 연합</t>
  </si>
  <si>
    <t>유럽명품주방 에델코친</t>
  </si>
  <si>
    <t>피죤</t>
  </si>
  <si>
    <t xml:space="preserve">피죤 세탁/섬유유연제 특가 </t>
  </si>
  <si>
    <t>시장인기 빅브랜드 재입점, 육성 필수</t>
  </si>
  <si>
    <t>클레보스</t>
  </si>
  <si>
    <t>린나이(가전/린코이숍)</t>
  </si>
  <si>
    <t>리</t>
  </si>
  <si>
    <t>모나리자</t>
  </si>
  <si>
    <t>라자가구</t>
  </si>
  <si>
    <t>rh</t>
  </si>
  <si>
    <r>
      <rPr>
        <sz val="11"/>
        <color rgb="FF000000"/>
        <rFont val="Malgun Gothic"/>
        <family val="3"/>
        <charset val="129"/>
      </rPr>
      <t>시몬스 (쇼핑라이브,</t>
    </r>
    <r>
      <rPr>
        <sz val="11"/>
        <color rgb="FFFF0000"/>
        <rFont val="Malgun Gothic"/>
        <family val="3"/>
        <charset val="129"/>
      </rPr>
      <t>브랜드데이</t>
    </r>
    <r>
      <rPr>
        <sz val="11"/>
        <color rgb="FF000000"/>
        <rFont val="Malgun Gothic"/>
        <family val="3"/>
        <charset val="129"/>
      </rPr>
      <t>)</t>
    </r>
  </si>
  <si>
    <t>시몬스 전상품 신세계단독 최저가+방송에서만 사은품혜택</t>
  </si>
  <si>
    <t>쇼핑라이브/브랜드데이</t>
  </si>
  <si>
    <r>
      <rPr>
        <sz val="11"/>
        <color rgb="FF000000"/>
        <rFont val="Malgun Gothic"/>
        <family val="3"/>
        <charset val="129"/>
      </rPr>
      <t>에싸 (쇼핑라이브,</t>
    </r>
    <r>
      <rPr>
        <sz val="11"/>
        <color rgb="FFFF0000"/>
        <rFont val="Malgun Gothic"/>
        <family val="3"/>
        <charset val="129"/>
      </rPr>
      <t>브랜드데이</t>
    </r>
    <r>
      <rPr>
        <sz val="11"/>
        <color rgb="FF000000"/>
        <rFont val="Malgun Gothic"/>
        <family val="3"/>
        <charset val="129"/>
      </rPr>
      <t>)</t>
    </r>
  </si>
  <si>
    <t>에싸 베스트셀러 특집 "헤드레스트 2개 증정 이벤트"</t>
  </si>
  <si>
    <t>이누스 바스 욕실시공</t>
  </si>
  <si>
    <t>2/7~2/9</t>
  </si>
  <si>
    <t>이누스 욕실시공 인테리어! 신세계단독 최저가+특별혜택</t>
  </si>
  <si>
    <t>일반행사</t>
  </si>
  <si>
    <t>정관장(쇼핑라이브)</t>
  </si>
  <si>
    <t>정관장 프리미엄 홍삼특가</t>
  </si>
  <si>
    <t>옹쌔므옹땜(쇼핑라이브)</t>
  </si>
  <si>
    <t>옹쌔므옹땜 선수입장 유산균 특가</t>
  </si>
  <si>
    <t>내츄럴플러스 오메가3외 인기건강식품 특가</t>
  </si>
  <si>
    <t>네이처메이드</t>
  </si>
  <si>
    <t>네이처메이드 멀티비타민 외 건식특가</t>
  </si>
  <si>
    <t>천호엔케어</t>
  </si>
  <si>
    <t>천호엔케어 건강즙/이너뷰티 외 건식특가</t>
  </si>
  <si>
    <t>GC녹십자</t>
  </si>
  <si>
    <t>GC녹십자 프로바이오틱스 외 건식초특가</t>
  </si>
  <si>
    <t>종근당건강</t>
  </si>
  <si>
    <t>종근당건강 켄서코치 다이어트 건강식품 특가</t>
  </si>
  <si>
    <t>2/3~6</t>
    <phoneticPr fontId="4" type="noConversion"/>
  </si>
  <si>
    <t>올바른 레몬즙/효소/비타민 특가</t>
    <phoneticPr fontId="4" type="noConversion"/>
  </si>
  <si>
    <t>바이탈뷰티/건국유업 건강식품 특가</t>
    <phoneticPr fontId="4" type="noConversion"/>
  </si>
  <si>
    <t>온유바이오 파인애플쇼소/비타민/루테인 건강식품 특가</t>
    <phoneticPr fontId="4" type="noConversion"/>
  </si>
  <si>
    <t>올가</t>
  </si>
  <si>
    <t>오픈더테이블</t>
  </si>
  <si>
    <t>쿠캣</t>
  </si>
  <si>
    <t>보라티알</t>
  </si>
  <si>
    <t>■ 2/10주차 (취합마감 1/31까지)</t>
  </si>
  <si>
    <t>2/10~16</t>
  </si>
  <si>
    <t>수앤진골드 순금 골드바/주얼리 브랜드위크</t>
  </si>
  <si>
    <t>2/12 라방 진행</t>
  </si>
  <si>
    <t>아디다스/호카/킨 (한아아이엔티)</t>
  </si>
  <si>
    <t>2/13~16</t>
  </si>
  <si>
    <t>아디다스/호카/킨 스니커즈 특가전</t>
  </si>
  <si>
    <t>2/14 브랜드데이 및 라방 진행</t>
  </si>
  <si>
    <t>비앤비골드</t>
  </si>
  <si>
    <t>비앤비골드 14/18K 주얼리 신규입점 발렌타인 기프트 프로모션</t>
  </si>
  <si>
    <t>대구백화점 (닥스 ACC)</t>
  </si>
  <si>
    <t>대구백화점 닥스 ACC 브랜드위크</t>
  </si>
  <si>
    <t>MCM 가방/지갑 및 잡화 브랜드위크</t>
  </si>
  <si>
    <t>2/13 브랜드패키지</t>
  </si>
  <si>
    <t>CKP&amp;카파 클리어런스 특가전</t>
  </si>
  <si>
    <t>폴로&amp;타미힐피거</t>
  </si>
  <si>
    <t>폴로&amp;타미힐피거 브랜드위크</t>
  </si>
  <si>
    <t>K2/아이더/다이나핏/와이드앵글 브랜드위크</t>
  </si>
  <si>
    <t>2/15일 브랜드패키지</t>
  </si>
  <si>
    <t>엔터식스/대구백화점</t>
  </si>
  <si>
    <t>앤터식스/대구백화점 스포츠 브랜드 연합전</t>
  </si>
  <si>
    <t>OUTLET 특가전</t>
  </si>
  <si>
    <t>2/14~16</t>
  </si>
  <si>
    <t>올리비아로렌/PAT/지센/샤트렌 아울렛 SALE</t>
  </si>
  <si>
    <t>2/16일 브랜드패키지</t>
  </si>
  <si>
    <t>엔터식스 여성 패션 특가전</t>
  </si>
  <si>
    <t xml:space="preserve">대구백화점 남성 </t>
  </si>
  <si>
    <t>대구백화점 남성 패션 특가전</t>
  </si>
  <si>
    <t xml:space="preserve">모리스커밍홈 </t>
  </si>
  <si>
    <t>모리스커밍홈 브랜드위크</t>
  </si>
  <si>
    <t>화세</t>
  </si>
  <si>
    <t>HWASE 화세 브랜드위크</t>
  </si>
  <si>
    <t>웬디즈갤러리 브랜드위크</t>
  </si>
  <si>
    <t xml:space="preserve">UNE 윈 </t>
  </si>
  <si>
    <t>UNE 윈 미리보는 2025 봄 신상</t>
  </si>
  <si>
    <t>25' 봄신상 런칭</t>
  </si>
  <si>
    <t>티아이포맨</t>
  </si>
  <si>
    <t>티아이포맨 신규입점기념 특가전</t>
  </si>
  <si>
    <t>루시앙 한정수량 패션위크</t>
  </si>
  <si>
    <t>인동에프엔 연합전</t>
  </si>
  <si>
    <t>쉬즈미스/리스트 본사직영 시크릿특가전</t>
  </si>
  <si>
    <t>★2/11 브랜드데이★ 동국제약</t>
  </si>
  <si>
    <t>2/11~12</t>
  </si>
  <si>
    <t>동국제약 센텔리안24 원데이 세일</t>
  </si>
  <si>
    <t>한소희 PICK! 로레알파리 헤어케어</t>
  </si>
  <si>
    <t>2/12~13</t>
  </si>
  <si>
    <t>김정문알로에 브랜드위크 한정특가</t>
  </si>
  <si>
    <t>2/10~11</t>
  </si>
  <si>
    <t>프리메라 브랜드위크</t>
  </si>
  <si>
    <t>아이오페 브랜드위크</t>
  </si>
  <si>
    <t>가전</t>
  </si>
  <si>
    <t>애플</t>
  </si>
  <si>
    <t>2/10~2/13</t>
  </si>
  <si>
    <t>02월 11일</t>
  </si>
  <si>
    <t>애플 아이폰 외 악세사리템 초특가전</t>
  </si>
  <si>
    <t>TS샴푸</t>
  </si>
  <si>
    <t>2/11~2/14</t>
  </si>
  <si>
    <t>02월 12일</t>
  </si>
  <si>
    <t>TS샴푸 홈쇼핑인기상품 외 헤어케어템 빅세일</t>
  </si>
  <si>
    <t>엘로엘</t>
  </si>
  <si>
    <t>엘로엘 사계절 자외선방어 선케어템 얼리버드전</t>
  </si>
  <si>
    <t>2/10~13</t>
    <phoneticPr fontId="4" type="noConversion"/>
  </si>
  <si>
    <t>동성제약 브랜드위크</t>
  </si>
  <si>
    <t>알페신</t>
    <phoneticPr fontId="4" type="noConversion"/>
  </si>
  <si>
    <t>2/14~16</t>
    <phoneticPr fontId="4" type="noConversion"/>
  </si>
  <si>
    <t xml:space="preserve"> no.1 알페신 카페인 샴푸</t>
  </si>
  <si>
    <t>아이팜</t>
  </si>
  <si>
    <t>아이팜 스프링카/킥보드 승용완구 특가</t>
  </si>
  <si>
    <t>유한킴벌리_디펜드</t>
  </si>
  <si>
    <t>유한킴벌리 성인기저귀/생리대 특가</t>
  </si>
  <si>
    <t>엘지생활건강_생리대</t>
  </si>
  <si>
    <t>엘지생건 생리대 특가</t>
  </si>
  <si>
    <t>엘지생건 구강(칫솔, 치약 등) 개인위생 특가</t>
  </si>
  <si>
    <t>깨끗한나라</t>
  </si>
  <si>
    <t>깨끗한나라 제지/생필품 최대 20% 즉시할인</t>
  </si>
  <si>
    <t>유한양행 생필품/위생 특가</t>
  </si>
  <si>
    <t>리빙페어(+건강용품)</t>
  </si>
  <si>
    <t>리빙 인기브랜드 연합 (</t>
  </si>
  <si>
    <t>수입주방 연합 (일론)</t>
  </si>
  <si>
    <t>삼성전자(가전)</t>
  </si>
  <si>
    <t>삼성전자 공기청정기/청소기 브랜드 특가전</t>
  </si>
  <si>
    <t>상단 요청(광고비 집행)</t>
  </si>
  <si>
    <t>애니가드(이앤더블류/생활)</t>
  </si>
  <si>
    <t>알텐바흐(세컨드홈/생활)</t>
  </si>
  <si>
    <t>네오플램(세컨드홈/생활)</t>
  </si>
  <si>
    <t>핏펫</t>
  </si>
  <si>
    <t>2/10-2/16</t>
  </si>
  <si>
    <t>보루네오 (쇼핑라이브,시쏘)</t>
  </si>
  <si>
    <t>보루네오 소파 신세계단독 최저가+방송에서만 사은품혜택</t>
  </si>
  <si>
    <t>풀무원녹즙(쇼핑라이브)</t>
  </si>
  <si>
    <t>풀무원녹즙 매일배송 브랜드위크</t>
  </si>
  <si>
    <t>이경제(쇼핑라이브)</t>
  </si>
  <si>
    <t>이경제 건강즙 브랜드위크</t>
  </si>
  <si>
    <t>쇼핑라이브+브랜드패키지</t>
  </si>
  <si>
    <t>뉴케어/마이밀 균형영양식/간편영양식 브랜드위크</t>
  </si>
  <si>
    <t>종근당</t>
  </si>
  <si>
    <t>종근당 외 인기건강식품 브랜드위크</t>
  </si>
  <si>
    <t>휴럼 유산균/이너뷰티 외 브랜드위크</t>
  </si>
  <si>
    <t>HL사이언스 밀크씨슬/콜라겐 외 브랜드위크</t>
  </si>
  <si>
    <t>퍼니트</t>
  </si>
  <si>
    <t>퍼니트 외 콜라겐/히알루론산외 이너뷰티건식 브랜드위크</t>
  </si>
  <si>
    <t>지엔엠 멀티비타인 외 인기건강식품 브랜드위크</t>
  </si>
  <si>
    <t>2025-02-13~15</t>
  </si>
  <si>
    <t>프롬바이오 매스틱 위건강 외 브랜드위크(2/13~15 PPL주간)</t>
  </si>
  <si>
    <t>하이뮨 홈쇼핑동일품목 단백질 특가 브랜드위크</t>
  </si>
  <si>
    <t>유한메디카/을지대학교 브랜드위크</t>
    <phoneticPr fontId="4" type="noConversion"/>
  </si>
  <si>
    <t>인정식탁 브랜드위크</t>
  </si>
  <si>
    <t>대복/궁중연구소</t>
  </si>
  <si>
    <t>대복/궁중연구소 브랜드위크</t>
  </si>
  <si>
    <t>종가/청정원 브랜드위크</t>
  </si>
  <si>
    <t>동원(음료)</t>
  </si>
  <si>
    <t>동원 브랜드위크</t>
  </si>
  <si>
    <t>2/13(목) 라이브연계</t>
  </si>
  <si>
    <t>하림 브랜드위크</t>
  </si>
  <si>
    <t>본죽 브랜드위크</t>
  </si>
  <si>
    <t>푸라닭 브랜드위크</t>
  </si>
  <si>
    <t>■ 2/17주차 (취합마감 2/7까지)</t>
  </si>
  <si>
    <t>순금나라</t>
  </si>
  <si>
    <t>2/17~23</t>
  </si>
  <si>
    <t>2/17~19</t>
  </si>
  <si>
    <t>순금나라 24K 순금 골드바/주얼리 브랜드위크</t>
  </si>
  <si>
    <t>2/20~23</t>
  </si>
  <si>
    <t>막스마라 외 명품 코트/패딩 단독특가전</t>
  </si>
  <si>
    <t>오야니</t>
  </si>
  <si>
    <t>2/19~22</t>
  </si>
  <si>
    <t>오야니 신상&amp;베스트 가방 브랜드위크</t>
  </si>
  <si>
    <t>신학기 맞이! 내셔널지오그래픽 백팩&amp;스니커즈 특가전</t>
  </si>
  <si>
    <t>해당주간 주력 행사 브랜드</t>
  </si>
  <si>
    <t>LF 브랜드 연합전</t>
  </si>
  <si>
    <t>2/21 브랜드패키지</t>
  </si>
  <si>
    <t>밀레골프&amp;아다바트</t>
  </si>
  <si>
    <t>밀레골프&amp;아다바트 브랜드위킈</t>
  </si>
  <si>
    <t xml:space="preserve"> 리바이스바디웨어/에블린 외</t>
  </si>
  <si>
    <t>엔터식스/대백 BEST 언더웨어 브랜드 연합전</t>
  </si>
  <si>
    <t>헤일리골프</t>
  </si>
  <si>
    <t>헤일리골프 브랜드위크</t>
  </si>
  <si>
    <t>인동연합전 (브랜드패키지)</t>
  </si>
  <si>
    <t>2/21~23</t>
  </si>
  <si>
    <t>쉬즈미스/리스트 25' 봄신상 시크릿특가</t>
  </si>
  <si>
    <t>2/21일 브랜드패키지</t>
  </si>
  <si>
    <t>톨비스트 (신규입점)</t>
  </si>
  <si>
    <t>톨비스트 골프웨어 신규입점 특가전</t>
  </si>
  <si>
    <t xml:space="preserve">미센스/마레몬떼 (신규입점) </t>
  </si>
  <si>
    <t>미센스/마레몬떼 신규입점 특가전</t>
  </si>
  <si>
    <t xml:space="preserve">르샵/보니스팍스/레노마 </t>
  </si>
  <si>
    <t>르샵/보니스팍스/레노마 봄 그랜드오픈</t>
  </si>
  <si>
    <t xml:space="preserve">지센/라이프로그 </t>
  </si>
  <si>
    <t>지센/라이프로그 봄 그랜드오픈</t>
  </si>
  <si>
    <t xml:space="preserve">윈 </t>
  </si>
  <si>
    <t>UNE 윈 봄신상 그랜드오픈</t>
  </si>
  <si>
    <t xml:space="preserve">올리비에스클로젯 </t>
  </si>
  <si>
    <t xml:space="preserve">올리비에스클로젯 트렌드패션 </t>
  </si>
  <si>
    <t>올리비아로렌 (신상포함)</t>
  </si>
  <si>
    <t>올리비아로렌 봄시즌 WEEK</t>
  </si>
  <si>
    <t>25' 신상 등록</t>
  </si>
  <si>
    <t>인디안 (신상포함)</t>
  </si>
  <si>
    <t xml:space="preserve">인디안/브루노바피 봄시즌 WEEK </t>
  </si>
  <si>
    <t>엔터식스 여성패션 브랜드위크</t>
  </si>
  <si>
    <t>2/17~18</t>
  </si>
  <si>
    <t>2/19~20</t>
  </si>
  <si>
    <t>에스트라 환절기 보습템 추천</t>
  </si>
  <si>
    <t>한율 브랜드위크</t>
  </si>
  <si>
    <t>시세이도</t>
  </si>
  <si>
    <t>센카/아넷사 외 시세이도 브랜드위크</t>
  </si>
  <si>
    <t>맨담</t>
  </si>
  <si>
    <t>비페스타/루시도엘 외 맨담 브랜드위크</t>
  </si>
  <si>
    <t>2/17~19</t>
    <phoneticPr fontId="4" type="noConversion"/>
  </si>
  <si>
    <t>2/20~23</t>
    <phoneticPr fontId="4" type="noConversion"/>
  </si>
  <si>
    <t>세상담기</t>
  </si>
  <si>
    <t>쿤</t>
  </si>
  <si>
    <t>생리대연합전</t>
  </si>
  <si>
    <t>LG생활건강_세탁세제</t>
  </si>
  <si>
    <t>LG생활건강_주거주방</t>
  </si>
  <si>
    <t>25년 2월 세스코 공기청정기 신상품 브랜드샵</t>
  </si>
  <si>
    <t>2월 신상품, 출시특가</t>
  </si>
  <si>
    <t>오리니지크(생활)</t>
  </si>
  <si>
    <t>애경_스파크,르샤트라(생활)</t>
  </si>
  <si>
    <t>송월타월(생활_송월타월앤리빙)</t>
  </si>
  <si>
    <t>무궁화(생활)</t>
  </si>
  <si>
    <t>이누스바스</t>
  </si>
  <si>
    <t>이누스 욕실리모델링 신세계단독 최저가+혜택 이벤트</t>
  </si>
  <si>
    <t>시트앤모어 브레스트&amp;킹스맨 단독 최저가 행사</t>
  </si>
  <si>
    <t>시몬스</t>
  </si>
  <si>
    <t>시몬스 전상품 단,하루 SALE+사은품 100% 증정</t>
  </si>
  <si>
    <t>에이스침대</t>
  </si>
  <si>
    <t>에이스침대 앵콜 특집! 전상품 신세계 단독 최저가</t>
  </si>
  <si>
    <t>에싸</t>
  </si>
  <si>
    <t>2/21~2/23</t>
  </si>
  <si>
    <t>에싸 앵콜 특집! 헤드레스트 증정 이벤트</t>
  </si>
  <si>
    <t>2/18~20</t>
  </si>
  <si>
    <t>스티니랩 외</t>
  </si>
  <si>
    <t>메디트리 외</t>
  </si>
  <si>
    <t>2/17~2/20</t>
    <phoneticPr fontId="4" type="noConversion"/>
  </si>
  <si>
    <t>이푸른 브랜드위크</t>
  </si>
  <si>
    <t>지투지샵</t>
  </si>
  <si>
    <t>지투지샵 브랜드위크</t>
  </si>
  <si>
    <t>상단 브랜드위크</t>
  </si>
  <si>
    <t>웅진</t>
  </si>
  <si>
    <t>웅진 브랜드위크</t>
  </si>
  <si>
    <t>고기중독/푸르밀</t>
  </si>
  <si>
    <t>고기중독/푸르밀 外 브랜드위크</t>
  </si>
  <si>
    <t>2/19(브랜드데이)</t>
  </si>
  <si>
    <t xml:space="preserve">[CJ제일제당] 우리집 냉장고를 부탁해! </t>
  </si>
  <si>
    <t>저나트륨사골곰탕 외 인기 국탕류</t>
  </si>
  <si>
    <t>2/21(금) 쇼핑라이브</t>
  </si>
  <si>
    <t>풀무원 아임리얼 음료 출시기념 특가</t>
  </si>
  <si>
    <t>2/21(금) 쇼핑라이브 연계</t>
  </si>
  <si>
    <t>삼진어묵 브랜드위크</t>
  </si>
  <si>
    <t>이랜드</t>
  </si>
  <si>
    <t>애슐리 입점특가</t>
  </si>
  <si>
    <t>신세계푸드</t>
  </si>
  <si>
    <t>신세계푸드 특가</t>
  </si>
  <si>
    <t>경복궁 특가 브랜드샵</t>
  </si>
  <si>
    <t>■ 2/24주차 (취합마감 2/14까지)</t>
  </si>
  <si>
    <t>종로금1번가</t>
  </si>
  <si>
    <t>종로금1번가 신규입점 기념 특가전</t>
  </si>
  <si>
    <t>신학기 맞이! 캉골 백팩 브랜드위크</t>
  </si>
  <si>
    <t>신학기 시즌</t>
  </si>
  <si>
    <t>메트로시티(잡화/주얼리/시즌잡화)</t>
  </si>
  <si>
    <t>메트로시티 잡화/주얼리/시즌잡화 브랜드위크</t>
  </si>
  <si>
    <t>2/24~3/2</t>
  </si>
  <si>
    <t>2/24~25</t>
  </si>
  <si>
    <t>스케쳐스 브랜드위크</t>
  </si>
  <si>
    <t>2/26~27</t>
  </si>
  <si>
    <t>데니스골프 브랜드위크</t>
  </si>
  <si>
    <t>캘빈클라인 언더웨어</t>
  </si>
  <si>
    <t>캘빈클라인 언더웨어 브랜드위크</t>
  </si>
  <si>
    <t>자주</t>
  </si>
  <si>
    <t>2/28~3/1</t>
  </si>
  <si>
    <t xml:space="preserve">자주 브랜드위크 </t>
  </si>
  <si>
    <t>르샵/보니스팍스 (라이브+브랜드패키지)</t>
  </si>
  <si>
    <t>2/28~3/2</t>
  </si>
  <si>
    <t>모바일라이브+브래드패키지</t>
  </si>
  <si>
    <t>커스텀에이블</t>
  </si>
  <si>
    <t>남성연합전</t>
  </si>
  <si>
    <t>남성패션 SS시즌 연합전</t>
  </si>
  <si>
    <t>올리비아로렌/비비올리비아(아울렛)</t>
  </si>
  <si>
    <t>르까프 (신규입점)</t>
  </si>
  <si>
    <t>스프리스/코몽트/슬레진저</t>
  </si>
  <si>
    <t xml:space="preserve">리즈무드 </t>
  </si>
  <si>
    <t>아날도바시니/예쎄/레코브</t>
  </si>
  <si>
    <t>라네즈 브랜드위크</t>
  </si>
  <si>
    <t>리엔케이 브랜드위크</t>
  </si>
  <si>
    <t>참존 브랜드위크</t>
  </si>
  <si>
    <t>2/26~28</t>
  </si>
  <si>
    <t>오그램 브랜드위크</t>
  </si>
  <si>
    <t>갸스비 브랜드위크</t>
  </si>
  <si>
    <t>댕기머리</t>
    <phoneticPr fontId="4" type="noConversion"/>
  </si>
  <si>
    <t>2/24~27</t>
    <phoneticPr fontId="4" type="noConversion"/>
  </si>
  <si>
    <t>댕기머리 샴푸 단독특가</t>
    <phoneticPr fontId="4" type="noConversion"/>
  </si>
  <si>
    <t>맥퀸뉴</t>
    <phoneticPr fontId="4" type="noConversion"/>
  </si>
  <si>
    <t>기초메이크업 / 뷰티템 특가</t>
    <phoneticPr fontId="4" type="noConversion"/>
  </si>
  <si>
    <t>엘지생활건강_세제섬유</t>
  </si>
  <si>
    <t>군 기저귀</t>
  </si>
  <si>
    <t>마스크/건강 연합전</t>
  </si>
  <si>
    <t>테팔(티피상사)</t>
  </si>
  <si>
    <t>애경_랩신(생활)</t>
  </si>
  <si>
    <t>네오플램(생활/세컨드홈)</t>
  </si>
  <si>
    <t>애니가드 (생활)</t>
  </si>
  <si>
    <t>2/24-3/2</t>
  </si>
  <si>
    <t>에이스침대 전상품 신세계쇼핑 단독 최저가</t>
  </si>
  <si>
    <t>까사미아</t>
  </si>
  <si>
    <t>까사미아 캄포 데이★단독 최저가 행사+장기무이자 혜택</t>
  </si>
  <si>
    <t>혈당케어 유산균 외 인기건강식품 특가</t>
  </si>
  <si>
    <t>2/25 모바일라이브</t>
  </si>
  <si>
    <t>바이퀸 백화점입점브랜드 프리미엄 유기농레몬즙</t>
  </si>
  <si>
    <t>제누 단백질커피믹스 건강식품특가</t>
  </si>
  <si>
    <t>덴프스 공유의 덴마크유산균 단독특가</t>
  </si>
  <si>
    <t>CJ바이오코어</t>
  </si>
  <si>
    <t>CJ바이오코어 기능성 유산균외 팻다운 다이어트건식</t>
  </si>
  <si>
    <t>유한양행 인기건강식품특가</t>
  </si>
  <si>
    <t>세노비스 멀티바타민외 건식특가</t>
  </si>
  <si>
    <t>홀리데이즈 다이어트/이너뷰티 건식</t>
  </si>
  <si>
    <t>하이뮨 프로틴 단백질특가</t>
  </si>
  <si>
    <t>엔탑</t>
    <phoneticPr fontId="4" type="noConversion"/>
  </si>
  <si>
    <t>2/24~2/27</t>
    <phoneticPr fontId="4" type="noConversion"/>
  </si>
  <si>
    <t>유한메디카/을지대학교 단독특가</t>
    <phoneticPr fontId="4" type="noConversion"/>
  </si>
  <si>
    <t xml:space="preserve"> (주)엘지생활건강</t>
  </si>
  <si>
    <t>2/27~3/1</t>
    <phoneticPr fontId="4" type="noConversion"/>
  </si>
  <si>
    <t>LG생활건강 리튠 특가</t>
    <phoneticPr fontId="4" type="noConversion"/>
  </si>
  <si>
    <t>2/28~3/2</t>
    <phoneticPr fontId="4" type="noConversion"/>
  </si>
  <si>
    <t>맛젤</t>
  </si>
  <si>
    <t>맛젤 브랜드위크</t>
  </si>
  <si>
    <t>아이홈푸드</t>
    <phoneticPr fontId="4" type="noConversion"/>
  </si>
  <si>
    <t>케이엠푸드</t>
    <phoneticPr fontId="4" type="noConversion"/>
  </si>
  <si>
    <t>아이마코</t>
    <phoneticPr fontId="4" type="noConversion"/>
  </si>
  <si>
    <t>우아한소 브랜드위크</t>
  </si>
  <si>
    <t>동서/농심</t>
  </si>
  <si>
    <t>동서/농심 브랜드위크</t>
  </si>
  <si>
    <t>삼육</t>
  </si>
  <si>
    <t>삼육 브랜드위크</t>
  </si>
  <si>
    <t>대복/궁중연구소 외</t>
  </si>
  <si>
    <t>닥터루트</t>
  </si>
  <si>
    <t>닥터루트 브랜드위크</t>
  </si>
  <si>
    <t>2/28 브랜드데이</t>
  </si>
  <si>
    <t>2/24_라이브</t>
  </si>
  <si>
    <t>미스터셰프</t>
  </si>
  <si>
    <t>ㅇ</t>
  </si>
  <si>
    <t>복음자리</t>
  </si>
  <si>
    <t>푸라닭/프레시지</t>
  </si>
  <si>
    <t>유가네</t>
  </si>
  <si>
    <t>■ 3/3주차 (취합마감 2/21까지)</t>
  </si>
  <si>
    <t>키플링/이스트팩</t>
  </si>
  <si>
    <t>3/3~9</t>
  </si>
  <si>
    <t>3/6 라이브</t>
  </si>
  <si>
    <t>키플링/이스트백 신학기 맞이 백팩위크</t>
  </si>
  <si>
    <t>브랜드 재입점 협력사</t>
  </si>
  <si>
    <t>형지에스콰이아</t>
  </si>
  <si>
    <t>3/7 라이브</t>
  </si>
  <si>
    <t>신규입점! 형지에스콰이아 가방 브랜드위크</t>
  </si>
  <si>
    <t>신규 입점</t>
  </si>
  <si>
    <t>티르리르</t>
  </si>
  <si>
    <t>3/4 라이브</t>
  </si>
  <si>
    <t>티르리르 주얼리 브랜드위크</t>
  </si>
  <si>
    <t xml:space="preserve">자주 </t>
  </si>
  <si>
    <t>3/3~5</t>
  </si>
  <si>
    <t>블랙야크</t>
  </si>
  <si>
    <t>3/6~9</t>
  </si>
  <si>
    <t xml:space="preserve">블랙야크 브랜드위크 </t>
  </si>
  <si>
    <t>폰드그룹 시크릿기획전</t>
  </si>
  <si>
    <t>오아마루(라이브)</t>
  </si>
  <si>
    <t>3/4~6</t>
  </si>
  <si>
    <t>오아마루 스페셜위크</t>
  </si>
  <si>
    <t>3/5일 카카오 라이브</t>
  </si>
  <si>
    <t xml:space="preserve">플리츠무드 </t>
  </si>
  <si>
    <t>플리츠무드 브랜드위크</t>
  </si>
  <si>
    <t>올젠/지오지아/에디션</t>
  </si>
  <si>
    <t>올젠/지오지아/에디션 신규입점</t>
  </si>
  <si>
    <t>지센</t>
  </si>
  <si>
    <t>지센  S/S 시즌 OPEN</t>
  </si>
  <si>
    <t>페이지플린 S/S 시즌 OPEN</t>
  </si>
  <si>
    <t>후스타일/뱅뱅</t>
  </si>
  <si>
    <t>후스타일/뱅뱅 브랜드위크</t>
  </si>
  <si>
    <t>카라/클라셰 브랜드위크</t>
  </si>
  <si>
    <t>올리비에스클로젯 브랜드위크</t>
  </si>
  <si>
    <t>PAT 여성&amp;남성</t>
  </si>
  <si>
    <t>PAT 여성&amp;남성 S/S 시즌 OPEN</t>
  </si>
  <si>
    <t>미센스&amp;마레몬떼</t>
  </si>
  <si>
    <t>미센스&amp;마레몬떼 S/S 시즌 OPEN</t>
  </si>
  <si>
    <t>한소희 PICK 로레알파리</t>
  </si>
  <si>
    <t>오그램코스메틱스 봄맞이 화이트닝&amp;리프팅</t>
  </si>
  <si>
    <t>동국제약 홈케어특집</t>
  </si>
  <si>
    <t>미진행?</t>
  </si>
  <si>
    <t>리빙페어(인기브랜드 연합)</t>
  </si>
  <si>
    <t>3/3~3/9</t>
  </si>
  <si>
    <t>마스크/건강용품 (멤버십데이 딜 연장)</t>
  </si>
  <si>
    <t>에너자이져</t>
  </si>
  <si>
    <t>동아제약 브랜드 (아이홀릭)</t>
  </si>
  <si>
    <t>아토세이프</t>
  </si>
  <si>
    <t>유한킴벌리 (멤버스, 브랜드데이 연계)</t>
  </si>
  <si>
    <t>베네플러스</t>
  </si>
  <si>
    <t>옥시/크리오</t>
  </si>
  <si>
    <t>애경_2080덴탈(생활)</t>
  </si>
  <si>
    <t>3/9~3/9</t>
  </si>
  <si>
    <t>부하우스 (생활)</t>
  </si>
  <si>
    <t>에싸 (브랜드데이)</t>
  </si>
  <si>
    <t>에싸X신세계쇼핑 단독 상품 브랜드데이</t>
  </si>
  <si>
    <t>씰리</t>
  </si>
  <si>
    <t>3/1-3/4</t>
  </si>
  <si>
    <t>씰리 침대/매트리스 베스트셀러 단독 최저가</t>
  </si>
  <si>
    <t>쇼핑라이브 / 단독 행사</t>
  </si>
  <si>
    <t>종근당건강 락토핏 유산균/프로메가/아이클리어 외 홈쇼핑인기품목 특가</t>
  </si>
  <si>
    <t>이경제 흑염소진액 홈쇼핑 건강즙NO.1 브랜드위크</t>
  </si>
  <si>
    <t>퍼니트 효소/자르르콜라겐 외 지금가장핫한 인기건식특가</t>
  </si>
  <si>
    <t>뉴트리디데이 인기건강식품 브랜드위크</t>
  </si>
  <si>
    <t>홀리데이즈 다이어트/이너뷰티 건강식품 단독특가전</t>
  </si>
  <si>
    <t>에치와이</t>
  </si>
  <si>
    <t>에치와이 유산균/홍삼 온라인전용구성 특가찬스</t>
  </si>
  <si>
    <t>에버콜라겐/고려은단 외</t>
  </si>
  <si>
    <t>풀무원녹즙 핸디밀 단백질쉐이크/콤부차 다이어트 건식특집전</t>
  </si>
  <si>
    <t>올바른</t>
    <phoneticPr fontId="4" type="noConversion"/>
  </si>
  <si>
    <t>이화컴퍼니 브랜드위크</t>
  </si>
  <si>
    <t>푸드조아</t>
  </si>
  <si>
    <t>푸드조아 브랜드위크</t>
  </si>
  <si>
    <t>넛파인</t>
  </si>
  <si>
    <t>넛파인 브랜드위크</t>
  </si>
  <si>
    <t>행복이야기 홈스토리</t>
  </si>
  <si>
    <t>행복이야기 홈스토리 브랜드위크</t>
  </si>
  <si>
    <t>■ 3/10주차 (취합마감 2/28까지)</t>
  </si>
  <si>
    <t>3/10~16</t>
  </si>
  <si>
    <t>메트로시티</t>
  </si>
  <si>
    <t>■ 3/17주차 (취합마감 3/7까지)</t>
  </si>
  <si>
    <t>■ 3/24주차 (취합마감 3/14까지)</t>
  </si>
  <si>
    <t>■ 3/31주차 (취합마감 3/21까지)</t>
  </si>
  <si>
    <t>25년 오늘특가 취합시트</t>
  </si>
  <si>
    <t>※ W-2 금요일 17시 마감</t>
  </si>
  <si>
    <t>↓ 24시간 세팅 / 2주연속 중복사용 불가</t>
    <phoneticPr fontId="4" type="noConversion"/>
  </si>
  <si>
    <t>↓ 24시간 최저가 유지</t>
    <phoneticPr fontId="4" type="noConversion"/>
  </si>
  <si>
    <t>↓ PUSH 발송용</t>
    <phoneticPr fontId="4" type="noConversion"/>
  </si>
  <si>
    <t>일자</t>
    <phoneticPr fontId="4" type="noConversion"/>
  </si>
  <si>
    <t>앱푸시
확정여부</t>
    <phoneticPr fontId="4" type="noConversion"/>
  </si>
  <si>
    <t>홈노출
확정여부</t>
    <phoneticPr fontId="4" type="noConversion"/>
  </si>
  <si>
    <t>상품CAT</t>
    <phoneticPr fontId="4" type="noConversion"/>
  </si>
  <si>
    <t>브랜드명</t>
    <phoneticPr fontId="4" type="noConversion"/>
  </si>
  <si>
    <t>딜코드</t>
    <phoneticPr fontId="4" type="noConversion"/>
  </si>
  <si>
    <t>기존가</t>
    <phoneticPr fontId="4" type="noConversion"/>
  </si>
  <si>
    <t>행사가</t>
    <phoneticPr fontId="4" type="noConversion"/>
  </si>
  <si>
    <t>온라인
최저가</t>
    <phoneticPr fontId="4" type="noConversion"/>
  </si>
  <si>
    <t>할인율</t>
    <phoneticPr fontId="4" type="noConversion"/>
  </si>
  <si>
    <t>마진율</t>
    <phoneticPr fontId="4" type="noConversion"/>
  </si>
  <si>
    <t>배송비</t>
    <phoneticPr fontId="4" type="noConversion"/>
  </si>
  <si>
    <t>진행목적 및 행사스킴 (편성운영 참고내용)</t>
    <phoneticPr fontId="4" type="noConversion"/>
  </si>
  <si>
    <t>팝업 문구 (메인 최대 11자 x 2줄 / 서브 최대 15자 1줄)</t>
    <phoneticPr fontId="4" type="noConversion"/>
  </si>
  <si>
    <t>단축 상품명 (최대 6자)</t>
    <phoneticPr fontId="4" type="noConversion"/>
  </si>
  <si>
    <t>PUSH
광고비 협의</t>
  </si>
  <si>
    <t>■ 12/30주차 브랜드데이 진행 브랜드 : 김정문알로에(12/30), 유한킴벌리 (1/1), 캉골(1/2), 리오벨&amp;루나코어스(1/3), 수앤진골드(1/4), PAT (1/5)</t>
  </si>
  <si>
    <t>EX. 크록스 퍼슈즈</t>
  </si>
  <si>
    <t>EX. O</t>
  </si>
  <si>
    <t>2024-12-30-월</t>
  </si>
  <si>
    <t>O(잡화)</t>
  </si>
  <si>
    <t>홈4</t>
  </si>
  <si>
    <t>패션잡화</t>
  </si>
  <si>
    <t>크록스</t>
  </si>
  <si>
    <t>58007729</t>
  </si>
  <si>
    <t>[크록스] 클래식 라인드 클로그 화이트 203591-10M</t>
  </si>
  <si>
    <t>무료배송</t>
  </si>
  <si>
    <t>겨울 시즌 인기 슈즈 특가전</t>
  </si>
  <si>
    <t>겨울 대비! 크록스/어그 퍼 슈즈 10% 즉시할인!</t>
  </si>
  <si>
    <t>크록스 퍼 슈즈</t>
  </si>
  <si>
    <t>팝업/홈1</t>
  </si>
  <si>
    <t>뷰티</t>
  </si>
  <si>
    <t>[김정문알로에] 큐어 하이드라 수딩365 에멀젼 2개</t>
  </si>
  <si>
    <t>브랜드데이 / 딜 내 전품목 원데이특가 진행</t>
  </si>
  <si>
    <t>국민 알로에 스킨케어 / 김정문알로에 수딩에멀젼 / 본품 2개 1만원대 특가</t>
  </si>
  <si>
    <t>김정문 알로에</t>
  </si>
  <si>
    <t>O(식품)</t>
  </si>
  <si>
    <t>홈3</t>
  </si>
  <si>
    <t>식품</t>
  </si>
  <si>
    <t>소소락</t>
  </si>
  <si>
    <t>허만두 푸짐한 대용량 고기잎새만두 1.4kg + 김치잎새만두 1.4kg</t>
  </si>
  <si>
    <t>무료배송</t>
    <phoneticPr fontId="4" type="noConversion"/>
  </si>
  <si>
    <t>새해 떡국+만두 특가 판매</t>
  </si>
  <si>
    <t xml:space="preserve">대용량 만두 특가 판매 </t>
  </si>
  <si>
    <t>대용량 만두</t>
  </si>
  <si>
    <t>O(뷰티)</t>
  </si>
  <si>
    <t>홈5</t>
  </si>
  <si>
    <t>[카밀] 핸드크림+비건 립밤 세트 (미니 핸드크림 2개 증정)</t>
  </si>
  <si>
    <t>12월1일~20일 . 20일간 700개 판매</t>
    <phoneticPr fontId="4" type="noConversion"/>
  </si>
  <si>
    <t>NO1. 핸드크림 미니 3종 5천원대+무료배송</t>
    <phoneticPr fontId="4" type="noConversion"/>
  </si>
  <si>
    <t>카밀 핸드크림세트</t>
  </si>
  <si>
    <t>홈2</t>
  </si>
  <si>
    <t>가공</t>
  </si>
  <si>
    <t>창희식품</t>
  </si>
  <si>
    <t>[HACCP] 40년전통 쌀 떡국떡/떡볶이떡 2kg</t>
  </si>
  <si>
    <t>새해 떡국용 떡상품 판매</t>
  </si>
  <si>
    <t>O(패션)</t>
  </si>
  <si>
    <t>패션의류</t>
  </si>
  <si>
    <t>쉬즈미스</t>
  </si>
  <si>
    <t>[신상] 헤어리 투웨이 집업 가디건_SSKCDO42570</t>
  </si>
  <si>
    <t>본사직영 24신상 최종인하/신세계 자사단독 쿠폰</t>
  </si>
  <si>
    <t>쉬즈미스 본사직영 27'신상 최종인하 ~25% 시크릿쿠폰</t>
  </si>
  <si>
    <t>가디건</t>
  </si>
  <si>
    <t>2024-12-31-화</t>
    <phoneticPr fontId="4" type="noConversion"/>
  </si>
  <si>
    <t>[메트로시티] BEST 모직장갑 8종택1</t>
  </si>
  <si>
    <t>신년 선물 추천 특가</t>
  </si>
  <si>
    <t>겨울 필수템! 메트로시티 모직장갑 10% 즉시할인! 2만원대 무료배송!</t>
  </si>
  <si>
    <t>메트로시티 장갑</t>
  </si>
  <si>
    <t>홈1</t>
  </si>
  <si>
    <t>[내일도착/단독]아이오페 레티놀 엑스퍼트 0.1% 링클코렉터 30ml(여행용 15종+쇼핑백)</t>
  </si>
  <si>
    <t xml:space="preserve">직매입 신규진행/단 하루 최저가 </t>
  </si>
  <si>
    <t>단 2주! 주름,모공 개선 / 아이오페 레티놀 엑스퍼트 / 안정화된 순수 레티놀 0.1% 함유</t>
  </si>
  <si>
    <t>아이오페 레티놀</t>
  </si>
  <si>
    <t>빅마마</t>
  </si>
  <si>
    <t>[S]빅마마 이혜정 시크릿코인 80g 1개 + 만능간장 1개 세트 택일 (편안한맛/개운한맛/구수한맛)</t>
  </si>
  <si>
    <t xml:space="preserve">단독구성 </t>
  </si>
  <si>
    <t xml:space="preserve">국물요리가 생각나는 시즌! </t>
  </si>
  <si>
    <t>건식</t>
    <phoneticPr fontId="4" type="noConversion"/>
  </si>
  <si>
    <t>정관장</t>
    <phoneticPr fontId="4" type="noConversion"/>
  </si>
  <si>
    <t>정관장 홍삼원골드 50ml x 60포 / 쇼핑백 증정</t>
    <phoneticPr fontId="4" type="noConversion"/>
  </si>
  <si>
    <t>쇼핑백 구성 추가 . 겨울 건강관리</t>
    <phoneticPr fontId="4" type="noConversion"/>
  </si>
  <si>
    <t>정관장 6년근 홍삼 홈상원골드 60포 + 쇼핑백</t>
    <phoneticPr fontId="4" type="noConversion"/>
  </si>
  <si>
    <t>조성아</t>
    <phoneticPr fontId="4" type="noConversion"/>
  </si>
  <si>
    <t>[내일도착]조성아 코코밀크크림(톤업/안색보정/자외선차단 SPF50+)50g +여행용1매</t>
    <phoneticPr fontId="4" type="noConversion"/>
  </si>
  <si>
    <t>통합매입 상품 / 재고 빠르게 소진 필요</t>
    <phoneticPr fontId="4" type="noConversion"/>
  </si>
  <si>
    <t xml:space="preserve">톱업크림 /주름/미백 기능성/ 차외선 차단까지 </t>
    <phoneticPr fontId="4" type="noConversion"/>
  </si>
  <si>
    <t>팝업</t>
  </si>
  <si>
    <t>강봉석조청</t>
  </si>
  <si>
    <t>강봉석 조청명인 깨범벅 10gx24개입 선물용 / 들깨강정 깨강정 전통과자 한과 명절선물세트</t>
  </si>
  <si>
    <t>입점기념특가/홈쇼핑인기상품/당사고객 부합 상품</t>
  </si>
  <si>
    <t>강봉석명인한과세트</t>
  </si>
  <si>
    <t>[캐시미어]하이넥 핸드메이드 롱코트</t>
  </si>
  <si>
    <t>겨울시즌 시즌오프+추가 신상 등록</t>
  </si>
  <si>
    <t>#캐시미어 코트 #울 니트 #양가죽 구스다운 시크릿특가전!</t>
  </si>
  <si>
    <t>캐시미어 코트</t>
  </si>
  <si>
    <t>2025-01-01-수</t>
    <phoneticPr fontId="4" type="noConversion"/>
  </si>
  <si>
    <t>생활</t>
  </si>
  <si>
    <t>유한킴벌리</t>
  </si>
  <si>
    <t>30068625</t>
  </si>
  <si>
    <t>크리넥스 3겹 천연펄프 데코&amp;소프트 화장지 34M-24롤X2팩</t>
  </si>
  <si>
    <t>제지 인기상품 + 멤버스데이 프로모션</t>
  </si>
  <si>
    <t>크리넥스 새해맞이 초특가 최대 10%적립+7%카드할인+9%쿠폰</t>
  </si>
  <si>
    <t>[내일도착/단독]헤라 NEW블랙쿠션(본품+리필)+하이라이터+파우더+미니립</t>
  </si>
  <si>
    <t>직매입/단 하루 최저가</t>
  </si>
  <si>
    <t>헤라 1등 블랙쿠션 / 샘플4종+쇼핑백 / 신년맞이 단 하루 15%할인</t>
  </si>
  <si>
    <t>헤라 블랙쿠션</t>
  </si>
  <si>
    <t>O(생활)</t>
  </si>
  <si>
    <t>알페신 카페인 샴푸 C1 (모발 강화) 250ml x3</t>
  </si>
  <si>
    <t>브랜드샵 대표상품</t>
    <phoneticPr fontId="4" type="noConversion"/>
  </si>
  <si>
    <t xml:space="preserve">전세계2억병 판매, 알페신 카페인샴푸 10% 할인 </t>
    <phoneticPr fontId="4" type="noConversion"/>
  </si>
  <si>
    <t>알페신 샴푸</t>
  </si>
  <si>
    <t>티젠</t>
  </si>
  <si>
    <t>티젠 콤부차 혼합 60스틱 (레몬30ST/매실10ST/청귤라임10ST/스트로베리키위10ST)</t>
  </si>
  <si>
    <t>조건부 무배</t>
  </si>
  <si>
    <t>인기 차 브랜드 입점기념 특가</t>
  </si>
  <si>
    <t xml:space="preserve">	[풀무원] 철판 바삭 감자채전 3봉+ 오징어 부추전 2봉 (150gX2장, 300g 총 10장)+[증정]플랜또 이이스크림 474ml</t>
  </si>
  <si>
    <t xml:space="preserve">간편 전류 행사 </t>
  </si>
  <si>
    <t>풀무원 간편전</t>
  </si>
  <si>
    <t>루시앙(대동모피)</t>
  </si>
  <si>
    <t>루시앙 폭스콤비 밍크 베스트 7531 블랙</t>
  </si>
  <si>
    <t>시즌 아이템/한정수량 모피아이템 특가전</t>
  </si>
  <si>
    <t>신년기념 모피아이템 한정수량 단독특가전!</t>
  </si>
  <si>
    <t>밍크 베스트</t>
  </si>
  <si>
    <t>2025-01-02-목</t>
    <phoneticPr fontId="4" type="noConversion"/>
  </si>
  <si>
    <t>캉골 에픽 플래치 백팩 1445 블랙</t>
  </si>
  <si>
    <t>브랜드패키지 대표상품</t>
  </si>
  <si>
    <t xml:space="preserve">캉골 신규 입점! 백팩/파카 최대 60%할인! </t>
  </si>
  <si>
    <t>캉골 백팩</t>
  </si>
  <si>
    <t>생활주방</t>
  </si>
  <si>
    <t>25년 설 LG생활건강 선물세트 정성담은 O호</t>
  </si>
  <si>
    <t>명절선물세트 특가</t>
  </si>
  <si>
    <t>25년 설! 따듯한 마음을 전하세요! 선물세트 1만원대 특가</t>
  </si>
  <si>
    <t xml:space="preserve">[내일도착]프리메라 알파인 베리 워터리 크림 대용량 75ml(오일투폼/오가크림 본품용량 증정) </t>
  </si>
  <si>
    <t>직매입</t>
  </si>
  <si>
    <t>빈틈없는 100시간 보습 / 프리메라 알파인베리크림 / 오일투폼+오가크림 본품용량 증정</t>
  </si>
  <si>
    <t>프리메라 크림</t>
  </si>
  <si>
    <t>O(가구)</t>
  </si>
  <si>
    <t>가구</t>
  </si>
  <si>
    <t>쇼핑라이브 (단,하루 최저가)</t>
  </si>
  <si>
    <t>시트앤모어 신년맞이 대축제 / 단,하루 최저가+적립금 최대 20만P</t>
  </si>
  <si>
    <t>건강</t>
    <phoneticPr fontId="4" type="noConversion"/>
  </si>
  <si>
    <t>올바른 유기농 레몬즙 착즙 100 14포 10박스 (총 140포)</t>
    <phoneticPr fontId="4" type="noConversion"/>
  </si>
  <si>
    <t>광고비 100만, 1/1~1/5 5일간 최저가운영</t>
    <phoneticPr fontId="4" type="noConversion"/>
  </si>
  <si>
    <t>NFC 유기농 레몬즙 1박스 4천원대! 1포 1레몬 + 무료배송까지</t>
    <phoneticPr fontId="4" type="noConversion"/>
  </si>
  <si>
    <t>유기농 레몬즙</t>
  </si>
  <si>
    <t>[마녀바스켓]부산깡통시장 꼬치어묵 40개(10개입x4봉)+가쓰오소스4봉</t>
  </si>
  <si>
    <t xml:space="preserve">겨울 시즌 간식 모음딜 </t>
  </si>
  <si>
    <t>꼬치어묵 특가</t>
  </si>
  <si>
    <t>꼬치어묵</t>
  </si>
  <si>
    <t>[보니스팍스](본사직영)전판프린트 후드 덕다운 숏 패딩-BB41PH090</t>
  </si>
  <si>
    <t>본사직영 겨울 최종인하 특가전</t>
  </si>
  <si>
    <t>보니스팍스 본사직영 덕다운 숏패딩 3만원대 클리어런스!</t>
  </si>
  <si>
    <t>덕다운 숏패딩</t>
  </si>
  <si>
    <t>2025-01-03-금</t>
    <phoneticPr fontId="4" type="noConversion"/>
  </si>
  <si>
    <t>PN풍년</t>
  </si>
  <si>
    <t>PN풍년 스텐압력솥 6인용(20C)</t>
  </si>
  <si>
    <t>무료</t>
  </si>
  <si>
    <t>주방매출1위 브랜드, 주말에만 가능한 히든특가, 10%적립+7%카드할인</t>
  </si>
  <si>
    <t>따듯하고 밥맛도는 압력밥솥, PN풍년 주말 히든특가!</t>
  </si>
  <si>
    <t>PN풍년 압력밥솥</t>
  </si>
  <si>
    <t>려</t>
  </si>
  <si>
    <t>202407229468</t>
  </si>
  <si>
    <t xml:space="preserve">[내일도착] 려 헤어쿠션 자연 갈색  5.0 7g </t>
  </si>
  <si>
    <t>체화재고 소진 필요</t>
  </si>
  <si>
    <t>자연스러운 헤어라인 / 려 헤어쿠션 자연갈색 / 1만원대 특가+무료배송</t>
  </si>
  <si>
    <t>려 헤어쿠션</t>
  </si>
  <si>
    <t>LG 리튠</t>
    <phoneticPr fontId="4" type="noConversion"/>
  </si>
  <si>
    <t>리튠 유캔두잇 (10병, 1박스)</t>
  </si>
  <si>
    <t>스트레스로 인한 피로개선에 도움이 되는 유캔두잇 10병 7천원대</t>
    <phoneticPr fontId="4" type="noConversion"/>
  </si>
  <si>
    <t>수산생활</t>
  </si>
  <si>
    <t>[수산생활]  포항 구룡포 과메기 완전 손질 10미</t>
  </si>
  <si>
    <t>겨울 시즌 상품</t>
  </si>
  <si>
    <t xml:space="preserve">겨울철에 생각나는, 과메기 특가 </t>
  </si>
  <si>
    <t>과메기</t>
  </si>
  <si>
    <t>리오벨</t>
  </si>
  <si>
    <t>리얼 양가죽 컬러 블록 리버시블 무스탕</t>
  </si>
  <si>
    <t>리버시블 아이템 / 겨울시즌아이템</t>
  </si>
  <si>
    <t>리오벨 리얼양가죽 리버시블 무스탕 168,500원 단독특가전!</t>
  </si>
  <si>
    <t>리오벨 무스탕</t>
  </si>
  <si>
    <t>2025-01-04-토</t>
    <phoneticPr fontId="4" type="noConversion"/>
  </si>
  <si>
    <t>주얼리</t>
  </si>
  <si>
    <t>순금나라 24K 선물 리본 미니 골드바 0.2G</t>
  </si>
  <si>
    <t>미니 골드바</t>
  </si>
  <si>
    <t>[내일도착]베네플러스 논슬립 옷걸이 30개</t>
  </si>
  <si>
    <t>고마진 상품 + 딜 내 체화재고 추가</t>
  </si>
  <si>
    <t>철제소재+PVC코팅 갓성비 논슬립옷걸이 30개 1만원대 특가</t>
  </si>
  <si>
    <t>옷걸이 30개</t>
  </si>
  <si>
    <t>더 시크릿 가든 핸드크림 5종세트+쇼핑백</t>
  </si>
  <si>
    <t>조건부</t>
  </si>
  <si>
    <t>설 시즌 행사 상품/가성비 선물세트</t>
  </si>
  <si>
    <t>가성비 설 선물 추천 / 핸드크림 5종세트 / 5세트 구매 시 1세트 추가증정</t>
  </si>
  <si>
    <t>핸드크림 5종</t>
  </si>
  <si>
    <t>(G) 하림 순살 닭갈비/안동찜닭 4봉 골라담기</t>
  </si>
  <si>
    <t>국내산닭으로 간편하게! 하림 순살닭갈비/안동찜닭</t>
  </si>
  <si>
    <t>하림 닭갈비</t>
  </si>
  <si>
    <t>루나코어스</t>
  </si>
  <si>
    <t>루나코어스 양모 블루종 재킷 LELI4JK61580</t>
  </si>
  <si>
    <t>겨울시즌상품/단독판매</t>
  </si>
  <si>
    <t>[55~88] 루나코어스 양모 블루종 그레이 재킷 8만원대 단독가</t>
  </si>
  <si>
    <t>블루종 재킷</t>
  </si>
  <si>
    <t>2025-01-05-일</t>
    <phoneticPr fontId="4" type="noConversion"/>
  </si>
  <si>
    <t>명품</t>
  </si>
  <si>
    <t>버버리 외</t>
  </si>
  <si>
    <t>[BURBERRY] 체크 캔버스 반지갑 8099826</t>
  </si>
  <si>
    <t>설 시즌 맞이 명품 행사</t>
  </si>
  <si>
    <t>버버리 반지갑</t>
  </si>
  <si>
    <t>아이팜 클라이밍 유아 아기 미끄럼틀</t>
  </si>
  <si>
    <t>추운겨울 실내놀이터, 멤버스데이 10%적립+7%카드할인</t>
  </si>
  <si>
    <t>강추위, 미세먼지 걱정없이 우리아이 실내놀이터 만들어주기</t>
  </si>
  <si>
    <t>유아 미끄럼틀</t>
  </si>
  <si>
    <t>로레알파리 토탈 리페어5 인스턴트 미라클 헤어팩 170ml 3개</t>
  </si>
  <si>
    <t>브랜드위크 대표상품</t>
  </si>
  <si>
    <t>5가지 손상을 한번에 / 로레알 미라클 헤어팩 / 본품3개 1만원대</t>
  </si>
  <si>
    <t>로레알파리 헤어팩</t>
  </si>
  <si>
    <t>[내일도착] CJ제일제당 스팸1호 x 4개 (박스출고/쇼핑백동봉)</t>
  </si>
  <si>
    <t>명절 행사 시작 / 직매입 상품 판매 확대</t>
  </si>
  <si>
    <t>명절엔 스팸! 스팸 선물세트 특가</t>
  </si>
  <si>
    <t>스팸선물세트</t>
  </si>
  <si>
    <t>PAT 여성</t>
  </si>
  <si>
    <t>[PAT] 렉스퍼 탈착 롱 덕 다운1I82015</t>
  </si>
  <si>
    <t>브랜드데이 / 신규입점 영업이슈 / 앱푸쉬 발송</t>
  </si>
  <si>
    <t>PAT 여성 렉스퍼 탈착 롱 덕다운 9만원대 ~90%OFF</t>
  </si>
  <si>
    <t>롱 덕다운</t>
  </si>
  <si>
    <r>
      <rPr>
        <b/>
        <sz val="10"/>
        <color rgb="FF000000"/>
        <rFont val="Malgun Gothic"/>
        <family val="3"/>
        <charset val="129"/>
      </rPr>
      <t>■ 1/6주차 브랜드데이 진행 브랜드 : K2그룹(1/6), 까사미아(1/7), 시몬스(1/8), 에싸(1/9),</t>
    </r>
    <r>
      <rPr>
        <b/>
        <strike/>
        <sz val="10"/>
        <color rgb="FF000000"/>
        <rFont val="Malgun Gothic"/>
        <family val="3"/>
        <charset val="129"/>
      </rPr>
      <t xml:space="preserve"> 블랙야크(1/10)</t>
    </r>
    <r>
      <rPr>
        <b/>
        <sz val="10"/>
        <color rgb="FF000000"/>
        <rFont val="Malgun Gothic"/>
        <family val="3"/>
        <charset val="129"/>
      </rPr>
      <t>, 지센&amp;라이프로그(1/11), MCM(1/12)</t>
    </r>
  </si>
  <si>
    <t>2025-01-06-월</t>
  </si>
  <si>
    <t>레포츠</t>
    <phoneticPr fontId="4" type="noConversion"/>
  </si>
  <si>
    <t>K2/아이더</t>
  </si>
  <si>
    <t>(정가 339,000원)[아이더공식] 여성 GO LIGHT 푸퍼 구스다운 패딩DWW23548</t>
  </si>
  <si>
    <t>157170(카드결제가)</t>
  </si>
  <si>
    <t>K2/아이더/다이나핏 신년세일 5%추가할인+7%행사카드즉시할인</t>
  </si>
  <si>
    <t>푸퍼다운자켓</t>
  </si>
  <si>
    <t>홈5</t>
    <phoneticPr fontId="4" type="noConversion"/>
  </si>
  <si>
    <t>아가타</t>
  </si>
  <si>
    <t>아가타 여성 겨울 따뜻한 니트 장갑 2종 중 택 1</t>
  </si>
  <si>
    <t>겨울 장갑 1만원대 무료배송!</t>
  </si>
  <si>
    <t>홈2</t>
    <phoneticPr fontId="4" type="noConversion"/>
  </si>
  <si>
    <t>갤럭시</t>
  </si>
  <si>
    <t>삼성 갤럭시 워치 / 버즈3프로</t>
  </si>
  <si>
    <t>갤럭시 웨어러블 최저가, 1/6 모바일LIVE</t>
  </si>
  <si>
    <t>갤럭시 워치/버즈3프로, 쇼핑LIVE 최저가</t>
  </si>
  <si>
    <t>홈3</t>
    <phoneticPr fontId="4" type="noConversion"/>
  </si>
  <si>
    <t>엘지(명절선물)</t>
  </si>
  <si>
    <t>설 선물세트</t>
  </si>
  <si>
    <t>[내일도착/단독]헤라 옴므 베이직 스페셜 2종 기획세트(올인원 본품용량 증정)</t>
  </si>
  <si>
    <t>설선물 대표상품</t>
  </si>
  <si>
    <t>헤라 옴므 / 스킨케어 세트 / 올인원 본품용량 증정</t>
  </si>
  <si>
    <t>헤라남성기초 2종</t>
  </si>
  <si>
    <t>홈4</t>
    <phoneticPr fontId="4" type="noConversion"/>
  </si>
  <si>
    <t>건강</t>
  </si>
  <si>
    <t>43198769</t>
  </si>
  <si>
    <t>쇼핑백증정★[보뚜] 글루타치온 화이트 저분자 콜라겐C 비오틴 30포 x 5박스</t>
  </si>
  <si>
    <t>보뚜 매출 상위 / 원데이 특가</t>
  </si>
  <si>
    <t>글루타치온 30포X5박스</t>
  </si>
  <si>
    <t>모리스커밍홈</t>
  </si>
  <si>
    <t>[모리스커밍홈] [SET]럭셔리 트위드 벨트자켓 플레어스커트 3종세트_M2410SE162C</t>
  </si>
  <si>
    <t xml:space="preserve">주력상품/신년모임룩 추천 </t>
  </si>
  <si>
    <t xml:space="preserve">[2컬러/55~66] 신년모임룩 추천! 모리스커밍홈 럭셔리 트위드 자켓+스커트 셋업 단독가! </t>
  </si>
  <si>
    <t>트위드 3종세트</t>
  </si>
  <si>
    <t>[풀무원] 나또 48입</t>
  </si>
  <si>
    <t>무로배송</t>
  </si>
  <si>
    <t>풀무원 대표 상품</t>
  </si>
  <si>
    <t>초보자도 부담없는 순생나또 특가</t>
  </si>
  <si>
    <t xml:space="preserve">순생나또 </t>
  </si>
  <si>
    <t>2025-01-07-화</t>
  </si>
  <si>
    <t>네파키즈</t>
  </si>
  <si>
    <t>키즈 MORTIS 모티스 스쿨백-KHC7003917</t>
  </si>
  <si>
    <t>단독 특가</t>
  </si>
  <si>
    <t>네파키즈 신학기 용품 단독특가/ 책가방, 보조가방, 신발, 의류</t>
  </si>
  <si>
    <t>신학기책가방</t>
  </si>
  <si>
    <t>까사미아(브랜드데이)</t>
  </si>
  <si>
    <t>단하루, 캄포소파 라인업 최저가</t>
  </si>
  <si>
    <t>까사미아 캄포소파 단,하루 최저가+적립금+장기무이자 혜택</t>
  </si>
  <si>
    <t>3CE DROP GLOW GEL 드롭 글로우 젤</t>
  </si>
  <si>
    <t>조건부무료</t>
  </si>
  <si>
    <t>신규입점 육성브랜드</t>
  </si>
  <si>
    <t>도톰 글로우립 연출 / 3CE 드롭글로우젤 / 단 하루 특가!</t>
  </si>
  <si>
    <t>3CE글로우젤</t>
  </si>
  <si>
    <t xml:space="preserve">우르오스 </t>
  </si>
  <si>
    <t>우르오스 스킨 워시 500ml x 2개 / 페이스&amp;바디 올인원 워시</t>
  </si>
  <si>
    <t>남성 올인원제품/쇼핑백</t>
  </si>
  <si>
    <t>우르오스 특가</t>
    <phoneticPr fontId="4" type="noConversion"/>
  </si>
  <si>
    <t>지베르니</t>
    <phoneticPr fontId="4" type="noConversion"/>
  </si>
  <si>
    <t>지베르니 하이넥 티셔츠 5종 (GAD-5)</t>
  </si>
  <si>
    <t>방송 히트 상품 모바일 연계행사</t>
  </si>
  <si>
    <t xml:space="preserve">[5종SET/55~88] 지베르니 하이넥 티셔츠 5종 SET 3만원대 단독특가! </t>
  </si>
  <si>
    <t>티5종 3만원대</t>
  </si>
  <si>
    <t>장듀보</t>
  </si>
  <si>
    <t>[장듀보] 라귀올 커트러리 디너세트 3P 블랙</t>
  </si>
  <si>
    <t>윤상섭</t>
  </si>
  <si>
    <t>명절맞이 갈비찜+LA갈비 특가</t>
  </si>
  <si>
    <t>2025-01-08-수</t>
    <phoneticPr fontId="4" type="noConversion"/>
  </si>
  <si>
    <t xml:space="preserve"> </t>
  </si>
  <si>
    <t>시몬스(브랜드데이)</t>
  </si>
  <si>
    <t>단하루, 시몬스 전 상품 최저가</t>
  </si>
  <si>
    <t>시몬스 전 상품 단,하루 최저가+적립금+장기무이자 혜택</t>
  </si>
  <si>
    <t>미샤_데어루즈벨벳</t>
  </si>
  <si>
    <t>단독가</t>
  </si>
  <si>
    <t>선명한 컬러감 / 미샤 데어루즈립스틱 / 7,900원 특가!</t>
  </si>
  <si>
    <t>미샤립스틱</t>
  </si>
  <si>
    <t>올바른 제주산 여주환 6박스 총6개월분 180포</t>
  </si>
  <si>
    <t>설 시즌맞이 행사상품 /원데이 특가</t>
  </si>
  <si>
    <t>제주산 여주환</t>
    <phoneticPr fontId="4" type="noConversion"/>
  </si>
  <si>
    <t>[오아마루] 공용 꽈배기 라운드 니트OASWI802</t>
  </si>
  <si>
    <t>오아마루 캐주얼 브랜드 신규입점</t>
  </si>
  <si>
    <t xml:space="preserve">[3컬러/95~105] 오아마루 남여공용 꽈배기 니트 2만원대 단독특가! </t>
  </si>
  <si>
    <t>오아마루 입점</t>
  </si>
  <si>
    <t>(S)[본죽] 메추리알 장조림 1kg+1kg(대용량)</t>
  </si>
  <si>
    <t>찬류 특가</t>
  </si>
  <si>
    <t>2025-01-09-목</t>
  </si>
  <si>
    <t>에싸(브랜드데이)</t>
  </si>
  <si>
    <t>단하루, 에싸 베스트셀러 최저가</t>
  </si>
  <si>
    <t>에싸 카시미라/리브 패브릭 가격인상 전 최저가 구매찬스</t>
  </si>
  <si>
    <t>맥퀸뉴욕</t>
  </si>
  <si>
    <t>[맥퀸뉴욕]1+1 마이스트롱 아이브로우 펜슬 (눈썹칼+샤프너 증정)</t>
  </si>
  <si>
    <t>품절 컬러 재입고/비노출 특가</t>
  </si>
  <si>
    <t>아이브로우 1+1</t>
    <phoneticPr fontId="4" type="noConversion"/>
  </si>
  <si>
    <t>[내일도착/단독]아이오페 NEW슈퍼바이탈 2종(소프너+에멀젼)+여행용18종+파우치</t>
  </si>
  <si>
    <t>설 선물 대표상품</t>
  </si>
  <si>
    <t>아이오페 / 6세대 슈퍼바이탈 / 단 하루 25%할인!</t>
  </si>
  <si>
    <t>아이오페기초</t>
  </si>
  <si>
    <t>크로커다일레이디</t>
  </si>
  <si>
    <t>사선퀼팅 중기장 다운CLCWDW204</t>
  </si>
  <si>
    <t>겨울아우터 판매베스트 단독가</t>
  </si>
  <si>
    <t xml:space="preserve">[2컬러/90~110] 크로커다일레이디 사선퀼팅 중기장 덕다운 89,000원 단독가 </t>
  </si>
  <si>
    <t>덕다운 특가</t>
  </si>
  <si>
    <t>테팔</t>
  </si>
  <si>
    <t xml:space="preserve">테팔 매직핸즈 티타늄 2X 엑스엘포스 레드코랄 프라이팬 멀티 6P </t>
  </si>
  <si>
    <t>프라이팬 베스트 브랜드 테팔 단독특가</t>
  </si>
  <si>
    <t>자주 사용 프라이팬2종 + 냄비까지, 고민없는 주방세트 테팔 티타늄 매직핸즈</t>
  </si>
  <si>
    <t>테팔프라이팬</t>
  </si>
  <si>
    <t>(S) 하림 용가리치킨 300g + 치킨너겟 300g + 닭가슴살 핫도그 90g 2봉</t>
  </si>
  <si>
    <t xml:space="preserve">하림 BEST 구성 맛보기 특가 </t>
  </si>
  <si>
    <t>하림 너겟류</t>
  </si>
  <si>
    <t>2025-01-10-금</t>
  </si>
  <si>
    <t>순금</t>
  </si>
  <si>
    <t>수앤진골드 브릭 체인 목걸이 24K 순금 11.25g</t>
  </si>
  <si>
    <t>순금시세로 행사 전날 가격 확정</t>
  </si>
  <si>
    <t>수앤진골드 24K 주얼리/ 골드바 외 10% 즉시할인</t>
  </si>
  <si>
    <t>[인기상품]온유바이오 3중효소 배합 브로멜라인 함유 70만 역가보장 파인애플효소 2박스(2개월분)/온유약국 배합</t>
  </si>
  <si>
    <t>원데이 특가/온유바이오 메인제품</t>
  </si>
  <si>
    <t>파인애플효소</t>
    <phoneticPr fontId="4" type="noConversion"/>
  </si>
  <si>
    <t>[버츠비] 러브유 선물세트(허니+자몽+석류)</t>
  </si>
  <si>
    <t>저단가 설 선물</t>
  </si>
  <si>
    <t>버츠비 / 립밤 선물세트 / 100% 자연유래성분</t>
  </si>
  <si>
    <t>버츠비립밤</t>
  </si>
  <si>
    <t>올리비아로렌</t>
  </si>
  <si>
    <t>[올리비아로렌] 진주물결 니트VOCBLXWA346</t>
  </si>
  <si>
    <t>겨울최종인하 특가전</t>
  </si>
  <si>
    <t xml:space="preserve">[2컬러/90~95] 올리비아로렌 진주 물결 니트 2만원대 특가전! </t>
  </si>
  <si>
    <t>진주물결 니트</t>
  </si>
  <si>
    <t>통합매입/재고소진 必</t>
    <phoneticPr fontId="4" type="noConversion"/>
  </si>
  <si>
    <t>O(쇼라)</t>
  </si>
  <si>
    <t>스팸라이트 8호</t>
  </si>
  <si>
    <t>라이브진행+선물세트 특가</t>
  </si>
  <si>
    <t xml:space="preserve">명절의 정석! 스팸 선물세트 </t>
  </si>
  <si>
    <t>2025-01-11-토</t>
  </si>
  <si>
    <t>사옹원</t>
  </si>
  <si>
    <t>수제포로 살아있는 사옹원 부침명장 동태전300g 2팩</t>
  </si>
  <si>
    <t>명절 인기식품</t>
  </si>
  <si>
    <t>사옹원 전</t>
  </si>
  <si>
    <t>리르</t>
  </si>
  <si>
    <t>리르 모이스처 틴트 립밤</t>
  </si>
  <si>
    <t>네이버 최저가+무료배송</t>
  </si>
  <si>
    <t>리르 틴트립밤</t>
    <phoneticPr fontId="4" type="noConversion"/>
  </si>
  <si>
    <t>[내일도착/크림더블증정]한율 송담 탄력 기초 세트(스킨+에멀전+아이크림+크림2개)</t>
  </si>
  <si>
    <t>명절 선물세트</t>
  </si>
  <si>
    <t>5만원대 명절선물 추천 / 한율 송담 기초 4종 / 크림 본품 추가 증정</t>
  </si>
  <si>
    <t>헌율 송담기초</t>
  </si>
  <si>
    <t>[지센] (3컬러) 뽀글이 베이직 베스트 LSSFNA74</t>
  </si>
  <si>
    <t xml:space="preserve">브랜드패키지 </t>
  </si>
  <si>
    <t>[3컬러/90~100] 지센 활용만점 뽀글이 베스트 23,500원+무료배송 혜택</t>
  </si>
  <si>
    <t>지센 뽀글이</t>
  </si>
  <si>
    <t>엘지생건(일반상품)</t>
  </si>
  <si>
    <t>홈스타 맥스 퍼펙트 렌지후드 클리너 파우치형 x 2개</t>
  </si>
  <si>
    <t>엘지생건 생필품 주말3일만 가능 히든특가</t>
  </si>
  <si>
    <t>2025-01-12-일</t>
  </si>
  <si>
    <t>[MCM] Himmel 로레토스 어센딩 문 호보 MWHFSAC02I9</t>
  </si>
  <si>
    <t>MCM 인기 잡화 10% 즉시할인</t>
  </si>
  <si>
    <t>보루네오</t>
  </si>
  <si>
    <t>보루네오 엘리브 바운스 퀸/킹침대프레임 sy557</t>
  </si>
  <si>
    <t>단독 최저가</t>
  </si>
  <si>
    <t>보루네오 침대/화장대/서랍장/소파 단독 최저가 구매찬스</t>
  </si>
  <si>
    <t>[S]올즙 올바른 도라지배스틱 50 x 2박스(선물세트)</t>
  </si>
  <si>
    <t>명절 선물세트 / 비노출 특가</t>
  </si>
  <si>
    <t>도라지배스틱</t>
    <phoneticPr fontId="4" type="noConversion"/>
  </si>
  <si>
    <t>라이프로그</t>
  </si>
  <si>
    <t>[라이프로그] 스포츠 헤비 덕 다운 MSDWNA63</t>
  </si>
  <si>
    <t>11일 브랜드패키지 대표상품 견적 연장</t>
  </si>
  <si>
    <t>[2컬러/95~110] 라이프로그 배우 이상엽 착장 헤비 덕다운 12만원대~ 특가</t>
  </si>
  <si>
    <t>남성 헤비덕다운</t>
  </si>
  <si>
    <t>202407229471</t>
  </si>
  <si>
    <t>체화재고 소진 목적</t>
  </si>
  <si>
    <t>새해맞이 동안케어 / 려 헤어쿠션 / 13,900원 무료배송</t>
  </si>
  <si>
    <t>글라스락 모듈러 10종 세트</t>
  </si>
  <si>
    <t>명절요리 대비 밀폐용기 특가</t>
  </si>
  <si>
    <t>풍족한 명절음식 보관 위한~ 글라스락 밀폐용기 특가</t>
  </si>
  <si>
    <t>밀폐용기특가</t>
  </si>
  <si>
    <t>불오징어볶음 300g 5팩</t>
  </si>
  <si>
    <t>간편 반찬류 특가</t>
  </si>
  <si>
    <t>불맛 오징어볶음</t>
  </si>
  <si>
    <t>■ 1/13주차 브랜드데이 진행 브랜드 : CJ제일제당(1/13), 뉴케어/마이밀(1/14), 올리비아로렌(1/15), 내셔널지오그래픽(1/16), 엘지생활건강(1/17), 메트로시티(1//18), 쉬즈미스(1/19)</t>
  </si>
  <si>
    <t>2025-01-13-월</t>
  </si>
  <si>
    <t>엘르/가이거 외</t>
  </si>
  <si>
    <t>[ELLE] 엘르주얼리 겨울신상/베스트셀러 50종 균일가전</t>
  </si>
  <si>
    <t>구매금액대별 사은품 증정</t>
  </si>
  <si>
    <t>엘르/가이거/끄란느 주얼리 겨울신상&amp;베스트셀러 1만원대 균일가 무료배송 찬스!</t>
  </si>
  <si>
    <t>건식</t>
  </si>
  <si>
    <t xml:space="preserve">[닥터린] 초임계 알티지(rTG) 오메가3 x 10박스+쇼핑백 </t>
  </si>
  <si>
    <t>인기품목 사은품 증정</t>
  </si>
  <si>
    <t>[CJ선물세트] 스팸 6호</t>
  </si>
  <si>
    <t>설 대표 상품 / 브랜드데이</t>
  </si>
  <si>
    <t xml:space="preserve">명절선물의 정석, 스팸 선물세트 </t>
  </si>
  <si>
    <t>스팸 선물세트</t>
  </si>
  <si>
    <t>설대표상품/직매입 매출 상위상품</t>
  </si>
  <si>
    <t>한율 송담 기초 / 크림 추가 증정 혜택 / 스킨케어 5종 5만원대 특가</t>
  </si>
  <si>
    <t>한율송담기초</t>
  </si>
  <si>
    <t xml:space="preserve">[s][보뚜] 글루타치온 필름 화이트 에버 30매 x 2박스 </t>
  </si>
  <si>
    <t>비노출코드 / 최저가</t>
  </si>
  <si>
    <t>레포츠</t>
  </si>
  <si>
    <t>CKP</t>
  </si>
  <si>
    <t xml:space="preserve"> [캘빈클라인 퍼포먼스] 공용 기모 조거팬츠 2컬러 택1</t>
  </si>
  <si>
    <t>최저가</t>
  </si>
  <si>
    <t>O(신선)</t>
  </si>
  <si>
    <t>신선</t>
    <phoneticPr fontId="4" type="noConversion"/>
  </si>
  <si>
    <t>자연맛남</t>
    <phoneticPr fontId="4" type="noConversion"/>
  </si>
  <si>
    <t>[자연맛남] 제주 레드향 2.6kg(15과내외) 과일 선물세트</t>
  </si>
  <si>
    <t>명절 특가, 레드향 국산 과일 베스트</t>
    <phoneticPr fontId="4" type="noConversion"/>
  </si>
  <si>
    <t>과일 만감류 선물세트/전품목 20% 할인</t>
    <phoneticPr fontId="4" type="noConversion"/>
  </si>
  <si>
    <t>레드향 선물</t>
    <phoneticPr fontId="4" type="noConversion"/>
  </si>
  <si>
    <t>신비하누</t>
    <phoneticPr fontId="4" type="noConversion"/>
  </si>
  <si>
    <t>61495377</t>
  </si>
  <si>
    <t>[신비하누] 1등급 한우 정육모둠 600g (불고기 300g+국거리 300g)</t>
  </si>
  <si>
    <t>[보니스팍스](본사직영)루즈핏 드롭숄더 케이프형 니트 가디건-BB42KC010</t>
  </si>
  <si>
    <t xml:space="preserve">최저가 </t>
  </si>
  <si>
    <t xml:space="preserve">[2컬러] 보니스팍스 본사직영 루즈핏 케이프형 니트가디건 23,400원 단독특가! </t>
  </si>
  <si>
    <t>케이프가디건</t>
  </si>
  <si>
    <t>O(그외)</t>
  </si>
  <si>
    <t>신라목장</t>
  </si>
  <si>
    <t>신라목장 프리미엄 LA갈비 4kg(2kg+2kg) 선물세트</t>
  </si>
  <si>
    <t xml:space="preserve">최저가, 24 추석시즌 매출 1위 축산선물세트 </t>
  </si>
  <si>
    <t>고급LA갈비</t>
  </si>
  <si>
    <t>2025-01-14-화</t>
  </si>
  <si>
    <t xml:space="preserve"> [대상웰라이프]클로렐라 플래티넘set(750정x2병) </t>
  </si>
  <si>
    <t>[풀무원] 풀스키친 바로절여꼬들꼬들한 오이지무침 1kg</t>
  </si>
  <si>
    <t>풀스키친 반찬 + 음료 특가</t>
  </si>
  <si>
    <t>풀스키친</t>
  </si>
  <si>
    <t>에스트라 아토베리어365 크림  80ml  2개</t>
  </si>
  <si>
    <t>보습 시즌상품</t>
  </si>
  <si>
    <t xml:space="preserve">2세대 캡슐크림 / 에스트라 아토베리어 / 민감피부에 특화된 보습크림 </t>
  </si>
  <si>
    <t>에스트라크림</t>
  </si>
  <si>
    <t>[맥퀸뉴욕] 1+1+1 UV 데일리 선크림 SPF50 PA+++</t>
  </si>
  <si>
    <t>선크림 1+1+1 8천원대+무료배송 /신상 타사 반응 高 /</t>
  </si>
  <si>
    <t>아이팜 접이식 2단 3단 스마트 손잡이 유아디딤대</t>
  </si>
  <si>
    <t>실내활동 많은 겨울시즌 대비 유아디딤대 특가</t>
  </si>
  <si>
    <t>단단, 안전, 스마트한 유아디딤대 특가</t>
  </si>
  <si>
    <t>깨나화장지</t>
  </si>
  <si>
    <t>천년고수</t>
    <phoneticPr fontId="4" type="noConversion"/>
  </si>
  <si>
    <t>57752629</t>
  </si>
  <si>
    <t>[G][천년고수] 상주곶감 프리미엄2호 반건시선물세트1.5kg(30과)</t>
  </si>
  <si>
    <t>설 명절 인기 반건시 선물</t>
    <phoneticPr fontId="4" type="noConversion"/>
  </si>
  <si>
    <t>천년고수 명품 상주 곶감/3만원대~ 반건시 선물 찬스!</t>
    <phoneticPr fontId="4" type="noConversion"/>
  </si>
  <si>
    <t>상주 반건시</t>
    <phoneticPr fontId="4" type="noConversion"/>
  </si>
  <si>
    <t>[자연맛남] 국내산 소고기 꽃등심 선물세트 1등급 1.2kg(꽃등심 300gx4팩)</t>
  </si>
  <si>
    <t>트레몰로</t>
  </si>
  <si>
    <t>[TREMOLO] 남성 체크패턴 정장SET_TGNGAWS1371_SET</t>
  </si>
  <si>
    <t>설명절 남성정장 셋업 특가전</t>
  </si>
  <si>
    <t>[설명절특가] 트레몰로 남성 체크패턴 정장셋업 6만원대 단독특가</t>
  </si>
  <si>
    <t>남성정장셋업</t>
  </si>
  <si>
    <t>58227431</t>
    <phoneticPr fontId="4" type="noConversion"/>
  </si>
  <si>
    <t>[정관장] 진윤고세트(100g x 2병, 캔디 120g x 1)</t>
  </si>
  <si>
    <t>83100 (가격추가인하예정)</t>
    <phoneticPr fontId="4" type="noConversion"/>
  </si>
  <si>
    <t>설 명절 선물세트 [진윤고+캔디 세트]</t>
    <phoneticPr fontId="4" type="noConversion"/>
  </si>
  <si>
    <t>[비건인증] 오트리 고메넛츠 블라썸 30g 100입 (쇼핑백 2장)</t>
  </si>
  <si>
    <t>프리미엄선물세트로 할인진행시 매출볼륨확대에 도움</t>
  </si>
  <si>
    <t>오트리견과</t>
  </si>
  <si>
    <t>막스마라 RITMO 리트모 울 비니 3종 택 1 (카멜, 그레이,레드)</t>
  </si>
  <si>
    <t>1/13 막스마라 라이브 행사가격 유지 및 물량확보 단독특가</t>
  </si>
  <si>
    <t>2025-01-15-수</t>
  </si>
  <si>
    <t xml:space="preserve"> 비타민마을 퍼펙트바이오틱스 슈퍼 프로바이오틱스 19 특허 생 유산균 10박스 총300포 10개월분 </t>
  </si>
  <si>
    <t>한정특가+쇼핑뱅/사은품증정</t>
  </si>
  <si>
    <t>센텔리안24 더 마데카크림 45ml 2개 + 마데카 스타톡 세럼 50ml 1개</t>
  </si>
  <si>
    <t>광고비 100만/한정특가 설 대표상품</t>
  </si>
  <si>
    <t>동국제약 센텔리안24 / 마데카크림+스타톡세럼 / 3만원대 특가구성</t>
  </si>
  <si>
    <t>마데카크림</t>
  </si>
  <si>
    <t>이시준`</t>
  </si>
  <si>
    <t>헤드스파7 버블헤어에센스 140mlx2</t>
  </si>
  <si>
    <t>헤드스파7 브랜드위크 한정특가</t>
  </si>
  <si>
    <t>올바른 흑염소 진액 골드 70ml X 30포 3박스 (총 90포)</t>
  </si>
  <si>
    <t xml:space="preserve">30118260	</t>
  </si>
  <si>
    <t>깨끗한나라 순수 프리미엄 듀얼소프트 3겹 화장지 27m 30롤x2팩+키친타올</t>
  </si>
  <si>
    <t>제지 빅브랜드 깨끗한나라 프리미엄 화장지 2만원대 특가</t>
  </si>
  <si>
    <t>먼지적고, 더 부드러운 순수 프리미엄화장지총60팩 2만원대 특가</t>
  </si>
  <si>
    <t>레이먼킴</t>
    <phoneticPr fontId="4" type="noConversion"/>
  </si>
  <si>
    <t>73964000</t>
  </si>
  <si>
    <t>[G]레이먼킴 양념LA갈비 400g x 4팩 (호주산)</t>
  </si>
  <si>
    <t>[겨울 시즌오프] 테일러드 트위드 코트_VOPEAXWA351</t>
  </si>
  <si>
    <t>브랜드데이 전상품 23% 쿠폰혜택</t>
  </si>
  <si>
    <t>[90~100] 올리비아로렌 폭스퍼 테일러드 트위드 모코트 129,000원 단독특가</t>
  </si>
  <si>
    <t>테일러드코트</t>
  </si>
  <si>
    <t>[경복궁] 풍성한 한상 구성(칼집LA갈비+영양 갈비탕+한우사골곰탕)</t>
  </si>
  <si>
    <t>명절맞이 인기 브랜드 + 대표 구성 특가</t>
  </si>
  <si>
    <t xml:space="preserve">품격있는 명절 한상, 경복궁 </t>
  </si>
  <si>
    <t>경복궁 LA갈비</t>
  </si>
  <si>
    <t>[G]대천김 곱창김 명품 캔김 선물세트 15캔</t>
  </si>
  <si>
    <t>김선물세트 판매 베스트 상품</t>
  </si>
  <si>
    <t>명품캔김세트</t>
  </si>
  <si>
    <t xml:space="preserve">30166220	</t>
  </si>
  <si>
    <t xml:space="preserve"> (G)[사조대림] 고급유3호 선물세트 </t>
  </si>
  <si>
    <t xml:space="preserve">고물가 유지류 판매 호조 / </t>
  </si>
  <si>
    <t xml:space="preserve">부담없는 통조림/조미료 선물세트, </t>
  </si>
  <si>
    <t>사조 선물세트</t>
  </si>
  <si>
    <t>2025-01-16-목</t>
  </si>
  <si>
    <t>신규입점으로 1/8 기재 가능</t>
  </si>
  <si>
    <t xml:space="preserve"> [천지양] 내가먹는 홍삼스틱 100포 2박스 / 대용량홍삼  </t>
  </si>
  <si>
    <t>쇼핑뱅/사은품증정</t>
  </si>
  <si>
    <t>NEW 리엔케이 카밍 드래곤시카 기초 3종세트</t>
  </si>
  <si>
    <t>리엔케이기초</t>
  </si>
  <si>
    <t>유한메디카</t>
  </si>
  <si>
    <t>광고비 50만 / 식후형당케어 상품 /브랜드위크 대표상품</t>
  </si>
  <si>
    <t>식후혈당케어</t>
  </si>
  <si>
    <t>소돈가</t>
    <phoneticPr fontId="4" type="noConversion"/>
  </si>
  <si>
    <t>72926731</t>
  </si>
  <si>
    <t>[소돈가]1++ 투뿔한우 구이 모듬 선물세트(400gx3)1.2kg</t>
  </si>
  <si>
    <t>25년 설 LG생활건강 선물세트 프리미엄 모던에디션 스페셜 x 5개</t>
  </si>
  <si>
    <t>[올리비에스클로젯] 울 루즈핏 백포인트 니트_O2410KN137C</t>
  </si>
  <si>
    <t>최저가 / 동대문 시장 신상특가</t>
  </si>
  <si>
    <t>[2컬러] 올리비에스클로젯 울 루즈핏 자수 백포인트 니트 25,800원 단독특가!</t>
  </si>
  <si>
    <t>자수포인트 니트</t>
  </si>
  <si>
    <t xml:space="preserve"> 하림 BEST 품목 무료배송 특가</t>
  </si>
  <si>
    <t>[넛츠피아] 잇츠넛 프리미엄 50봉 선물세트 매일 하루 한줌견과</t>
  </si>
  <si>
    <t>광고비100만/저단가 하루견과 선물세트</t>
  </si>
  <si>
    <t>하루한줌견과</t>
  </si>
  <si>
    <t>2025-01-17-금</t>
  </si>
  <si>
    <t>주방</t>
  </si>
  <si>
    <t>주방매출1위 브랜드, 월 중 단2번 진행 가능한 히든특가</t>
  </si>
  <si>
    <t xml:space="preserve"> 휴럼 트루락 베베 7.5ml x 3박스/ 아기 유산균 프로바이오틱스 </t>
  </si>
  <si>
    <t>쇼핑백/사은품증정</t>
  </si>
  <si>
    <t>코드생성중</t>
  </si>
  <si>
    <t>티르리르 4mm 패션옐로우 두 줄 테니스 팔찌</t>
  </si>
  <si>
    <t>패키지 증정+구매금액대 별 사은품 증정</t>
  </si>
  <si>
    <t>[참존] 더블 모이스처 오일 인 세럼 플러스 30ml 5개</t>
  </si>
  <si>
    <t>광고비50만/설 대표상품</t>
  </si>
  <si>
    <t>참존 오일인세럼 / 5병 1만원대 특가 / 오일과 세럼의 장점을 한번에!</t>
  </si>
  <si>
    <t>참존오일세럼</t>
  </si>
  <si>
    <t>[온유바이오] 품질보증 DSM社 듀얼멀티비타민 마그플러스+ 4박스(4개월분)/온유약국 배합 · 설계</t>
  </si>
  <si>
    <t>비타민+미네랄 제품 / 원데이특가</t>
  </si>
  <si>
    <t>멀티비타민</t>
  </si>
  <si>
    <t>언더웨어</t>
  </si>
  <si>
    <t>푸마</t>
  </si>
  <si>
    <t>참바다</t>
    <phoneticPr fontId="4" type="noConversion"/>
  </si>
  <si>
    <t>68897962</t>
  </si>
  <si>
    <t>참바다 프리미엄 만능새우 140g(10미) x 5팩</t>
  </si>
  <si>
    <t>대용량 명절 제수용 새우</t>
    <phoneticPr fontId="4" type="noConversion"/>
  </si>
  <si>
    <t>[4컬러] 화세 활용만점! 하이집업 베스트 15,900원 초특가</t>
  </si>
  <si>
    <t>하이집업베스트</t>
  </si>
  <si>
    <t>XO만두 4봉(2+2)골라담기</t>
  </si>
  <si>
    <t>최저가 + 만두/떡국 특가</t>
  </si>
  <si>
    <t>XO만두 특가</t>
  </si>
  <si>
    <t>영광 법성포 부세보리굴비1호 대형 10미 29-31cm_부직포X</t>
  </si>
  <si>
    <t>수산 인기 선물세트</t>
  </si>
  <si>
    <t>LG생활건강</t>
  </si>
  <si>
    <t>25년 설 LG생활건강 선물세트 월드트레블 S호</t>
  </si>
  <si>
    <t>명절선물세트 10%쿠폰+5%추가쿠폰(다운로드)</t>
  </si>
  <si>
    <t>LG생활건강 명절선물 10%+추가5% 쿠폰!</t>
  </si>
  <si>
    <t>2025-01-18-토</t>
  </si>
  <si>
    <t>[내일도착][단독] 메트로시티 캐시미어100 머플러 MMFC-4311</t>
  </si>
  <si>
    <t>메트로시티 캐시미어 100% 머플러 4만원대 무료배송 득템 찬스!</t>
  </si>
  <si>
    <t xml:space="preserve"> 김소형원방 동방비책 흑염소진액 1박스 </t>
  </si>
  <si>
    <t>쇼핑백</t>
  </si>
  <si>
    <t>헬로입주</t>
  </si>
  <si>
    <t>[헬로입주] 히트볼 프리미엄 탄성코트 리모델링</t>
  </si>
  <si>
    <t>히트볼 프리미엄 탄성코트 리모델링 #겨울철필수시공 #역대급조건</t>
  </si>
  <si>
    <t>고려천홍삼</t>
  </si>
  <si>
    <t>고려천홍삼 데일리 홍삼농축스틱골드 15g x 100포 / 선물세트</t>
  </si>
  <si>
    <t>홍삼 스틱 선물세트</t>
  </si>
  <si>
    <t>홍삼 스틱 선물</t>
  </si>
  <si>
    <t>[단독구성] 스와니코코 AC 버거쿠션 본품 *3개</t>
  </si>
  <si>
    <t>광고비50만/신라쇼단독구성</t>
  </si>
  <si>
    <t>AC버거쿠션</t>
  </si>
  <si>
    <t>농협안심한우</t>
    <phoneticPr fontId="4" type="noConversion"/>
  </si>
  <si>
    <t>52934317</t>
  </si>
  <si>
    <t>[G][농협안심한우] 1등급 한우 모듬채반 1kg(등심+채끝+특수부위+불고기+국거리)</t>
  </si>
  <si>
    <t>리스트</t>
  </si>
  <si>
    <t>울 혼방 핸드메이드 베이직 맥코트_TWHCTO82060</t>
  </si>
  <si>
    <t>신상 자사고객 전용 시크릿특가</t>
  </si>
  <si>
    <t>리스트 본사직영 신상 울혼방 핸드메이드 맥코드 10만원대 시크릿특가</t>
  </si>
  <si>
    <t>리스트맥코트</t>
  </si>
  <si>
    <t>순수가온30세트</t>
  </si>
  <si>
    <t>5+1이벤트/당사 견과매출 1등 브랜드 선물세트 상품</t>
  </si>
  <si>
    <t>2025-01-19-일</t>
  </si>
  <si>
    <t xml:space="preserve"> [바이퀸] 데일리 유기농 레몬즙 100 레몬 스틱 4박스 (총 56포) + 랜덤사은품 증정  </t>
  </si>
  <si>
    <t>[김정문알로에] 큐어 피토 라인 기초 3종 선물세트 (쇼핑백증정)</t>
  </si>
  <si>
    <t>광고비 100만/설행사 대표상품</t>
  </si>
  <si>
    <t>순한 안티에이징 / 김정문알로에 / 3만원대 가성비선물 추천</t>
  </si>
  <si>
    <t>풍기인삼</t>
  </si>
  <si>
    <t>[풍기인삼] 5년근 수삼 500g (15-17뿌리/쇼핑백 증정)</t>
  </si>
  <si>
    <t>100%국내산, 수삼 선물세트 / 쇼핑백</t>
  </si>
  <si>
    <t xml:space="preserve"> 5년근 수삼</t>
  </si>
  <si>
    <t>[자연맛남] 고당도 샤인머스켓 2kg(2-3수/팩포장) 과일 선물세트</t>
  </si>
  <si>
    <t>[신상] 울 드롭 숄더 핸드메이드 코트_SWHCTO42050</t>
  </si>
  <si>
    <t>브랜드데이 신상 자사고객 전용 시크릿특가</t>
  </si>
  <si>
    <t>쉬즈미스 본사직영 신상! 모델 이솜 착장 울 핸드메이드 코트 139,900원 시크릿특가</t>
  </si>
  <si>
    <t>쉬즈미스 코트</t>
  </si>
  <si>
    <t>김나운 손질새우 7팩 (총 140미, 980g)</t>
  </si>
  <si>
    <t>손질새우 판매 베스트 상품</t>
  </si>
  <si>
    <t>김나운손질새우</t>
  </si>
  <si>
    <t xml:space="preserve">■ 1/20주차 브랜드데이 진행 브랜드 : 풀무원(1/20), 정관장(1/21), 이경제(1/22), 아이오페(1/23), 도로시(1/26) </t>
  </si>
  <si>
    <t>2025-01-20-월</t>
  </si>
  <si>
    <t>유아디딤대</t>
  </si>
  <si>
    <t xml:space="preserve"> [닥터린] 초임계 알티지(rTG) 오메가3 x 10박스+쇼핑백증정</t>
  </si>
  <si>
    <t>본품1박스 증정/쇼핑백 증정</t>
  </si>
  <si>
    <t>[올가] 유기농 떡국떡 500G 4개</t>
  </si>
  <si>
    <t>브랜드데이 / 명절 상품</t>
  </si>
  <si>
    <t>디얼마미</t>
  </si>
  <si>
    <t>[디얼마미] 다솔 누빔 원피스 자켓 /마담 미시 중년 여성 빅사이즈 40대 50대</t>
  </si>
  <si>
    <t>설 명절상품 / #누빔한복 #생활한복 #선물</t>
  </si>
  <si>
    <t>[디얼마미] 프리미엄 누빔 생활한복 단독특가전! 55~99사이즈까지~</t>
  </si>
  <si>
    <t>누빔생활한복</t>
  </si>
  <si>
    <t>신선</t>
  </si>
  <si>
    <t>[G][당당] 항공직수입 남독마이 태국망고 4kg(8-12과)</t>
  </si>
  <si>
    <t>생성예정</t>
  </si>
  <si>
    <t>데이셀 스컬톡스 앰플</t>
  </si>
  <si>
    <t>신세계 단독 신제품 런칭</t>
  </si>
  <si>
    <t>스컬톡스</t>
  </si>
  <si>
    <t>시글락</t>
  </si>
  <si>
    <t>오색양갱(45gx14개입)+쇼핑백</t>
  </si>
  <si>
    <t>설명절 간식선물세트 최저가</t>
  </si>
  <si>
    <t>[s][보뚜] 아후카틀 엑스트라버진 아보카도오일 250ml 3병 / 비건인증</t>
  </si>
  <si>
    <t>명절 관련 / 비노출 특가</t>
  </si>
  <si>
    <t>워모</t>
  </si>
  <si>
    <t>워모 남성화장품 세트(스킨+로션+미니2종)</t>
  </si>
  <si>
    <t>남성 선물세트 / 특가</t>
  </si>
  <si>
    <t>2025-01-21-화</t>
  </si>
  <si>
    <t>킨도 오슬림 에어 팬티형 기저귀 5단계 특대형 34매x4팩</t>
  </si>
  <si>
    <t>월중 최대 45% 할인행사 단2일간 진행</t>
  </si>
  <si>
    <t>우리아이 피부가 숨쉬는 킨도 기저귀! 대형36매X4매 4만원대!</t>
  </si>
  <si>
    <t>킨도기저귀</t>
  </si>
  <si>
    <t xml:space="preserve"> [정관장]★3+1총4세트8병★ 홍삼진고 (250g*2병) x 3세트 +쇼핑백/총4세트 </t>
  </si>
  <si>
    <t>쇼핑라이브/단독특가/쇼핑백증정</t>
  </si>
  <si>
    <t>파라다이스빌라</t>
  </si>
  <si>
    <t>파라다이스빌라 루미노스 세라믹 원목 식탁 4인용 pn603-1</t>
  </si>
  <si>
    <t>신세계 단독 특가 (베스트모음전)</t>
  </si>
  <si>
    <t>윈(une) 글리터트위드 클래식원피스</t>
  </si>
  <si>
    <t>신년모임룩/최저가 단독특가</t>
  </si>
  <si>
    <t>[2컬러/55~66] UNE 윈 신년&amp;연휴모임룩 글리터 트위드 클래식원피스 특가전</t>
  </si>
  <si>
    <t xml:space="preserve"> (S) 동원 양반 제로캔 3종 340ml 24캔 (유자/오미자/매실) </t>
  </si>
  <si>
    <t>동원 명절맞이 특가 / 디저트 음료류 함께 판매</t>
  </si>
  <si>
    <t>청담미가 호주산 LA갈비 2kg</t>
  </si>
  <si>
    <t>[동국제약/본사] 마데카크림 파워부스팅포뮬러 리야드 스페셜세트 (50ml*3개) + 사은품(1ml*10+쇼핑백)</t>
  </si>
  <si>
    <t>설선물 한정판매 리미티드에디션/쇼핑백증정</t>
  </si>
  <si>
    <t>동국제약 마데카크림 / 스페셜 선물세트 / 크림 50ml 3개+쇼핑백</t>
  </si>
  <si>
    <t>[S]네이처드림 발효홍삼 플러스 50ml 30포 1박스</t>
  </si>
  <si>
    <t>서래목장</t>
  </si>
  <si>
    <t>(G)서래목장 프리미엄 LA갈비 3kg(1.5kg+1.5kg) 선물세트</t>
  </si>
  <si>
    <t>명절 인기 축산선물세트</t>
  </si>
  <si>
    <t>[카밀] 핸드크림 미니 5종 기프트 세트 (센스프인허)</t>
  </si>
  <si>
    <t>카밀 베스트상품</t>
  </si>
  <si>
    <t>레포츠의류</t>
  </si>
  <si>
    <t>가먼트골프</t>
  </si>
  <si>
    <t>가먼트골프 여성 구스 다운 풀오픈 방풍 니트 베스트 GFKVD464</t>
  </si>
  <si>
    <t>단독특가</t>
  </si>
  <si>
    <t>2025-01-22-수</t>
  </si>
  <si>
    <t xml:space="preserve"> [S] 이경제 흑보대원 60환 쇼핑백 보자기포장 선물세트 1박스 </t>
  </si>
  <si>
    <t>단독특가/보자기선물포장(블루/핑크선택)+쇼핑백증정/구매금액별사은품증정</t>
  </si>
  <si>
    <t>미기입</t>
  </si>
  <si>
    <t>수앤진골드 뱀 골드바 24K 순금 1g</t>
  </si>
  <si>
    <t>순금시세에따라 전날 최종 행사가격 확정</t>
  </si>
  <si>
    <t xml:space="preserve">라방 행사상품 행사가격 유지 </t>
  </si>
  <si>
    <t>다니엘크레뮤</t>
  </si>
  <si>
    <t>FW 라쿤 퍼 트리밍 폴란드 구스 다운 코트</t>
  </si>
  <si>
    <t xml:space="preserve">자사 고효율 브랜드/최저가 </t>
  </si>
  <si>
    <t>[2컬러/95~110] 다니엘크레뮤 라쿤퍼 폴란드 구스다운 단독특가 94,000원!</t>
  </si>
  <si>
    <t xml:space="preserve"> (G)[사조대림] 안심특선 OA호 선물세트 </t>
  </si>
  <si>
    <t>사조 실속형 명절 선물세트</t>
  </si>
  <si>
    <t>어나더뷰</t>
  </si>
  <si>
    <t>후끈 착시 융털 기모 스타킹 겨울 레깅스 1735</t>
  </si>
  <si>
    <t>시즌 인기아이템</t>
  </si>
  <si>
    <t>[G] 제스프리 제주 골드키위 선물세트 2.2kg (20입)</t>
  </si>
  <si>
    <t>[내일도착]헤라 시그니아 워터 에멀젼 2종 기프트세트+세라믹괄사+여행용8종+마스크3매</t>
  </si>
  <si>
    <t>김소형원장</t>
  </si>
  <si>
    <t>[S]김소형원장 일품 명작 침향환3.75g*60환</t>
  </si>
  <si>
    <t>명절 선물세트 / 10%쿠폰+5%다운로드 쿠폰</t>
  </si>
  <si>
    <t>LG생활건강 프리미엄 설 선물!</t>
  </si>
  <si>
    <t>2025-01-23-목</t>
  </si>
  <si>
    <t xml:space="preserve"> [1박스 추가증정] 로엘 타블랩 히알루론산 콜라겐정 5박스(500mgx60정) / 10개월분 </t>
  </si>
  <si>
    <t>[시몬스] N32 토퍼 SS</t>
  </si>
  <si>
    <t>신세계 단독 특가 (단,하루 오늩 특가)</t>
  </si>
  <si>
    <t>[페이지플린] (기모버전추가)텐션세미와이드밴딩팬츠 P4APT033A</t>
  </si>
  <si>
    <t>시즌상품/최저가 단독특가</t>
  </si>
  <si>
    <t>[55-77] 페이지플린 겨울한파 기모 텐션 세미와이드팬츠 25,000원 단독특가</t>
  </si>
  <si>
    <t>기모팬츠</t>
  </si>
  <si>
    <t>(S) 25년 청정원 설선물세트 행복고급2호</t>
  </si>
  <si>
    <t>설선물세트 최저가 도전 특가</t>
  </si>
  <si>
    <t>(G) 하림 수비드 닭가슴살 블랙페퍼 100g 10팩</t>
  </si>
  <si>
    <t>신/명절 직후 식단관리 니즈</t>
  </si>
  <si>
    <t>레이먼킴 양념LA갈비 400g x 4팩 (호주산)</t>
  </si>
  <si>
    <t>★아이오페</t>
  </si>
  <si>
    <t>[내일도착/단독]아이오페 NEW 6세대 슈퍼바이탈 크림</t>
  </si>
  <si>
    <t>브랜드데이 대표상품/직매입 신규입고</t>
  </si>
  <si>
    <t>아이오페 NEW / 6세대 슈퍼바이탈 / 슬로우에이징 설 선물 추천</t>
  </si>
  <si>
    <t>아이오페크림</t>
  </si>
  <si>
    <t>[에델코첸] 316 청담 빛들 한수저 10인조 + 디너/디저트 4인조 세트</t>
  </si>
  <si>
    <t>주방 신규브랜드, 명절맞이 주방용품 특가</t>
  </si>
  <si>
    <t>2025-01-24-금</t>
  </si>
  <si>
    <t>몽벨</t>
  </si>
  <si>
    <t>[비노출특가] [몽벨] 양면 플리스 기모 치마 레깅스 4종세트</t>
  </si>
  <si>
    <t>항균+안정 스테인리스 쿡웨어! 에델코첸 명절맞이 특가</t>
  </si>
  <si>
    <t>[파파브로] 중년 남성 따스한 목폴라 니트 웨어 IU-KN-Q068</t>
  </si>
  <si>
    <t>[4컬러/95~102] 파파브로 따듯한 남성 목폴라니트 26,900원 단독특가!</t>
  </si>
  <si>
    <t>파파브로니트</t>
  </si>
  <si>
    <t>동서원방</t>
  </si>
  <si>
    <t>인정에프엔비</t>
  </si>
  <si>
    <t>52873527</t>
  </si>
  <si>
    <t>[G][농협안심한우] 1등급 감사정육세트 (불고기+국거리+장조림)/팩당400g/총1.2kg</t>
  </si>
  <si>
    <t>[내일도착]프리메라 유스래디언스 비타티놀세럼 21g 2입(7g+3종체험키트+선크림 증정)</t>
  </si>
  <si>
    <t>온유바이오 파인애플효소 2박스 (2개월분)</t>
  </si>
  <si>
    <t>광고비100만 명절 건강관리 / 원데이 특가 + 10% 쿠폰</t>
  </si>
  <si>
    <t>파인애플효소</t>
  </si>
  <si>
    <t>[내일도착]베네플러스 3겹 화장지 30m 30롤 1팩+1팩(총60롤 천연펄프)</t>
  </si>
  <si>
    <t>23일 코드생성</t>
  </si>
  <si>
    <t>갤럭시 S25 사전예약 쇼핑LIVE, 삼성전자 멤버십 캐쉬백 까지</t>
  </si>
  <si>
    <t>미정</t>
  </si>
  <si>
    <t>갤럭시s25예판,00시 LIVE(1년중 가장 큰행사)</t>
  </si>
  <si>
    <t>갤럭시 S25 사전예약,즉시할인 쿠폰+삼성전자 멤버십 캐쉬백 까지</t>
  </si>
  <si>
    <t>갤럭시S25</t>
  </si>
  <si>
    <t>2025-01-25-토</t>
  </si>
  <si>
    <t>직매입 빠른배송/ 겨울시즌내 재고소진 필요</t>
  </si>
  <si>
    <t>[웬디즈갤러리]또또 똑딱이 니트 조끼 OKN124</t>
  </si>
  <si>
    <t>[4컬러] 웬디즈갤러리 만능코디아이템! 똑딱이 니트 조끼 16,900원 단독특가</t>
  </si>
  <si>
    <t>니트조끼특가</t>
  </si>
  <si>
    <t xml:space="preserve"> [네이처메이드] 비타민C 구미 (620mg x 80구미) </t>
  </si>
  <si>
    <t xml:space="preserve">[카멜컬러] 모리스커밍홈 노멀 스웨이드 오버핏 자켓 7만원대 단독특가 </t>
  </si>
  <si>
    <t>[내일도착/단독]헤라 시그니아 워터 에멀젼 기프트 세트 2종</t>
  </si>
  <si>
    <t>단독구성 직매입</t>
  </si>
  <si>
    <t>헤라시그니아</t>
  </si>
  <si>
    <t>[맥퀸뉴욕] 프랑스산 콜라겐 비타 링클 멀티밤</t>
  </si>
  <si>
    <t>신세계쇼핑 특가</t>
    <phoneticPr fontId="4" type="noConversion"/>
  </si>
  <si>
    <t>크리넥스 3겹 천연펄프 데코앤소프트 화장지 34M-24롤X2팩</t>
  </si>
  <si>
    <t>도톰한3겹+천연펄프 크리넥스 화장지 총48롤 3만원대 특가</t>
  </si>
  <si>
    <t>lg생활건강</t>
  </si>
  <si>
    <t>리튠 다이어트 에스카페 (14포, 7일분)</t>
  </si>
  <si>
    <t xml:space="preserve">하루2잔, 다이어트 </t>
  </si>
  <si>
    <t>리튠 다이어트</t>
  </si>
  <si>
    <t>2025-01-26-일</t>
  </si>
  <si>
    <t>도로시 14K 랩 다이아몬드 이터니티 밴드 반지(1.4mm)</t>
  </si>
  <si>
    <t>도로시 18K/14K 랩다이아 주얼리 8만원대부터~무이자 최대 12개월까지! 전 구매고객 실버 팔찌 사은품 증정</t>
  </si>
  <si>
    <t>[모리스커밍홈] 볼륨 퍼프소매 폴라넥 티셔츠_M2410TS120C</t>
  </si>
  <si>
    <t>[3컬러] 모리스커밍홈 만능이너 아이템! 퍼프소매 폴라티셔츠 14,300원 단독특가</t>
  </si>
  <si>
    <t>폴라티셔츠</t>
  </si>
  <si>
    <t>[S] [쇼핑백] NEW 하이뮨 프로틴 밸런스 3캔 (전용 스푼 + 보틀 증정)</t>
  </si>
  <si>
    <t>전용스푼+보틀증정/온라인최저가</t>
  </si>
  <si>
    <t>우르오스 올인원 모이스처라이저 60ml</t>
  </si>
  <si>
    <t>남성 올인원 대표제품</t>
  </si>
  <si>
    <t>다이어트 유산균 듀얼 락토슬림 (30정, 30일분)</t>
  </si>
  <si>
    <t>다이어트 유산균</t>
  </si>
  <si>
    <t>■ 1/27주차 브랜드데이 진행 브랜드 : 막스마라(1/28), PN풍년(1/29), 한국금거래소(1/30), 바이탈뷰티(1/31), 베네플러스(2/1), 뱅뱅(2/2)</t>
  </si>
  <si>
    <t>2025-01-27-월</t>
  </si>
  <si>
    <t>내셔널지오그래픽 N235ASU312 메이트 캐리어 20형 3종택1</t>
  </si>
  <si>
    <t>1회 무료교환반품+사은품 추가 증정</t>
  </si>
  <si>
    <t>내셔널지오그래픽 여행용캐리어 최대 15% 즉시할인+무료교환반품+사은품 증정</t>
  </si>
  <si>
    <t>하남쭈꾸미</t>
  </si>
  <si>
    <t>하남쭈꾸미 500g X 5팩</t>
  </si>
  <si>
    <t>2월부터 행사가 인상 이슈 (1월 마지막 행사가)</t>
  </si>
  <si>
    <t>건국유업</t>
  </si>
  <si>
    <t>46939632</t>
  </si>
  <si>
    <t>[건국유업] 체지방 다이어트 녹차카테킨 60정x5개(5개월)</t>
  </si>
  <si>
    <t>건강식품 다이어트</t>
  </si>
  <si>
    <t>체지방 다이어트</t>
  </si>
  <si>
    <t>맛있는녀석들</t>
  </si>
  <si>
    <t>맛있는녀석들 묵은지 돼지 김치찜 1480g</t>
  </si>
  <si>
    <t>[내일도착/단독]헤라 NEW 리플렉션 스킨 글로우 쿠션  기획세트(본품15g+리필15g)</t>
  </si>
  <si>
    <t>직매입 신규입고/단독구성</t>
  </si>
  <si>
    <t xml:space="preserve">헤라 NEW글로우쿠션 / 코스메틱백+아이섀도 / 연휴 한정 15% 반짝쿠폰 </t>
  </si>
  <si>
    <t>헤라글로우쿠션</t>
  </si>
  <si>
    <t>루시앙 기모 골지 니트 6종 택1 (SD10966)</t>
  </si>
  <si>
    <t>초특가 후킹아이템</t>
  </si>
  <si>
    <t>[5컬러/55~99] 한정수량! 루시앙 기모골지니트 2,000원 무료배송 초특가</t>
  </si>
  <si>
    <t>기모티2천원</t>
  </si>
  <si>
    <t>비타민마을 100만역가수치 이탈리안 파로 곡물 발효효소 100 골드 4박스 총120포</t>
  </si>
  <si>
    <t>2025-01-28-화</t>
  </si>
  <si>
    <t>매일 바나나는 원래 하얗다 190ml 48팩</t>
  </si>
  <si>
    <t>60062261</t>
  </si>
  <si>
    <t>관절 엔 탑 소연골 뮤코다당단백 콘드로이친 1200 120정x1개(2개월)</t>
  </si>
  <si>
    <t>자사 특가</t>
    <phoneticPr fontId="4" type="noConversion"/>
  </si>
  <si>
    <t>체지방 다이어트</t>
    <phoneticPr fontId="4" type="noConversion"/>
  </si>
  <si>
    <t>간편한 새치 커버 / 려 헤어쿠션 / 1만원대 무료배송</t>
  </si>
  <si>
    <t>뱅뱅</t>
  </si>
  <si>
    <t>무료배송 협의중</t>
  </si>
  <si>
    <t xml:space="preserve">뱅뱅 남녀공용 경량 구스다운 베스트 15,900원 단독특가! </t>
  </si>
  <si>
    <t>뱅뱅다운조끼</t>
  </si>
  <si>
    <t>[빠른배송] 이경제 흑염소진액 眞 3박스 (70ml*30포* 3박스, 총 90포)</t>
  </si>
  <si>
    <t>직매입 고효율 상품</t>
  </si>
  <si>
    <t>2025-01-29-수</t>
  </si>
  <si>
    <t>한국금거래소 순금 선물 골드바 0.2g</t>
  </si>
  <si>
    <t>순금 시세반영으로 전날 최종가 확정</t>
  </si>
  <si>
    <t>설연휴 순금매출 상승 시기</t>
  </si>
  <si>
    <t>쿠쿠 CRP-ST1010FW 10인용 트윈프레셔 전기압력밥솥 공식판매점 SJ</t>
  </si>
  <si>
    <r>
      <rPr>
        <sz val="10"/>
        <color rgb="FF000000"/>
        <rFont val="Malgun Gothic"/>
        <family val="3"/>
        <charset val="129"/>
      </rPr>
      <t>설연휴, 밥솥 매출 성수기</t>
    </r>
    <r>
      <rPr>
        <sz val="10"/>
        <color rgb="FFFF0000"/>
        <rFont val="Malgun Gothic"/>
        <family val="3"/>
        <charset val="129"/>
      </rPr>
      <t>(광고비예정, 상단요청)</t>
    </r>
  </si>
  <si>
    <t>쿠쿠전자, 설연휴 최저가 특가, 베스트셀러 밥솥 총 집합!</t>
  </si>
  <si>
    <t>쿠쿠밥솥</t>
  </si>
  <si>
    <t>PN풍년(브랜드데이)</t>
  </si>
  <si>
    <t>조성아</t>
  </si>
  <si>
    <t>[내일도착]조성아 코코밀크크림(톤업/안색보정/자외선차단 SPF50+)50g 3개+여행용 5매</t>
  </si>
  <si>
    <t>통합매입/재고소진 必</t>
  </si>
  <si>
    <t>조성아 톤업크림</t>
  </si>
  <si>
    <t>슈퍼 비타민C 3000 90포 3박스 총 9개월분</t>
  </si>
  <si>
    <t>1박스 3천원대, 비타민 특가</t>
    <phoneticPr fontId="4" type="noConversion"/>
  </si>
  <si>
    <t>슈퍼 비타민C</t>
  </si>
  <si>
    <t>캄포미니 3인소파 아이보리</t>
  </si>
  <si>
    <t>브룩스힐</t>
  </si>
  <si>
    <t>[브룩스힐][1종] 남성)마르스 레이어드 셔츠</t>
  </si>
  <si>
    <t>판매호조 상품 추가인하</t>
  </si>
  <si>
    <t>[4컬러/95~105] 브룩스힐 남성 레이어드 셔츠 7,500원 단독특가</t>
  </si>
  <si>
    <t>셔츠7,500원</t>
  </si>
  <si>
    <t>[내일도착] 에치와이 야쿠르트 프리바이오틱스 2통 (4개월분)</t>
  </si>
  <si>
    <t>직매입 온라인최저가</t>
  </si>
  <si>
    <t>2025-01-30-목</t>
  </si>
  <si>
    <t>한국금거래소 골드바 18.75g [순금24k]</t>
  </si>
  <si>
    <t>로얄코나</t>
  </si>
  <si>
    <t>로얄코나커피 10 블렌드 마운틴 로스트 그라운드 커피 226g 1개</t>
  </si>
  <si>
    <t xml:space="preserve">하루 특가 </t>
  </si>
  <si>
    <t>[보뚜] 크릴오일 56 30캡슐 x 3박스</t>
  </si>
  <si>
    <t>단 하루 특가</t>
  </si>
  <si>
    <t>카밀 퍼퓨머리 핸드앤네일 크림 듀이 아르테미시아 50ml</t>
  </si>
  <si>
    <t>카밀 신제품 출시</t>
  </si>
  <si>
    <t>카밀 핸드크림</t>
    <phoneticPr fontId="4" type="noConversion"/>
  </si>
  <si>
    <t>[스마트팩] D2178A. 뷰티레스트 자스민. 라지킹 침대+협탁 101</t>
  </si>
  <si>
    <t>호주산 양모 무스탕 하프 숏 코트 5종 택1</t>
  </si>
  <si>
    <t>시즌상품 단독특가</t>
  </si>
  <si>
    <t>[5컬러/55~88] 리오벨 호주산 양모 숏 무스탕 단독특가전</t>
  </si>
  <si>
    <t>양모숏무스탕</t>
  </si>
  <si>
    <t>[내일도착]내츄럴플러스 포스파티딜세린 징코 브레인 60캡슐 3박스 / 비타민E 아연</t>
  </si>
  <si>
    <t>스너글 섬유탈취제 470ml x 2개 (6종 선택)</t>
  </si>
  <si>
    <t>2025-01-31-금</t>
  </si>
  <si>
    <t>[온유바이오] 100% 효소식품 국내산 15가지 곡물발효효소 릴리프 누릉지맛 2박스(2개월분)</t>
  </si>
  <si>
    <t>명절 건강관리</t>
  </si>
  <si>
    <t>곡물발효효소</t>
  </si>
  <si>
    <t>이쌀이다</t>
  </si>
  <si>
    <t>[이쌀이다] 24년 햅쌀 옥향미 특등급 10kg</t>
  </si>
  <si>
    <t>[웬디즈갤러리]엘리 후드 집업 니트 조끼 LKN121</t>
  </si>
  <si>
    <t>자사 판매호조 상품 / 추가인하</t>
  </si>
  <si>
    <t>[4컬러] 웬디즈갤러리 후드집업 니트조끼 21,500원 단독특가!</t>
  </si>
  <si>
    <t>니트후드집업</t>
  </si>
  <si>
    <t>바이탈뷰티 메타그린 슬림업 60일 리필</t>
  </si>
  <si>
    <t>다이어트건식 시즌품목/브랜드패키지</t>
  </si>
  <si>
    <t>[내일도착]베네플러스 물티슈 100매 10팩 (캡형/50gsm)</t>
  </si>
  <si>
    <t>빠른무료배송</t>
  </si>
  <si>
    <t>연휴 중 내일도착 배송 가능 품목</t>
  </si>
  <si>
    <t>2025-02-01-토</t>
    <phoneticPr fontId="4" type="noConversion"/>
  </si>
  <si>
    <t>뿌리알찬</t>
  </si>
  <si>
    <t>뿌리알찬 유기농 양배추 브로콜리즙 1박스(90ml*30포)</t>
  </si>
  <si>
    <t>브로콜리즙</t>
  </si>
  <si>
    <t>마데카프라임</t>
  </si>
  <si>
    <t>[본사직영] 마데카 프라임 리추얼 화이트펄 + 릴렉싱 핏 페이스 부스팅 크림 150ml</t>
  </si>
  <si>
    <t>광고비진행/육성브랜드</t>
  </si>
  <si>
    <t>프리미엄 괄사 디바이스 / 마데카프라임 리추얼 / 부스팅크림+본품 증정</t>
  </si>
  <si>
    <t>포항 구룡포 손질 과메기 10마리 20쪽+야채세트</t>
  </si>
  <si>
    <t>[아가타] 신상 겨울철 여자 장갑 2종</t>
  </si>
  <si>
    <t>FW FAUX 스웨이드 구스 다운 점퍼</t>
  </si>
  <si>
    <t>자사 판매호조 상품</t>
  </si>
  <si>
    <t>다니엘크레뮤 스웨이드 구스다운점퍼 37,000원 단독특가+무료배송 혜택~</t>
  </si>
  <si>
    <t>스웨이드점퍼</t>
  </si>
  <si>
    <t>햇반 현미귀리곤약밥 150GX12개</t>
  </si>
  <si>
    <t xml:space="preserve">명절직후 다이어트 수요 </t>
  </si>
  <si>
    <t>곤약밥으로 보다 가벼운 한끼</t>
  </si>
  <si>
    <t>고마진 직매입 상품</t>
  </si>
  <si>
    <t>먼지없고, 재구매율 높은! 천연펄프 3겹화장지60롤 2만원대!</t>
  </si>
  <si>
    <t>2025-02-02-일</t>
    <phoneticPr fontId="4" type="noConversion"/>
  </si>
  <si>
    <t>가이거</t>
  </si>
  <si>
    <t>가이거 슈톰프(Strumpf) 부츠</t>
  </si>
  <si>
    <t>퍼실 라벤더 듀얼(드럼/일반 겸용) 2.7L x2개</t>
  </si>
  <si>
    <t>리튠</t>
    <phoneticPr fontId="4" type="noConversion"/>
  </si>
  <si>
    <t>리튠 간 건강 리버 (30정, 30일분)</t>
  </si>
  <si>
    <t>리튠 간 건강</t>
  </si>
  <si>
    <t>[김정문알로에] 큐어 알로에 젤리 마스크팩 시즌4 (30매)</t>
  </si>
  <si>
    <t>김정문알로에 / 젤리마스크팩 30매 / 1매 당 880원대 특가 찬스</t>
  </si>
  <si>
    <t>몽테이블</t>
  </si>
  <si>
    <t>[몽테이블]스마일 양념돼지 칼집구이 800g</t>
  </si>
  <si>
    <t>[뱅뱅] 여성 슬림핏 본딩 기모데님 검정</t>
  </si>
  <si>
    <t>뱅뱅 캐주얼/기모/데님팬츠 남녀팬츠 1만원대 무료배송 특별혜택~</t>
  </si>
  <si>
    <t>뱅뱅데님팬츠</t>
  </si>
  <si>
    <t>[S] NEW 하이뮨 프로틴 밸런스 (304g) 10캔 (전용 스푼+보틀)</t>
  </si>
  <si>
    <t>홈쇼핑동시진행품목 온라인최저가</t>
  </si>
  <si>
    <t>[복음자리] 생강차 1+1 국내산생강</t>
  </si>
  <si>
    <t xml:space="preserve">시즌상품 / 환절기 </t>
  </si>
  <si>
    <t>■ 2/3주차 브랜드데이 진행 브랜드 : 페이지플린/시몬스 (2/3), 자주 (2/4), 보니스팍스/에싸 (2/5), 한국금거래소 (2/6), 달바/AHC 외 (2/7), 대동모피/리오벨 외 (2/8), 삼성전자 (2/9)</t>
  </si>
  <si>
    <t>2025-02-03-월</t>
    <phoneticPr fontId="4" type="noConversion"/>
  </si>
  <si>
    <t>올바른 유기농 레몬즙 착즙 100 14포 10박스 (총 140포)</t>
  </si>
  <si>
    <t>★ 광고비 100만 ,원데이 행사 , 최저가! 2천원쿠폰</t>
  </si>
  <si>
    <t>레몬즙 최저가</t>
  </si>
  <si>
    <t>100 &gt;&gt;</t>
    <phoneticPr fontId="4" type="noConversion"/>
  </si>
  <si>
    <t xml:space="preserve">전고객요청 _ 별도 요청드렸습니다 </t>
  </si>
  <si>
    <t>팝업/홈2(오후)</t>
  </si>
  <si>
    <t>[스마트팩] D2178A. 뷰티레스트 자스민. 슈퍼싱글 침대+협탁 101</t>
  </si>
  <si>
    <t>[지센] (2컬러) 캐시미어 니트카라 롱 코트 LCLCNA27</t>
  </si>
  <si>
    <t>[2컬러/90~100] 지센 뮤즈 설인아 착장! 캐시미어 니트카라 롱 코트 단독특가!</t>
  </si>
  <si>
    <t>캐시미어코트</t>
  </si>
  <si>
    <t>[내일도착/단독] 아이오페 NEW 6세대 슈퍼바이탈 크림 세트(여행용14종+핸드크림)</t>
  </si>
  <si>
    <t>[풀무원] 아임리얼 100 고농축 블루베리, 토마토 8개 골라담기 (120mlx4개, 8개)</t>
  </si>
  <si>
    <t>신상품 런칭</t>
  </si>
  <si>
    <t>팝업/홈1(오전)</t>
  </si>
  <si>
    <t>페이지플린 14K 하트 패던 반지(GoldPlated)</t>
  </si>
  <si>
    <t>브랜드데이/ 모바일라이브 진행</t>
  </si>
  <si>
    <t>페이지플린 주얼리 8,900원~ 전상품 무료배송+전구매고객 PVC 케이스 증정</t>
  </si>
  <si>
    <t>2025-02-04-화</t>
    <phoneticPr fontId="4" type="noConversion"/>
  </si>
  <si>
    <t>[JAJU/자주] 남/여 플란넬 파자마 세트 13종택1</t>
  </si>
  <si>
    <t>래포츠</t>
  </si>
  <si>
    <t>[DENNIS] 남성 24FW신상 뜨끈 보아퍼 패딩점퍼_FAPWMPD206</t>
  </si>
  <si>
    <t>신라쇼 특가</t>
  </si>
  <si>
    <t>깨끗한나라 순수 프리미엄 듀얼소프트 3겹 화장지 27m 30롤x2팩</t>
  </si>
  <si>
    <t>55021791</t>
  </si>
  <si>
    <t>[유한메디카] 루테인 엔 탑 눈건강 케어 60캡슐x2개(4개월분)</t>
  </si>
  <si>
    <t>루테인 눈건강</t>
  </si>
  <si>
    <t>아떼</t>
  </si>
  <si>
    <t>아떼 바이탈 에이 프라임 레티놀 앰플 스페셜 세트</t>
  </si>
  <si>
    <t xml:space="preserve">★ 신규브랜드 </t>
  </si>
  <si>
    <t>아떼 엠플 세트</t>
  </si>
  <si>
    <t>GNM</t>
  </si>
  <si>
    <t>[조정석 멀티비타민+밀크씨슬+루테인+알티지오메가3] GNM 올인원 뉴트리션 2박스</t>
  </si>
  <si>
    <t>[루미루나]후드레이어드퀼팅점퍼</t>
  </si>
  <si>
    <t>초특가 후킹상품</t>
  </si>
  <si>
    <t>[55~66사이즈] 루미루나 후드 레이어드 블랙 퀼팅점퍼 9,500원 초특가+무료배송</t>
  </si>
  <si>
    <t>퀼팅점퍼특가</t>
  </si>
  <si>
    <t>(G)원팩쿠캣 고기폭탄 육개장 500g X 5팩</t>
  </si>
  <si>
    <t>2025-02-05-수</t>
    <phoneticPr fontId="4" type="noConversion"/>
  </si>
  <si>
    <t>[푸마] 남여 슬림핏 스탠다드 긴팔 기모 베이스 레이어 1종 택일</t>
  </si>
  <si>
    <t>선크림 1+1+1 8천원대+무료배송</t>
  </si>
  <si>
    <t>선크림 3개 특가</t>
  </si>
  <si>
    <t>토레스 3.5인 스윙기능 카시미라 패브릭 소파+스툴</t>
  </si>
  <si>
    <t>[닥터린] 유해균 억제 질유산균 인케어 x 2박스+쇼핑백</t>
  </si>
  <si>
    <t>단독특가+사은품증정 구성</t>
  </si>
  <si>
    <t>[내일도착/단독]헤라 NEW 센슈얼 누드 밤 3.5g(립트리트먼트+미니립)</t>
  </si>
  <si>
    <t>헤라누드밤</t>
  </si>
  <si>
    <t>만다리나덕 스퀘어 크로스백 VCT31</t>
  </si>
  <si>
    <t>2/4 라방 진행 후 행사가격 단독 유지</t>
  </si>
  <si>
    <t>만다리나덕 신규 입점 기념 백+여행용캐리어 특가전! 8만원대부터~</t>
  </si>
  <si>
    <t>만다리나덕 백</t>
  </si>
  <si>
    <t>[보니스팍스](본사직영)후드 핸드메이드 숏 자켓-BB41HC060</t>
  </si>
  <si>
    <t xml:space="preserve">[2컬러/55~66] 보니스팍스 본사직영 후드 핸드메이드 숏자켓 4만원대 단독특가! </t>
  </si>
  <si>
    <t>후드숏자켓</t>
  </si>
  <si>
    <t>국내산찹쌀 소소락 쑥개떡 1kg (50g 20개)</t>
  </si>
  <si>
    <t>가벼운 간식</t>
  </si>
  <si>
    <t>2025-02-06-목</t>
    <phoneticPr fontId="4" type="noConversion"/>
  </si>
  <si>
    <t>[블랙야크] 여성 M아치 집업 기모 티셔츠2 1BYTSW2504MA</t>
  </si>
  <si>
    <t>피죤 섬유유연제 2.5L 용기 x 4개</t>
  </si>
  <si>
    <t>빅브랜드 재입점 -&gt; 육성 필수 브랜드</t>
  </si>
  <si>
    <t>온유바이오</t>
  </si>
  <si>
    <t>[온유바이오] 온유로케어 HACPP인증 소연골 100% 함유 콘드로이친 1200 맥스 2박스(총4개월분)/온유약국 배합</t>
  </si>
  <si>
    <t>콘드로이친 툭가</t>
  </si>
  <si>
    <t>내츄럴플러스 차태현 프로폴리스 아연 1000 180캡슐 2병(12개월분) / 플라보노이드</t>
  </si>
  <si>
    <t>KARRA 카라</t>
  </si>
  <si>
    <t>KARRA (77까지)포켓와이드스커트팬츠A3F0413</t>
  </si>
  <si>
    <t>타몰베스트 상품 특가협의</t>
  </si>
  <si>
    <t>[2컬러/55~77] KARRA 카라 포켓와이드 스커트팬츠 22,900원 특가!</t>
  </si>
  <si>
    <t>와이드팬츠</t>
  </si>
  <si>
    <t>(생성전)</t>
  </si>
  <si>
    <t>하림 무뼈닭발 4팩</t>
  </si>
  <si>
    <t>한국금거래소 순금 금신령 골드바 0.5g (고급 케이스)</t>
  </si>
  <si>
    <t>순금 시세 반영에 따라 전날 최종 행사가 가격 확정</t>
  </si>
  <si>
    <t>한국금거래소 24K 순금 골드바/주얼리 10만원대부터~ 무이자 최대 12개월 혜택!</t>
  </si>
  <si>
    <t>한국금거래소 골드바</t>
  </si>
  <si>
    <t>2025-02-07-금</t>
    <phoneticPr fontId="4" type="noConversion"/>
  </si>
  <si>
    <t>46939726</t>
  </si>
  <si>
    <t>[건국유업] 탄수화물 다이어트 가르시니아 60정x3개(3개월)</t>
  </si>
  <si>
    <t>건강 다이어트</t>
  </si>
  <si>
    <t>안정환 관절연골엔 우슬조인트100 60정 2개월분</t>
  </si>
  <si>
    <t>온라인최저가</t>
  </si>
  <si>
    <t>아날도바시니</t>
  </si>
  <si>
    <t>(아날도바시니) 양털 배색 숏 덕다운 패딩 (AV11PD02M)</t>
  </si>
  <si>
    <t>[2컬러/90~95] 아날도바시니 양털 배색 숏 덕다운패딩 3만원대 특가!</t>
  </si>
  <si>
    <t>숏덕다운패딩</t>
  </si>
  <si>
    <t xml:space="preserve">	72842802</t>
  </si>
  <si>
    <t>[보라티알] 데체코 엑스트라버진 올리브오일 1L x1병 +(증정)레드페스토 200g x1병</t>
  </si>
  <si>
    <t>바다원</t>
  </si>
  <si>
    <t>[바다원] 반건조 오징어 10미 (750g내외)</t>
  </si>
  <si>
    <t>360세트 온라인최저가 특가</t>
  </si>
  <si>
    <t>[최신상] AHC 아이크림 시즌13 라인타이트닝 40ml 8개+12ml 3개+샘플 2개</t>
  </si>
  <si>
    <t>원데이 단독특가</t>
  </si>
  <si>
    <t>AHC 아이크림 / 8개가 79,900원!</t>
  </si>
  <si>
    <t>ahc 아이크림</t>
  </si>
  <si>
    <t>2025-02-08-토</t>
    <phoneticPr fontId="4" type="noConversion"/>
  </si>
  <si>
    <t>[S]네이처드림 프로테오글리칸 연어코연골 콘드로이친 500mg 30정 2박스</t>
  </si>
  <si>
    <t>비노출특가, 2세트 구매시 1세트 추가</t>
  </si>
  <si>
    <t>콘드로이친특가</t>
    <phoneticPr fontId="4" type="noConversion"/>
  </si>
  <si>
    <t>[시크릿특가]3CE GLOW CUSHION 글로우 쿠션</t>
  </si>
  <si>
    <t>3CE쿠션</t>
  </si>
  <si>
    <t>케이시박 Faux 밍크 케이프 반후드 재킷</t>
  </si>
  <si>
    <t>[4컬러/55~77] 리오벨 Faux 밍크 케이프 반후드 재킷 63,000원 단독특가!</t>
  </si>
  <si>
    <t>케이프자켓</t>
  </si>
  <si>
    <t>글라스락 클래식 옐로우에디션 원형 도어포켓 720ml 4조 세트</t>
  </si>
  <si>
    <t>2025-02-09-일</t>
    <phoneticPr fontId="4" type="noConversion"/>
  </si>
  <si>
    <t>리튠 눈건강 비타민A 츄어블 (60정, 60일분)</t>
  </si>
  <si>
    <t>루테인 눈건강</t>
    <phoneticPr fontId="4" type="noConversion"/>
  </si>
  <si>
    <t>★신세계단독★ 이누스 욕실리모델링 패키지 컴포트스톤 (공용/거실)</t>
  </si>
  <si>
    <t>GNM 맥주효모 비오틴 비타민B 1,000mg 90정 x 3병 / 검은콩 분말</t>
  </si>
  <si>
    <t>패션그룹형지</t>
  </si>
  <si>
    <t>상품등록중</t>
  </si>
  <si>
    <t>헤비/경량아우터 최종 클리어런스 다운패딩 3만원대~</t>
  </si>
  <si>
    <t>아우터특가전</t>
  </si>
  <si>
    <t>단독/직매입 빠른배송 상품</t>
  </si>
  <si>
    <t xml:space="preserve">오늘주문하면 내일도착! 메트로시티 캐시미어 100% 머플러 49,000원 무료배송! </t>
  </si>
  <si>
    <t>메트로시티 머플러</t>
  </si>
  <si>
    <t>[A급 공기계] 삼성 갤럭시 S21 울트라 256GB 3사 통신사 호환</t>
  </si>
  <si>
    <t>가성비 리퍼템 원데이 최저특가</t>
  </si>
  <si>
    <t>삼상전자 리퍼템/전품목 15%할인</t>
  </si>
  <si>
    <t>[내일도착] 햇반 36입</t>
  </si>
  <si>
    <t>직매입 상품</t>
  </si>
  <si>
    <t>■ 2/10주차 브랜드데이 진행 브랜드 : 애플 (2/10), 동국제약 (2/11), 이경제 (2/12), MCM (2/13), 호카/나이키/아디다스 외(2/14), K2 (2/15), 올리비아로렌/PAT/지센 (2/16)</t>
  </si>
  <si>
    <t>2025-02-10-월</t>
    <phoneticPr fontId="4" type="noConversion"/>
  </si>
  <si>
    <t>풀무원녹즙 매일배송 케일사과 4주분(월-금) 총20병</t>
  </si>
  <si>
    <t>쇼핑라이브 진행- 온라인최저가혜택+10%적립금</t>
  </si>
  <si>
    <t>매일챙기는 건강한습관 풀무원녹즙 매일배송 케일사과 4주분 총20병 41,600원+10%적립혜택까지</t>
  </si>
  <si>
    <t>[비앤비골드] 14K 큐티 세마리 물고기 반지 NPR28503</t>
  </si>
  <si>
    <t>신규입점+발렌타인데이 맞이 행사</t>
  </si>
  <si>
    <t>전 구매고객 초콜릿+초콜릿 기프트박스 증정</t>
  </si>
  <si>
    <t>내셔널지오그래픽 N241UDW920 베리 경량 덕다운 점퍼 IVORY</t>
  </si>
  <si>
    <t>롯데웰푸드</t>
  </si>
  <si>
    <t>프리미엄 가나(마카다미아63g+헤이즐넛63g+랑드샤 쇼콜라+랑드샤 모카프레소)</t>
  </si>
  <si>
    <t>발렌타인데이 맞이 행사</t>
  </si>
  <si>
    <t>발렌타인데이 행사</t>
  </si>
  <si>
    <t>람브레타 트랙수트 3종 SET (상의+하의+모크넥TS) 남녀 택1</t>
  </si>
  <si>
    <t>온라인 최저가 3종세트 2만원대</t>
  </si>
  <si>
    <t>[4컬러/95~110] 남녀 3종 트랙수트 27,500원+무료배송 단독특가!</t>
  </si>
  <si>
    <t>3종트랙수트</t>
  </si>
  <si>
    <t>을지대학교</t>
  </si>
  <si>
    <t>생유산균 4개월분</t>
  </si>
  <si>
    <t>[카밀] 핸드크림 미니 3종 기프트 세트</t>
  </si>
  <si>
    <t>발렌타인 미니 선물세트, 5천원대 무료배송</t>
  </si>
  <si>
    <t>핸드크림 세트</t>
  </si>
  <si>
    <t>아이폰 12 미니 자급제 화이트 256GB 미개봉 새상품</t>
  </si>
  <si>
    <t>가성비프로젝트 애플 리퍼템 특가</t>
  </si>
  <si>
    <t>애플 아이폰12 256g 579,000원</t>
  </si>
  <si>
    <t>아이폰12</t>
  </si>
  <si>
    <t xml:space="preserve"> (S) 동원 샘물 무라벨 생수 2L 18병[6병x3팩] </t>
  </si>
  <si>
    <t xml:space="preserve">쟁여두면 든든한 가격! 동원샘물 </t>
  </si>
  <si>
    <t>동원샘물</t>
  </si>
  <si>
    <t>2025-02-11-화</t>
    <phoneticPr fontId="4" type="noConversion"/>
  </si>
  <si>
    <t xml:space="preserve"> 로엘 팅글 곤약젤리 13가지맛 50팩 모음 </t>
  </si>
  <si>
    <t>새해 건강한 다이어트간식, 당류0% 13가지맛 50팩 골라담기 초특가찬스!</t>
  </si>
  <si>
    <t>오리온 닥터유 제주용암수 2.0L x 24pet 유무라벨 선택</t>
  </si>
  <si>
    <t>라이브연계 진행</t>
  </si>
  <si>
    <t>★동국제약</t>
  </si>
  <si>
    <t>[본사직영] 마데카 아미노산 폼클렌징 40g 2개 /여행용 휴대용 소용량</t>
  </si>
  <si>
    <t>브랜드데이 대표상품</t>
  </si>
  <si>
    <t>센텔리안24 / 마데카 폼클렌징 / 2개 7,900원 무료배송</t>
  </si>
  <si>
    <t>마데카폼클렌징</t>
  </si>
  <si>
    <t>셔링 타이넥 블라우스_TWWBLO72010</t>
  </si>
  <si>
    <t>온라인 최저가 / 봄시즌</t>
  </si>
  <si>
    <t>[6컬러/55~77] LIST 리스트 본사 봄 셔링 타이넥 블라우스 3만원대 특가!</t>
  </si>
  <si>
    <t>타이블라우스</t>
  </si>
  <si>
    <t>올바른 파인애플 효소 90포 3박스 9개월분 브로멜라인</t>
  </si>
  <si>
    <t>최저가 운영, 파인애플 효소, 맛 ↑ 1일 1포</t>
  </si>
  <si>
    <t>파인애플 효소</t>
  </si>
  <si>
    <t>(1+1+1행사) 리르 룩스 리퀴드 타투 아이라이너</t>
  </si>
  <si>
    <t>아이라이너 1+1+1</t>
  </si>
  <si>
    <t>망고 시즌 최저가</t>
  </si>
  <si>
    <t>깨끗한나라 순수 프리미엄 더 클래스 30m 30롤x2팩+키친타올</t>
  </si>
  <si>
    <t>시장 인기브랜드 주력상품 특가</t>
  </si>
  <si>
    <t>2025-02-12-수</t>
    <phoneticPr fontId="4" type="noConversion"/>
  </si>
  <si>
    <t>이경제 흑염소진액 진  70ml 90포</t>
  </si>
  <si>
    <t>온라인최저가+브랜드패키지</t>
  </si>
  <si>
    <t xml:space="preserve">202501172034					</t>
  </si>
  <si>
    <t>갤럭시 S25 시리즈 / 갤럭시북4 프로</t>
  </si>
  <si>
    <t>쇼핑라이브 시너지(12수 , 19시 LIVE)</t>
  </si>
  <si>
    <t>끼리 리얼 스틱 치즈케익 3종 세트 / 총15개</t>
  </si>
  <si>
    <t>발렌타인데이 타겟 디저트상품 특가</t>
  </si>
  <si>
    <t>직매입 재고 소진</t>
  </si>
  <si>
    <t>벨티드 버튼업 원피스_SWWOPO31020</t>
  </si>
  <si>
    <t>[2컬러/55-77] 쉬즈미스 본사 벨티드 버튼업 원피스 단독특가</t>
  </si>
  <si>
    <t>쉬즈미스원피스</t>
  </si>
  <si>
    <t>리튠</t>
  </si>
  <si>
    <t>배변건강 프리바이오틱스 (30포, 30일분)</t>
  </si>
  <si>
    <t>배변 건강 추천</t>
  </si>
  <si>
    <t>알페신 카페인 샴푸 C1 (모발 강화) 375ml x2</t>
  </si>
  <si>
    <t>브랜드위크 진행</t>
  </si>
  <si>
    <t>모발 강화 샴푸</t>
  </si>
  <si>
    <t>[자연맛남] 24년수확 해남 꿀고구마 5kg (중상/60-100g)</t>
  </si>
  <si>
    <t>[CJ] 비비고 한우사골곰탕500G X 10개</t>
  </si>
  <si>
    <t>원데이특가</t>
  </si>
  <si>
    <t xml:space="preserve">한우사골곰탕 특가 </t>
  </si>
  <si>
    <t>생활(주방)</t>
  </si>
  <si>
    <t>수입주방용품(일론)</t>
  </si>
  <si>
    <t>스타우브 꼬꼬떼 원형냄비 화이트트러플 18cm</t>
  </si>
  <si>
    <t>수입주방용품 연합전</t>
  </si>
  <si>
    <t>2025-02-13-목</t>
    <phoneticPr fontId="4" type="noConversion"/>
  </si>
  <si>
    <t>[MCM] 앱스트랙트 모노그램 쁘띠 실크 스카프 MEFESMM05E3</t>
  </si>
  <si>
    <t>전상품 10% 즉시할인+행사카드 5%즉시할인+쇼핑백 증정</t>
  </si>
  <si>
    <t>GNM 맥주효모 비오틴 비타민B 1,000mg 90정 x 3병</t>
  </si>
  <si>
    <t>맥주효모 비오틴 비타민B 1,000mg(1일권장랑 1000%) 90정 x 3병 2만원대특가</t>
  </si>
  <si>
    <t>조선호텔</t>
  </si>
  <si>
    <t>조선호텔 애플파이 3개입*3팩</t>
  </si>
  <si>
    <t>조선호텔 베이커리 신제품 단독특가 행사</t>
  </si>
  <si>
    <t>쿠쿠</t>
  </si>
  <si>
    <r>
      <rPr>
        <sz val="10"/>
        <color rgb="FF000000"/>
        <rFont val="Malgun Gothic"/>
        <family val="3"/>
        <charset val="129"/>
      </rPr>
      <t>쿠쿠 CRP-ST1010FW 10인용 트윈프레셔 전기압력밥솥 공식판매점 SJ(</t>
    </r>
    <r>
      <rPr>
        <sz val="10"/>
        <color rgb="FFFF0000"/>
        <rFont val="Malgun Gothic"/>
        <family val="3"/>
        <charset val="129"/>
      </rPr>
      <t>상단요청, 광고비 확정)</t>
    </r>
  </si>
  <si>
    <t>쿠쿠전자 광고비 수주(70 확정)+최저가</t>
  </si>
  <si>
    <t>쿠쿠전자 트윈프레셔, BEST 밥솥 신세계 최저가</t>
  </si>
  <si>
    <t>(G) 하림 치킨너겟 1KG + 팝콘치킨 1KG</t>
  </si>
  <si>
    <t xml:space="preserve">라이브연계 </t>
  </si>
  <si>
    <t>하림 너겟</t>
  </si>
  <si>
    <t>[김정문알로에] 큐어 콜라겐 세럼 2개</t>
  </si>
  <si>
    <t>광고비 100만</t>
  </si>
  <si>
    <t>김정문알로에 콜라겐 세럼 2개 1만원대</t>
  </si>
  <si>
    <t>[T.I FORMEN] TUNED 셔츠형 코트 뉴스탠다드_M228MCT787M</t>
  </si>
  <si>
    <t>신규입점 / 단독특가</t>
  </si>
  <si>
    <t>티아이포맨 남성코트/집업/자켓 단독특가전!</t>
  </si>
  <si>
    <t>올바른건강</t>
  </si>
  <si>
    <t>[S]올바른건강 굿데이 발효 녹용 홍삼 50ml x 30포</t>
  </si>
  <si>
    <t>비노출 특가</t>
  </si>
  <si>
    <t>홍삼90포 9천원대</t>
  </si>
  <si>
    <t>[맥퀸뉴욕] 1+1 마이크로핏 피니쉬 파우더</t>
  </si>
  <si>
    <t>파우더 1+1</t>
  </si>
  <si>
    <t>물맛남</t>
  </si>
  <si>
    <t>[물맛남] 군산 명물 금빛박대 특大박대 10미(33~35cm)</t>
  </si>
  <si>
    <t>시장인기 브랜드, 비노출 -&gt; 제휴연동 후 첫 행사</t>
  </si>
  <si>
    <t>2025-02-14-금</t>
    <phoneticPr fontId="4" type="noConversion"/>
  </si>
  <si>
    <t>아디다스</t>
  </si>
  <si>
    <t>[아디다스] (정품) 텐사우르 스포츠 2.0 운동화 화이트 GW6422</t>
  </si>
  <si>
    <t>아디다스/호카 외 남여 인기 스니커즈 최대 33% 할인! 3만원대부터 전상품 무료배송!</t>
  </si>
  <si>
    <t>비타민마을 고함량 메가씨 비타민C 1000mg 2박스 총600정</t>
  </si>
  <si>
    <t>메가씨 비타민C 1000mg 고함량 2박스 총 600정 2만원대 특가</t>
  </si>
  <si>
    <t>박미선푸드</t>
  </si>
  <si>
    <t>[박미선푸드] 국산 포기 배추김치 10kg</t>
  </si>
  <si>
    <t>셀럽김치로 온라인최저가 진행</t>
  </si>
  <si>
    <t>샤트렌</t>
  </si>
  <si>
    <t>여성 캐주얼 슬림 부츠컷 팬츠</t>
  </si>
  <si>
    <t>[2컬러] 샤트렌 본사직영 여성 캐주얼 슬림 부츠컷 팬츠 3만원대+무료배송!</t>
  </si>
  <si>
    <t>부츠컷팬츠</t>
  </si>
  <si>
    <t>[s][보뚜]뷰티 시크릿 석류 콜라겐 젤리스틱 15포 x 6박스 (총90포)</t>
  </si>
  <si>
    <t>석류 젤리스틱</t>
  </si>
  <si>
    <t>바세린</t>
  </si>
  <si>
    <t>바세린 대용량 바디로션 1000ml+핸드크림 60ml 2개</t>
  </si>
  <si>
    <t>바세린 로션</t>
  </si>
  <si>
    <t>푸드맛남</t>
  </si>
  <si>
    <t xml:space="preserve">[푸드맛남] 100%우리밀 당일생산 명장 수제도넛 5종 12개입 </t>
  </si>
  <si>
    <t xml:space="preserve">비노출특가 </t>
  </si>
  <si>
    <t>2025-02-15-토</t>
    <phoneticPr fontId="4" type="noConversion"/>
  </si>
  <si>
    <t>수앤진골드 크로버 순금 카드 24K 0.2g</t>
  </si>
  <si>
    <t>시세에 따른 최종가격 전날 확정</t>
  </si>
  <si>
    <t>2/12 라이브 행사 가격 유지</t>
  </si>
  <si>
    <t xml:space="preserve">수앤진골드 24K 순금 골드바/ 주얼리 10% 즉시할인! </t>
  </si>
  <si>
    <t>NEW 하이뮨 프로틴 밸런스 3캔 (전용 스푼 + 보틀 증정)</t>
  </si>
  <si>
    <t>K2</t>
  </si>
  <si>
    <t>[K2] 소프트웜 긴팔 집업 티셔츠GMU24291</t>
  </si>
  <si>
    <t>[지센] (2컬러) 솔리드 타이 블라우스 LFWSNA02</t>
  </si>
  <si>
    <t>온라인최저가 / 봄 시즌</t>
  </si>
  <si>
    <t>[2컬러/90-100] 지센 본사직영 솔리드 타이 블라우스 3만원대+무료배송 특가!</t>
  </si>
  <si>
    <t>지센블라우스</t>
  </si>
  <si>
    <t>코오롱제약</t>
  </si>
  <si>
    <t>타임비누 18개</t>
  </si>
  <si>
    <t>생활(유아동)</t>
  </si>
  <si>
    <t>군 기저귀 디즈니에디션 컬러박스 스피드흡수 팬티 점보형(XXL) 68P</t>
  </si>
  <si>
    <t>시장인기상품 육성필요</t>
  </si>
  <si>
    <t>2025-02-16-일</t>
    <phoneticPr fontId="4" type="noConversion"/>
  </si>
  <si>
    <t>[PAT] 울혼방 소매디테일 스웨터_1J23302</t>
  </si>
  <si>
    <t>아울렛세일</t>
  </si>
  <si>
    <t>육성브랜드</t>
  </si>
  <si>
    <t>3초만에 새치커버 끝 / 로레알 매직 스프레이 / 2통 1만원대</t>
  </si>
  <si>
    <t>새치스프레이</t>
  </si>
  <si>
    <t>68506079</t>
  </si>
  <si>
    <t>혈행 케어</t>
    <phoneticPr fontId="4" type="noConversion"/>
  </si>
  <si>
    <t>[G]항공직송 최상급 태국망고 5kg (10-14과)</t>
  </si>
  <si>
    <t>[내일도착]베네플러스 물티슈 100매 20팩 (캡형/50gsm)</t>
  </si>
  <si>
    <t>고마진 직매입 + 내일도착 빠른배송</t>
  </si>
  <si>
    <t>■ 2/17주차 브랜드데이 진행 브랜드 : 종근당건강 (2/17), 정관장 (2/18), CJ제일제당 (2/19), 시몬스 (2/20), 도로시 (2/21), 쉬즈미스/리스트/시스타나 (2/22), 에싸 (2/23)</t>
  </si>
  <si>
    <t>2025-02-17-월</t>
    <phoneticPr fontId="4" type="noConversion"/>
  </si>
  <si>
    <t xml:space="preserve"> 위건강엔 매스틱 15포x4박스/2개월 + 매스틱 7포 </t>
  </si>
  <si>
    <t>PPL메인주간+ 협력사 바이럴(광고비1백만)+온라인최저가</t>
  </si>
  <si>
    <t>[종근당건강 본사] 락토핏 골드 3통 150포</t>
  </si>
  <si>
    <t>생활/유아동</t>
  </si>
  <si>
    <t xml:space="preserve">비비고 저나트륨 사골곰탕 + (한정수량)제주고기국수 </t>
  </si>
  <si>
    <t>무배</t>
  </si>
  <si>
    <t>브랜드 행사 대표상품, 한정수량 사은품 운영</t>
  </si>
  <si>
    <t>300세트 한정! 제주고기국수 증정 이벤트</t>
  </si>
  <si>
    <t>저나트륨사골곰탕</t>
  </si>
  <si>
    <t>[내일도착/단독]헤라 에이지어웨이 에스테틱 3종 세트(여행용 6종+앰플마스크 4매+쇼퍼백)</t>
  </si>
  <si>
    <t>체화재고 소진 목적 / 가이드가 보다 25%이상 저렴</t>
  </si>
  <si>
    <t>헤라 에이지어웨이 3종 / 단 하루 한정특가 / 여행용 6종+앰플마스크 4매+쇼퍼백</t>
  </si>
  <si>
    <t>헤라기초3종</t>
  </si>
  <si>
    <t>리바이스바디웨어</t>
  </si>
  <si>
    <t>리바이스바디웨어 폴리스판 남성드로즈 3종택1(95110) LHMDZ521 MDZ522 MDZ523 11</t>
  </si>
  <si>
    <t xml:space="preserve"> 깐깐 송도순 포기김치 10kg </t>
  </si>
  <si>
    <t>배추값 인상으로 인해 김치값 인상 전 특가</t>
  </si>
  <si>
    <t>재너럴라이프</t>
  </si>
  <si>
    <t>호주직수입 프로폴리스 리퀴드 50ml</t>
  </si>
  <si>
    <t xml:space="preserve">호주직수입 프로폴리스 </t>
  </si>
  <si>
    <t>프로폴리스</t>
  </si>
  <si>
    <t>une 윈</t>
  </si>
  <si>
    <t>윈(une) 럭셔리새틴 드레이프블라우스</t>
  </si>
  <si>
    <t>봄 신상</t>
  </si>
  <si>
    <t>새틴블라우스</t>
  </si>
  <si>
    <t>2025-02-18-화</t>
    <phoneticPr fontId="4" type="noConversion"/>
  </si>
  <si>
    <t>삼성전자 공기청정기/청소기 신세계쇼핑 단독특가전</t>
  </si>
  <si>
    <t>광고비 200만 집행 예정(팝업 요청)</t>
  </si>
  <si>
    <t>(정가92,000)정관장 활기력 20ml*16병(2박스)+쇼핑백</t>
  </si>
  <si>
    <t>모바일라이브+원데이특가 카드7%할인+10%적립</t>
  </si>
  <si>
    <t>픽업소</t>
  </si>
  <si>
    <t>[내일도착/단독] 픽업소 명품향기 탈모샴푸 기획세트 (샴푸500ml+고급검정빗)</t>
  </si>
  <si>
    <t>직매입체화재고 상품 원데이특가</t>
  </si>
  <si>
    <t>픽업소 명품향기 탈모샴푸 500ml+브러쉬</t>
  </si>
  <si>
    <t>픽업소샴푸</t>
  </si>
  <si>
    <t>킨도 오슬림 에어 팬티형 기저귀 6단계 점보 30매x4팩</t>
  </si>
  <si>
    <t>월중 최대행사 할인 행사(이마트 오프라인행사와 동일), 오늘특가 월1회 요청</t>
  </si>
  <si>
    <t>육해공</t>
  </si>
  <si>
    <t>인기 반찬 상품</t>
  </si>
  <si>
    <t>[을지대학교] 관절 더하기 엠에스엠 2000 120정x4개(8개월분)</t>
  </si>
  <si>
    <t>온라인 최저가, 원데이특가</t>
    <phoneticPr fontId="4" type="noConversion"/>
  </si>
  <si>
    <t>관절 건강</t>
  </si>
  <si>
    <t>우르오스</t>
  </si>
  <si>
    <t>우르오스 클렌징 2종 세트</t>
  </si>
  <si>
    <t>브랜드위크/남성클렌징세트</t>
  </si>
  <si>
    <t>우르오스 클렌징</t>
  </si>
  <si>
    <t>[비밀특가] 원포인트 자수 니트_VOCBLYW9251</t>
  </si>
  <si>
    <t>봄 품번 추가인하</t>
  </si>
  <si>
    <t>봄자수니트</t>
  </si>
  <si>
    <t>2025-02-19-수</t>
    <phoneticPr fontId="4" type="noConversion"/>
  </si>
  <si>
    <t>2/18 라방 행사가격 유지</t>
  </si>
  <si>
    <t>순금나라 24K순금 골드바/주얼리 5만원대부터~ 전상품 10%즉시할인+무이자 최대 12개월</t>
  </si>
  <si>
    <t>내셔널지오그래픽 N242USD323 리플 슬라이드 2종택1</t>
  </si>
  <si>
    <t>브랜드 대형행사 진행</t>
  </si>
  <si>
    <t>내셔널 지오그래픽 신규 입점 런칭! 신학기 맞이 백팩/스니커즈/슬리퍼 외 단독 판매!</t>
  </si>
  <si>
    <t>[s]웅진식품 차음료 하늘보리/헛개/누룽지/자색옥수수/결명자 1.5L 12개</t>
  </si>
  <si>
    <t>인앱 고객 인기상품</t>
  </si>
  <si>
    <t>(등록전)</t>
  </si>
  <si>
    <t>[비비고 통새우만두 6개</t>
  </si>
  <si>
    <t xml:space="preserve">최저가 + 한정수량 운영 </t>
  </si>
  <si>
    <t>비비고 통새우만두 원데이특가</t>
  </si>
  <si>
    <t xml:space="preserve"> 메디트리 칼슘 마그네슘 아연 플러스 비타민D 2병 </t>
  </si>
  <si>
    <t>최저가+구매금액별 사은품증정 혜택</t>
  </si>
  <si>
    <t>센카</t>
  </si>
  <si>
    <t>NEW 센카 퍼펙트휩 120g x 6개</t>
  </si>
  <si>
    <t>원데이 한정 특가</t>
  </si>
  <si>
    <t>생크림 탄력 거품 / 센카 클렌징폼 6 / 1개당 6천원대 특가!</t>
  </si>
  <si>
    <t>센카클렌징폼</t>
  </si>
  <si>
    <t>네이처드림 장에 좋은 프로바이오틱스 250mg x 30캡슐(7.5g) 6박스 + 쇼핑백</t>
  </si>
  <si>
    <t>브랜드위크</t>
  </si>
  <si>
    <t>프로바이오틱스</t>
  </si>
  <si>
    <t>입큰</t>
  </si>
  <si>
    <t>입큰 팩트+리필</t>
  </si>
  <si>
    <t>[지센] (2컬러) 여성 니트 후드 숏 플리스 LCSFNA23</t>
  </si>
  <si>
    <t>후드숏플리스</t>
  </si>
  <si>
    <t>패션/언더</t>
  </si>
  <si>
    <t>[JAJU/자주] 남/여 플란넬 멀티체크 파자마 세트 6종 택1</t>
  </si>
  <si>
    <t>원데이 단독 특가</t>
  </si>
  <si>
    <t>자주 파마자 2만원대 ! 58% 즉시할인! 한정특가</t>
  </si>
  <si>
    <t xml:space="preserve">자주 파자마 </t>
  </si>
  <si>
    <t>2025-02-20-목</t>
  </si>
  <si>
    <t>시몬스 쇼핑라이브 및 브랜드데이</t>
  </si>
  <si>
    <t xml:space="preserve"> 내츄럴플러스 차태현 프로폴리스 아연 1000 180캡슐 2병(12개월분) +비타민C 1000구미 증정</t>
  </si>
  <si>
    <t>단독구성</t>
  </si>
  <si>
    <t>매출 주력품목 추가인하+사은품증정 구성</t>
  </si>
  <si>
    <t>비페스타</t>
  </si>
  <si>
    <t>비페스타 클렌징오일 딥클리어 230ml 2개</t>
  </si>
  <si>
    <t>모공 속까지 딥 클렌징 / 비페스타 클렌징오일 / 단 하루 본품 2개 1만원대</t>
  </si>
  <si>
    <t>클렌징오일</t>
  </si>
  <si>
    <t>트라이</t>
  </si>
  <si>
    <t>[내일도착] 1+1 트라이 여성 히트업 웜 동내의 상하의 세트</t>
  </si>
  <si>
    <t>직매입 체화재고 특가</t>
  </si>
  <si>
    <t xml:space="preserve">트라이 남/녀 동내의 2세트 3만원대! 오늘주문하면 내일도착!  </t>
  </si>
  <si>
    <t>동내의</t>
  </si>
  <si>
    <t xml:space="preserve">깨끗한나라 허브가든 피오니 프리미엄 3겹 천연펄프 화장지 27m 30롤x3팩 </t>
  </si>
  <si>
    <t>제지업계 TOP3 브랜드, 화장지/물티슈/생리대 등 생필품 특가 + 20% 추가쿠폰</t>
  </si>
  <si>
    <t>고기중독</t>
  </si>
  <si>
    <t>꼬들살 500g+500g</t>
  </si>
  <si>
    <t>돼지고기 인기 특수부위 특가</t>
  </si>
  <si>
    <t>[보뚜]저분자 콜라겐C 비오틴 30포 X 2박스 (총 120g 2개월분)</t>
  </si>
  <si>
    <t>브랜드 인기상품</t>
  </si>
  <si>
    <t>저분자콜라겐c</t>
  </si>
  <si>
    <t>[풀무원] 노엣지피자 콤비네이션 5개</t>
  </si>
  <si>
    <t>핸드메이드자켓</t>
  </si>
  <si>
    <t>2025-02-21-금</t>
    <phoneticPr fontId="4" type="noConversion"/>
  </si>
  <si>
    <t>[도로시] 14k 클래식 랩 다이아몬드 6프롱 피어싱(1부)</t>
  </si>
  <si>
    <t>직매입 고마진 (+체화재고) 빠른배송(토요일 도착)</t>
  </si>
  <si>
    <t xml:space="preserve"> GNM 혈당 혈압 기억력엔 바나바잎 코큐텐 징코 3박스 / 코엔자임Q10 바나바잎추출물 은행잎추출물  </t>
  </si>
  <si>
    <t>올바른 카무트 브랜드 밀 효소 유산균 골드 30포 6박스 총 6개월분</t>
  </si>
  <si>
    <t>발효효소 /다이어트 관리</t>
  </si>
  <si>
    <t>올바른 효소</t>
  </si>
  <si>
    <t>다자연</t>
  </si>
  <si>
    <t>다자연 어성초 케어 세럼 55ml</t>
  </si>
  <si>
    <t>화해 인기상품</t>
  </si>
  <si>
    <t>어성초 세럼</t>
  </si>
  <si>
    <t>르샵</t>
  </si>
  <si>
    <t>르샵봄신상</t>
  </si>
  <si>
    <t>G[풀무원] 아임리얼 100 고농축 블루베리 (120mlx4개)X8개</t>
  </si>
  <si>
    <t>2/21 라이브 연계 상품</t>
  </si>
  <si>
    <t>신상음료! 아임리얼 블루베리/토마토 런칭 특가</t>
  </si>
  <si>
    <t>2025-02-22-토</t>
    <phoneticPr fontId="4" type="noConversion"/>
  </si>
  <si>
    <t>2/21 라방 행사가격 유지</t>
  </si>
  <si>
    <t>생필품 매출1위 브랜드, 주말에만 가능한 히든 특가</t>
  </si>
  <si>
    <t>다이어트시즌품목/온라인최저가+스푼+보틀증정</t>
  </si>
  <si>
    <t>온유바이오 건강한 눈을 위한 세계 6개국 특허 루테인지아잔틴 24mg 6박스(6개월분)</t>
  </si>
  <si>
    <t>루테인/총지아잔틴국내최대함량 상품</t>
  </si>
  <si>
    <t>눈건강 루테인</t>
  </si>
  <si>
    <t>[내일도착]조성아 코코밀크크림(톤업/안색보정/자외선차단 SPF50+)50g +여행용1매</t>
  </si>
  <si>
    <t>미니멀 슬림 팬츠_SWWSLO22140</t>
  </si>
  <si>
    <t>2/22일 브랜드패키지</t>
  </si>
  <si>
    <t>[5컬러/44~77] 쉬즈미스 본사 미니멀 슬림핏팬츠 2만원대 단독특가!</t>
  </si>
  <si>
    <t>쉬즈미스팬츠</t>
  </si>
  <si>
    <t>2025-02-23-일</t>
    <phoneticPr fontId="4" type="noConversion"/>
  </si>
  <si>
    <t>오야니 스크런치 미니 OBSBTT73</t>
  </si>
  <si>
    <t>2/20 라방 행사가격 유지</t>
  </si>
  <si>
    <t>샤프란 아우라 5.5L 대용량 섬유유연제 2종 택 1</t>
  </si>
  <si>
    <t>생필품 메가브랜드 주말만 가능 히든특가 최저가</t>
  </si>
  <si>
    <t>[TV방송상품][에싸] 리비에라 3인 스윙기능 카시미라 패브릭 소파</t>
  </si>
  <si>
    <t>에싸 브랜드데이</t>
  </si>
  <si>
    <t>비타민마을 유기농 레몬즙 레몬수 스틱 착즙원액 12박스 총168포</t>
  </si>
  <si>
    <t>다이어트시즌품목/온라인최저가/레몬즙1박스 3,717원꼴!</t>
  </si>
  <si>
    <t>코리아나</t>
  </si>
  <si>
    <t>[내일도착]코리아나 더블 트러플크림 100ml 3통 (1+1+1)</t>
  </si>
  <si>
    <t>코리아나 더블트러플크림 / 100ml 대용량 3통 / 1통 당 6천원대특가</t>
  </si>
  <si>
    <t>코리아나크림</t>
  </si>
  <si>
    <t>리튠 프리미엄 비타민C 1000 (60정, 60일분)</t>
  </si>
  <si>
    <t>리튠 비타민c</t>
  </si>
  <si>
    <t>무궁화 샤워때비누 900ml(화산송이) x 2개</t>
  </si>
  <si>
    <t>샤워때비누</t>
  </si>
  <si>
    <t>톨비스트</t>
  </si>
  <si>
    <t>[TORBIST] 여성 겉기모 하이넥 이너_GABW0-WKE410</t>
  </si>
  <si>
    <t>신규입점/봄 골프시즌</t>
  </si>
  <si>
    <t>톨비스트 골프</t>
  </si>
  <si>
    <t>■ 2/24주차 브랜드데이 진행 브랜드 : 다니엘그레뮤 (2/24), 까사미아 (2/25), 메트로시티 (2/26), 르샵 (2/27), 동원 (2/28)</t>
  </si>
  <si>
    <t>2025-02-24-월</t>
    <phoneticPr fontId="4" type="noConversion"/>
  </si>
  <si>
    <t>더블하트 모유실감 3세대 PPSU 젖병 모먼트 트리플팩 240mlx2개 +3세대 젖꼭지(6입)</t>
  </si>
  <si>
    <t>육아용품 시장인기 브랜드 육성</t>
  </si>
  <si>
    <t>안원당</t>
  </si>
  <si>
    <t>[G][안원당] 우거지 순대 감자탕 920g x 3팩 (2.76Kg)</t>
  </si>
  <si>
    <t>라이브특가 + 광고비 협력사</t>
  </si>
  <si>
    <t>픽업소 샴푸 500ml / 브러쉬 증정 / 무료배송</t>
  </si>
  <si>
    <t>베지밀 뼈에좋은 칼슘 두유 검은콩 190mlx48팩</t>
  </si>
  <si>
    <t>온라인최저가/모바일라이브 연계 메인노출요청</t>
  </si>
  <si>
    <t>베지밀두유48팩</t>
  </si>
  <si>
    <t>[메트로시티 주얼리] 코르테 스털링 실버 화이트 귀걸이 A241SE0126WPQ</t>
  </si>
  <si>
    <t>브랜드 패키지 진행</t>
  </si>
  <si>
    <t>메트로시티 베스트 주얼리 20% 즉시할인</t>
  </si>
  <si>
    <t xml:space="preserve"> [S][닥터린] 유해균 억제 질유산균 인케어 x 2박스 </t>
  </si>
  <si>
    <t>단독특가(매출견인품목)</t>
  </si>
  <si>
    <t>[클리어런스] 다니엘크레뮤 FW 캐시미어 울 블렌디드 블레이저</t>
  </si>
  <si>
    <t>24일 브랜드패키지-남성브랜드 연합전</t>
  </si>
  <si>
    <t>[3컬러/95~100] 다니엘크레뮤 FW시즌 클리어런스 캐시미어 울 블랜디드 블레이저 3만원대~</t>
  </si>
  <si>
    <t>[수플린] 새콤달콤 고당도 마하차녹 무지개망고 3.6kg (8~9입)</t>
  </si>
  <si>
    <t>[S] 올바른 수분촉촉 히알루론산 30캡슐 3박스 총 3개월분</t>
  </si>
  <si>
    <t>비노출/원데이,히알루론산 피부건강기능식품</t>
  </si>
  <si>
    <t>피부 건강식품</t>
  </si>
  <si>
    <t>2025-02-25-화</t>
    <phoneticPr fontId="4" type="noConversion"/>
  </si>
  <si>
    <t>까사미아 캄포 슬림 4인 카우치소파IV</t>
  </si>
  <si>
    <t>기어 메신저백 2077 블랙</t>
  </si>
  <si>
    <t>신학기 메인시즌 이슈</t>
  </si>
  <si>
    <t>종가</t>
  </si>
  <si>
    <t>종가 행복이온 포기김치 10kg 2종</t>
  </si>
  <si>
    <t>포기김치 매출 상승 시즌</t>
  </si>
  <si>
    <t>종가포기김치</t>
  </si>
  <si>
    <t>메디트리 당케어 앤 유산균 60포 2통 4개월분</t>
  </si>
  <si>
    <t>모바일라이브+단독특가+ 루테인사은품증정</t>
  </si>
  <si>
    <t>[이쌀이다] 순천농협 순천만 쌀 10kg</t>
  </si>
  <si>
    <t>30030365?</t>
  </si>
  <si>
    <t>미스타셰프 버섯뚝배기불고기 400g 6팩</t>
  </si>
  <si>
    <t>첫번째 브랜드샵 진행 /</t>
  </si>
  <si>
    <t>르까프 의류</t>
  </si>
  <si>
    <t>[르까프] 여 가을 하이브리드 자켓 (1221JK352-T)</t>
  </si>
  <si>
    <t>[90~100] 르까프 봄 하이브리드 자켓 2만원대 단독특가!</t>
  </si>
  <si>
    <t>르까프봄자켓</t>
  </si>
  <si>
    <t>★광고비 100만원★</t>
  </si>
  <si>
    <t>대마종자유</t>
  </si>
  <si>
    <t>전고객대상, 메일 요청 완료</t>
    <phoneticPr fontId="4" type="noConversion"/>
  </si>
  <si>
    <t>2025-02-26-수</t>
    <phoneticPr fontId="4" type="noConversion"/>
  </si>
  <si>
    <t>[메트로시티] NEW 25SS 알레그로 버킷백 스몰 M251MF3974Z</t>
  </si>
  <si>
    <t>메트로시티 인기 잡화 26% 즉시할인</t>
  </si>
  <si>
    <t>오그램코스메틱스 고리 퓨어100 밀 크림</t>
  </si>
  <si>
    <t>신제품 단독런칭/인플루언서 공구연계</t>
  </si>
  <si>
    <t>청정원</t>
  </si>
  <si>
    <t>맛선생 참치액 950g 2종 2개 골라담기+구운대파채소액 950g 1개 (총3개)</t>
  </si>
  <si>
    <t>식품시장에서 매출 증대 중인 트렌드 식품 아이템</t>
  </si>
  <si>
    <t>맛선생참치액</t>
  </si>
  <si>
    <t>콘에어 프리미엄 스마트센서 익스트림 핸디스팀다리미 GS40K</t>
  </si>
  <si>
    <t>미국 콘에어, 스팀다리미, 네이버 최저가 하루</t>
  </si>
  <si>
    <t>미국 스팀다리미1위! 콘에어, GS40K 단하루 최저가</t>
  </si>
  <si>
    <t>콘에어다리미</t>
  </si>
  <si>
    <t xml:space="preserve"> 휴럼 NFC 유기농 레몬즙 (20g*14포) 4박스 </t>
  </si>
  <si>
    <t>다이어트 시즌품목+온라인최저가</t>
  </si>
  <si>
    <t>오늘의돼지</t>
  </si>
  <si>
    <t>[오늘의돼지] 칼집 양념 목살 왕구이 600g x 4팩</t>
  </si>
  <si>
    <t>[복음자리] 과실차스틱 1+1 (생강+유자/생강1+1/유자1+1) / 옵션별 100개씩</t>
  </si>
  <si>
    <t>[커스텀에이블] 셔츠 배색 긴팔 니트_T2501KN011A</t>
  </si>
  <si>
    <t xml:space="preserve">25 SS 신상 단독특가 </t>
  </si>
  <si>
    <t>커스텀에이블 봄 셔츠 배색 긴팔니트 2만원대 단독특가</t>
  </si>
  <si>
    <t>셔츠배색니트</t>
  </si>
  <si>
    <t>[콜라겐증정]온유바이오 품질보증 DSM社 듀얼멀티비타민 마그플러스+ 9박스(9개월분)/온유약국 배합 · 설계</t>
  </si>
  <si>
    <t>멀티비타민, 9개월분 4만원대</t>
  </si>
  <si>
    <t>2025-02-27-목</t>
    <phoneticPr fontId="4" type="noConversion"/>
  </si>
  <si>
    <t>엠브로</t>
  </si>
  <si>
    <t>엠브로 18K 랩다이아 0.1ct 반지</t>
  </si>
  <si>
    <t xml:space="preserve">엠브로 랩다이아 주얼리 10만원대부터~ </t>
  </si>
  <si>
    <t>크리오 펌프 팝 고불소 어린이 펌핑치약 샤인머스켓향 300g 2개입 x1개(총 2개)</t>
  </si>
  <si>
    <t>송월타월(송월타월&amp;리빙)</t>
  </si>
  <si>
    <t>송월타월 오브제 130g 세면타월 5매</t>
  </si>
  <si>
    <t>송월타월 시즌상품 판매</t>
  </si>
  <si>
    <t>송월타월, 베스트셀러 온라인 최저딜!</t>
  </si>
  <si>
    <t>[넛츠피아] 잇츠넛 프리미엄 60봉 낱봉 매일 하루 한줌견과</t>
  </si>
  <si>
    <t>풀무원녹즙 클렌즈주스 클렌즈랩 3days 프로그램 (하루7병/총21병)</t>
  </si>
  <si>
    <t>다이어트 시즌품목+단독특가(매출주력품목)</t>
  </si>
  <si>
    <t>[자연맛남] 스테비아 대추방울토마토 애플마토 1kg (500gx2팩)</t>
  </si>
  <si>
    <t>라운드 컬러트위드 자켓-LC11JK410</t>
  </si>
  <si>
    <t xml:space="preserve">카카오셀렉트 방송+브랜드패키지 행사 </t>
  </si>
  <si>
    <t>르샵트위드자켓</t>
  </si>
  <si>
    <t>비노출 원데이 특가</t>
  </si>
  <si>
    <t>발효 녹용 홍삼</t>
  </si>
  <si>
    <t>2025-02-28-금</t>
    <phoneticPr fontId="4" type="noConversion"/>
  </si>
  <si>
    <t>닥터루트 무첨가 무심 아몬드버터 200g 2병 국내제조 무설탕 무가당 아몬드100</t>
  </si>
  <si>
    <t>아몬드버터</t>
  </si>
  <si>
    <t>[스마트팩] D2178A. 뷰티레스트 자스민. 킹오브킹 침대+협탁 101</t>
  </si>
  <si>
    <t>44%%</t>
  </si>
  <si>
    <t>모바일라이브</t>
  </si>
  <si>
    <t>비타민마을 애플사이다비니거 애사비 브로멜라인 클렌즈 효소 3박스 총90포</t>
  </si>
  <si>
    <t>다이어트 시즌품목</t>
  </si>
  <si>
    <t>[자연맛남] 블랙라벨 고당도 오렌지 10과 중소과</t>
  </si>
  <si>
    <t xml:space="preserve">동원 개성 감자만두 또는 김치감자만두 </t>
  </si>
  <si>
    <t>브랜드데이 상품 / 신규 리뉴얼</t>
  </si>
  <si>
    <t>모바일라이브 주력상품</t>
  </si>
  <si>
    <t>카카오셀렉트방송 라이브</t>
  </si>
  <si>
    <t>등록예정</t>
  </si>
  <si>
    <t>원활한 배변활동 &amp; 콜레스테롤 완화엔 띵똥 부드럽게 차전자피식이섬유 2박스(1개월분)</t>
  </si>
  <si>
    <t>협의중</t>
  </si>
  <si>
    <t>브랜드 베스트상품 / 신규 리뉴얼</t>
  </si>
  <si>
    <t>원활한 배변활동</t>
  </si>
  <si>
    <t>댕기머리</t>
  </si>
  <si>
    <t>댕기머리 오리지널 명품 샴푸 500ml 3개</t>
  </si>
  <si>
    <t>제휴.자사vip 고효율상품</t>
  </si>
  <si>
    <t>댕기머리 샴푸</t>
  </si>
  <si>
    <t>2025-03-01-토</t>
    <phoneticPr fontId="4" type="noConversion"/>
  </si>
  <si>
    <t>직매입 재고소진</t>
  </si>
  <si>
    <t>[자연맛남] 항공직송 달콤한 태국망고 2kg (4-6수)</t>
  </si>
  <si>
    <t>햇반 36입</t>
  </si>
  <si>
    <t>32900'</t>
  </si>
  <si>
    <t>직매입 외 인기식품</t>
  </si>
  <si>
    <t>(아날도바시니) 벨티드 숏 트렌치 코트(AX03BY02M)</t>
  </si>
  <si>
    <t>4만원대 협의중</t>
  </si>
  <si>
    <t>단독특가 봄시즌</t>
  </si>
  <si>
    <t>아날도바시니 벨티드 숏 트렌치코트 4만원대 단독특가</t>
  </si>
  <si>
    <t>벨티드트렌치</t>
  </si>
  <si>
    <t>아름담</t>
  </si>
  <si>
    <t>[G][참다올]아름담 새싹보리분말 3g 60포</t>
  </si>
  <si>
    <t>새싹보리분말</t>
  </si>
  <si>
    <t>[맥퀸뉴욕] 테이퍼 캔들 멜팅밤 7종/ 글래스팅 립글로스 촉촉한 고보습 플럼퍼</t>
    <phoneticPr fontId="4" type="noConversion"/>
  </si>
  <si>
    <t>메이크업 저단가 상품</t>
  </si>
  <si>
    <t>멜팅밤 7종</t>
    <phoneticPr fontId="4" type="noConversion"/>
  </si>
  <si>
    <t>2025-03-02-일</t>
    <phoneticPr fontId="4" type="noConversion"/>
  </si>
  <si>
    <t>[종로금1번가] 순금 팔찌 쌍비휴 볼 매듭 3.75g</t>
  </si>
  <si>
    <t>신규입점 특가</t>
  </si>
  <si>
    <t xml:space="preserve">종로금1번가 신규입점! 24K 순금 주얼리 전 상품 10%즉시할인 </t>
  </si>
  <si>
    <t>온작/삼육</t>
  </si>
  <si>
    <t>[삼육두유]검은콩 호두와 아몬드 190ml 48팩+발아현미 19곡 190ml 48팩</t>
  </si>
  <si>
    <t>두유 베스트상품 최저가 행사</t>
  </si>
  <si>
    <t>삼육두유96팩</t>
  </si>
  <si>
    <t>[G][풀무원] 생산직송 모짜렐라 핫도그20개 (1.6kg)</t>
  </si>
  <si>
    <t>인기식품 특가</t>
  </si>
  <si>
    <t xml:space="preserve">풀무원 </t>
  </si>
  <si>
    <t>단독특가+사은품증정</t>
  </si>
  <si>
    <t>[자연맛남] GAP인증 부산 대저토마토 2.5kg (2L-L)</t>
  </si>
  <si>
    <t>스프리스</t>
  </si>
  <si>
    <t>[1+1][스프리스] 와펜 기모 라운드 티셔츠</t>
  </si>
  <si>
    <t xml:space="preserve">후킹 단독특가 </t>
  </si>
  <si>
    <t>스프리스 와펜 기모티셔츠 1+1 구성 1만원대 단독특가</t>
  </si>
  <si>
    <t>스프리스1+1</t>
  </si>
  <si>
    <t>네이처드림 리얼 타트체리 주스 1000mL 4병</t>
  </si>
  <si>
    <t>타트체리 주스</t>
  </si>
  <si>
    <t>V&amp;A</t>
  </si>
  <si>
    <t>[공식][브이앤에이] V&amp;A 하이드로 프로텍션 크림 55ml</t>
  </si>
  <si>
    <t>V&amp;A 수분크림,15% 즉시할인</t>
  </si>
  <si>
    <t>브이앤에이 크림</t>
  </si>
  <si>
    <t>■ 3/3주차 브랜드데이 진행 브랜드 : 삼성공청기 (3/3), 씰리(3/4), 에싸 (3/5), 키플링/이스트팩 (3/6), 형지 (3/7), TS샴푸 (3/8), 유한킴벌리 (3/9)</t>
  </si>
  <si>
    <t>2025-03-03-월</t>
  </si>
  <si>
    <t>광고비 진행 50만원</t>
  </si>
  <si>
    <t>삼성공청기</t>
  </si>
  <si>
    <t>삼성공청기 상품 넣어주세요</t>
  </si>
  <si>
    <t>토담</t>
  </si>
  <si>
    <t>[마녀바스켓] 군산 엄마손 칼국수5인분(칼국수면5인분+소스5인분)</t>
  </si>
  <si>
    <t xml:space="preserve"> 퍼니트 리얼 유기농 NFC 석류 주스 원액 석류즙 1000ml x 6병 </t>
  </si>
  <si>
    <t>본격봄맞이 이너뷰티건식 과채즙 단독특가</t>
  </si>
  <si>
    <t>고려</t>
  </si>
  <si>
    <t>고려 콘푸레이크 천마차 130t</t>
  </si>
  <si>
    <t>NS 플친 원데이특가 진행시 일 매출 4-5백만원 발생하는 상품</t>
  </si>
  <si>
    <t>DKNY</t>
  </si>
  <si>
    <t>[퍼펙트 특가] DKNY 타임리스 컬렉션 브라팬티 2종 택일</t>
  </si>
  <si>
    <t xml:space="preserve">폰드그룹 히든 특가 행사 </t>
  </si>
  <si>
    <t>[본사직영] 마데카 멜라캡처 스틱 10g 4개</t>
  </si>
  <si>
    <t>봄격쇼핑(뷰티통합) 메인상품</t>
  </si>
  <si>
    <t>동국제약 센텔리안24 / 기미 싹-스틱 / 4개 3만원대 특가</t>
  </si>
  <si>
    <t>마데카멜라스틱</t>
  </si>
  <si>
    <t>후스타일</t>
  </si>
  <si>
    <t>[후스타일] 남성 싱글 3버튼 롱코트 3종택1</t>
  </si>
  <si>
    <t xml:space="preserve">남성 코트 3만원대 단독 후킹상품 </t>
  </si>
  <si>
    <t xml:space="preserve">[3컬러/95~105] 후스타일 남성 롱코트 3만원대 단독특가! </t>
  </si>
  <si>
    <t>남성코트3만원대</t>
  </si>
  <si>
    <t>[유한메디카] 당케어 엔 탑 혈당 유산균 30캡슐x1개(1개월분)</t>
  </si>
  <si>
    <t>당케어 . 99 특가 상품</t>
  </si>
  <si>
    <t>혈당 유산균</t>
  </si>
  <si>
    <t>2025-03-04-화</t>
  </si>
  <si>
    <t>아이팜 클라이밍 유아 아기 농구대 미끄럼틀</t>
  </si>
  <si>
    <t>유아동 매출1위 + 주력품목 단독특가</t>
  </si>
  <si>
    <t>구찌</t>
  </si>
  <si>
    <t>(백화점AS가능)선물포장 구찌 홀스빗 GG인터로킹 GG수프림 미니 크로스백</t>
  </si>
  <si>
    <t>926,250 (카드할인가)</t>
  </si>
  <si>
    <t>명품 행사</t>
  </si>
  <si>
    <t>구찌 미니크로스백 3종 택1 90만원대 득템찬스! 백화점 AS가능+선물포장까지</t>
  </si>
  <si>
    <t>쥬시꾸띄르골프</t>
  </si>
  <si>
    <t>[퍼펙트 특가] 쥬시꾸띄르골프 여성 캐주얼 봄버자켓 3컬러 택1</t>
  </si>
  <si>
    <t xml:space="preserve"> [닥터린] 유해균 억제 질유산균 인케어 x 4박스 </t>
  </si>
  <si>
    <t>매출주력품목+단독특가(PPL)</t>
  </si>
  <si>
    <t>[내일도착]헤라 UV 프로텍터 멀티디펜스 듀오 세트(50ml 2개+40ml+여행용3종+비치타올)</t>
  </si>
  <si>
    <t>직매입 체화재고/ 시즌상품</t>
  </si>
  <si>
    <t>안티에이징 되는 선크림 / 헤라 UV멀티디펜스 / 여행용+비치타올 증정</t>
  </si>
  <si>
    <t>헤라선크림</t>
  </si>
  <si>
    <t>[풀무원] 아임리얼100 레몬 140ml 24팩</t>
  </si>
  <si>
    <t xml:space="preserve">신상음료, 아임리얼레몬 </t>
  </si>
  <si>
    <t>삼다수</t>
  </si>
  <si>
    <t>제주 삼다수 그린 무라벨 2L X 24병(유/무라벨 랜덤발송)</t>
  </si>
  <si>
    <t>병당 천원 이하, 999원 꼴</t>
  </si>
  <si>
    <t>[올리비에스클로젯] 데일리 곰돌이자수 맨투맨 티셔츠_O2409TS221C</t>
  </si>
  <si>
    <t>간절기시즌 판매호조 아이템</t>
  </si>
  <si>
    <t xml:space="preserve">[3컬러] 올리비에스클로젯 곰돌이 자수 맨투맨 14,000원 단독특가! </t>
  </si>
  <si>
    <t>곰돌이맨투맨</t>
  </si>
  <si>
    <t>씰리 브라이드 ET 매트리스 퀸(Q)</t>
  </si>
  <si>
    <t>몰 단독 최저가 행사</t>
  </si>
  <si>
    <t>바이탈큐브</t>
  </si>
  <si>
    <t>[바이탈큐브] 루테인13 플러스 30캡슐x6개(6개월)</t>
  </si>
  <si>
    <t>루테인</t>
  </si>
  <si>
    <t>2025-03-05-수</t>
  </si>
  <si>
    <t>코디 고창황토 화장지 30m*30롤 3팩</t>
  </si>
  <si>
    <t>광고비진행 50만원</t>
  </si>
  <si>
    <t>뉴케어</t>
  </si>
  <si>
    <t xml:space="preserve"> [대상웰라이프] 뉴케어 액티브 오리지널 (200mlx24입) 2박스 </t>
  </si>
  <si>
    <t>뉴케어 비노출특가(체험팩증정)</t>
  </si>
  <si>
    <t>파손보장ㅣHACCP인증 구운계란 30구 (대란) + 핑크솔트 증정</t>
  </si>
  <si>
    <t>비노출 최저가 특가</t>
  </si>
  <si>
    <t>2/24 기재가능</t>
  </si>
  <si>
    <t>광고비 1백만</t>
  </si>
  <si>
    <t>[JAJU/자주] 남/여 피치스킨 파자마 팬츠 9종택1</t>
  </si>
  <si>
    <t>자주 특가 브랜드위크</t>
  </si>
  <si>
    <t>자주(JAJU) 브랜드위크  OPEN! 언더웨어/패션/생활용품 최대 50% 할인 혜택!</t>
  </si>
  <si>
    <t>[김정문알로에] 큐어 하이드라 수딩365 에멀젼 130ml</t>
  </si>
  <si>
    <t>삼립 1A등급 원유로 만든 냉동 롤케익 2종 2봉 (바닐라롤/블루베리롤)</t>
  </si>
  <si>
    <t>삼립 인기디저트 상품으로 원데이 최저가 특가</t>
  </si>
  <si>
    <t>모바일라이브 딜</t>
  </si>
  <si>
    <t>[오아마루] 공용 꽈배기 라운드 니트_OASWI802</t>
  </si>
  <si>
    <t>카카오 라이브</t>
  </si>
  <si>
    <t>[3컬러/95~105] 오아마루 남녀공용 꽈배기 니트 15,900원 한정수량 특가!</t>
  </si>
  <si>
    <t>꽈배기니트</t>
  </si>
  <si>
    <t>TV방송상품 고마진 / 브랜드데이</t>
  </si>
  <si>
    <t>다이어트 가르시니아 특가/원데이</t>
  </si>
  <si>
    <t>가르시니아</t>
  </si>
  <si>
    <t>2025-03-06-목</t>
  </si>
  <si>
    <t xml:space="preserve"> 로엘 팅글 무설탕 곤약젤리 15가지 맛 2팩 (총 30팩) </t>
  </si>
  <si>
    <t>다이어트간식/단독특가</t>
  </si>
  <si>
    <t>[본사공식]키플링 백팩 여행가방 시티팩미니 KPABA03 BK/NS</t>
  </si>
  <si>
    <t>키플링/이스트팩 입점 기념! 백팩 외 가방 50%할인!</t>
  </si>
  <si>
    <t>스타우브</t>
  </si>
  <si>
    <t>[장듀보] 라귀올 커트러리 디너세트 3P 아이보리</t>
  </si>
  <si>
    <t>스타우브/행켈 외 수입주방용품 단독특가</t>
  </si>
  <si>
    <t>에이지투웨니스</t>
  </si>
  <si>
    <t>에이지투웨니스 샤이닝드롭 팩트 케이스+리필3개</t>
  </si>
  <si>
    <t xml:space="preserve">에이지투웨니스 / 샤이닝드롭 팩트 / 케이스+리필3개 </t>
  </si>
  <si>
    <t>[지센] 멜란지 라운드 가디건 LFKTO191_BE</t>
  </si>
  <si>
    <t>봄시즌 단독특가</t>
  </si>
  <si>
    <t>[90~100] 지센 멜란지 라운드 가디건 베이지 5만원대 특가!</t>
  </si>
  <si>
    <t>지센봄가디건</t>
  </si>
  <si>
    <t>[오뚜기] 가뿐한끼 100% 현미로 지은 부드러운 현미밥 130g x 10개</t>
  </si>
  <si>
    <t>을지대학교 뼈 더하기 칼슘 마그네슘 비타민D 망간 60정x1개(2개월분)</t>
  </si>
  <si>
    <t>뼈건강 , 99특가 상품</t>
  </si>
  <si>
    <t>뼈건강 케어</t>
  </si>
  <si>
    <t>2025-03-07-금</t>
  </si>
  <si>
    <t>에스콰이아 여성 켈리 미니 캔버스백/EHCSHB039BR</t>
  </si>
  <si>
    <t>광고비 50만/ 브랜드패키지 진행</t>
  </si>
  <si>
    <t xml:space="preserve">형지에스콰이아 신규입점! 인기 가방 2만원대 무료배송~ </t>
  </si>
  <si>
    <t>매출주요품목/단독특가</t>
  </si>
  <si>
    <t>고마진 직매입 + 체화재고 + 토요일까지 배송</t>
  </si>
  <si>
    <t>해피바스</t>
  </si>
  <si>
    <t>[신라쇼 ONLY]해피바스 정말 순한 바디워시 900g 3입+비누 증정</t>
  </si>
  <si>
    <t>지오지아</t>
  </si>
  <si>
    <t>[지오지아] 캐시미어 소프트 터치 카라 니트 (AAD1ET1101)</t>
  </si>
  <si>
    <t>[4컬러/95~110] 지오지아 소프트터치 카라니트 35,000원 단독특가!</t>
  </si>
  <si>
    <t>지오지아니트</t>
  </si>
  <si>
    <t>식물성 멜라토닌 함유 트리플멜라 60정 3박스 총 6개월분</t>
  </si>
  <si>
    <t>100% 식물성 멜라토닌 상품 , 비노출 특가</t>
  </si>
  <si>
    <t>수면건강 멜라토닌</t>
  </si>
  <si>
    <t>2025-03-08-토</t>
  </si>
  <si>
    <t>풍년 外 리빙주말특가</t>
  </si>
  <si>
    <t>PN풍년 하이클래드 비엔나IH 압력솥 10인용(24C)</t>
  </si>
  <si>
    <t>주방용품 매출1위 PN풍년 주말만 가능한 히든특가</t>
  </si>
  <si>
    <t>저스트TS샴푸500g*5개 + 저스트TS샴푸6g*4개 (체험분)</t>
  </si>
  <si>
    <t>TS샴푸 홈쇼핑구성 단독특가</t>
  </si>
  <si>
    <t>TS샴푸 / 총 2524g / 52,900</t>
  </si>
  <si>
    <t>TS샴푸 방송구성</t>
  </si>
  <si>
    <t xml:space="preserve"> 에너링거 비타민D 30포 x 2박스(2개월분) </t>
  </si>
  <si>
    <t>첫!광고비운영협력사상단노출요청</t>
  </si>
  <si>
    <t>프롬더스킨</t>
  </si>
  <si>
    <t>[프롬더스킨]글루타치온 콜라겐 선케어(선크림+선스틱)</t>
  </si>
  <si>
    <t>프롬더스킨 / 콜라겐 선케어 / 선크림+선스틱 2만원대</t>
  </si>
  <si>
    <t>사조/보라티알</t>
  </si>
  <si>
    <t>[보라티알] 데체코 엑스트라버진 올리브오일 1L 1병  +</t>
  </si>
  <si>
    <t xml:space="preserve">주말 하루 특가 </t>
  </si>
  <si>
    <t>봄신상 단독특가</t>
  </si>
  <si>
    <t xml:space="preserve">[2컬러/55~66] KARRA 카라 스트라이프 배색니트 15,900원+무료배송 ! </t>
  </si>
  <si>
    <t>스트라이프니트</t>
  </si>
  <si>
    <t xml:space="preserve">TV방송상품 고마진 </t>
  </si>
  <si>
    <t>드림이음</t>
  </si>
  <si>
    <t>드림이음 프리미엄 맥주효모 비오틴 골드 정 4개월분</t>
  </si>
  <si>
    <t>맥주효모 비노팅 특가</t>
  </si>
  <si>
    <t>맥주효모 비오틴</t>
  </si>
  <si>
    <t>컬러딥</t>
  </si>
  <si>
    <t>[내일도착]컬러딥 365마스크 3박스(글루타치온2+블랙스네일1)</t>
  </si>
  <si>
    <t>컬러딥 마스크</t>
  </si>
  <si>
    <t>2025-03-09-일</t>
  </si>
  <si>
    <t xml:space="preserve"> [내일도착] 에치와이 야쿠르트 프리바이오틱스 2통 (4개월분) </t>
  </si>
  <si>
    <t>체화재고 재고소진(한정재고 300개)</t>
  </si>
  <si>
    <t>[S] 조성아 원더바스 레몬청 클렌저 200ml 2개 +차앤박 뮤제너 카밍 앰플 미스트 100ml</t>
  </si>
  <si>
    <t>팩하듯 클렌징하기 / 조성아 레몬청 클렌저 / 미스트 증정</t>
  </si>
  <si>
    <t>플리츠무드</t>
  </si>
  <si>
    <t>(택1) 고급미가득 플리츠 원피스/명품감성/주름원피스/봄여름원피스</t>
  </si>
  <si>
    <t>5만원대 협의중</t>
  </si>
  <si>
    <t>봄 시즌아이템 [ 플리츠의류 ] 단독특가</t>
  </si>
  <si>
    <t>플리츠의류</t>
  </si>
  <si>
    <t>S] 올바른 유기농 애사비 클렌즈 애플사이다비니거 14포 3박스 총 42포</t>
  </si>
  <si>
    <t>애사비 다이어트 건식 특가</t>
  </si>
  <si>
    <t>유기농 애사비</t>
  </si>
  <si>
    <t xml:space="preserve">[풀무원] 생산직송! 사계절 아삭 포기김치 (10kg)  </t>
  </si>
  <si>
    <t>■ 3/10주차 브랜드데이 진행 브랜드 : 메트로시티 (3/10), 대상 (3/11), 미샤 (3/12), 시몬스 (3/13), 도로시 (3/14), 여에스더 (3/15), PN풍년 (3/16)</t>
  </si>
  <si>
    <t>2025-03-10-월</t>
  </si>
  <si>
    <t>잡화</t>
  </si>
  <si>
    <t>2025-03-11-화</t>
  </si>
  <si>
    <t>슬레진저</t>
  </si>
  <si>
    <t>[슬레진저] 여성 데일리 뮬 블로퍼 슬리퍼 405</t>
  </si>
  <si>
    <t>2025-03-12-수</t>
  </si>
  <si>
    <t>슈즈</t>
  </si>
  <si>
    <t>[크록스] 11016-001 크록밴드</t>
  </si>
  <si>
    <t>셀러허브 베스트 브랜드 특가</t>
  </si>
  <si>
    <t>2025-03-13-목</t>
  </si>
  <si>
    <t>2025-03-14-금</t>
  </si>
  <si>
    <t>2025-03-15-토</t>
  </si>
  <si>
    <t>2025-03-16-일</t>
  </si>
  <si>
    <t>뉴발란스</t>
  </si>
  <si>
    <t>11466520-뉴발란스운동화NBPFDB729BWROAVBK1</t>
  </si>
  <si>
    <t>■ 3/17주차 브랜드데이 진행 브랜드 : 킨도(3/17), 보루네오(3/18), 정관장(3/19 00~13), SK렌터카(3/19 13~24), 쉬즈미스/리스트 (3/20~21), 코디(3/22), 하이뮨(3/23 00~13), 에싸(3/23 13~24)</t>
  </si>
  <si>
    <t>2025-03-17-월</t>
  </si>
  <si>
    <t>2025-03-18-화</t>
  </si>
  <si>
    <t>2025-03-19-수</t>
  </si>
  <si>
    <t>2025-03-20-목</t>
  </si>
  <si>
    <t>2025-03-21-금</t>
  </si>
  <si>
    <t>2025-03-22-토</t>
  </si>
  <si>
    <t>2025-03-23-일</t>
  </si>
  <si>
    <t>■ 3/24주차 브랜드데이 진행 브랜드 : MCM(3/24), 까사미아(3/25), 씨제이웰케어(3/26), 시몬스(3/27), 베네플러스(3/28)</t>
  </si>
  <si>
    <t>2025-03-24-월</t>
  </si>
  <si>
    <t>2025-03-25-화</t>
  </si>
  <si>
    <t>2025-03-26-수</t>
  </si>
  <si>
    <t>2025-03-27-목</t>
  </si>
  <si>
    <t>2025-03-28-금</t>
  </si>
  <si>
    <t>2025-03-29-토</t>
  </si>
  <si>
    <t>2025-03-30-일</t>
  </si>
  <si>
    <t>■ 3/31주차 브랜드데이 진행 브랜드 : 엘지생활건강(3/31)</t>
  </si>
  <si>
    <t>2025-03-31-월</t>
  </si>
  <si>
    <t>2025-04-01-화</t>
  </si>
  <si>
    <t>2025-04-02-수</t>
  </si>
  <si>
    <t>2025-04-03-목</t>
  </si>
  <si>
    <t>2025-04-04-금</t>
  </si>
  <si>
    <t>2025-04-05-토</t>
  </si>
  <si>
    <t>2025-04-06-일</t>
  </si>
  <si>
    <t xml:space="preserve">■ 4/07주차 브랜드데이 진행 브랜드 : </t>
  </si>
  <si>
    <t xml:space="preserve">OO/OO주차 브랜드데이 진행 브랜드 : </t>
    <phoneticPr fontId="4" type="noConversion"/>
  </si>
  <si>
    <t>25년 브랜드데이 취합시트</t>
    <phoneticPr fontId="4" type="noConversion"/>
  </si>
  <si>
    <t xml:space="preserve">취합마감&gt; 전월 10일까지 </t>
  </si>
  <si>
    <t>↓실적 (판매채널 전체 / 순주문금액 기준)</t>
  </si>
  <si>
    <t xml:space="preserve">※ 브랜드데이 선정 기준 : 쇼핑라이브/매출규모/시즌이슈상품 </t>
  </si>
  <si>
    <r>
      <rPr>
        <b/>
        <sz val="13"/>
        <color rgb="FFFF0000"/>
        <rFont val="맑은 고딕"/>
        <family val="2"/>
        <scheme val="minor"/>
      </rPr>
      <t xml:space="preserve">※ 단일 상품 랜딩 X   </t>
    </r>
    <r>
      <rPr>
        <sz val="13"/>
        <color rgb="FFFF0000"/>
        <rFont val="맑은 고딕"/>
        <family val="2"/>
        <scheme val="minor"/>
      </rPr>
      <t>(기획전/딜코드/컴포넌트 매장으로 작성 요망)</t>
    </r>
  </si>
  <si>
    <t>확정</t>
  </si>
  <si>
    <t>구분</t>
    <phoneticPr fontId="4" type="noConversion"/>
  </si>
  <si>
    <t>날짜</t>
    <phoneticPr fontId="4" type="noConversion"/>
  </si>
  <si>
    <t>요일</t>
    <phoneticPr fontId="4" type="noConversion"/>
  </si>
  <si>
    <r>
      <rPr>
        <b/>
        <sz val="11"/>
        <color rgb="FF000000"/>
        <rFont val="맑은 고딕"/>
        <family val="3"/>
        <charset val="129"/>
        <scheme val="minor"/>
      </rPr>
      <t xml:space="preserve">대표브랜드코드
</t>
    </r>
    <r>
      <rPr>
        <sz val="10"/>
        <color rgb="FFFF0000"/>
        <rFont val="맑은 고딕"/>
        <family val="3"/>
        <charset val="129"/>
        <scheme val="minor"/>
      </rPr>
      <t>*브랜드코드 아님.
대표브랜드코드의 중복여부 꼭 체크</t>
    </r>
  </si>
  <si>
    <t>대표
업체코드</t>
    <phoneticPr fontId="4" type="noConversion"/>
  </si>
  <si>
    <t>쇼라 여부
(O/X)</t>
    <phoneticPr fontId="4" type="noConversion"/>
  </si>
  <si>
    <t>행사일</t>
  </si>
  <si>
    <t>행사주간</t>
  </si>
  <si>
    <t>월 전체</t>
  </si>
  <si>
    <t>진행 사유</t>
  </si>
  <si>
    <t>핵심상품</t>
    <phoneticPr fontId="4" type="noConversion"/>
  </si>
  <si>
    <t>프로모션명</t>
    <phoneticPr fontId="4" type="noConversion"/>
  </si>
  <si>
    <t>프로모션 내용 / 소구 포인트</t>
    <phoneticPr fontId="4" type="noConversion"/>
  </si>
  <si>
    <t>메인 URL</t>
    <phoneticPr fontId="4" type="noConversion"/>
  </si>
  <si>
    <t>O</t>
    <phoneticPr fontId="4" type="noConversion"/>
  </si>
  <si>
    <t>1월</t>
    <phoneticPr fontId="4" type="noConversion"/>
  </si>
  <si>
    <t>1일</t>
    <phoneticPr fontId="4" type="noConversion"/>
  </si>
  <si>
    <t>수</t>
    <phoneticPr fontId="4" type="noConversion"/>
  </si>
  <si>
    <t>1천만</t>
  </si>
  <si>
    <t>화장지/물티슈/생리대/청소용품 전 아이템 특가</t>
  </si>
  <si>
    <t>유한킴벌리 전 아이템 특가전</t>
  </si>
  <si>
    <t>크리넥스(제지)/디펜드(성인기저귀)/좋은느낌,화이트(생리대), 스카트(청소) 전 아이템 특가 진행</t>
  </si>
  <si>
    <t>https://www.shinsegaetvshopping.com/display/detail/30068625?srchwdRslt=44702727&amp;trackSearchType=pc_normal&amp;trackCurationType=c_search_normal&amp;prePg=goods-search_search&amp;pgArea=searchlist-products&amp;listNum=&amp;odd=n</t>
  </si>
  <si>
    <t>2일</t>
  </si>
  <si>
    <t>목</t>
  </si>
  <si>
    <t>5천만</t>
  </si>
  <si>
    <t>12월 신규입점 및 당일 모바일라이브 런칭 방송 진행</t>
  </si>
  <si>
    <t>24SS 백팩/ 24FW 아우터</t>
  </si>
  <si>
    <t>캉골 신규 입점 런칭 행사 최대 60% 할인전</t>
  </si>
  <si>
    <t>24SS 백팩 10sku 60% 할인+24AW 아우터 6sku 40% 단독할인 (아우터 구매시 스트링백 증정)</t>
  </si>
  <si>
    <t>신규입점으로 URL 생성 전</t>
  </si>
  <si>
    <t>3일</t>
  </si>
  <si>
    <t>금</t>
  </si>
  <si>
    <t>△</t>
  </si>
  <si>
    <t>2천만</t>
  </si>
  <si>
    <t xml:space="preserve">              -</t>
  </si>
  <si>
    <t>시즌이슈 특종아이템 겨울 최종인하 특가전 + 설 명절 선물추천</t>
  </si>
  <si>
    <t>밍크 케이프 후드자켓, 리버시블 양모베스트, 밍크트리밍 숏다운</t>
  </si>
  <si>
    <t>리오벨&amp;루나코어스 특종아이템 클리어런스 특가전</t>
  </si>
  <si>
    <t>양모/밍크퍼자켓/무스탕 시즌 클리어런스 단독특가</t>
  </si>
  <si>
    <t>https://m.shinsegaetvshopping.com/plan/detail/2024109314</t>
  </si>
  <si>
    <t>4일</t>
  </si>
  <si>
    <t>토</t>
  </si>
  <si>
    <t>3천만</t>
  </si>
  <si>
    <t>신년 맞이 순금 매출 상승 시기 및 설 명절 선물추천</t>
  </si>
  <si>
    <t>24K 골드바/ 주얼리</t>
  </si>
  <si>
    <t>수앤진골드 신년맞이 순금 특가전</t>
  </si>
  <si>
    <t>10%즉시할인+주얼리 5% 행사카드 즉시할인+사은품 증정</t>
  </si>
  <si>
    <t>https://www.shinsegaetvshopping.com/deal/detail/202303149184</t>
  </si>
  <si>
    <t>5일</t>
  </si>
  <si>
    <t>일</t>
  </si>
  <si>
    <t>신규입점 거래처 영업이슈</t>
  </si>
  <si>
    <t>덕다운, 구스다운, 경량다운, 핸드메이드 코트, 기모팬츠</t>
  </si>
  <si>
    <t>PAT 여성&amp;남성 신세계 신규입점기념 특가전</t>
  </si>
  <si>
    <t>신세계 신규입점! 겨울시즌 최종 클리어런스 단독특가</t>
  </si>
  <si>
    <t>https://www.dlm1947.com/main/index.php</t>
  </si>
  <si>
    <t>6일</t>
  </si>
  <si>
    <t>월</t>
  </si>
  <si>
    <t>1.2천만</t>
  </si>
  <si>
    <t xml:space="preserve">시즌이슈 및 클리어런스 </t>
  </si>
  <si>
    <t>다운재킷/슈즈/가방</t>
  </si>
  <si>
    <t>K2그룹 신년 BIG SALE</t>
  </si>
  <si>
    <t>K2/아이더/다이나핏/와이드앵글 특가전</t>
  </si>
  <si>
    <t>https://m.shinsegaetvshopping.com/plan/detail/2024099124 </t>
  </si>
  <si>
    <t>7일</t>
    <phoneticPr fontId="4" type="noConversion"/>
  </si>
  <si>
    <t>12천만</t>
  </si>
  <si>
    <t>2025년 신년맞이 가구대전 단독 행사 (1-3탄 진행) + 쇼핑라이브 + TV미리주문</t>
  </si>
  <si>
    <t>까사미아 캄포 전 라인업 (TV방송 미리주문)</t>
  </si>
  <si>
    <t>25년 신년맞이 가구대전 3탄 [까사미아 캄포 소파]</t>
  </si>
  <si>
    <t>까사미아 캄포데이, 단, 하루 단독 최저가+단, 한번 사은품 증정</t>
  </si>
  <si>
    <t>https://m.shinsegaetvshopping.com/plan/detail/2024089093</t>
  </si>
  <si>
    <t>7일</t>
  </si>
  <si>
    <t>화</t>
  </si>
  <si>
    <t>닥터린 신규입점 + 신년맞이 건강선물특가전</t>
  </si>
  <si>
    <t>닥터린 초임계 알티지오메가3 (혈행건강 외 )</t>
  </si>
  <si>
    <t>신년맞이 건강선물특가전 닥터린 혈행케어 외 인기건신특가</t>
  </si>
  <si>
    <t>닥터린 혈행케어 외 인기건식 설 건강선물특가전</t>
  </si>
  <si>
    <t>https://m.shinsegaetvshopping.com/plan/detail/2024129466</t>
  </si>
  <si>
    <t>8일</t>
  </si>
  <si>
    <t>수</t>
  </si>
  <si>
    <t>20천만</t>
  </si>
  <si>
    <t xml:space="preserve">2025년 신년맞이 가구대전 단독 행사 (1-3탄 진행) + 쇼핑라이브 </t>
  </si>
  <si>
    <t>시몬스 자스민 스마트팩, 2개묶음 침대/매트리스</t>
  </si>
  <si>
    <t>25년 신년맞이 가구대전 2탄 [시몬스 뷰티레스트 침대/매트리스]</t>
  </si>
  <si>
    <t>시몬스 전상품 신세계 단독 최저가, 단 하루만 이 혜택 이 조건</t>
  </si>
  <si>
    <t>https://m.shinsegaetvshopping.com/plan/detail/2022033252</t>
  </si>
  <si>
    <t>9일</t>
    <phoneticPr fontId="4" type="noConversion"/>
  </si>
  <si>
    <t>15천만</t>
  </si>
  <si>
    <t>에싸 리비에라 / 에싸 벨리뉴 카시미라 + 추가 단독 상품 (TV방송 미리주문)</t>
  </si>
  <si>
    <t>25년 신년맞이 가구대전 1탄 [에싸 카시미라 소파]</t>
  </si>
  <si>
    <t>에싸 카시미라/리브 패브릭 소파 [신세계단독 조건!], 단하루 최저가</t>
  </si>
  <si>
    <t>https://m.shinsegaetvshopping.com/plan/detail/2024089095</t>
  </si>
  <si>
    <t>9일</t>
  </si>
  <si>
    <t>10천만</t>
  </si>
  <si>
    <t>신년맞이 명절건강선물특가전 +모바일라이브</t>
  </si>
  <si>
    <t xml:space="preserve">활기력/홍삼진고/마일드스틱/에브리타임 </t>
  </si>
  <si>
    <t>25년 설명절 건강선물 특집전</t>
  </si>
  <si>
    <t>활기력/홍삼진고/다보록 프리미엄 홍삼특가+ 선물포장+추가5%쿠폰!</t>
  </si>
  <si>
    <t>https://m.shinsegaetvshopping.com/plan/detail/2024058386</t>
  </si>
  <si>
    <t>10일</t>
  </si>
  <si>
    <r>
      <rPr>
        <sz val="9"/>
        <color rgb="FF000000"/>
        <rFont val="맑은 고딕"/>
        <family val="2"/>
        <scheme val="minor"/>
      </rPr>
      <t>블랙야크</t>
    </r>
    <r>
      <rPr>
        <sz val="9"/>
        <color rgb="FFFFFFFF"/>
        <rFont val="맑은 고딕"/>
        <family val="2"/>
        <scheme val="minor"/>
      </rPr>
      <t xml:space="preserve"> (편성 이후 행사 취소 MD요청)</t>
    </r>
  </si>
  <si>
    <t>11일</t>
  </si>
  <si>
    <t>지센&amp;라이프로그</t>
  </si>
  <si>
    <t>FW시즌 클리어런스 특가전 + 광고비 집행예정</t>
  </si>
  <si>
    <t xml:space="preserve">폭스퍼 핸드메이드 코트, 경량패딩 #봄까지 활용 가능한 니트/팬츠류 </t>
  </si>
  <si>
    <t xml:space="preserve">지센&amp;라이프로그 겨울 최종 클리어런스 특가전 </t>
  </si>
  <si>
    <t>FW시즌 최종 클리어런스 단독 특가전+사은품증정(협의중)</t>
  </si>
  <si>
    <t>https://m.shinsegaetvshopping.com/plan/detail/2024099190</t>
  </si>
  <si>
    <t>12일</t>
  </si>
  <si>
    <t>신년맞이! 패션잡화 메인 브랜드 단독 행사 진행</t>
  </si>
  <si>
    <t>실크스카프 6만원대 아울렛 단독특가</t>
  </si>
  <si>
    <t>FW 시즌 잡화 베스트+아울렛 단독특가</t>
  </si>
  <si>
    <t>금액대 별 사은품 증정+7%행사카드즉시할인</t>
  </si>
  <si>
    <t>https://m.shinsegaetvshopping.com/plan/detail/202309013183</t>
  </si>
  <si>
    <t>13일</t>
  </si>
  <si>
    <t>르샵/보니스팍스/데코/더레노마</t>
  </si>
  <si>
    <t xml:space="preserve">11월 신규입점 거래처 영업이슈+일매출 10백만 매출 호조 거래처  </t>
  </si>
  <si>
    <t>케이블니트,양털무스탕,원피스,코트</t>
  </si>
  <si>
    <t xml:space="preserve">르샵/데코/보니스팍스 지금부터 꽃샘추위까지 입을 수 있는 아이템 추천! </t>
  </si>
  <si>
    <t>르샵/데코/보니스팍스 FW시즌 부터 간절기 스테디셀러 아이템까지 단독가</t>
  </si>
  <si>
    <t xml:space="preserve">명절 빅시즌 + 선물세트 및 성수용품 </t>
  </si>
  <si>
    <t>명절엔 스팸! 스팸 선물세트</t>
  </si>
  <si>
    <t>스팸 선물세트 특가 + 간편한 명절 준비</t>
  </si>
  <si>
    <t>https://m.shinsegaetvshopping.com/plan/detail/2024089038</t>
  </si>
  <si>
    <t>14일</t>
  </si>
  <si>
    <t>1월 신년맞이건강선물 특집전 + 광고비 집행</t>
  </si>
  <si>
    <t>뉴케어 구수한맛/당플랜 외 마이밀 프로틴음료</t>
  </si>
  <si>
    <t xml:space="preserve">뉴케어/마이밀 환자식/균형영양식 신년맞이 선물특가전 </t>
  </si>
  <si>
    <t xml:space="preserve">뉴케어 외 당케어/혈당케어 환자식/균형영양식 특가전 </t>
  </si>
  <si>
    <t>https://m.shinsegaetvshopping.com/plan/detail/2024027790</t>
  </si>
  <si>
    <t>15일</t>
  </si>
  <si>
    <t>올리비아로렌/인디안</t>
  </si>
  <si>
    <t xml:space="preserve">FW시즌 클리어런스 특가전 </t>
  </si>
  <si>
    <t>핸드메이드 코트, 다운패치 점퍼, 니트, 사파리점퍼(남성), 정장셋업(남성)</t>
  </si>
  <si>
    <t>올리비아로렌&amp;인디안 겨울시즌 클리어런스 특가전</t>
  </si>
  <si>
    <t>집에서 만나보는 아울렛 FW시즌 클리어런스 특가전</t>
  </si>
  <si>
    <t>https://m.shinsegaetvshopping.com/plan/detail/2024099271</t>
  </si>
  <si>
    <t>청정원/종가집 설선물특가전+모바일라이브</t>
  </si>
  <si>
    <t>설선물세트 특가</t>
  </si>
  <si>
    <t>16일</t>
  </si>
  <si>
    <t>12월 신규입점 협력사 런칭 행사 진행 및 설 연휴 맞이 여행캐리어 매출 상승시기</t>
    <phoneticPr fontId="4" type="noConversion"/>
  </si>
  <si>
    <t>여행용 캐리어/ 신학기 백팩/레포츠용품</t>
  </si>
  <si>
    <t>설 연휴 맞이! 신규입점 기념 런칭 특가전</t>
  </si>
  <si>
    <t xml:space="preserve"> 여행용캐리어/잡화/레포츠용품 신규입점 단독특가</t>
  </si>
  <si>
    <t>여에스더 육성브랜드 협력사</t>
  </si>
  <si>
    <t>글루타치온 필름/리포좀 비타민C/멜라토닌 외</t>
  </si>
  <si>
    <t>25년 설맞이 건강선물 특집전</t>
  </si>
  <si>
    <t>이너뷰티&amp;인지력개선 건강식품 단독특가전</t>
  </si>
  <si>
    <t>https://m.shinsegaetvshopping.com/plan/detail/2024099214</t>
  </si>
  <si>
    <t>17일</t>
  </si>
  <si>
    <t>엘지생활건강 명절선물세트</t>
  </si>
  <si>
    <t>엘지생활건강 명절선물세트 최대 15%쿠폰</t>
  </si>
  <si>
    <t>18일</t>
  </si>
  <si>
    <t>메트로시티 패션잡화/주얼리/머플러/장갑</t>
  </si>
  <si>
    <t>신년맞이! 메트로시티 잡화&amp;주얼리 단독특가전</t>
  </si>
  <si>
    <t>7% 행사카드 즉시할인+구매왕 1명 키링 증정</t>
  </si>
  <si>
    <t>https://m.shinsegaetvshopping.com/plan/detail/202303078977 (패션잡화)
https://www.shinsegaetvshopping.com/deal/detail/202403157140 (머플러 외 시즌잡화)</t>
  </si>
  <si>
    <t>19일</t>
  </si>
  <si>
    <t xml:space="preserve">2024 운영 신상 &gt; 1년차 이월, 선인하 특가 클리어런스 </t>
  </si>
  <si>
    <t>세미부츠컷 슬랙스, 니트가디건, 울코트, 트위드 원피스</t>
  </si>
  <si>
    <t>쉬즈미스/리스트/시스티나 본사직영 시크릿특가전</t>
  </si>
  <si>
    <t>ONLY 신세계 고객들을 위한 쉿! 시크릿쿠폰! 따끈 신상부터 스테디셀러까지~</t>
  </si>
  <si>
    <t>https://m.shinsegaetvshopping.com/plan/detail/2024099264</t>
  </si>
  <si>
    <t>20일</t>
  </si>
  <si>
    <t>명절 빅시즌 + 프리미엄 선물세트 및 성수용품</t>
  </si>
  <si>
    <t>올가 선물세트 + 풀무원 만두류</t>
  </si>
  <si>
    <t>풀무원 + 올가와 함께하는 프리미엄 명절</t>
    <phoneticPr fontId="4" type="noConversion"/>
  </si>
  <si>
    <t>명절 선물세트 특가 + 적립</t>
  </si>
  <si>
    <t>https://m.shinsegaetvshopping.com/plan/detail/2024119379</t>
  </si>
  <si>
    <t>21일</t>
  </si>
  <si>
    <t>크로커다일레이디/샤트렌/올리비아하슬러</t>
  </si>
  <si>
    <t>모 코트, 경량덕다운, 스웨터, 기모팬츠</t>
  </si>
  <si>
    <t>크로커다일레이디/샤트렌/올리비아하슬러 본사직영 FW시즌오프</t>
  </si>
  <si>
    <t>크로커다일레이디/샤트렌/올리비아하슬러 FW시즌 최종인하 단독특가전</t>
  </si>
  <si>
    <t>https://m.shinsegaetvshopping.com/plan/detail/2024099216</t>
  </si>
  <si>
    <t>22일</t>
  </si>
  <si>
    <t>신년맞이 명절건강선물특가전 +광고비 집행</t>
  </si>
  <si>
    <t>흑염소 진액&amp;스틱&amp;환 건강즙</t>
  </si>
  <si>
    <t>홈쇼핑 건강즙NO1 설명절 건강선물특가전</t>
  </si>
  <si>
    <t>인기 건강즙 명절특가+흑염소 90포 단독물량특가전</t>
  </si>
  <si>
    <t>https://m.shinsegaetvshopping.com/plan/detail/2024058585</t>
  </si>
  <si>
    <t>23일</t>
  </si>
  <si>
    <t>아이오페로 변경 (확정시트)</t>
    <phoneticPr fontId="4" type="noConversion"/>
  </si>
  <si>
    <t>프리메라 설 선물특가전+직매입</t>
  </si>
  <si>
    <t>비타티놀세럼, 알파인베리 워터리크림</t>
  </si>
  <si>
    <t>프리메라 설 선물 특가전</t>
  </si>
  <si>
    <t>7% 카드 즉시할인+인기품목 내일도착 서비스</t>
  </si>
  <si>
    <t>24일</t>
  </si>
  <si>
    <t>25일</t>
  </si>
  <si>
    <t>26일</t>
    <phoneticPr fontId="4" type="noConversion"/>
  </si>
  <si>
    <t>일</t>
    <phoneticPr fontId="4" type="noConversion"/>
  </si>
  <si>
    <t>당일 모바일라이브 진행 + 광고비 집행 + TV 방송 고마진상품 포함 진행</t>
  </si>
  <si>
    <t>14,18K 랩다이아 주얼리</t>
  </si>
  <si>
    <t>신년맞이 랩다이아 주얼리 단독특가전</t>
  </si>
  <si>
    <t>신상+베스트 주얼리 최저 특가 및 사은품 추가 증정</t>
  </si>
  <si>
    <t>https://www.shinsegaetvshopping.com/deal/detail/202311024280
https://www.shinsegaetvshopping.com/deal/detail/202402156538 (TV 딜)</t>
  </si>
  <si>
    <t>27일</t>
  </si>
  <si>
    <t>28일</t>
  </si>
  <si>
    <t>당일 모바일라이브 진행 +광고비 집행</t>
  </si>
  <si>
    <t>막스마라 명품 코트/패딩 외</t>
  </si>
  <si>
    <t>설 맞이! 막스마라 인기 코트/패딩 외 물량확보 단독특가전</t>
  </si>
  <si>
    <t>막스마라 울 머플러 10만원대부터~ 행사카드 7%즉시할인</t>
  </si>
  <si>
    <t>https://m.shinsegaetvshopping.com/plan/detail/202402236731</t>
  </si>
  <si>
    <t>29일</t>
  </si>
  <si>
    <t>주방1위 브랜드 PN풍년 주말에만 특가 가능</t>
  </si>
  <si>
    <t>44702727 PN풍년 스텐압력솥 6인용(20C)</t>
  </si>
  <si>
    <t>PN풍년 압력밥솥 특가</t>
  </si>
  <si>
    <t>연휴에만 가능한 히든특가 + 추가 5%쿠폰!</t>
  </si>
  <si>
    <t>https://www.shinsegaetvshopping.com/display/detail/44702727?srchwdRslt=44702727&amp;trackSearchType=pc_normal&amp;trackCurationType=c_search_normal&amp;prePg=goods-search_search&amp;pgArea=searchlist-products&amp;listNum=&amp;odd=n</t>
  </si>
  <si>
    <t>30일</t>
  </si>
  <si>
    <t xml:space="preserve">설 연휴 마지막날 순금 매출 상승 시기 </t>
  </si>
  <si>
    <t>24K 중량별 골드바/ 물고기 반지</t>
  </si>
  <si>
    <t>한국금거래소 골드바/순금 주얼리 설 연휴 특가</t>
  </si>
  <si>
    <t>10% 즉시할인</t>
  </si>
  <si>
    <t>https://www.shinsegaetvshopping.com/deal/detail/202401316257</t>
  </si>
  <si>
    <t>31일</t>
  </si>
  <si>
    <t>아모레건식 육성브랜드</t>
  </si>
  <si>
    <t>바이탈뷰티 메타그린 슬림업/콜라겐/에너지샷</t>
  </si>
  <si>
    <t>바이탈뷰티 신년맞이 다이어트 건식추천</t>
  </si>
  <si>
    <t>바이탈뷰티 메타그린 슬립업 외 다이어트 건식 추천!(구매금액별사은품증정)</t>
  </si>
  <si>
    <t>https://m.shinsegaetvshopping.com/plan/detail/2024119395</t>
  </si>
  <si>
    <t>2월</t>
  </si>
  <si>
    <t xml:space="preserve">고마진 직매입 베네플러스 </t>
  </si>
  <si>
    <t>#데님팬츠 #기모팬츠 #경량패딩 1만원대 미만 클리어런스 특가전 + 봄 데님 선인하</t>
  </si>
  <si>
    <t>데님/기모팬츠, 경량패딩</t>
  </si>
  <si>
    <t xml:space="preserve">뱅뱅 데님 단독특가전 #기모팬츠 시즌오프 #봄데님 선인하 </t>
  </si>
  <si>
    <t>브랜드위크 특가+무료배송+최대 7% 즉시할인 쿠폰혜택</t>
  </si>
  <si>
    <t>https://www.shinsegaetvshopping.com/goods-search/search?searchKeyword=%EB%B1%85%EB%B1%85&amp;trackSearchType=pc_normal#currpage=1</t>
  </si>
  <si>
    <t>광고비집행 + 메가브랜드 빅행사</t>
  </si>
  <si>
    <t xml:space="preserve">뉴케어 당플랜프로/구수한맛 </t>
  </si>
  <si>
    <t>혈당케어&amp;균형영양식 맞춤건강식품 특가</t>
  </si>
  <si>
    <t>브랜드위크 특가 +구매금액별 사은혜택 + 인기품목 증정</t>
  </si>
  <si>
    <t>△</t>
    <phoneticPr fontId="4" type="noConversion"/>
  </si>
  <si>
    <t>페이지플린 주얼리</t>
    <phoneticPr fontId="4" type="noConversion"/>
  </si>
  <si>
    <t>브랜드 빅행사(당일 모바일라이브진행)</t>
  </si>
  <si>
    <t>페이지플린 인기 베스트&amp;신상 주얼리 초특가</t>
  </si>
  <si>
    <t xml:space="preserve">3일 </t>
  </si>
  <si>
    <t>시몬스 쇼핑라이브 + 단독 전상품 최저가 (광고비 300만)</t>
  </si>
  <si>
    <t>시몬스 단독 전상품 최저가</t>
  </si>
  <si>
    <t>전상품 단독 최저가 + 적립금 + 단,하루 사은품 증정</t>
  </si>
  <si>
    <t>자주(JAJU)</t>
  </si>
  <si>
    <t>입점기념행사</t>
  </si>
  <si>
    <t>언더웨어/생활용품</t>
  </si>
  <si>
    <t>닥터올 탈모 샴푸</t>
  </si>
  <si>
    <t>닥터올 의약외품 탈모기능성 샴푸 런칭특가</t>
  </si>
  <si>
    <t>브랜드위크 특가+구매금액별 사은혜택 + 인기품목 증정</t>
  </si>
  <si>
    <t>카카오라이브 + 타사 고효율 신규입점브랜드 (현대 日 30백만)</t>
  </si>
  <si>
    <t>경량덕다운/니트가디건/핸드메이드자켓/코트</t>
  </si>
  <si>
    <t>보니스팍스 봄/간절기 아이템 선인하+겨울 최종 클리어런스</t>
  </si>
  <si>
    <t>보니스팍스 신세계단독 선인하+최대 15%쿠폰혜택+무료배송까지~</t>
  </si>
  <si>
    <t>http://m.shinsegaetvshopping.com/fs/shop?viewType&amp;linkCode=241100126</t>
  </si>
  <si>
    <t>단독 모델 쇼핑라이브 진행 + 최저가 혜택 (광고비 200만)</t>
  </si>
  <si>
    <t>에싸 단,하루 베스트셀러 최저가 진행</t>
  </si>
  <si>
    <t>베스트셀러 단독 최저가 + 적립금 + 단,하루 사은품 증정</t>
  </si>
  <si>
    <t>광고비집행 + 메가브랜드 빅행사( 당사송출 고효율 모바일라이브진행)</t>
  </si>
  <si>
    <t>활기력/홍삼진고</t>
  </si>
  <si>
    <t>프리미엄 홍삼특가 N+1 증정구성 특가</t>
  </si>
  <si>
    <t>5%다운로드쿠폰+7%카드할인+구매고객 한정 사은품증정</t>
  </si>
  <si>
    <t>50백만</t>
  </si>
  <si>
    <t>자사 고효율 메가브랜드 행사(당일 모바일라이브 진행)+설연휴 이후 순금 매출 상승 시기</t>
  </si>
  <si>
    <t>한국금거래소 24K 순금 골드바/주얼리 단독특가</t>
  </si>
  <si>
    <t>20백만</t>
  </si>
  <si>
    <t>메가브랜드 빅행사 + 육성브랜드 + 자사효율高</t>
  </si>
  <si>
    <t>AHC 아이크림 패키지</t>
  </si>
  <si>
    <t>15%할인+5%카드할인</t>
  </si>
  <si>
    <t>https://www.shinsegaetvshopping.com/plan/detail/2024038055</t>
  </si>
  <si>
    <t>대동모피/리오벨/루나코어스</t>
  </si>
  <si>
    <t>2월 시즌상품 클리어런스/12월~현시점 매출 호조 특종브랜드 연합전</t>
  </si>
  <si>
    <t>리얼밍크/양모/양가죽/페이크레더/에코퍼</t>
  </si>
  <si>
    <t>대동모피/리오벨/루나코어스 한정수량 특종아이템 FESTA</t>
  </si>
  <si>
    <t xml:space="preserve">가격과 퀄리티를 동시에! 특종아이템 최종 클리어런스 특가 최대 10% 즉시할인쿠폰 혜택까지~ </t>
  </si>
  <si>
    <t>https://www.shinsegaetvshopping.com/plan/detail/2024109314</t>
  </si>
  <si>
    <t>육성브랜드, 메가브랜드 빅행사</t>
  </si>
  <si>
    <t>애플 아이패드/아이폰 12</t>
  </si>
  <si>
    <t>애플 리퍼템 브랜드데이</t>
  </si>
  <si>
    <t>아이폰 12가 40만원대/무이자 6개월</t>
  </si>
  <si>
    <t>https://www.shinsegaetvshopping.com/plan/detail/202502042294</t>
  </si>
  <si>
    <t>광고비집행,육성브랜드</t>
  </si>
  <si>
    <t>마데카프라임 리츄얼화이트펄</t>
  </si>
  <si>
    <t>동국제약 브랜드데이</t>
  </si>
  <si>
    <t>신제품 미용기기 리츄얼화이트펄 특가 행사/전구매 사은품 진행</t>
  </si>
  <si>
    <t>광고비집행+육성브랜드(모바일라이브진행)</t>
  </si>
  <si>
    <t>풀무원녹즙 매일배송</t>
  </si>
  <si>
    <t>풀무원녹즙 매일건강한습관 녹즙 특가</t>
  </si>
  <si>
    <t>신년 다이어트건강즙 단하루 특가+구매고객 한정 사은품증정</t>
  </si>
  <si>
    <t>자사 고효율 브랜드 빅행사(당일 모바일라이브진행)+광고비 진행</t>
  </si>
  <si>
    <t>수앤진골드 24K 순금 골드바/주얼리 단독특가</t>
  </si>
  <si>
    <t>통합매입브랜드+광고비집행 + 메가브랜드 빅행사( 당사송출 고효율 모바일라이브진행)</t>
  </si>
  <si>
    <t>이경제 흑염소진액</t>
  </si>
  <si>
    <t>이경제 흑염소진액 단독특가 온라인최저가 +구매금액별 사은품증정</t>
  </si>
  <si>
    <t>온라인최저가+7%카드할인+적립금+구매인증/구매왕/구매금액별 사은품증정</t>
  </si>
  <si>
    <t>자사 고효율 메가브랜드 빅행사</t>
  </si>
  <si>
    <t>MCM 가방/의류 인기 베스트&amp;신상 특가</t>
  </si>
  <si>
    <t xml:space="preserve">영업이슈 / 12월~현시점 매출 호조 신규브랜드 / 겨울시즌 클리어런스 </t>
  </si>
  <si>
    <t>핸드메이드 자켓/트위드/코트/경량패딩/팬츠</t>
  </si>
  <si>
    <t xml:space="preserve">크로커다일레이디/샤트렌/올리비아하슬러 본사직영 겨울부터 봄까지 단독특가전! </t>
  </si>
  <si>
    <t>겨울클리어런스 부터 봄&amp;간절기 시즌 선인하까지! 전상품무료배송+10% 즉시할인 쿠폰혜택</t>
  </si>
  <si>
    <t>http://m.shinsegaetvshopping.com/fs/shop?viewType&amp;linkCode=241000098</t>
  </si>
  <si>
    <t>호카/나이키/아디다스 외</t>
  </si>
  <si>
    <t>레포츠 슈즈 빅브랜드 연합전/ 단독물량 단독특가</t>
  </si>
  <si>
    <t>호카/나이키 남여 스니커즈</t>
  </si>
  <si>
    <t>호카/나이키/아디다스 외 인기/ 신상 스니커즈 특가찬스</t>
  </si>
  <si>
    <t xml:space="preserve"> 호카/나이키/아디다스 외 신상품 및 베스트 스니커즈 최저가+단독물량확보</t>
  </si>
  <si>
    <t xml:space="preserve">영업이슈/ K2/아이더/다이나핏 겨울 클리어런스 연합세일 </t>
  </si>
  <si>
    <t xml:space="preserve">다운자켓/백팩 </t>
  </si>
  <si>
    <t>다운자켓/백팩/슈즈 특가전</t>
  </si>
  <si>
    <t>7%카드즉시할인+시크릿쿠폰!</t>
  </si>
  <si>
    <t>신규입점 브랜드 단독특가 행사 / 영업이슈</t>
  </si>
  <si>
    <t>코듀로이 팬츠/숏패딩/조거팬츠/맨투맨</t>
  </si>
  <si>
    <t xml:space="preserve">오아마루 남녀 캐주얼브랜드 신규입점기념 단독특가전! </t>
  </si>
  <si>
    <t>겨울부터 봄까지~ 남녀공용 캐주얼 패션 단독특가전+무료배송+최대 10% 즉시할인 쿠폰까지~</t>
  </si>
  <si>
    <t>https://www.shinsegaetvshopping.com/plan/detail/2024129532</t>
  </si>
  <si>
    <t>16일</t>
    <phoneticPr fontId="4" type="noConversion"/>
  </si>
  <si>
    <t>올리비아로렌/PAT/지센</t>
  </si>
  <si>
    <t>아울렛 한정수량 이월물량 브랜드 클리어런스 연합전</t>
  </si>
  <si>
    <t>경량패딩/코트/팬츠/블라우스/원피스</t>
  </si>
  <si>
    <t xml:space="preserve">여성의류 아울렛 FESTA! 올리비아로렌/PAT/지센 단독특가전~ </t>
  </si>
  <si>
    <t xml:space="preserve">한정수량 아울렛 이월 상품! 지금부터 봄 시즌까지~ 단독특가전 최대 22%쿠폰혜택 </t>
  </si>
  <si>
    <t>https://www.shinsegaetvshopping.com/deal/detail/202307212435?dealShopCode=201710240001&amp;prePg=deal_dealList_201710240001&amp;pgArea=categoryDealList_2&amp;listNum=12&amp;odd=n</t>
  </si>
  <si>
    <t>메가브랜드 육성협력사</t>
  </si>
  <si>
    <t>종근당건강 락토핏 유산균</t>
  </si>
  <si>
    <t>종근당 락토핏유산균 외 프로메가인기건식 특가</t>
  </si>
  <si>
    <t>인기품목 한정특가+추가쿠폰</t>
  </si>
  <si>
    <t>광고비집행 + 메가브랜드 빅행사( 모바일라이브진행)</t>
  </si>
  <si>
    <t>순금 골드바/주얼리</t>
  </si>
  <si>
    <t>24K 순금 골드바/주얼리 특가전</t>
  </si>
  <si>
    <t>최대 20% 즉시할인+주얼리 상품만 행사카드 5% 추가 즉시할인+무이자 최대 12개월</t>
  </si>
  <si>
    <t>큐어 하이드라 365 스킨케어</t>
  </si>
  <si>
    <t>김정문알로에 브랜드데이</t>
  </si>
  <si>
    <t>주력상품 원데이특가/전구매 사은품 진행</t>
  </si>
  <si>
    <t>1억브랜드 행사 (내셔널지오그래픽)</t>
  </si>
  <si>
    <t>모바일상품2팀</t>
  </si>
  <si>
    <t>30천만</t>
  </si>
  <si>
    <t xml:space="preserve">광고비 집행 </t>
  </si>
  <si>
    <t>CJ제일제당 인기상품 특가</t>
  </si>
  <si>
    <t xml:space="preserve">비비고 외 인기 품목 특가 </t>
  </si>
  <si>
    <t xml:space="preserve">시몬스 </t>
  </si>
  <si>
    <t>광고비집행 + 메가브랜드 빅행사( 모바일라이브진행)+TV고마진상품 동시 진행</t>
  </si>
  <si>
    <t>도로시 랩다이아 신상 주얼리 단독특가전</t>
  </si>
  <si>
    <t>7% 행사카드 즉시할인+추가 사은품 증정 및 무이자 최대 12개월</t>
  </si>
  <si>
    <t xml:space="preserve">모바일라이브 연계 진행 </t>
  </si>
  <si>
    <t>아임리얼 100 고농축 주스 + 나또</t>
  </si>
  <si>
    <t xml:space="preserve">본사직영 2025 봄신상 시크릿쿠폰+24년 신상 단독인하 </t>
  </si>
  <si>
    <t>울코트/블라우스/니트/원피스/슬랙스</t>
  </si>
  <si>
    <t>쉬즈미스/리스트/시스티나 본사직영 신상 시크릿 FESTA</t>
  </si>
  <si>
    <t>2025 봄신상 자사고객 전용 시크릿쿠폰+1년차 봄/가을 물량 단독특가전</t>
  </si>
  <si>
    <t>https://www.shinsegaetvshopping.com/plan/detail/2024099264</t>
  </si>
  <si>
    <t>7천만</t>
  </si>
  <si>
    <t>에싸 전상품 단독 최저가 행사 (최초 진행)</t>
  </si>
  <si>
    <t>에싸 전상품 단독 최초 진행</t>
  </si>
  <si>
    <t>생활 취급액1위 협력사 + 제지/생리대/청소 등 전 상품군 최저가 진행</t>
  </si>
  <si>
    <t>크리넥스 3겹화장지/디펜드 성인기저귀</t>
  </si>
  <si>
    <t>단독 최저가 + 7%추가 쿠폰</t>
  </si>
  <si>
    <t>다니엘크레뮤/워모/인디안</t>
  </si>
  <si>
    <t>남성브랜드 연합전 단독특가 정장셋업 부터 캐주얼 의류까지</t>
  </si>
  <si>
    <t>경량점퍼/사파리/정장셋업/셔츠/팬츠</t>
  </si>
  <si>
    <t xml:space="preserve">남성 스페셜데이! 다니엘크레뮤/워모/인디안 브랜드 FESTA </t>
  </si>
  <si>
    <t>캐주얼 의류부터 클래식 셋업까지! 단독특가+최대 22% 쿠폰혜택까지~</t>
  </si>
  <si>
    <t>http://m.shinsegaetvshopping.com/fs/shop?viewType&amp;linkCode=241100111</t>
  </si>
  <si>
    <t>메디트리 당케어 유산균</t>
  </si>
  <si>
    <t>메디트리 당케어유산균 특가</t>
  </si>
  <si>
    <t>혈당케어 유산균 단하루특가+구매고객 한정 사은품증정</t>
  </si>
  <si>
    <t>8천만</t>
  </si>
  <si>
    <t>까사미아 쇼핑라이브 + 단,하루 최저가 혜택 (관계사) (광고비 100만), 전상품 행사</t>
  </si>
  <si>
    <t>까사미아 캄포데이 단,하루 최저가 특집전 (전상품 행사)</t>
  </si>
  <si>
    <t>까사미아 캄포소파 전 라인업 단독 최저가 + 적립금 + 단,하루 사은품 증정</t>
  </si>
  <si>
    <t>26일</t>
  </si>
  <si>
    <t>메트로시티 잡화/주얼리/시즌잡화 연합전</t>
  </si>
  <si>
    <t>7% 행사카드 즉시할인+구매왕 1명 사은품 추첨 증정</t>
  </si>
  <si>
    <t>메타그린 슬림업/부스터샷 외</t>
  </si>
  <si>
    <t>바이탈뷰티 메타그린 다이어트건강식품 추천</t>
  </si>
  <si>
    <t>올리브영 입점진행브랜드 신년 다이어트 건식특가 추천 +인기품목 추가증정구성</t>
  </si>
  <si>
    <t>카카오 기획라이브+기존 행사 고효율 브랜드+봄시즌 선오픈 행사</t>
  </si>
  <si>
    <t>트위드/자켓/코트/블라우스/원피스</t>
  </si>
  <si>
    <t>르샵 봄 시즌 GRAND-OPEN 선인하 라이브 특가전!</t>
  </si>
  <si>
    <t xml:space="preserve">르샵 봄시즌 단독인하 라이브 특가전! 무료배송+10% 즉시할인쿠폰+사은품 혜택까지~ </t>
  </si>
  <si>
    <t>https://www.shinsegaetvshopping.com/goods-search/search?searchKeyword=%EB%A5%B4%EC%83%B5&amp;trackSearchType=pc_normal</t>
  </si>
  <si>
    <t>리포좀 글루타치온/비타민C</t>
  </si>
  <si>
    <t>여에스더 콜라겐/글루타치온 이너뷰 특가전</t>
  </si>
  <si>
    <t>7%카드할인+인기품목 단독특가+5%추가쿠폰</t>
  </si>
  <si>
    <t>광고비 집행 + 육성 협력사</t>
  </si>
  <si>
    <t>동원 브랜드데이</t>
  </si>
  <si>
    <t xml:space="preserve">동원 인기삭품 특가 </t>
  </si>
  <si>
    <t>아날도바시니/레코브/예쎄</t>
  </si>
  <si>
    <t>봄 물량 선인하+간절기 물량 추가 특가 반영</t>
  </si>
  <si>
    <t>자켓/코트/니트/블라우스/원피스</t>
  </si>
  <si>
    <t xml:space="preserve">아날도바시니/예쎄/레코브 봄시즌 그랜드오픈 단독특가전! </t>
  </si>
  <si>
    <t>봄&amp;간절기 시즌 오픈 선인하 특가전+전상품 무료배송+최대 10% 즉시할인 쿠폰까지~</t>
  </si>
  <si>
    <t>https://www.shinsegaetvshopping.com/plan/detail/2024099265</t>
  </si>
  <si>
    <t>3월</t>
  </si>
  <si>
    <t>1일</t>
  </si>
  <si>
    <t>더블멤버십데이 진행</t>
    <phoneticPr fontId="4" type="noConversion"/>
  </si>
  <si>
    <t>삼성 공기청정기</t>
  </si>
  <si>
    <t>광고비 집행 + 메가브랜드 행사+시즌아이템 초특가(삼성 신규 공기청정기 시리즈)</t>
  </si>
  <si>
    <t>삼성 공기청정기/청소기 브랜드데이</t>
  </si>
  <si>
    <t>삼성전자 공기청정기/청소기 신세계 단독특가전</t>
  </si>
  <si>
    <t>X</t>
    <phoneticPr fontId="4" type="noConversion"/>
  </si>
  <si>
    <t>신규 브랜드 입점 주얼리 단독 최저 특가</t>
  </si>
  <si>
    <t>르샵 주얼리</t>
  </si>
  <si>
    <t>르샵 주얼리 사은품 증정 및 단독 최저가</t>
  </si>
  <si>
    <t>9,900원 무료배송 상품부터~ 추가 사은품 증정까지</t>
  </si>
  <si>
    <t>씰리 베스트셀러 신세계 단독 최저가 이벤트</t>
  </si>
  <si>
    <t>씰리 에드가2 침대</t>
  </si>
  <si>
    <t>씰리 방송에서만 총 7종 사은품 증정 이벤트</t>
  </si>
  <si>
    <t xml:space="preserve">광고비 집행 + 육성 브랜드 </t>
  </si>
  <si>
    <t>파자마/언더웨어/생황용품</t>
  </si>
  <si>
    <t>자주 봄맞이 빅 세일</t>
  </si>
  <si>
    <t>에싸 베스트셀러 최저가 단독 상품 진행 (TV미주확보), 광고비 200확보</t>
  </si>
  <si>
    <t>에싸 리비에라/벨리뉴/토레스</t>
  </si>
  <si>
    <t>에싸 베스트셀러 최저가 단독 상품 진행</t>
  </si>
  <si>
    <t>에싸 베스트셀러 헤드레스트 증정 이벤트 및 스툴,쿠션 사은품 증정이벤트</t>
  </si>
  <si>
    <t>광고비 집행+메가브랜드</t>
  </si>
  <si>
    <t>정관장 활기력/홍삼진고/.홍이랑쑥쑥튼튼</t>
  </si>
  <si>
    <t>어린이&amp;온가족 면역케어 홍삼특가</t>
  </si>
  <si>
    <t>라이브 단독특가+방송중5%쿠폰</t>
  </si>
  <si>
    <t>키플링&amp;이스트팩 브랜드 본사 재입점+당일 모바일라이브 진행+신학기 시즌</t>
  </si>
  <si>
    <t>본사공식 키플링/이스트팩 백팩</t>
  </si>
  <si>
    <t>입점기념! 25 SS 2월 입고 신상품 당사 단독 최저가</t>
  </si>
  <si>
    <t>최대 50% 할인율 및 방송 중 구매고객 몽키 키링 사은품 증정 및 구매왕 1명 추첨 이스트팩 백팩 증정</t>
  </si>
  <si>
    <t>빅 브랜드 본사 신규입점/ 광고비 집행/ 당일 카카오 기획라이브 런칭 방송 진행</t>
  </si>
  <si>
    <t>본사 공식 에스콰이아 가방</t>
  </si>
  <si>
    <t xml:space="preserve">신규 입점 기념! 2만원대 무료배송~ </t>
  </si>
  <si>
    <t>최대 78% 할인율/ 사은품 빅롱샴백 증정 및 구매왕 5명 추첨 에스콰이아 지갑 증정</t>
  </si>
  <si>
    <t xml:space="preserve">TS샴푸 </t>
  </si>
  <si>
    <t>TS샴푸 홈쇼핑인기 구성 온라인 단독특가/단독구성</t>
  </si>
  <si>
    <t>샴푸</t>
  </si>
  <si>
    <t>TS샴푸 홈쇼핑 인기상품 특가전</t>
  </si>
  <si>
    <t>TS 샴푸/트리트먼트 단독구성 + 최대 25%쿠폰</t>
  </si>
  <si>
    <t>생필품 매출1위 브랜드, 주말만 가능 히든특가</t>
  </si>
  <si>
    <t>크리넥스 화장지/디펜트 성인기저귀/좋은느낌 생리대</t>
  </si>
  <si>
    <t>유한킴벌리 히든특가 + 추가증정 + 최대7% 쿠폰</t>
  </si>
  <si>
    <t>메트로시티 브랜드 육성</t>
  </si>
  <si>
    <t xml:space="preserve">메트로시티 잡화+주얼리+시즌잡화 </t>
  </si>
  <si>
    <t>최대 26% 즉시할인</t>
  </si>
  <si>
    <t>샤넬/랑방</t>
  </si>
  <si>
    <t>메가 브랜드 행사 + 쇼핑라이브</t>
  </si>
  <si>
    <t>랑방 향수세트</t>
  </si>
  <si>
    <t>랑방 향수 8종세트 4만원대</t>
  </si>
  <si>
    <t>전품목 단독구성 / 라이브한정특가 / 최대 41% 할인 / 5%카드할인</t>
  </si>
  <si>
    <t>대상(종가/청정원)</t>
  </si>
  <si>
    <t>광고비 2백만 집행/메가브랜드 육성</t>
  </si>
  <si>
    <t>종가 김치/청정원 hmr, 양념류</t>
  </si>
  <si>
    <t>봄맞이 종가 김치/청정원 간편식 최저가 도전</t>
  </si>
  <si>
    <t>종가 김치/청정원 간편식 최저가 도전</t>
  </si>
  <si>
    <t>미샤 25주년 전품목 1+1 빅세일 (분기별 1회 진행하는 행사)</t>
  </si>
  <si>
    <t>퍼스트에센스,UV선</t>
  </si>
  <si>
    <t>미샤 창립 25주년 기념 전품목 1+1 BIG SALE</t>
  </si>
  <si>
    <t>전품목 1+1 or 한정수량 특가</t>
  </si>
  <si>
    <t>아이더 외 (K2 그룹)</t>
  </si>
  <si>
    <t>메가브랜드 육성 협력사</t>
  </si>
  <si>
    <t xml:space="preserve">바람막이/등산화 </t>
  </si>
  <si>
    <t>아이더/K2/다이나핏/와이드앵글 SS 상품 특집</t>
  </si>
  <si>
    <t>시몬스 단독 최저가 행사</t>
  </si>
  <si>
    <t>시몬스 단독 최저가+100% 사은품 증정</t>
  </si>
  <si>
    <t>광고비집행+육성브랜드</t>
  </si>
  <si>
    <t>닥터린 인케어유산균/초임계알티지오메가3</t>
  </si>
  <si>
    <t>닥터린 방송진행품목 온라인전용구성 단독특가+인기품목본품증정 이벤트</t>
  </si>
  <si>
    <t>닥터린 단독특가+본품증정혜택+추가7%쿠폰</t>
  </si>
  <si>
    <t>당일 카카오라이브 진행+광고비 집행</t>
  </si>
  <si>
    <t>도로시 랩다이아 주얼리</t>
  </si>
  <si>
    <t>도로시 랩다이아 주얼리 신상품 런칭 및 사은품 증정</t>
  </si>
  <si>
    <t>당차 최저 특가 진행 및 추가 사은품 증정</t>
  </si>
  <si>
    <t>육성협력사+홈쇼핑인기품목 온라인전용구성 단독특가</t>
  </si>
  <si>
    <t>여에스더 글루타치온/멜라토닌</t>
  </si>
  <si>
    <t>여에스더 글루타치온 외 홈쇼핑인기상품 단독특가+추가7%쿠폰</t>
  </si>
  <si>
    <t>주방용품 매출1위 브랜드 + 주말만 가능 단독 히든특가</t>
  </si>
  <si>
    <t>PN풍년 통5중 압력솥</t>
  </si>
  <si>
    <t>PN풍년 단독 히든 최저가</t>
  </si>
  <si>
    <t>PN풍년 단독최저가 + 최대10% 쿠폰</t>
  </si>
  <si>
    <t>보루네오 소파 단독 최저가 행사</t>
  </si>
  <si>
    <t>보루네오 보이시 통가죽 소파</t>
  </si>
  <si>
    <t>신세계 단독 최저가 + 사은품 증정</t>
  </si>
  <si>
    <t>스툴+쿠션2개 증정 이벤트 예정</t>
  </si>
  <si>
    <t>환절기/봄 시즌 상품(수분&amp;진정 알로에) / 육성브랜드(광고비100만) / GS상위</t>
  </si>
  <si>
    <t>큐어 하이드라 스킨/에멀전</t>
  </si>
  <si>
    <t>김정문알로에 봄맞이 스킨케어대전</t>
  </si>
  <si>
    <t>SK렌터카</t>
  </si>
  <si>
    <t xml:space="preserve">광고비 7백만 집행 / 메가 브랜드 </t>
  </si>
  <si>
    <t xml:space="preserve">SK렌터카 장기렌트 5종 </t>
  </si>
  <si>
    <t>SK렌터카 신차 장기렌트</t>
  </si>
  <si>
    <t>신세계상품권 방송중 계약시 증정 예정</t>
  </si>
  <si>
    <t xml:space="preserve">메가브랜드 </t>
  </si>
  <si>
    <t xml:space="preserve">통새우만두 </t>
  </si>
  <si>
    <t>비비고 대표상품 특가</t>
  </si>
  <si>
    <t>아모레퍼시픽 통합(스킨케어/헤어바디)</t>
  </si>
  <si>
    <t>메가 브랜드 육성 협력사 / 당사 최초 AP통합 행사 진행(직매입+위수탁)</t>
  </si>
  <si>
    <t>20일</t>
    <phoneticPr fontId="4" type="noConversion"/>
  </si>
  <si>
    <t>1억브랜드 행사 (쉬즈미스/리스트)</t>
  </si>
  <si>
    <t>21일</t>
    <phoneticPr fontId="4" type="noConversion"/>
  </si>
  <si>
    <t>금</t>
    <phoneticPr fontId="4" type="noConversion"/>
  </si>
  <si>
    <t>조말론/딥티크</t>
  </si>
  <si>
    <t xml:space="preserve">메가 브랜드 육성 협력사 / 쇼핑라이브 진행 </t>
  </si>
  <si>
    <t>조말론 100ml / 딥티크 100ml</t>
  </si>
  <si>
    <t>조말론/딥티크 니치향수 단독특가</t>
  </si>
  <si>
    <t>조말론 딥티크 단독특가</t>
  </si>
  <si>
    <t>제지 탑브랜드 광고비 100만</t>
  </si>
  <si>
    <t>코디 고창황토 화장지</t>
  </si>
  <si>
    <t>코디 제지/생필품 특가</t>
  </si>
  <si>
    <t>코디 단독 최저가 + 추가증정 + 최대7% 쿠폰'</t>
  </si>
  <si>
    <t>에싸 베스트셀러 최저가 단독 상품 진행 (TV미주확보)</t>
  </si>
  <si>
    <t>육성협력사+홈쇼핑인기품목 온라인단독특가(다이어트시즌품목 프로틴특가)</t>
  </si>
  <si>
    <t>하이뮨 프로틴밸런스 외 인기프로틴 단독특가</t>
  </si>
  <si>
    <t>하이뮨 프로틴 단독특가+사은품증정 이벤트</t>
  </si>
  <si>
    <t>프로틴 단독특가+사은품증정</t>
  </si>
  <si>
    <t>당일 카카오 기획라이브 진행/광고비 집행</t>
  </si>
  <si>
    <t>MCM 잡화 및 스카프 단독 최저 특가</t>
  </si>
  <si>
    <t>당사 단독최저특가+추가 사은품 증정</t>
  </si>
  <si>
    <t>아울렛 초특가 상품 포함 당사 단독최저특가+추가 사은품 증정</t>
  </si>
  <si>
    <t>까사미아 캄포 소파 단독 최저가 진행 (광고비 100만)</t>
  </si>
  <si>
    <t>캄포 소파 전 라인업</t>
  </si>
  <si>
    <t>까사미아 캄포 소파 단독 최저가 진행</t>
  </si>
  <si>
    <t>까사미아 캄포 데이 단,하루 신세계 단독 최저가 및 신세계상품권 증정 이벤트</t>
  </si>
  <si>
    <t>CJ바이오코어 다이어트/피부/100억등 기능성유산균/팻다운/콜라겐 외</t>
  </si>
  <si>
    <t>CJ웰케어 건강식품 단독특가 브랜드위크진행</t>
  </si>
  <si>
    <t>CJ웰케어 단독특가+구매금액별 사은품증정이벤트+추가15%쿠폰</t>
  </si>
  <si>
    <t>엘지생활건강 생필품 전 상품군 특가 (세제/주방/청소/생리대)</t>
  </si>
  <si>
    <t>테크세제/홈스타 락스/세꼼마 물티슈</t>
  </si>
  <si>
    <t>엘지생활건강 전 상품군 특가</t>
  </si>
  <si>
    <t>엘지생활건강 단독최저가 + 추가증정 +최대 15%쿠폰</t>
  </si>
  <si>
    <t>고마진 직매입 + 당일배송 (3월 취급액 확보)</t>
  </si>
  <si>
    <t>3겹화장지, 물티슈20팩, 논슬립 옷걸이</t>
  </si>
  <si>
    <t>베네플러스 생필품 최대 25% 할인 + 내일도착</t>
  </si>
  <si>
    <t xml:space="preserve">브랜드데이 미진행 </t>
  </si>
  <si>
    <r>
      <rPr>
        <sz val="9"/>
        <color rgb="FF000000"/>
        <rFont val="맑은 고딕"/>
        <family val="3"/>
        <charset val="129"/>
        <scheme val="minor"/>
      </rPr>
      <t xml:space="preserve">베네플러스 </t>
    </r>
    <r>
      <rPr>
        <sz val="9"/>
        <color rgb="FFFF0000"/>
        <rFont val="맑은 고딕"/>
        <family val="3"/>
        <charset val="129"/>
        <scheme val="minor"/>
      </rPr>
      <t>브랜드데이 미진행</t>
    </r>
    <r>
      <rPr>
        <sz val="9"/>
        <color rgb="FF000000"/>
        <rFont val="맑은 고딕"/>
        <family val="3"/>
        <charset val="129"/>
        <scheme val="minor"/>
      </rPr>
      <t xml:space="preserve"> </t>
    </r>
  </si>
  <si>
    <t>육성협력사+아모레퍼시픽 건식(다이어트 시즌품목 단독특가)</t>
  </si>
  <si>
    <t>바이탈뷰티 메타그린 슬림업/부스터샷</t>
  </si>
  <si>
    <t>바이탈뷰티 한정수량 체험팩특가+다이어트시즌품목/올영동시판매상품 특가</t>
  </si>
  <si>
    <t>바이탈뷰티 한정수량 체험팩특가+다이어트건식 단독특가+3%추가쿠폰</t>
  </si>
  <si>
    <t>시몬스 자스민 매트리스 / 뷰티레스트 침대</t>
  </si>
  <si>
    <t>단독 최저가 행사 + 추가 쿠폰 + 사은품 증정 이벤트</t>
  </si>
  <si>
    <t>4월</t>
  </si>
  <si>
    <t>랜더스 쇼핑 페스타 (4/4~13, 10일간)</t>
    <phoneticPr fontId="4" type="noConversion"/>
  </si>
  <si>
    <t>5월</t>
  </si>
  <si>
    <t>6월</t>
  </si>
  <si>
    <t>7월</t>
  </si>
  <si>
    <t>8월</t>
  </si>
  <si>
    <t>9월</t>
  </si>
  <si>
    <t>10월</t>
  </si>
  <si>
    <t>11월</t>
  </si>
  <si>
    <t>12월</t>
  </si>
  <si>
    <t>편성운영 프로세스</t>
    <phoneticPr fontId="4" type="noConversion"/>
  </si>
  <si>
    <t>취합마감</t>
  </si>
  <si>
    <t>편성확정</t>
  </si>
  <si>
    <t>소재전달 마감</t>
  </si>
  <si>
    <t>W-2 금요일 17시</t>
  </si>
  <si>
    <t>W-1 화요일 16시</t>
  </si>
  <si>
    <t>W-1 목요일 16시</t>
  </si>
  <si>
    <r>
      <t xml:space="preserve">■ W-2, 금, 17시까지 마감 </t>
    </r>
    <r>
      <rPr>
        <b/>
        <sz val="11"/>
        <rFont val="맑은 고딕"/>
        <family val="3"/>
        <charset val="129"/>
        <scheme val="minor"/>
      </rPr>
      <t>(장기 연휴로 인한 스케줄 변동시에만 취합요청 메일 공지 예정)</t>
    </r>
    <phoneticPr fontId="4" type="noConversion"/>
  </si>
  <si>
    <t>취합주차</t>
    <phoneticPr fontId="4" type="noConversion"/>
  </si>
  <si>
    <t>비고</t>
    <phoneticPr fontId="4" type="noConversion"/>
  </si>
  <si>
    <t>1230주차</t>
    <phoneticPr fontId="4" type="noConversion"/>
  </si>
  <si>
    <t>12/20(금) 17시</t>
  </si>
  <si>
    <t>12/24(화) 16시</t>
  </si>
  <si>
    <t>12/26(목) 16시</t>
  </si>
  <si>
    <t>■ 모바일상품 1,2팀 AMD RNR</t>
  </si>
  <si>
    <t>0106주차</t>
  </si>
  <si>
    <t>취합주차</t>
  </si>
  <si>
    <t>0113주차</t>
  </si>
  <si>
    <t>1230주차</t>
  </si>
  <si>
    <t>CAT</t>
  </si>
  <si>
    <t>담당MD</t>
  </si>
  <si>
    <t>담당 AMD</t>
  </si>
  <si>
    <t>0120주차</t>
  </si>
  <si>
    <t>신선/가공</t>
  </si>
  <si>
    <t>신지현</t>
  </si>
  <si>
    <t>0127주차</t>
  </si>
  <si>
    <t>표정서</t>
  </si>
  <si>
    <t>0203주차</t>
  </si>
  <si>
    <t>OO 명절 연휴기간 편성운영 일정</t>
  </si>
  <si>
    <t>0210주차</t>
  </si>
  <si>
    <t>이지수</t>
  </si>
  <si>
    <t>0217주차</t>
  </si>
  <si>
    <t>취합요청</t>
  </si>
  <si>
    <t>류수연</t>
  </si>
  <si>
    <t>0224주차</t>
  </si>
  <si>
    <t>명품잡화/가공</t>
  </si>
  <si>
    <t>주현서</t>
  </si>
  <si>
    <t>0303주차</t>
  </si>
  <si>
    <t>패션/언더웨어</t>
  </si>
  <si>
    <t>송수아</t>
  </si>
  <si>
    <t>0310주차</t>
  </si>
  <si>
    <t>0317주차</t>
  </si>
  <si>
    <t xml:space="preserve">※ 명절연휴시 편성 프로세스 일정 (기존과 동일) </t>
  </si>
  <si>
    <t>0324주차</t>
  </si>
  <si>
    <t>0331주차</t>
  </si>
  <si>
    <t>0407주차</t>
  </si>
  <si>
    <t>0414주차</t>
  </si>
  <si>
    <t>0421주차</t>
  </si>
  <si>
    <t>※ 전사 프로모션 운영 프로세스</t>
  </si>
  <si>
    <t>0428주차</t>
  </si>
  <si>
    <t> </t>
  </si>
  <si>
    <t>0505주차</t>
  </si>
  <si>
    <r>
      <t xml:space="preserve">● 소재전달 : </t>
    </r>
    <r>
      <rPr>
        <b/>
        <sz val="11"/>
        <color theme="1"/>
        <rFont val="맑은 고딕"/>
        <family val="2"/>
        <charset val="129"/>
        <scheme val="minor"/>
      </rPr>
      <t>행사 D-2 </t>
    </r>
  </si>
  <si>
    <t>0512주차</t>
  </si>
  <si>
    <t>● 운영소재 : </t>
  </si>
  <si>
    <t>0519주차</t>
  </si>
  <si>
    <t>  1. 기획전 URL </t>
  </si>
  <si>
    <t>0526주차</t>
  </si>
  <si>
    <t>  2. 행사일정(노출일정) 및 내용 </t>
  </si>
  <si>
    <t>0602주차</t>
  </si>
  <si>
    <t>  3. 기본 배너 : 띠배너/이벤트배너/정방형배너</t>
  </si>
  <si>
    <t>0609주차</t>
  </si>
  <si>
    <t>  4. 추가 배너 : 스플래시/팝업</t>
  </si>
  <si>
    <t>0616주차</t>
  </si>
  <si>
    <t>0623주차</t>
  </si>
  <si>
    <t>● 노출 영역 : 전사 프로모션만 해당 (특정 브랜드 행사시 기존처럼 협의 후 노출)</t>
  </si>
  <si>
    <t>0630주차</t>
  </si>
  <si>
    <t>0707주차</t>
  </si>
  <si>
    <t>A. 기본 노출 영역 :</t>
  </si>
  <si>
    <t>0714주차</t>
  </si>
  <si>
    <t>  1. 홈 &gt; 띠배너 </t>
  </si>
  <si>
    <t>0721주차</t>
  </si>
  <si>
    <t>  2. TV탭 &gt; 상단 정방형 배너</t>
  </si>
  <si>
    <t>0728주차</t>
  </si>
  <si>
    <t>  3. 혜택 &gt; 상단 이벤트배너</t>
  </si>
  <si>
    <t>  4. PC혜택 &gt; 이벤트배너 상단 </t>
  </si>
  <si>
    <t>B. 추가 노출 영역 : </t>
  </si>
  <si>
    <t>  5. 팝업 배너</t>
  </si>
  <si>
    <t>    - 행사 오픈일 1번 (00시~오전10시, 이후로는 후순)  </t>
  </si>
  <si>
    <t>    - 행사 마지막일 1번 (00시~오전10시, 이후로는 후순) </t>
  </si>
  <si>
    <t>  6. 스플래시 배너 </t>
  </si>
  <si>
    <t>    - 행사 오픈일 노출 (1일일 경우 종일 노출) </t>
  </si>
  <si>
    <t xml:space="preserve">■ 통합행사 편성 운영 프로세스 </t>
  </si>
  <si>
    <t>*영업일 기준</t>
  </si>
  <si>
    <t>전사마케팅</t>
  </si>
  <si>
    <t>행사내용 취합</t>
  </si>
  <si>
    <t>소재전달</t>
  </si>
  <si>
    <t>전월10일까지(1차)</t>
  </si>
  <si>
    <t>전월15일까지(최종)</t>
  </si>
  <si>
    <t>D-2</t>
  </si>
  <si>
    <t>모바일마케팅</t>
  </si>
  <si>
    <t xml:space="preserve">■ 7월 전사 프로모션 편성 프로세스 </t>
  </si>
  <si>
    <t>기본노출영역</t>
  </si>
  <si>
    <t>홈</t>
  </si>
  <si>
    <t xml:space="preserve">띠배너 1 </t>
  </si>
  <si>
    <t>TV</t>
  </si>
  <si>
    <t xml:space="preserve">상단배너 </t>
  </si>
  <si>
    <t>혜택 (PC/M)</t>
  </si>
  <si>
    <t>상세페이지</t>
  </si>
  <si>
    <t>롤링배너</t>
  </si>
  <si>
    <t>확대노출영역</t>
  </si>
  <si>
    <t>스플래시 배너</t>
  </si>
  <si>
    <t xml:space="preserve">일정 내 소재제작 가능할 경우 </t>
  </si>
  <si>
    <t>팝업배너</t>
  </si>
  <si>
    <t>오픈 당일 (종일 혹은 00시~10시 1번)</t>
  </si>
  <si>
    <t xml:space="preserve">기획전 담당 디자이너 제작 </t>
  </si>
  <si>
    <t>■ 온라인상품 브랜드데이 운영 Rules</t>
    <phoneticPr fontId="4" type="noConversion"/>
  </si>
  <si>
    <t xml:space="preserve">운영 기간 </t>
  </si>
  <si>
    <t>메인 노출 1DAY 진행</t>
    <phoneticPr fontId="4" type="noConversion"/>
  </si>
  <si>
    <t xml:space="preserve">운영 프로세스 </t>
  </si>
  <si>
    <t>MD &gt; 모바일마케팅</t>
  </si>
  <si>
    <t xml:space="preserve">모바일상품 1팀+2팀 협의된 1차 선정 브랜드 전달 </t>
  </si>
  <si>
    <t xml:space="preserve">주력일자 1일 기재 </t>
  </si>
  <si>
    <t>매월 첫째주까지 전달</t>
  </si>
  <si>
    <t>MD별 월 4회 미만 제한</t>
    <phoneticPr fontId="4" type="noConversion"/>
  </si>
  <si>
    <t>온사이트 편성 담당</t>
    <phoneticPr fontId="4" type="noConversion"/>
  </si>
  <si>
    <t>일자별 1개 브랜드 선정</t>
    <phoneticPr fontId="4" type="noConversion"/>
  </si>
  <si>
    <t>필요시 최대 2개 브랜드</t>
  </si>
  <si>
    <t>매월 둘째주까지 확정</t>
    <phoneticPr fontId="4" type="noConversion"/>
  </si>
  <si>
    <t>확정 브랜드 담당MD</t>
    <phoneticPr fontId="4" type="noConversion"/>
  </si>
  <si>
    <t xml:space="preserve">확정 브랜드 정보 입력 </t>
    <phoneticPr fontId="4" type="noConversion"/>
  </si>
  <si>
    <t>브랜드 핵심 소구점 / 브랜드 랜딩 URL</t>
    <phoneticPr fontId="4" type="noConversion"/>
  </si>
  <si>
    <t>모바일마케팅 각 매체 담당자</t>
    <phoneticPr fontId="4" type="noConversion"/>
  </si>
  <si>
    <t xml:space="preserve">가능한 마케팅 구좌 검토 </t>
    <phoneticPr fontId="4" type="noConversion"/>
  </si>
  <si>
    <t>※ 확정 이후, 전사 행사 및 긴급 이슈 발생시에는 진행 행사 일정에서 변동 가능성 있음. 발생시 담당자와 협의 예정.</t>
  </si>
  <si>
    <t>MKT 지원 내용</t>
    <phoneticPr fontId="4" type="noConversion"/>
  </si>
  <si>
    <t>매체</t>
    <phoneticPr fontId="4" type="noConversion"/>
  </si>
  <si>
    <t>운영 Rull</t>
    <phoneticPr fontId="4" type="noConversion"/>
  </si>
  <si>
    <t xml:space="preserve">온사이트 </t>
    <phoneticPr fontId="4" type="noConversion"/>
  </si>
  <si>
    <t>스플래시/팝업/홈오늘특가</t>
    <phoneticPr fontId="4" type="noConversion"/>
  </si>
  <si>
    <t>브랜드데이 진행시 해당 브랜드/상품으로 진행</t>
    <phoneticPr fontId="4" type="noConversion"/>
  </si>
  <si>
    <t>브랜드샵 상단/이벤트배너 상단</t>
    <phoneticPr fontId="4" type="noConversion"/>
  </si>
  <si>
    <t>PC메인중단/PC우측롤링배너</t>
    <phoneticPr fontId="4" type="noConversion"/>
  </si>
  <si>
    <t xml:space="preserve">고객 캠페인 </t>
    <phoneticPr fontId="4" type="noConversion"/>
  </si>
  <si>
    <t>앱푸시</t>
    <phoneticPr fontId="4" type="noConversion"/>
  </si>
  <si>
    <t>카톡플친</t>
    <phoneticPr fontId="4" type="noConversion"/>
  </si>
  <si>
    <t>단일 브랜드 X, 쇼라 진행시에는 별도 협의</t>
    <phoneticPr fontId="4" type="noConversion"/>
  </si>
  <si>
    <t>LMS</t>
    <phoneticPr fontId="4" type="noConversion"/>
  </si>
  <si>
    <t>외부 마케팅</t>
    <phoneticPr fontId="4" type="noConversion"/>
  </si>
  <si>
    <t>검색광고(SA)</t>
    <phoneticPr fontId="4" type="noConversion"/>
  </si>
  <si>
    <t>별도 협의</t>
    <phoneticPr fontId="4" type="noConversion"/>
  </si>
  <si>
    <t>네이버 EP쿠폰</t>
    <phoneticPr fontId="4" type="noConversion"/>
  </si>
  <si>
    <t xml:space="preserve">바이럴/배너광고(DA) </t>
    <phoneticPr fontId="4" type="noConversion"/>
  </si>
  <si>
    <t>진행X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</si>
</sst>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_);[Red]\(0\)"/>
    <numFmt numFmtId="177" formatCode="#,##0_);[Red]\(#,##0\)"/>
    <numFmt numFmtId="178" formatCode="mm&quot;월&quot;\ dd&quot;일&quot;"/>
    <numFmt numFmtId="179" formatCode="[$-F800]dddd\,\ mmmm\ dd\,\ yyyy"/>
  </numFmts>
  <fonts count="19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rgb="FFFF0000"/>
      <name val="맑은 고딕"/>
      <family val="3"/>
      <charset val="129"/>
      <scheme val="minor"/>
    </font>
    <font>
      <b/>
      <sz val="10"/>
      <color rgb="FFFF0000"/>
      <name val="Arial Black"/>
      <family val="3"/>
      <charset val="129"/>
    </font>
    <font>
      <b/>
      <sz val="10"/>
      <color rgb="FFFF0000"/>
      <name val="맑은 고딕"/>
      <family val="3"/>
      <charset val="129"/>
    </font>
    <font>
      <b/>
      <i/>
      <sz val="11"/>
      <color rgb="FFFF0000"/>
      <name val="맑은 고딕"/>
      <family val="3"/>
      <charset val="129"/>
      <scheme val="minor"/>
    </font>
    <font>
      <b/>
      <sz val="15"/>
      <color rgb="FFFF000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b/>
      <sz val="14"/>
      <color theme="0"/>
      <name val="맑은 고딕"/>
      <family val="3"/>
    </font>
    <font>
      <sz val="14"/>
      <color theme="1"/>
      <name val="맑은 고딕"/>
      <family val="3"/>
    </font>
    <font>
      <sz val="11"/>
      <color theme="1"/>
      <name val="맑은 고딕"/>
      <family val="3"/>
    </font>
    <font>
      <b/>
      <sz val="11"/>
      <color theme="0"/>
      <name val="맑은 고딕"/>
      <family val="3"/>
    </font>
    <font>
      <b/>
      <sz val="11"/>
      <color rgb="FF000000"/>
      <name val="맑은 고딕"/>
      <family val="3"/>
    </font>
    <font>
      <b/>
      <sz val="12"/>
      <color rgb="FF000000"/>
      <name val="맑은 고딕"/>
      <family val="3"/>
    </font>
    <font>
      <b/>
      <sz val="10"/>
      <color rgb="FF000000"/>
      <name val="맑은 고딕"/>
      <family val="3"/>
    </font>
    <font>
      <sz val="11"/>
      <color rgb="FF000000"/>
      <name val="맑은 고딕"/>
      <family val="3"/>
    </font>
    <font>
      <sz val="10"/>
      <color rgb="FF000000"/>
      <name val="맑은 고딕"/>
      <family val="3"/>
    </font>
    <font>
      <sz val="9"/>
      <color rgb="FF000000"/>
      <name val="맑은 고딕"/>
      <family val="3"/>
    </font>
    <font>
      <sz val="9"/>
      <color rgb="FF000000"/>
      <name val="Malgun Gothic"/>
      <family val="3"/>
    </font>
    <font>
      <sz val="11"/>
      <name val="맑은 고딕"/>
      <family val="3"/>
    </font>
    <font>
      <sz val="10"/>
      <name val="맑은 고딕"/>
      <family val="3"/>
    </font>
    <font>
      <sz val="12"/>
      <color rgb="FF000000"/>
      <name val="맑은 고딕"/>
      <family val="3"/>
    </font>
    <font>
      <b/>
      <sz val="9"/>
      <color rgb="FFFF0000"/>
      <name val="맑은 고딕"/>
      <family val="3"/>
    </font>
    <font>
      <sz val="9"/>
      <name val="맑은 고딕"/>
      <family val="3"/>
    </font>
    <font>
      <sz val="14"/>
      <name val="맑은 고딕"/>
      <family val="3"/>
    </font>
    <font>
      <sz val="9"/>
      <name val="굴림"/>
      <family val="3"/>
    </font>
    <font>
      <b/>
      <i/>
      <u/>
      <sz val="11"/>
      <name val="맑은 고딕"/>
      <family val="3"/>
    </font>
    <font>
      <u/>
      <sz val="9.35"/>
      <name val="맑은 고딕"/>
      <family val="3"/>
    </font>
    <font>
      <b/>
      <sz val="9"/>
      <name val="에브리데이고딕 L"/>
      <family val="3"/>
    </font>
    <font>
      <b/>
      <sz val="9"/>
      <name val="맑은 고딕"/>
      <family val="3"/>
    </font>
    <font>
      <b/>
      <sz val="11"/>
      <name val="맑은 고딕"/>
      <family val="3"/>
    </font>
    <font>
      <sz val="11"/>
      <name val="돋움"/>
      <family val="3"/>
    </font>
    <font>
      <sz val="12"/>
      <name val="돋움"/>
      <family val="3"/>
    </font>
    <font>
      <sz val="18"/>
      <name val="돋움"/>
      <family val="3"/>
    </font>
    <font>
      <sz val="10"/>
      <color rgb="FF000000"/>
      <name val="Arial Unicode MS"/>
      <family val="3"/>
      <charset val="129"/>
    </font>
    <font>
      <sz val="8"/>
      <name val="맑은 고딕"/>
      <family val="2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2"/>
    </font>
    <font>
      <sz val="10"/>
      <color rgb="FF000000"/>
      <name val="Arial"/>
      <family val="3"/>
    </font>
    <font>
      <sz val="10"/>
      <color rgb="FF000000"/>
      <name val="Arial Unicode MS"/>
      <family val="3"/>
    </font>
    <font>
      <sz val="10"/>
      <color rgb="FF000000"/>
      <name val="Arial Unicode MS"/>
      <family val="2"/>
      <charset val="129"/>
    </font>
    <font>
      <sz val="10"/>
      <name val="Arial Unicode MS"/>
      <family val="3"/>
    </font>
    <font>
      <sz val="10"/>
      <color rgb="FF000000"/>
      <name val="Arial"/>
      <family val="3"/>
      <charset val="129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굴림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굴림"/>
      <family val="3"/>
    </font>
    <font>
      <sz val="11"/>
      <color rgb="FF000000"/>
      <name val="맑은 고딕"/>
      <family val="3"/>
      <charset val="129"/>
    </font>
    <font>
      <sz val="9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0"/>
      <color theme="1"/>
      <name val="맑은 고딕"/>
      <family val="3"/>
    </font>
    <font>
      <sz val="11"/>
      <name val="에브리데이고딕 L"/>
      <family val="1"/>
    </font>
    <font>
      <sz val="11"/>
      <color rgb="FF000000"/>
      <name val="에브리데이고딕 L"/>
      <family val="1"/>
    </font>
    <font>
      <sz val="11"/>
      <color rgb="FF000000"/>
      <name val="맑은 고딕"/>
      <family val="2"/>
      <charset val="129"/>
      <scheme val="minor"/>
    </font>
    <font>
      <b/>
      <sz val="10"/>
      <color theme="0"/>
      <name val="맑은 고딕"/>
      <family val="3"/>
    </font>
    <font>
      <sz val="12"/>
      <color theme="0"/>
      <name val="맑은 고딕"/>
      <family val="3"/>
    </font>
    <font>
      <b/>
      <sz val="20"/>
      <color rgb="FF000000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sz val="14"/>
      <color rgb="FF000000"/>
      <name val="돋움"/>
      <family val="3"/>
    </font>
    <font>
      <sz val="12"/>
      <color rgb="FF000000"/>
      <name val="돋움"/>
      <family val="3"/>
    </font>
    <font>
      <sz val="11"/>
      <color rgb="FF242424"/>
      <name val="Aptos Narrow"/>
      <family val="2"/>
    </font>
    <font>
      <b/>
      <sz val="12"/>
      <color rgb="FF000000"/>
      <name val="돋움"/>
      <family val="3"/>
    </font>
    <font>
      <sz val="10"/>
      <name val="맑은 고딕"/>
      <family val="3"/>
      <charset val="129"/>
    </font>
    <font>
      <b/>
      <sz val="20"/>
      <color theme="1"/>
      <name val="Aptos Narrow"/>
      <family val="2"/>
    </font>
    <font>
      <sz val="11"/>
      <color rgb="FF000000"/>
      <name val="Arial Unicode MS"/>
      <family val="3"/>
      <charset val="129"/>
    </font>
    <font>
      <sz val="11"/>
      <color rgb="FF000000"/>
      <name val="Arial"/>
      <family val="2"/>
    </font>
    <font>
      <sz val="11"/>
      <name val="맑은 고딕"/>
      <family val="3"/>
      <charset val="129"/>
    </font>
    <font>
      <sz val="11"/>
      <color rgb="FF000000"/>
      <name val="굴림"/>
      <family val="3"/>
      <charset val="129"/>
    </font>
    <font>
      <sz val="9"/>
      <color theme="1"/>
      <name val="맑은 고딕"/>
      <family val="3"/>
    </font>
    <font>
      <b/>
      <sz val="20"/>
      <color rgb="FF000000"/>
      <name val="맑은 고딕"/>
      <family val="2"/>
      <scheme val="minor"/>
    </font>
    <font>
      <b/>
      <sz val="20"/>
      <color rgb="FFFF0000"/>
      <name val="맑은 고딕"/>
      <family val="2"/>
      <scheme val="minor"/>
    </font>
    <font>
      <b/>
      <sz val="9"/>
      <color rgb="FF000000"/>
      <name val="에브리데이고딕 L"/>
      <family val="3"/>
    </font>
    <font>
      <b/>
      <sz val="9"/>
      <color rgb="FF000000"/>
      <name val="맑은 고딕"/>
      <family val="3"/>
    </font>
    <font>
      <sz val="9"/>
      <color theme="1"/>
      <name val="맑은 고딕"/>
      <family val="2"/>
      <charset val="129"/>
    </font>
    <font>
      <u/>
      <sz val="9.35"/>
      <color rgb="FF000000"/>
      <name val="맑은 고딕"/>
      <family val="3"/>
    </font>
    <font>
      <sz val="10"/>
      <color rgb="FF000000"/>
      <name val="맑은 고딕"/>
      <family val="3"/>
      <charset val="129"/>
      <scheme val="major"/>
    </font>
    <font>
      <sz val="10"/>
      <color rgb="FF000000"/>
      <name val="Calibri"/>
      <family val="2"/>
    </font>
    <font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Aptos Narrow"/>
      <family val="2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u/>
      <sz val="9.35"/>
      <color rgb="FF0563C1"/>
      <name val="맑은 고딕"/>
      <family val="3"/>
      <charset val="129"/>
    </font>
    <font>
      <b/>
      <sz val="11"/>
      <name val="Malgun Gothic"/>
      <family val="3"/>
      <charset val="129"/>
    </font>
    <font>
      <b/>
      <sz val="11"/>
      <color theme="8"/>
      <name val="Malgun Gothic"/>
      <family val="3"/>
      <charset val="129"/>
    </font>
    <font>
      <b/>
      <i/>
      <sz val="11"/>
      <color rgb="FFFF0000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1"/>
      <color rgb="FFFF0000"/>
      <name val="Malgun Gothic"/>
      <family val="3"/>
      <charset val="129"/>
    </font>
    <font>
      <b/>
      <i/>
      <sz val="11"/>
      <color theme="8"/>
      <name val="Malgun Gothic"/>
      <family val="3"/>
      <charset val="129"/>
    </font>
    <font>
      <b/>
      <sz val="11"/>
      <color theme="8" tint="0.39997558519241921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i/>
      <sz val="12"/>
      <color rgb="FF000000"/>
      <name val="맑은 고딕"/>
      <family val="2"/>
      <charset val="129"/>
      <scheme val="minor"/>
    </font>
    <font>
      <b/>
      <i/>
      <sz val="11"/>
      <color rgb="FF000000"/>
      <name val="맑은 고딕"/>
      <family val="2"/>
      <charset val="129"/>
      <scheme val="minor"/>
    </font>
    <font>
      <sz val="11"/>
      <color rgb="FF000000"/>
      <name val="Malgun Gothic"/>
      <family val="3"/>
    </font>
    <font>
      <b/>
      <i/>
      <sz val="12"/>
      <color theme="1"/>
      <name val="맑은 고딕"/>
      <family val="2"/>
      <charset val="129"/>
      <scheme val="minor"/>
    </font>
    <font>
      <sz val="11"/>
      <color theme="1"/>
      <name val="Malgun Gothic"/>
      <family val="3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b/>
      <sz val="11"/>
      <color theme="1"/>
      <name val="Malgun Gothic"/>
      <family val="3"/>
    </font>
    <font>
      <b/>
      <sz val="11"/>
      <color rgb="FF000000"/>
      <name val="Malgun Gothic"/>
      <family val="3"/>
    </font>
    <font>
      <sz val="11"/>
      <color rgb="FF000000"/>
      <name val="맑은 고딕"/>
      <family val="3"/>
      <scheme val="major"/>
    </font>
    <font>
      <b/>
      <u val="double"/>
      <sz val="11"/>
      <color rgb="FF000000"/>
      <name val="Malgun Gothic"/>
      <family val="3"/>
      <charset val="129"/>
    </font>
    <font>
      <sz val="11"/>
      <color rgb="FFFF0000"/>
      <name val="Malgun Gothic"/>
      <family val="3"/>
      <charset val="129"/>
    </font>
    <font>
      <sz val="12"/>
      <name val="에브리데이고딕 L"/>
      <family val="1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Calibri"/>
      <family val="2"/>
    </font>
    <font>
      <b/>
      <sz val="10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10"/>
      <name val="Malgun Gothic"/>
      <family val="3"/>
    </font>
    <font>
      <b/>
      <i/>
      <sz val="10"/>
      <color rgb="FFFF0000"/>
      <name val="Malgun Gothic"/>
      <family val="3"/>
      <charset val="129"/>
    </font>
    <font>
      <sz val="10"/>
      <color theme="1"/>
      <name val="Malgun Gothic"/>
      <family val="3"/>
      <charset val="129"/>
    </font>
    <font>
      <b/>
      <sz val="10"/>
      <color rgb="FFFF0000"/>
      <name val="Malgun Gothic"/>
      <family val="3"/>
      <charset val="129"/>
    </font>
    <font>
      <b/>
      <sz val="10"/>
      <color rgb="FFFF0000"/>
      <name val="Malgun Gothic"/>
      <family val="3"/>
    </font>
    <font>
      <b/>
      <i/>
      <sz val="10"/>
      <color theme="8"/>
      <name val="Malgun Gothic"/>
      <family val="3"/>
      <charset val="129"/>
    </font>
    <font>
      <b/>
      <i/>
      <sz val="10"/>
      <color theme="8"/>
      <name val="Malgun Gothic"/>
      <family val="3"/>
    </font>
    <font>
      <b/>
      <sz val="10"/>
      <color rgb="FF000000"/>
      <name val="Malgun Gothic"/>
      <family val="3"/>
      <charset val="129"/>
    </font>
    <font>
      <b/>
      <sz val="10"/>
      <color rgb="FF000000"/>
      <name val="Malgun Gothic"/>
      <family val="3"/>
    </font>
    <font>
      <b/>
      <sz val="10"/>
      <color theme="8"/>
      <name val="Malgun Gothic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Malgun Gothic"/>
      <family val="3"/>
    </font>
    <font>
      <b/>
      <sz val="10"/>
      <color theme="1"/>
      <name val="Malgun Gothic"/>
      <family val="3"/>
    </font>
    <font>
      <sz val="10"/>
      <color theme="1"/>
      <name val="Malgun Gothic"/>
      <family val="3"/>
    </font>
    <font>
      <b/>
      <i/>
      <sz val="11"/>
      <color theme="1"/>
      <name val="맑은 고딕"/>
      <family val="3"/>
      <charset val="129"/>
      <scheme val="minor"/>
    </font>
    <font>
      <b/>
      <strike/>
      <sz val="10"/>
      <color rgb="FF000000"/>
      <name val="Malgun Gothic"/>
      <family val="3"/>
      <charset val="129"/>
    </font>
    <font>
      <b/>
      <i/>
      <sz val="11"/>
      <color rgb="FF000000"/>
      <name val="맑은 고딕"/>
      <family val="3"/>
      <charset val="129"/>
    </font>
    <font>
      <sz val="10"/>
      <color rgb="FF000000"/>
      <name val="Malgun Gothic"/>
      <family val="3"/>
    </font>
    <font>
      <i/>
      <sz val="10"/>
      <color theme="1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0"/>
      <color rgb="FFFF0000"/>
      <name val="맑은 고딕"/>
      <family val="3"/>
    </font>
    <font>
      <b/>
      <sz val="10"/>
      <color rgb="FFFF0000"/>
      <name val="맑은 고딕"/>
      <family val="3"/>
    </font>
    <font>
      <sz val="11"/>
      <color rgb="FF222222"/>
      <name val="맑은 고딕"/>
      <family val="3"/>
      <charset val="129"/>
    </font>
    <font>
      <b/>
      <sz val="20"/>
      <color rgb="FFD40022"/>
      <name val="Helvetica"/>
      <charset val="1"/>
    </font>
    <font>
      <sz val="9"/>
      <name val="굴림"/>
      <family val="3"/>
      <charset val="129"/>
    </font>
    <font>
      <sz val="10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3"/>
      <color theme="8"/>
      <name val="맑은 고딕"/>
      <family val="3"/>
      <charset val="129"/>
      <scheme val="minor"/>
    </font>
    <font>
      <b/>
      <i/>
      <sz val="13"/>
      <color rgb="FFFF0000"/>
      <name val="맑은 고딕"/>
      <family val="3"/>
      <charset val="129"/>
      <scheme val="minor"/>
    </font>
    <font>
      <b/>
      <i/>
      <sz val="10"/>
      <color rgb="FFFF0000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9"/>
      <color theme="8" tint="0.39997558519241921"/>
      <name val="맑은 고딕"/>
      <family val="3"/>
      <charset val="129"/>
      <scheme val="minor"/>
    </font>
    <font>
      <b/>
      <i/>
      <sz val="9"/>
      <color rgb="FFFF0000"/>
      <name val="맑은 고딕"/>
      <family val="3"/>
      <charset val="129"/>
    </font>
    <font>
      <b/>
      <i/>
      <sz val="8"/>
      <color theme="8"/>
      <name val="맑은 고딕"/>
      <family val="3"/>
      <charset val="129"/>
      <scheme val="minor"/>
    </font>
    <font>
      <sz val="13"/>
      <color rgb="FFFF0000"/>
      <name val="맑은 고딕"/>
      <family val="2"/>
      <scheme val="minor"/>
    </font>
    <font>
      <b/>
      <sz val="13"/>
      <color rgb="FFFF0000"/>
      <name val="맑은 고딕"/>
      <family val="2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  <font>
      <sz val="9"/>
      <color theme="1"/>
      <name val="맑은 고딕"/>
      <family val="2"/>
      <scheme val="minor"/>
    </font>
    <font>
      <sz val="9"/>
      <color rgb="FF000000"/>
      <name val="맑은 고딕"/>
      <family val="2"/>
      <scheme val="minor"/>
    </font>
    <font>
      <sz val="9"/>
      <color rgb="FFFFFFFF"/>
      <name val="맑은 고딕"/>
      <family val="2"/>
      <scheme val="minor"/>
    </font>
    <font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11"/>
      <color rgb="FFFF0000"/>
      <name val="Aptos Narrow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indexed="81"/>
      <name val="Spoqa Han Sans Neo Light"/>
      <family val="2"/>
      <charset val="129"/>
    </font>
    <font>
      <b/>
      <sz val="9"/>
      <color indexed="81"/>
      <name val="Spoqa Han Sans Neo Light"/>
      <family val="2"/>
      <charset val="129"/>
    </font>
    <font>
      <sz val="9"/>
      <color indexed="81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  <scheme val="minor"/>
    </font>
    <font>
      <sz val="8"/>
      <color rgb="FFFF0000"/>
      <name val="맑은 고딕"/>
      <family val="2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2"/>
      <scheme val="minor"/>
    </font>
    <font>
      <b/>
      <sz val="11"/>
      <color rgb="FFFF0000"/>
      <name val="맑은 고딕"/>
      <family val="2"/>
      <charset val="129"/>
      <scheme val="minor"/>
    </font>
    <font>
      <sz val="8"/>
      <color theme="0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7E4F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2"/>
        <bgColor indexed="64"/>
      </patternFill>
    </fill>
  </fills>
  <borders count="17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rgb="FF000000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/>
      <top style="hair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hair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hair">
        <color rgb="FF000000"/>
      </left>
      <right style="hair">
        <color rgb="FF000000"/>
      </right>
      <top/>
      <bottom style="hair">
        <color indexed="64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hair">
        <color indexed="64"/>
      </bottom>
      <diagonal/>
    </border>
    <border>
      <left style="hair">
        <color theme="1"/>
      </left>
      <right style="hair">
        <color theme="1"/>
      </right>
      <top style="hair">
        <color auto="1"/>
      </top>
      <bottom style="hair">
        <color auto="1"/>
      </bottom>
      <diagonal/>
    </border>
    <border>
      <left style="dotted">
        <color rgb="FF000000"/>
      </left>
      <right style="dotted">
        <color rgb="FF000000"/>
      </right>
      <top style="hair">
        <color indexed="64"/>
      </top>
      <bottom style="thin">
        <color rgb="FF000000"/>
      </bottom>
      <diagonal/>
    </border>
    <border>
      <left style="hair">
        <color theme="1"/>
      </left>
      <right style="hair">
        <color theme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theme="1"/>
      </left>
      <right style="hair">
        <color theme="1"/>
      </right>
      <top style="hair">
        <color indexed="64"/>
      </top>
      <bottom style="thin">
        <color rgb="FF000000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/>
      <bottom style="hair">
        <color auto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rgb="FF000000"/>
      </right>
      <top/>
      <bottom style="hair">
        <color indexed="64"/>
      </bottom>
      <diagonal/>
    </border>
    <border>
      <left/>
      <right style="hair">
        <color rgb="FF000000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rgb="FF000000"/>
      </bottom>
      <diagonal/>
    </border>
    <border>
      <left/>
      <right/>
      <top style="dotted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rgb="FF000000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rgb="FF000000"/>
      </right>
      <top style="thin">
        <color indexed="64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auto="1"/>
      </right>
      <top style="hair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hair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hair">
        <color auto="1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rgb="FF000000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thin">
        <color indexed="64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auto="1"/>
      </right>
      <top style="thin">
        <color rgb="FF000000"/>
      </top>
      <bottom style="hair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hair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/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/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15" fillId="0" borderId="0">
      <alignment vertical="center"/>
    </xf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center"/>
    </xf>
    <xf numFmtId="0" fontId="84" fillId="0" borderId="0">
      <alignment vertical="center"/>
    </xf>
    <xf numFmtId="0" fontId="13" fillId="0" borderId="0">
      <alignment vertical="center"/>
    </xf>
    <xf numFmtId="0" fontId="94" fillId="0" borderId="0">
      <alignment vertical="center"/>
    </xf>
    <xf numFmtId="0" fontId="153" fillId="0" borderId="0" applyNumberFormat="0" applyFill="0" applyBorder="0" applyAlignment="0" applyProtection="0">
      <alignment vertical="center"/>
    </xf>
  </cellStyleXfs>
  <cellXfs count="1788">
    <xf numFmtId="0" fontId="0" fillId="0" borderId="0" xfId="0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2" fillId="3" borderId="0" xfId="0" applyFont="1" applyFill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3" borderId="0" xfId="0" applyFont="1" applyFill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3" fillId="0" borderId="0" xfId="0" applyFont="1">
      <alignment vertical="center"/>
    </xf>
    <xf numFmtId="0" fontId="14" fillId="6" borderId="0" xfId="0" applyFont="1" applyFill="1" applyAlignment="1">
      <alignment horizontal="left" vertical="center" indent="1"/>
    </xf>
    <xf numFmtId="0" fontId="16" fillId="7" borderId="2" xfId="1" applyFont="1" applyFill="1" applyBorder="1">
      <alignment vertical="center"/>
    </xf>
    <xf numFmtId="0" fontId="17" fillId="7" borderId="2" xfId="1" applyFont="1" applyFill="1" applyBorder="1">
      <alignment vertical="center"/>
    </xf>
    <xf numFmtId="176" fontId="18" fillId="7" borderId="2" xfId="1" applyNumberFormat="1" applyFont="1" applyFill="1" applyBorder="1">
      <alignment vertical="center"/>
    </xf>
    <xf numFmtId="41" fontId="18" fillId="7" borderId="2" xfId="2" applyFont="1" applyFill="1" applyBorder="1" applyAlignment="1">
      <alignment vertical="center"/>
    </xf>
    <xf numFmtId="9" fontId="17" fillId="7" borderId="2" xfId="3" applyFont="1" applyFill="1" applyBorder="1" applyAlignment="1">
      <alignment vertical="center"/>
    </xf>
    <xf numFmtId="0" fontId="16" fillId="7" borderId="2" xfId="1" applyFont="1" applyFill="1" applyBorder="1" applyAlignment="1">
      <alignment horizontal="center" vertical="center" wrapText="1"/>
    </xf>
    <xf numFmtId="0" fontId="20" fillId="8" borderId="3" xfId="0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 wrapText="1"/>
    </xf>
    <xf numFmtId="176" fontId="20" fillId="8" borderId="3" xfId="0" applyNumberFormat="1" applyFont="1" applyFill="1" applyBorder="1" applyAlignment="1">
      <alignment horizontal="center" vertical="center"/>
    </xf>
    <xf numFmtId="41" fontId="20" fillId="8" borderId="3" xfId="2" applyFont="1" applyFill="1" applyBorder="1" applyAlignment="1">
      <alignment horizontal="center" vertical="center"/>
    </xf>
    <xf numFmtId="9" fontId="20" fillId="8" borderId="3" xfId="3" applyFont="1" applyFill="1" applyBorder="1" applyAlignment="1">
      <alignment horizontal="right" vertical="center"/>
    </xf>
    <xf numFmtId="0" fontId="21" fillId="8" borderId="3" xfId="0" applyFont="1" applyFill="1" applyBorder="1" applyAlignment="1">
      <alignment horizontal="center" vertical="center" wrapText="1"/>
    </xf>
    <xf numFmtId="176" fontId="22" fillId="8" borderId="3" xfId="0" applyNumberFormat="1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/>
    </xf>
    <xf numFmtId="0" fontId="0" fillId="9" borderId="3" xfId="0" applyFill="1" applyBorder="1">
      <alignment vertical="center"/>
    </xf>
    <xf numFmtId="0" fontId="0" fillId="9" borderId="3" xfId="0" applyFill="1" applyBorder="1" applyAlignment="1">
      <alignment vertical="center" wrapText="1"/>
    </xf>
    <xf numFmtId="0" fontId="0" fillId="9" borderId="2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3" fontId="0" fillId="9" borderId="3" xfId="0" applyNumberFormat="1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23" fillId="9" borderId="3" xfId="0" applyFont="1" applyFill="1" applyBorder="1">
      <alignment vertical="center"/>
    </xf>
    <xf numFmtId="0" fontId="23" fillId="9" borderId="3" xfId="0" applyFont="1" applyFill="1" applyBorder="1" applyAlignment="1">
      <alignment vertical="center" wrapText="1"/>
    </xf>
    <xf numFmtId="0" fontId="24" fillId="9" borderId="3" xfId="0" applyFont="1" applyFill="1" applyBorder="1">
      <alignment vertical="center"/>
    </xf>
    <xf numFmtId="3" fontId="23" fillId="9" borderId="3" xfId="0" applyNumberFormat="1" applyFont="1" applyFill="1" applyBorder="1">
      <alignment vertical="center"/>
    </xf>
    <xf numFmtId="9" fontId="23" fillId="9" borderId="3" xfId="0" applyNumberFormat="1" applyFont="1" applyFill="1" applyBorder="1">
      <alignment vertical="center"/>
    </xf>
    <xf numFmtId="0" fontId="23" fillId="9" borderId="3" xfId="0" applyFont="1" applyFill="1" applyBorder="1" applyAlignment="1">
      <alignment horizontal="center" vertical="center"/>
    </xf>
    <xf numFmtId="3" fontId="23" fillId="9" borderId="3" xfId="0" applyNumberFormat="1" applyFont="1" applyFill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 wrapText="1"/>
    </xf>
    <xf numFmtId="0" fontId="25" fillId="9" borderId="3" xfId="0" applyFont="1" applyFill="1" applyBorder="1">
      <alignment vertical="center"/>
    </xf>
    <xf numFmtId="0" fontId="25" fillId="9" borderId="3" xfId="0" applyFont="1" applyFill="1" applyBorder="1" applyAlignment="1">
      <alignment vertical="center" wrapText="1"/>
    </xf>
    <xf numFmtId="3" fontId="25" fillId="9" borderId="3" xfId="0" applyNumberFormat="1" applyFont="1" applyFill="1" applyBorder="1">
      <alignment vertical="center"/>
    </xf>
    <xf numFmtId="9" fontId="25" fillId="9" borderId="3" xfId="0" applyNumberFormat="1" applyFont="1" applyFill="1" applyBorder="1">
      <alignment vertical="center"/>
    </xf>
    <xf numFmtId="0" fontId="26" fillId="9" borderId="3" xfId="0" applyFont="1" applyFill="1" applyBorder="1" applyAlignment="1">
      <alignment vertical="center" wrapText="1"/>
    </xf>
    <xf numFmtId="176" fontId="25" fillId="9" borderId="3" xfId="0" applyNumberFormat="1" applyFont="1" applyFill="1" applyBorder="1">
      <alignment vertical="center"/>
    </xf>
    <xf numFmtId="0" fontId="27" fillId="9" borderId="4" xfId="0" applyFont="1" applyFill="1" applyBorder="1">
      <alignment vertical="center"/>
    </xf>
    <xf numFmtId="0" fontId="28" fillId="9" borderId="4" xfId="0" applyFont="1" applyFill="1" applyBorder="1">
      <alignment vertical="center"/>
    </xf>
    <xf numFmtId="3" fontId="24" fillId="9" borderId="4" xfId="0" applyNumberFormat="1" applyFont="1" applyFill="1" applyBorder="1">
      <alignment vertical="center"/>
    </xf>
    <xf numFmtId="9" fontId="24" fillId="9" borderId="5" xfId="0" applyNumberFormat="1" applyFont="1" applyFill="1" applyBorder="1">
      <alignment vertical="center"/>
    </xf>
    <xf numFmtId="0" fontId="24" fillId="9" borderId="4" xfId="0" applyFont="1" applyFill="1" applyBorder="1">
      <alignment vertical="center"/>
    </xf>
    <xf numFmtId="3" fontId="24" fillId="9" borderId="5" xfId="0" applyNumberFormat="1" applyFont="1" applyFill="1" applyBorder="1">
      <alignment vertical="center"/>
    </xf>
    <xf numFmtId="0" fontId="27" fillId="9" borderId="7" xfId="0" applyFont="1" applyFill="1" applyBorder="1">
      <alignment vertical="center"/>
    </xf>
    <xf numFmtId="0" fontId="28" fillId="9" borderId="7" xfId="0" applyFont="1" applyFill="1" applyBorder="1">
      <alignment vertical="center"/>
    </xf>
    <xf numFmtId="3" fontId="24" fillId="9" borderId="7" xfId="0" applyNumberFormat="1" applyFont="1" applyFill="1" applyBorder="1">
      <alignment vertical="center"/>
    </xf>
    <xf numFmtId="9" fontId="24" fillId="9" borderId="8" xfId="0" applyNumberFormat="1" applyFont="1" applyFill="1" applyBorder="1">
      <alignment vertical="center"/>
    </xf>
    <xf numFmtId="0" fontId="24" fillId="9" borderId="7" xfId="0" applyFont="1" applyFill="1" applyBorder="1">
      <alignment vertical="center"/>
    </xf>
    <xf numFmtId="3" fontId="24" fillId="9" borderId="8" xfId="0" applyNumberFormat="1" applyFont="1" applyFill="1" applyBorder="1">
      <alignment vertical="center"/>
    </xf>
    <xf numFmtId="9" fontId="0" fillId="9" borderId="3" xfId="0" applyNumberFormat="1" applyFill="1" applyBorder="1">
      <alignment vertical="center"/>
    </xf>
    <xf numFmtId="0" fontId="0" fillId="9" borderId="3" xfId="0" applyFill="1" applyBorder="1" applyAlignment="1">
      <alignment horizontal="right" vertical="center" wrapText="1"/>
    </xf>
    <xf numFmtId="41" fontId="0" fillId="9" borderId="3" xfId="0" applyNumberFormat="1" applyFill="1" applyBorder="1">
      <alignment vertical="center"/>
    </xf>
    <xf numFmtId="41" fontId="0" fillId="9" borderId="3" xfId="0" applyNumberFormat="1" applyFill="1" applyBorder="1" applyAlignment="1">
      <alignment horizontal="center" vertical="center"/>
    </xf>
    <xf numFmtId="41" fontId="0" fillId="9" borderId="3" xfId="0" applyNumberFormat="1" applyFill="1" applyBorder="1" applyAlignment="1">
      <alignment horizontal="right" vertical="center"/>
    </xf>
    <xf numFmtId="0" fontId="0" fillId="2" borderId="3" xfId="0" applyFill="1" applyBorder="1">
      <alignment vertical="center"/>
    </xf>
    <xf numFmtId="0" fontId="0" fillId="9" borderId="3" xfId="0" applyFill="1" applyBorder="1" applyAlignment="1">
      <alignment horizontal="right" vertical="center"/>
    </xf>
    <xf numFmtId="41" fontId="0" fillId="9" borderId="2" xfId="0" applyNumberFormat="1" applyFill="1" applyBorder="1" applyAlignment="1">
      <alignment horizontal="right" vertical="center"/>
    </xf>
    <xf numFmtId="0" fontId="0" fillId="2" borderId="2" xfId="0" applyFill="1" applyBorder="1">
      <alignment vertical="center"/>
    </xf>
    <xf numFmtId="0" fontId="30" fillId="10" borderId="3" xfId="0" applyFont="1" applyFill="1" applyBorder="1" applyAlignment="1">
      <alignment horizontal="right" vertical="center"/>
    </xf>
    <xf numFmtId="0" fontId="27" fillId="9" borderId="3" xfId="0" applyFont="1" applyFill="1" applyBorder="1">
      <alignment vertical="center"/>
    </xf>
    <xf numFmtId="0" fontId="27" fillId="9" borderId="3" xfId="0" applyFont="1" applyFill="1" applyBorder="1" applyAlignment="1">
      <alignment horizontal="center" vertical="center"/>
    </xf>
    <xf numFmtId="0" fontId="27" fillId="9" borderId="3" xfId="0" applyFont="1" applyFill="1" applyBorder="1" applyAlignment="1">
      <alignment vertical="center" wrapText="1"/>
    </xf>
    <xf numFmtId="3" fontId="27" fillId="9" borderId="3" xfId="0" applyNumberFormat="1" applyFont="1" applyFill="1" applyBorder="1">
      <alignment vertical="center"/>
    </xf>
    <xf numFmtId="9" fontId="27" fillId="9" borderId="3" xfId="0" applyNumberFormat="1" applyFont="1" applyFill="1" applyBorder="1">
      <alignment vertical="center"/>
    </xf>
    <xf numFmtId="0" fontId="31" fillId="9" borderId="3" xfId="0" applyFont="1" applyFill="1" applyBorder="1" applyAlignment="1">
      <alignment vertical="center" wrapText="1"/>
    </xf>
    <xf numFmtId="0" fontId="28" fillId="9" borderId="3" xfId="0" applyFont="1" applyFill="1" applyBorder="1" applyAlignment="1">
      <alignment vertical="center" wrapText="1"/>
    </xf>
    <xf numFmtId="0" fontId="33" fillId="9" borderId="3" xfId="0" applyFont="1" applyFill="1" applyBorder="1" applyAlignment="1">
      <alignment vertical="center" wrapText="1"/>
    </xf>
    <xf numFmtId="0" fontId="34" fillId="9" borderId="3" xfId="0" applyFont="1" applyFill="1" applyBorder="1" applyAlignment="1">
      <alignment vertical="center" wrapText="1"/>
    </xf>
    <xf numFmtId="3" fontId="27" fillId="9" borderId="3" xfId="0" applyNumberFormat="1" applyFont="1" applyFill="1" applyBorder="1" applyAlignment="1">
      <alignment vertical="center" wrapText="1"/>
    </xf>
    <xf numFmtId="0" fontId="31" fillId="9" borderId="3" xfId="0" applyFont="1" applyFill="1" applyBorder="1">
      <alignment vertical="center"/>
    </xf>
    <xf numFmtId="0" fontId="35" fillId="9" borderId="3" xfId="0" applyFont="1" applyFill="1" applyBorder="1" applyAlignment="1">
      <alignment vertical="center" wrapText="1"/>
    </xf>
    <xf numFmtId="0" fontId="36" fillId="9" borderId="3" xfId="0" applyFont="1" applyFill="1" applyBorder="1" applyAlignment="1">
      <alignment vertical="center" wrapText="1"/>
    </xf>
    <xf numFmtId="3" fontId="36" fillId="9" borderId="3" xfId="0" applyNumberFormat="1" applyFont="1" applyFill="1" applyBorder="1" applyAlignment="1">
      <alignment vertical="center" wrapText="1"/>
    </xf>
    <xf numFmtId="9" fontId="36" fillId="9" borderId="3" xfId="0" applyNumberFormat="1" applyFont="1" applyFill="1" applyBorder="1" applyAlignment="1">
      <alignment vertical="center" wrapText="1"/>
    </xf>
    <xf numFmtId="0" fontId="37" fillId="9" borderId="3" xfId="0" applyFont="1" applyFill="1" applyBorder="1" applyAlignment="1">
      <alignment vertical="center" wrapText="1"/>
    </xf>
    <xf numFmtId="0" fontId="38" fillId="9" borderId="3" xfId="0" applyFont="1" applyFill="1" applyBorder="1">
      <alignment vertical="center"/>
    </xf>
    <xf numFmtId="3" fontId="38" fillId="9" borderId="3" xfId="0" applyNumberFormat="1" applyFont="1" applyFill="1" applyBorder="1">
      <alignment vertical="center"/>
    </xf>
    <xf numFmtId="0" fontId="28" fillId="9" borderId="3" xfId="0" applyFont="1" applyFill="1" applyBorder="1">
      <alignment vertical="center"/>
    </xf>
    <xf numFmtId="3" fontId="27" fillId="9" borderId="9" xfId="0" applyNumberFormat="1" applyFont="1" applyFill="1" applyBorder="1">
      <alignment vertical="center"/>
    </xf>
    <xf numFmtId="0" fontId="39" fillId="9" borderId="3" xfId="0" applyFont="1" applyFill="1" applyBorder="1">
      <alignment vertical="center"/>
    </xf>
    <xf numFmtId="0" fontId="39" fillId="9" borderId="3" xfId="0" applyFont="1" applyFill="1" applyBorder="1" applyAlignment="1">
      <alignment vertical="center" wrapText="1"/>
    </xf>
    <xf numFmtId="3" fontId="40" fillId="9" borderId="3" xfId="0" applyNumberFormat="1" applyFont="1" applyFill="1" applyBorder="1">
      <alignment vertical="center"/>
    </xf>
    <xf numFmtId="9" fontId="41" fillId="9" borderId="3" xfId="0" applyNumberFormat="1" applyFont="1" applyFill="1" applyBorder="1">
      <alignment vertical="center"/>
    </xf>
    <xf numFmtId="0" fontId="41" fillId="9" borderId="3" xfId="0" applyFont="1" applyFill="1" applyBorder="1" applyAlignment="1">
      <alignment vertical="center" wrapText="1"/>
    </xf>
    <xf numFmtId="0" fontId="42" fillId="9" borderId="3" xfId="0" applyFont="1" applyFill="1" applyBorder="1" applyAlignment="1">
      <alignment horizontal="center" vertical="center" readingOrder="1"/>
    </xf>
    <xf numFmtId="0" fontId="45" fillId="9" borderId="3" xfId="0" applyFont="1" applyFill="1" applyBorder="1" applyAlignment="1">
      <alignment horizontal="center" vertical="center" readingOrder="1"/>
    </xf>
    <xf numFmtId="0" fontId="46" fillId="9" borderId="3" xfId="0" applyFont="1" applyFill="1" applyBorder="1" applyAlignment="1">
      <alignment horizontal="left" vertical="center" readingOrder="1"/>
    </xf>
    <xf numFmtId="41" fontId="45" fillId="9" borderId="3" xfId="2" applyFont="1" applyFill="1" applyBorder="1" applyAlignment="1">
      <alignment vertical="center" readingOrder="1"/>
    </xf>
    <xf numFmtId="9" fontId="45" fillId="9" borderId="3" xfId="3" applyFont="1" applyFill="1" applyBorder="1" applyAlignment="1">
      <alignment horizontal="center" vertical="center" readingOrder="1"/>
    </xf>
    <xf numFmtId="41" fontId="45" fillId="9" borderId="9" xfId="0" applyNumberFormat="1" applyFont="1" applyFill="1" applyBorder="1" applyAlignment="1">
      <alignment vertical="center" readingOrder="1"/>
    </xf>
    <xf numFmtId="41" fontId="45" fillId="9" borderId="3" xfId="0" applyNumberFormat="1" applyFont="1" applyFill="1" applyBorder="1" applyAlignment="1">
      <alignment vertical="center" readingOrder="1"/>
    </xf>
    <xf numFmtId="0" fontId="45" fillId="9" borderId="3" xfId="0" applyFont="1" applyFill="1" applyBorder="1" applyAlignment="1">
      <alignment horizontal="left" vertical="center" readingOrder="1"/>
    </xf>
    <xf numFmtId="0" fontId="52" fillId="9" borderId="3" xfId="0" applyFont="1" applyFill="1" applyBorder="1" applyAlignment="1">
      <alignment horizontal="center" vertical="center" readingOrder="1"/>
    </xf>
    <xf numFmtId="0" fontId="45" fillId="9" borderId="2" xfId="0" applyFont="1" applyFill="1" applyBorder="1" applyAlignment="1">
      <alignment horizontal="center" vertical="center" readingOrder="1"/>
    </xf>
    <xf numFmtId="0" fontId="49" fillId="9" borderId="2" xfId="0" applyFont="1" applyFill="1" applyBorder="1" applyAlignment="1">
      <alignment horizontal="center" vertical="center" readingOrder="1"/>
    </xf>
    <xf numFmtId="0" fontId="46" fillId="9" borderId="2" xfId="0" applyFont="1" applyFill="1" applyBorder="1" applyAlignment="1">
      <alignment horizontal="left" vertical="center" readingOrder="1"/>
    </xf>
    <xf numFmtId="0" fontId="45" fillId="9" borderId="2" xfId="0" applyFont="1" applyFill="1" applyBorder="1" applyAlignment="1">
      <alignment horizontal="center" vertical="center" wrapText="1" readingOrder="1"/>
    </xf>
    <xf numFmtId="3" fontId="45" fillId="9" borderId="2" xfId="0" applyNumberFormat="1" applyFont="1" applyFill="1" applyBorder="1" applyAlignment="1">
      <alignment horizontal="center" vertical="center" readingOrder="1"/>
    </xf>
    <xf numFmtId="9" fontId="45" fillId="9" borderId="2" xfId="2" applyNumberFormat="1" applyFont="1" applyFill="1" applyBorder="1" applyAlignment="1">
      <alignment vertical="center" readingOrder="1"/>
    </xf>
    <xf numFmtId="9" fontId="45" fillId="9" borderId="2" xfId="3" applyFont="1" applyFill="1" applyBorder="1" applyAlignment="1">
      <alignment horizontal="center" vertical="center" readingOrder="1"/>
    </xf>
    <xf numFmtId="0" fontId="53" fillId="9" borderId="2" xfId="4" applyFont="1" applyFill="1" applyBorder="1" applyAlignment="1">
      <alignment vertical="center" wrapText="1"/>
    </xf>
    <xf numFmtId="41" fontId="45" fillId="9" borderId="12" xfId="2" applyFont="1" applyFill="1" applyBorder="1" applyAlignment="1">
      <alignment vertical="center" readingOrder="1"/>
    </xf>
    <xf numFmtId="41" fontId="45" fillId="9" borderId="2" xfId="0" applyNumberFormat="1" applyFont="1" applyFill="1" applyBorder="1" applyAlignment="1">
      <alignment vertical="center" readingOrder="1"/>
    </xf>
    <xf numFmtId="0" fontId="45" fillId="9" borderId="8" xfId="0" applyFont="1" applyFill="1" applyBorder="1" applyAlignment="1">
      <alignment vertical="center" readingOrder="1"/>
    </xf>
    <xf numFmtId="0" fontId="45" fillId="9" borderId="7" xfId="0" applyFont="1" applyFill="1" applyBorder="1" applyAlignment="1">
      <alignment vertical="center" readingOrder="1"/>
    </xf>
    <xf numFmtId="3" fontId="45" fillId="9" borderId="8" xfId="0" applyNumberFormat="1" applyFont="1" applyFill="1" applyBorder="1" applyAlignment="1">
      <alignment vertical="center" readingOrder="1"/>
    </xf>
    <xf numFmtId="0" fontId="45" fillId="9" borderId="8" xfId="0" applyFont="1" applyFill="1" applyBorder="1" applyAlignment="1">
      <alignment horizontal="center" vertical="center" readingOrder="1"/>
    </xf>
    <xf numFmtId="0" fontId="45" fillId="10" borderId="3" xfId="0" applyFont="1" applyFill="1" applyBorder="1" applyAlignment="1">
      <alignment horizontal="center" vertical="center" readingOrder="1"/>
    </xf>
    <xf numFmtId="0" fontId="45" fillId="10" borderId="3" xfId="0" applyFont="1" applyFill="1" applyBorder="1" applyAlignment="1">
      <alignment horizontal="left" vertical="center" readingOrder="1"/>
    </xf>
    <xf numFmtId="41" fontId="45" fillId="10" borderId="3" xfId="2" applyFont="1" applyFill="1" applyBorder="1" applyAlignment="1">
      <alignment vertical="center" readingOrder="1"/>
    </xf>
    <xf numFmtId="9" fontId="45" fillId="10" borderId="3" xfId="3" applyFont="1" applyFill="1" applyBorder="1" applyAlignment="1">
      <alignment horizontal="center" vertical="center" readingOrder="1"/>
    </xf>
    <xf numFmtId="3" fontId="0" fillId="10" borderId="3" xfId="0" applyNumberFormat="1" applyFill="1" applyBorder="1">
      <alignment vertical="center"/>
    </xf>
    <xf numFmtId="0" fontId="0" fillId="5" borderId="0" xfId="0" applyFill="1">
      <alignment vertical="center"/>
    </xf>
    <xf numFmtId="0" fontId="0" fillId="5" borderId="0" xfId="0" applyFill="1" applyAlignment="1">
      <alignment vertical="center" wrapText="1"/>
    </xf>
    <xf numFmtId="0" fontId="0" fillId="9" borderId="15" xfId="0" applyFill="1" applyBorder="1">
      <alignment vertical="center"/>
    </xf>
    <xf numFmtId="0" fontId="0" fillId="9" borderId="15" xfId="0" applyFill="1" applyBorder="1" applyAlignment="1">
      <alignment vertical="center" wrapText="1"/>
    </xf>
    <xf numFmtId="9" fontId="0" fillId="9" borderId="15" xfId="0" applyNumberFormat="1" applyFill="1" applyBorder="1">
      <alignment vertical="center"/>
    </xf>
    <xf numFmtId="0" fontId="0" fillId="9" borderId="13" xfId="0" applyFill="1" applyBorder="1" applyAlignment="1">
      <alignment horizontal="center" vertical="center"/>
    </xf>
    <xf numFmtId="3" fontId="0" fillId="9" borderId="15" xfId="0" applyNumberFormat="1" applyFill="1" applyBorder="1">
      <alignment vertical="center"/>
    </xf>
    <xf numFmtId="0" fontId="0" fillId="9" borderId="16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2" borderId="15" xfId="0" applyFill="1" applyBorder="1">
      <alignment vertical="center"/>
    </xf>
    <xf numFmtId="0" fontId="0" fillId="9" borderId="19" xfId="0" applyFill="1" applyBorder="1">
      <alignment vertical="center"/>
    </xf>
    <xf numFmtId="0" fontId="57" fillId="9" borderId="4" xfId="0" applyFont="1" applyFill="1" applyBorder="1">
      <alignment vertical="center"/>
    </xf>
    <xf numFmtId="0" fontId="57" fillId="9" borderId="5" xfId="0" applyFont="1" applyFill="1" applyBorder="1">
      <alignment vertical="center"/>
    </xf>
    <xf numFmtId="0" fontId="23" fillId="9" borderId="4" xfId="0" applyFont="1" applyFill="1" applyBorder="1">
      <alignment vertical="center"/>
    </xf>
    <xf numFmtId="3" fontId="57" fillId="9" borderId="5" xfId="0" applyNumberFormat="1" applyFont="1" applyFill="1" applyBorder="1">
      <alignment vertical="center"/>
    </xf>
    <xf numFmtId="9" fontId="57" fillId="9" borderId="5" xfId="0" applyNumberFormat="1" applyFont="1" applyFill="1" applyBorder="1">
      <alignment vertical="center"/>
    </xf>
    <xf numFmtId="0" fontId="57" fillId="9" borderId="7" xfId="0" applyFont="1" applyFill="1" applyBorder="1">
      <alignment vertical="center"/>
    </xf>
    <xf numFmtId="0" fontId="57" fillId="9" borderId="8" xfId="0" applyFont="1" applyFill="1" applyBorder="1">
      <alignment vertical="center"/>
    </xf>
    <xf numFmtId="0" fontId="23" fillId="9" borderId="7" xfId="0" applyFont="1" applyFill="1" applyBorder="1">
      <alignment vertical="center"/>
    </xf>
    <xf numFmtId="3" fontId="57" fillId="9" borderId="8" xfId="0" applyNumberFormat="1" applyFont="1" applyFill="1" applyBorder="1">
      <alignment vertical="center"/>
    </xf>
    <xf numFmtId="9" fontId="57" fillId="9" borderId="8" xfId="0" applyNumberFormat="1" applyFont="1" applyFill="1" applyBorder="1">
      <alignment vertical="center"/>
    </xf>
    <xf numFmtId="0" fontId="23" fillId="9" borderId="13" xfId="0" applyFont="1" applyFill="1" applyBorder="1">
      <alignment vertical="center"/>
    </xf>
    <xf numFmtId="3" fontId="57" fillId="9" borderId="22" xfId="0" applyNumberFormat="1" applyFont="1" applyFill="1" applyBorder="1">
      <alignment vertical="center"/>
    </xf>
    <xf numFmtId="9" fontId="57" fillId="9" borderId="22" xfId="0" applyNumberFormat="1" applyFont="1" applyFill="1" applyBorder="1">
      <alignment vertical="center"/>
    </xf>
    <xf numFmtId="0" fontId="57" fillId="9" borderId="22" xfId="0" applyFont="1" applyFill="1" applyBorder="1">
      <alignment vertical="center"/>
    </xf>
    <xf numFmtId="0" fontId="58" fillId="9" borderId="8" xfId="0" applyFont="1" applyFill="1" applyBorder="1">
      <alignment vertical="center"/>
    </xf>
    <xf numFmtId="0" fontId="58" fillId="9" borderId="23" xfId="0" applyFont="1" applyFill="1" applyBorder="1" applyAlignment="1">
      <alignment vertical="center" wrapText="1"/>
    </xf>
    <xf numFmtId="0" fontId="57" fillId="9" borderId="3" xfId="0" applyFont="1" applyFill="1" applyBorder="1" applyAlignment="1">
      <alignment vertical="center" wrapText="1"/>
    </xf>
    <xf numFmtId="3" fontId="58" fillId="9" borderId="3" xfId="0" applyNumberFormat="1" applyFont="1" applyFill="1" applyBorder="1">
      <alignment vertical="center"/>
    </xf>
    <xf numFmtId="9" fontId="58" fillId="9" borderId="3" xfId="0" applyNumberFormat="1" applyFont="1" applyFill="1" applyBorder="1">
      <alignment vertical="center"/>
    </xf>
    <xf numFmtId="0" fontId="57" fillId="9" borderId="3" xfId="0" applyFont="1" applyFill="1" applyBorder="1">
      <alignment vertical="center"/>
    </xf>
    <xf numFmtId="0" fontId="58" fillId="9" borderId="8" xfId="0" applyFont="1" applyFill="1" applyBorder="1" applyAlignment="1">
      <alignment vertical="center" wrapText="1"/>
    </xf>
    <xf numFmtId="0" fontId="58" fillId="9" borderId="23" xfId="0" applyFont="1" applyFill="1" applyBorder="1">
      <alignment vertical="center"/>
    </xf>
    <xf numFmtId="0" fontId="57" fillId="9" borderId="23" xfId="0" applyFont="1" applyFill="1" applyBorder="1">
      <alignment vertical="center"/>
    </xf>
    <xf numFmtId="3" fontId="57" fillId="9" borderId="3" xfId="0" applyNumberFormat="1" applyFont="1" applyFill="1" applyBorder="1">
      <alignment vertical="center"/>
    </xf>
    <xf numFmtId="9" fontId="57" fillId="9" borderId="3" xfId="0" applyNumberFormat="1" applyFont="1" applyFill="1" applyBorder="1">
      <alignment vertical="center"/>
    </xf>
    <xf numFmtId="0" fontId="57" fillId="9" borderId="7" xfId="0" applyFont="1" applyFill="1" applyBorder="1" applyAlignment="1">
      <alignment vertical="center" wrapText="1"/>
    </xf>
    <xf numFmtId="0" fontId="57" fillId="9" borderId="8" xfId="0" applyFont="1" applyFill="1" applyBorder="1" applyAlignment="1">
      <alignment vertical="center" wrapText="1"/>
    </xf>
    <xf numFmtId="0" fontId="57" fillId="9" borderId="22" xfId="0" applyFont="1" applyFill="1" applyBorder="1" applyAlignment="1">
      <alignment vertical="center" wrapText="1"/>
    </xf>
    <xf numFmtId="3" fontId="58" fillId="9" borderId="22" xfId="0" applyNumberFormat="1" applyFont="1" applyFill="1" applyBorder="1">
      <alignment vertical="center"/>
    </xf>
    <xf numFmtId="0" fontId="0" fillId="2" borderId="13" xfId="0" applyFill="1" applyBorder="1">
      <alignment vertical="center"/>
    </xf>
    <xf numFmtId="0" fontId="57" fillId="9" borderId="24" xfId="0" applyFont="1" applyFill="1" applyBorder="1">
      <alignment vertical="center"/>
    </xf>
    <xf numFmtId="0" fontId="57" fillId="9" borderId="25" xfId="0" applyFont="1" applyFill="1" applyBorder="1">
      <alignment vertical="center"/>
    </xf>
    <xf numFmtId="3" fontId="59" fillId="9" borderId="3" xfId="0" applyNumberFormat="1" applyFont="1" applyFill="1" applyBorder="1">
      <alignment vertical="center"/>
    </xf>
    <xf numFmtId="9" fontId="59" fillId="9" borderId="8" xfId="0" applyNumberFormat="1" applyFont="1" applyFill="1" applyBorder="1">
      <alignment vertical="center"/>
    </xf>
    <xf numFmtId="0" fontId="57" fillId="9" borderId="26" xfId="0" applyFont="1" applyFill="1" applyBorder="1">
      <alignment vertical="center"/>
    </xf>
    <xf numFmtId="0" fontId="18" fillId="9" borderId="3" xfId="0" applyFont="1" applyFill="1" applyBorder="1">
      <alignment vertical="center"/>
    </xf>
    <xf numFmtId="0" fontId="57" fillId="9" borderId="5" xfId="0" applyFont="1" applyFill="1" applyBorder="1" applyAlignment="1">
      <alignment vertical="center" wrapText="1"/>
    </xf>
    <xf numFmtId="0" fontId="59" fillId="9" borderId="0" xfId="0" applyFont="1" applyFill="1">
      <alignment vertical="center"/>
    </xf>
    <xf numFmtId="9" fontId="59" fillId="9" borderId="7" xfId="0" applyNumberFormat="1" applyFont="1" applyFill="1" applyBorder="1">
      <alignment vertical="center"/>
    </xf>
    <xf numFmtId="3" fontId="59" fillId="9" borderId="5" xfId="0" applyNumberFormat="1" applyFont="1" applyFill="1" applyBorder="1">
      <alignment vertical="center"/>
    </xf>
    <xf numFmtId="3" fontId="59" fillId="9" borderId="8" xfId="0" applyNumberFormat="1" applyFont="1" applyFill="1" applyBorder="1">
      <alignment vertical="center"/>
    </xf>
    <xf numFmtId="0" fontId="60" fillId="9" borderId="8" xfId="0" applyFont="1" applyFill="1" applyBorder="1">
      <alignment vertical="center"/>
    </xf>
    <xf numFmtId="0" fontId="18" fillId="9" borderId="7" xfId="0" applyFont="1" applyFill="1" applyBorder="1">
      <alignment vertical="center"/>
    </xf>
    <xf numFmtId="0" fontId="57" fillId="9" borderId="11" xfId="0" applyFont="1" applyFill="1" applyBorder="1">
      <alignment vertical="center"/>
    </xf>
    <xf numFmtId="0" fontId="59" fillId="9" borderId="3" xfId="0" applyFont="1" applyFill="1" applyBorder="1">
      <alignment vertical="center"/>
    </xf>
    <xf numFmtId="0" fontId="23" fillId="9" borderId="5" xfId="0" applyFont="1" applyFill="1" applyBorder="1">
      <alignment vertical="center"/>
    </xf>
    <xf numFmtId="0" fontId="61" fillId="9" borderId="4" xfId="0" applyFont="1" applyFill="1" applyBorder="1">
      <alignment vertical="center"/>
    </xf>
    <xf numFmtId="3" fontId="23" fillId="9" borderId="5" xfId="0" applyNumberFormat="1" applyFont="1" applyFill="1" applyBorder="1">
      <alignment vertical="center"/>
    </xf>
    <xf numFmtId="9" fontId="23" fillId="9" borderId="5" xfId="0" applyNumberFormat="1" applyFont="1" applyFill="1" applyBorder="1">
      <alignment vertical="center"/>
    </xf>
    <xf numFmtId="0" fontId="23" fillId="9" borderId="8" xfId="0" applyFont="1" applyFill="1" applyBorder="1">
      <alignment vertical="center"/>
    </xf>
    <xf numFmtId="0" fontId="61" fillId="9" borderId="7" xfId="0" applyFont="1" applyFill="1" applyBorder="1">
      <alignment vertical="center"/>
    </xf>
    <xf numFmtId="3" fontId="23" fillId="9" borderId="8" xfId="0" applyNumberFormat="1" applyFont="1" applyFill="1" applyBorder="1">
      <alignment vertical="center"/>
    </xf>
    <xf numFmtId="9" fontId="23" fillId="9" borderId="8" xfId="0" applyNumberFormat="1" applyFont="1" applyFill="1" applyBorder="1">
      <alignment vertical="center"/>
    </xf>
    <xf numFmtId="0" fontId="24" fillId="9" borderId="13" xfId="0" applyFont="1" applyFill="1" applyBorder="1">
      <alignment vertical="center"/>
    </xf>
    <xf numFmtId="3" fontId="23" fillId="9" borderId="22" xfId="0" applyNumberFormat="1" applyFont="1" applyFill="1" applyBorder="1">
      <alignment vertical="center"/>
    </xf>
    <xf numFmtId="9" fontId="23" fillId="9" borderId="22" xfId="0" applyNumberFormat="1" applyFont="1" applyFill="1" applyBorder="1">
      <alignment vertical="center"/>
    </xf>
    <xf numFmtId="0" fontId="25" fillId="9" borderId="5" xfId="0" applyFont="1" applyFill="1" applyBorder="1">
      <alignment vertical="center"/>
    </xf>
    <xf numFmtId="0" fontId="25" fillId="9" borderId="26" xfId="0" applyFont="1" applyFill="1" applyBorder="1">
      <alignment vertical="center"/>
    </xf>
    <xf numFmtId="0" fontId="25" fillId="9" borderId="8" xfId="0" applyFont="1" applyFill="1" applyBorder="1">
      <alignment vertical="center"/>
    </xf>
    <xf numFmtId="0" fontId="25" fillId="9" borderId="23" xfId="0" applyFont="1" applyFill="1" applyBorder="1">
      <alignment vertical="center"/>
    </xf>
    <xf numFmtId="0" fontId="24" fillId="9" borderId="3" xfId="0" applyFont="1" applyFill="1" applyBorder="1" applyAlignment="1">
      <alignment horizontal="center" vertical="center"/>
    </xf>
    <xf numFmtId="0" fontId="28" fillId="9" borderId="5" xfId="0" applyFont="1" applyFill="1" applyBorder="1">
      <alignment vertical="center"/>
    </xf>
    <xf numFmtId="0" fontId="27" fillId="9" borderId="26" xfId="0" applyFont="1" applyFill="1" applyBorder="1">
      <alignment vertical="center"/>
    </xf>
    <xf numFmtId="0" fontId="61" fillId="9" borderId="3" xfId="0" applyFont="1" applyFill="1" applyBorder="1">
      <alignment vertical="center"/>
    </xf>
    <xf numFmtId="3" fontId="24" fillId="9" borderId="3" xfId="0" applyNumberFormat="1" applyFont="1" applyFill="1" applyBorder="1">
      <alignment vertical="center"/>
    </xf>
    <xf numFmtId="9" fontId="24" fillId="9" borderId="3" xfId="0" applyNumberFormat="1" applyFont="1" applyFill="1" applyBorder="1">
      <alignment vertical="center"/>
    </xf>
    <xf numFmtId="0" fontId="28" fillId="9" borderId="8" xfId="0" applyFont="1" applyFill="1" applyBorder="1">
      <alignment vertical="center"/>
    </xf>
    <xf numFmtId="0" fontId="27" fillId="9" borderId="23" xfId="0" applyFont="1" applyFill="1" applyBorder="1">
      <alignment vertical="center"/>
    </xf>
    <xf numFmtId="0" fontId="62" fillId="9" borderId="28" xfId="0" applyFont="1" applyFill="1" applyBorder="1" applyAlignment="1">
      <alignment vertical="center" wrapText="1"/>
    </xf>
    <xf numFmtId="3" fontId="63" fillId="9" borderId="3" xfId="0" applyNumberFormat="1" applyFont="1" applyFill="1" applyBorder="1" applyAlignment="1">
      <alignment vertical="center" wrapText="1"/>
    </xf>
    <xf numFmtId="9" fontId="63" fillId="9" borderId="3" xfId="0" applyNumberFormat="1" applyFont="1" applyFill="1" applyBorder="1">
      <alignment vertical="center"/>
    </xf>
    <xf numFmtId="0" fontId="62" fillId="9" borderId="29" xfId="0" applyFont="1" applyFill="1" applyBorder="1" applyAlignment="1">
      <alignment vertical="center" wrapText="1"/>
    </xf>
    <xf numFmtId="0" fontId="0" fillId="9" borderId="2" xfId="0" applyFill="1" applyBorder="1">
      <alignment vertical="center"/>
    </xf>
    <xf numFmtId="3" fontId="63" fillId="9" borderId="2" xfId="0" applyNumberFormat="1" applyFont="1" applyFill="1" applyBorder="1" applyAlignment="1">
      <alignment vertical="center" wrapText="1"/>
    </xf>
    <xf numFmtId="9" fontId="63" fillId="9" borderId="2" xfId="0" applyNumberFormat="1" applyFont="1" applyFill="1" applyBorder="1">
      <alignment vertical="center"/>
    </xf>
    <xf numFmtId="0" fontId="0" fillId="9" borderId="31" xfId="0" applyFill="1" applyBorder="1" applyAlignment="1">
      <alignment vertical="center" wrapText="1"/>
    </xf>
    <xf numFmtId="0" fontId="0" fillId="9" borderId="20" xfId="0" applyFill="1" applyBorder="1">
      <alignment vertical="center"/>
    </xf>
    <xf numFmtId="9" fontId="0" fillId="9" borderId="20" xfId="0" applyNumberFormat="1" applyFill="1" applyBorder="1">
      <alignment vertical="center"/>
    </xf>
    <xf numFmtId="0" fontId="0" fillId="9" borderId="16" xfId="0" applyFill="1" applyBorder="1">
      <alignment vertical="center"/>
    </xf>
    <xf numFmtId="0" fontId="0" fillId="9" borderId="16" xfId="0" applyFill="1" applyBorder="1" applyAlignment="1">
      <alignment vertical="center" wrapText="1"/>
    </xf>
    <xf numFmtId="9" fontId="0" fillId="9" borderId="16" xfId="0" applyNumberFormat="1" applyFill="1" applyBorder="1">
      <alignment vertical="center"/>
    </xf>
    <xf numFmtId="3" fontId="0" fillId="9" borderId="16" xfId="0" applyNumberFormat="1" applyFill="1" applyBorder="1">
      <alignment vertical="center"/>
    </xf>
    <xf numFmtId="0" fontId="0" fillId="9" borderId="12" xfId="0" applyFill="1" applyBorder="1" applyAlignment="1">
      <alignment horizontal="center" vertical="center"/>
    </xf>
    <xf numFmtId="0" fontId="0" fillId="9" borderId="2" xfId="0" applyFill="1" applyBorder="1" applyAlignment="1">
      <alignment vertical="center" wrapText="1"/>
    </xf>
    <xf numFmtId="3" fontId="0" fillId="9" borderId="9" xfId="0" applyNumberFormat="1" applyFill="1" applyBorder="1">
      <alignment vertical="center"/>
    </xf>
    <xf numFmtId="0" fontId="0" fillId="11" borderId="3" xfId="0" applyFill="1" applyBorder="1">
      <alignment vertical="center"/>
    </xf>
    <xf numFmtId="0" fontId="47" fillId="9" borderId="22" xfId="0" applyFont="1" applyFill="1" applyBorder="1" applyAlignment="1">
      <alignment vertical="center" readingOrder="1"/>
    </xf>
    <xf numFmtId="0" fontId="44" fillId="10" borderId="35" xfId="0" applyFont="1" applyFill="1" applyBorder="1" applyAlignment="1">
      <alignment vertical="center" readingOrder="1"/>
    </xf>
    <xf numFmtId="0" fontId="45" fillId="10" borderId="5" xfId="0" applyFont="1" applyFill="1" applyBorder="1" applyAlignment="1">
      <alignment vertical="center" readingOrder="1"/>
    </xf>
    <xf numFmtId="0" fontId="57" fillId="10" borderId="0" xfId="0" applyFont="1" applyFill="1">
      <alignment vertical="center"/>
    </xf>
    <xf numFmtId="0" fontId="0" fillId="10" borderId="3" xfId="0" applyFill="1" applyBorder="1" applyAlignment="1">
      <alignment vertical="center" wrapText="1"/>
    </xf>
    <xf numFmtId="3" fontId="45" fillId="10" borderId="26" xfId="0" applyNumberFormat="1" applyFont="1" applyFill="1" applyBorder="1" applyAlignment="1">
      <alignment vertical="center" readingOrder="1"/>
    </xf>
    <xf numFmtId="9" fontId="45" fillId="10" borderId="3" xfId="0" applyNumberFormat="1" applyFont="1" applyFill="1" applyBorder="1" applyAlignment="1">
      <alignment vertical="center" readingOrder="1"/>
    </xf>
    <xf numFmtId="0" fontId="45" fillId="10" borderId="3" xfId="0" applyFont="1" applyFill="1" applyBorder="1" applyAlignment="1">
      <alignment vertical="center" readingOrder="1"/>
    </xf>
    <xf numFmtId="3" fontId="45" fillId="10" borderId="3" xfId="0" applyNumberFormat="1" applyFont="1" applyFill="1" applyBorder="1" applyAlignment="1">
      <alignment vertical="center" readingOrder="1"/>
    </xf>
    <xf numFmtId="0" fontId="47" fillId="10" borderId="3" xfId="0" applyFont="1" applyFill="1" applyBorder="1" applyAlignment="1">
      <alignment vertical="center" wrapText="1" readingOrder="1"/>
    </xf>
    <xf numFmtId="0" fontId="0" fillId="10" borderId="3" xfId="0" applyFill="1" applyBorder="1">
      <alignment vertical="center"/>
    </xf>
    <xf numFmtId="0" fontId="45" fillId="9" borderId="26" xfId="0" applyFont="1" applyFill="1" applyBorder="1" applyAlignment="1">
      <alignment vertical="center" readingOrder="1"/>
    </xf>
    <xf numFmtId="3" fontId="45" fillId="9" borderId="23" xfId="0" applyNumberFormat="1" applyFont="1" applyFill="1" applyBorder="1" applyAlignment="1">
      <alignment vertical="center" readingOrder="1"/>
    </xf>
    <xf numFmtId="9" fontId="45" fillId="9" borderId="3" xfId="0" applyNumberFormat="1" applyFont="1" applyFill="1" applyBorder="1" applyAlignment="1">
      <alignment vertical="center" readingOrder="1"/>
    </xf>
    <xf numFmtId="0" fontId="45" fillId="9" borderId="3" xfId="0" applyFont="1" applyFill="1" applyBorder="1" applyAlignment="1">
      <alignment vertical="center" readingOrder="1"/>
    </xf>
    <xf numFmtId="3" fontId="45" fillId="9" borderId="3" xfId="0" applyNumberFormat="1" applyFont="1" applyFill="1" applyBorder="1" applyAlignment="1">
      <alignment vertical="center" readingOrder="1"/>
    </xf>
    <xf numFmtId="0" fontId="47" fillId="9" borderId="8" xfId="0" applyFont="1" applyFill="1" applyBorder="1" applyAlignment="1">
      <alignment vertical="center" readingOrder="1"/>
    </xf>
    <xf numFmtId="0" fontId="45" fillId="9" borderId="23" xfId="0" applyFont="1" applyFill="1" applyBorder="1" applyAlignment="1">
      <alignment vertical="center" readingOrder="1"/>
    </xf>
    <xf numFmtId="0" fontId="45" fillId="9" borderId="22" xfId="0" applyFont="1" applyFill="1" applyBorder="1" applyAlignment="1">
      <alignment vertical="center" readingOrder="1"/>
    </xf>
    <xf numFmtId="0" fontId="47" fillId="9" borderId="3" xfId="0" applyFont="1" applyFill="1" applyBorder="1" applyAlignment="1">
      <alignment vertical="center" readingOrder="1"/>
    </xf>
    <xf numFmtId="0" fontId="45" fillId="7" borderId="8" xfId="0" applyFont="1" applyFill="1" applyBorder="1" applyAlignment="1">
      <alignment vertical="center" readingOrder="1"/>
    </xf>
    <xf numFmtId="0" fontId="45" fillId="7" borderId="23" xfId="0" applyFont="1" applyFill="1" applyBorder="1" applyAlignment="1">
      <alignment vertical="center" readingOrder="1"/>
    </xf>
    <xf numFmtId="0" fontId="45" fillId="7" borderId="3" xfId="0" applyFont="1" applyFill="1" applyBorder="1" applyAlignment="1">
      <alignment vertical="center" readingOrder="1"/>
    </xf>
    <xf numFmtId="3" fontId="45" fillId="7" borderId="23" xfId="0" applyNumberFormat="1" applyFont="1" applyFill="1" applyBorder="1" applyAlignment="1">
      <alignment vertical="center" readingOrder="1"/>
    </xf>
    <xf numFmtId="9" fontId="45" fillId="7" borderId="3" xfId="0" applyNumberFormat="1" applyFont="1" applyFill="1" applyBorder="1" applyAlignment="1">
      <alignment vertical="center" readingOrder="1"/>
    </xf>
    <xf numFmtId="3" fontId="45" fillId="7" borderId="3" xfId="0" applyNumberFormat="1" applyFont="1" applyFill="1" applyBorder="1" applyAlignment="1">
      <alignment vertical="center" readingOrder="1"/>
    </xf>
    <xf numFmtId="0" fontId="0" fillId="9" borderId="10" xfId="0" applyFill="1" applyBorder="1" applyAlignment="1">
      <alignment horizontal="center" vertical="center" wrapText="1"/>
    </xf>
    <xf numFmtId="0" fontId="47" fillId="9" borderId="4" xfId="0" applyFont="1" applyFill="1" applyBorder="1" applyAlignment="1">
      <alignment vertical="center" readingOrder="1"/>
    </xf>
    <xf numFmtId="0" fontId="47" fillId="9" borderId="7" xfId="0" applyFont="1" applyFill="1" applyBorder="1" applyAlignment="1">
      <alignment vertical="center" readingOrder="1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9" fontId="0" fillId="5" borderId="0" xfId="0" applyNumberFormat="1" applyFill="1">
      <alignment vertical="center"/>
    </xf>
    <xf numFmtId="3" fontId="0" fillId="5" borderId="0" xfId="0" applyNumberFormat="1" applyFill="1">
      <alignment vertical="center"/>
    </xf>
    <xf numFmtId="0" fontId="20" fillId="8" borderId="2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/>
    </xf>
    <xf numFmtId="176" fontId="20" fillId="8" borderId="2" xfId="0" applyNumberFormat="1" applyFont="1" applyFill="1" applyBorder="1" applyAlignment="1">
      <alignment horizontal="center" vertical="center"/>
    </xf>
    <xf numFmtId="41" fontId="20" fillId="8" borderId="2" xfId="2" applyFont="1" applyFill="1" applyBorder="1" applyAlignment="1">
      <alignment horizontal="center" vertical="center"/>
    </xf>
    <xf numFmtId="9" fontId="20" fillId="8" borderId="2" xfId="3" applyFont="1" applyFill="1" applyBorder="1" applyAlignment="1">
      <alignment horizontal="right" vertical="center"/>
    </xf>
    <xf numFmtId="0" fontId="21" fillId="8" borderId="2" xfId="0" applyFont="1" applyFill="1" applyBorder="1" applyAlignment="1">
      <alignment horizontal="center" vertical="center" wrapText="1"/>
    </xf>
    <xf numFmtId="176" fontId="22" fillId="8" borderId="2" xfId="0" applyNumberFormat="1" applyFont="1" applyFill="1" applyBorder="1" applyAlignment="1">
      <alignment horizontal="center" vertical="center" wrapText="1"/>
    </xf>
    <xf numFmtId="0" fontId="23" fillId="9" borderId="3" xfId="0" applyFont="1" applyFill="1" applyBorder="1" applyAlignment="1">
      <alignment horizontal="right" vertical="center"/>
    </xf>
    <xf numFmtId="0" fontId="0" fillId="9" borderId="41" xfId="0" applyFill="1" applyBorder="1" applyAlignment="1">
      <alignment vertical="center" wrapText="1"/>
    </xf>
    <xf numFmtId="0" fontId="57" fillId="9" borderId="3" xfId="0" applyFont="1" applyFill="1" applyBorder="1" applyAlignment="1">
      <alignment horizontal="center" vertical="center" wrapText="1"/>
    </xf>
    <xf numFmtId="176" fontId="23" fillId="9" borderId="3" xfId="0" applyNumberFormat="1" applyFont="1" applyFill="1" applyBorder="1" applyAlignment="1">
      <alignment horizontal="right" vertical="center"/>
    </xf>
    <xf numFmtId="41" fontId="23" fillId="9" borderId="3" xfId="2" applyFont="1" applyFill="1" applyBorder="1" applyAlignment="1">
      <alignment horizontal="center" vertical="center"/>
    </xf>
    <xf numFmtId="9" fontId="23" fillId="9" borderId="3" xfId="3" applyFont="1" applyFill="1" applyBorder="1" applyAlignment="1">
      <alignment horizontal="right" vertical="center"/>
    </xf>
    <xf numFmtId="0" fontId="0" fillId="7" borderId="15" xfId="0" applyFill="1" applyBorder="1">
      <alignment vertical="center"/>
    </xf>
    <xf numFmtId="0" fontId="0" fillId="7" borderId="31" xfId="0" applyFill="1" applyBorder="1" applyAlignment="1">
      <alignment vertical="center" wrapText="1"/>
    </xf>
    <xf numFmtId="0" fontId="0" fillId="7" borderId="3" xfId="0" applyFill="1" applyBorder="1">
      <alignment vertical="center"/>
    </xf>
    <xf numFmtId="3" fontId="0" fillId="7" borderId="3" xfId="0" applyNumberFormat="1" applyFill="1" applyBorder="1">
      <alignment vertical="center"/>
    </xf>
    <xf numFmtId="9" fontId="0" fillId="7" borderId="3" xfId="0" applyNumberFormat="1" applyFill="1" applyBorder="1">
      <alignment vertical="center"/>
    </xf>
    <xf numFmtId="0" fontId="0" fillId="7" borderId="43" xfId="0" applyFill="1" applyBorder="1">
      <alignment vertical="center"/>
    </xf>
    <xf numFmtId="0" fontId="0" fillId="7" borderId="17" xfId="0" applyFill="1" applyBorder="1" applyAlignment="1">
      <alignment vertical="center" wrapText="1"/>
    </xf>
    <xf numFmtId="0" fontId="0" fillId="9" borderId="6" xfId="0" applyFill="1" applyBorder="1">
      <alignment vertical="center"/>
    </xf>
    <xf numFmtId="0" fontId="0" fillId="9" borderId="9" xfId="0" applyFill="1" applyBorder="1" applyAlignment="1">
      <alignment vertical="center" wrapText="1"/>
    </xf>
    <xf numFmtId="0" fontId="0" fillId="9" borderId="46" xfId="0" applyFill="1" applyBorder="1">
      <alignment vertical="center"/>
    </xf>
    <xf numFmtId="0" fontId="0" fillId="9" borderId="32" xfId="0" applyFill="1" applyBorder="1" applyAlignment="1">
      <alignment vertical="center" wrapText="1"/>
    </xf>
    <xf numFmtId="0" fontId="23" fillId="9" borderId="26" xfId="0" applyFont="1" applyFill="1" applyBorder="1">
      <alignment vertical="center"/>
    </xf>
    <xf numFmtId="0" fontId="23" fillId="9" borderId="23" xfId="0" applyFont="1" applyFill="1" applyBorder="1">
      <alignment vertical="center"/>
    </xf>
    <xf numFmtId="0" fontId="31" fillId="9" borderId="8" xfId="0" applyFont="1" applyFill="1" applyBorder="1">
      <alignment vertical="center"/>
    </xf>
    <xf numFmtId="0" fontId="31" fillId="9" borderId="23" xfId="0" applyFont="1" applyFill="1" applyBorder="1" applyAlignment="1">
      <alignment vertical="center" wrapText="1"/>
    </xf>
    <xf numFmtId="3" fontId="31" fillId="9" borderId="3" xfId="0" applyNumberFormat="1" applyFont="1" applyFill="1" applyBorder="1">
      <alignment vertical="center"/>
    </xf>
    <xf numFmtId="9" fontId="31" fillId="9" borderId="3" xfId="0" applyNumberFormat="1" applyFont="1" applyFill="1" applyBorder="1">
      <alignment vertical="center"/>
    </xf>
    <xf numFmtId="0" fontId="31" fillId="9" borderId="8" xfId="0" applyFont="1" applyFill="1" applyBorder="1" applyAlignment="1">
      <alignment vertical="center" wrapText="1"/>
    </xf>
    <xf numFmtId="0" fontId="31" fillId="9" borderId="23" xfId="0" applyFont="1" applyFill="1" applyBorder="1">
      <alignment vertical="center"/>
    </xf>
    <xf numFmtId="0" fontId="23" fillId="9" borderId="47" xfId="0" applyFont="1" applyFill="1" applyBorder="1">
      <alignment vertical="center"/>
    </xf>
    <xf numFmtId="0" fontId="23" fillId="9" borderId="0" xfId="0" applyFont="1" applyFill="1">
      <alignment vertical="center"/>
    </xf>
    <xf numFmtId="0" fontId="23" fillId="9" borderId="24" xfId="0" applyFont="1" applyFill="1" applyBorder="1">
      <alignment vertical="center"/>
    </xf>
    <xf numFmtId="0" fontId="23" fillId="9" borderId="25" xfId="0" applyFont="1" applyFill="1" applyBorder="1">
      <alignment vertical="center"/>
    </xf>
    <xf numFmtId="3" fontId="18" fillId="9" borderId="3" xfId="0" applyNumberFormat="1" applyFont="1" applyFill="1" applyBorder="1">
      <alignment vertical="center"/>
    </xf>
    <xf numFmtId="0" fontId="23" fillId="9" borderId="50" xfId="0" applyFont="1" applyFill="1" applyBorder="1">
      <alignment vertical="center"/>
    </xf>
    <xf numFmtId="0" fontId="23" fillId="9" borderId="51" xfId="0" applyFont="1" applyFill="1" applyBorder="1">
      <alignment vertical="center"/>
    </xf>
    <xf numFmtId="0" fontId="23" fillId="9" borderId="52" xfId="0" applyFont="1" applyFill="1" applyBorder="1">
      <alignment vertical="center"/>
    </xf>
    <xf numFmtId="0" fontId="23" fillId="9" borderId="35" xfId="0" applyFont="1" applyFill="1" applyBorder="1">
      <alignment vertical="center"/>
    </xf>
    <xf numFmtId="0" fontId="23" fillId="9" borderId="55" xfId="0" applyFont="1" applyFill="1" applyBorder="1">
      <alignment vertical="center"/>
    </xf>
    <xf numFmtId="0" fontId="23" fillId="9" borderId="57" xfId="0" applyFont="1" applyFill="1" applyBorder="1">
      <alignment vertical="center"/>
    </xf>
    <xf numFmtId="0" fontId="23" fillId="9" borderId="58" xfId="0" applyFont="1" applyFill="1" applyBorder="1">
      <alignment vertical="center"/>
    </xf>
    <xf numFmtId="0" fontId="0" fillId="9" borderId="43" xfId="0" applyFill="1" applyBorder="1">
      <alignment vertical="center"/>
    </xf>
    <xf numFmtId="0" fontId="0" fillId="9" borderId="60" xfId="0" applyFill="1" applyBorder="1" applyAlignment="1">
      <alignment vertical="center" wrapText="1"/>
    </xf>
    <xf numFmtId="0" fontId="28" fillId="9" borderId="26" xfId="0" applyFont="1" applyFill="1" applyBorder="1">
      <alignment vertical="center"/>
    </xf>
    <xf numFmtId="9" fontId="28" fillId="9" borderId="3" xfId="0" applyNumberFormat="1" applyFont="1" applyFill="1" applyBorder="1">
      <alignment vertical="center"/>
    </xf>
    <xf numFmtId="41" fontId="0" fillId="9" borderId="3" xfId="0" applyNumberFormat="1" applyFill="1" applyBorder="1" applyAlignment="1">
      <alignment horizontal="center" vertical="center" wrapText="1"/>
    </xf>
    <xf numFmtId="0" fontId="28" fillId="9" borderId="3" xfId="0" applyFont="1" applyFill="1" applyBorder="1" applyAlignment="1">
      <alignment horizontal="right" vertical="center"/>
    </xf>
    <xf numFmtId="0" fontId="24" fillId="9" borderId="21" xfId="0" applyFont="1" applyFill="1" applyBorder="1">
      <alignment vertical="center"/>
    </xf>
    <xf numFmtId="0" fontId="28" fillId="9" borderId="47" xfId="0" applyFont="1" applyFill="1" applyBorder="1">
      <alignment vertical="center"/>
    </xf>
    <xf numFmtId="0" fontId="28" fillId="9" borderId="9" xfId="0" applyFont="1" applyFill="1" applyBorder="1">
      <alignment vertical="center"/>
    </xf>
    <xf numFmtId="0" fontId="0" fillId="9" borderId="15" xfId="0" applyFill="1" applyBorder="1" applyAlignment="1">
      <alignment horizontal="right" vertical="center"/>
    </xf>
    <xf numFmtId="0" fontId="27" fillId="13" borderId="3" xfId="0" applyFont="1" applyFill="1" applyBorder="1">
      <alignment vertical="center"/>
    </xf>
    <xf numFmtId="0" fontId="23" fillId="13" borderId="24" xfId="0" applyFont="1" applyFill="1" applyBorder="1">
      <alignment vertical="center"/>
    </xf>
    <xf numFmtId="0" fontId="65" fillId="13" borderId="3" xfId="0" applyFont="1" applyFill="1" applyBorder="1">
      <alignment vertical="center"/>
    </xf>
    <xf numFmtId="3" fontId="0" fillId="13" borderId="3" xfId="0" applyNumberFormat="1" applyFill="1" applyBorder="1">
      <alignment vertical="center"/>
    </xf>
    <xf numFmtId="9" fontId="23" fillId="13" borderId="3" xfId="0" applyNumberFormat="1" applyFont="1" applyFill="1" applyBorder="1">
      <alignment vertical="center"/>
    </xf>
    <xf numFmtId="177" fontId="0" fillId="9" borderId="3" xfId="0" applyNumberFormat="1" applyFill="1" applyBorder="1">
      <alignment vertical="center"/>
    </xf>
    <xf numFmtId="0" fontId="0" fillId="10" borderId="15" xfId="0" applyFill="1" applyBorder="1" applyAlignment="1">
      <alignment horizontal="right" vertical="center"/>
    </xf>
    <xf numFmtId="0" fontId="0" fillId="10" borderId="31" xfId="0" applyFill="1" applyBorder="1" applyAlignment="1">
      <alignment vertical="center" wrapText="1"/>
    </xf>
    <xf numFmtId="0" fontId="0" fillId="10" borderId="3" xfId="0" applyFill="1" applyBorder="1" applyAlignment="1">
      <alignment horizontal="center" vertical="center" wrapText="1"/>
    </xf>
    <xf numFmtId="177" fontId="0" fillId="10" borderId="3" xfId="0" applyNumberFormat="1" applyFill="1" applyBorder="1">
      <alignment vertical="center"/>
    </xf>
    <xf numFmtId="9" fontId="0" fillId="10" borderId="3" xfId="0" applyNumberFormat="1" applyFill="1" applyBorder="1">
      <alignment vertical="center"/>
    </xf>
    <xf numFmtId="0" fontId="0" fillId="10" borderId="3" xfId="0" applyFill="1" applyBorder="1" applyAlignment="1">
      <alignment horizontal="center" vertical="center"/>
    </xf>
    <xf numFmtId="0" fontId="0" fillId="12" borderId="3" xfId="0" applyFill="1" applyBorder="1">
      <alignment vertical="center"/>
    </xf>
    <xf numFmtId="0" fontId="0" fillId="14" borderId="15" xfId="0" applyFill="1" applyBorder="1" applyAlignment="1">
      <alignment horizontal="right" vertical="center"/>
    </xf>
    <xf numFmtId="0" fontId="0" fillId="14" borderId="31" xfId="0" applyFill="1" applyBorder="1" applyAlignment="1">
      <alignment vertical="center" wrapText="1"/>
    </xf>
    <xf numFmtId="0" fontId="0" fillId="9" borderId="16" xfId="0" applyFill="1" applyBorder="1" applyAlignment="1">
      <alignment horizontal="right" vertical="center"/>
    </xf>
    <xf numFmtId="0" fontId="0" fillId="9" borderId="17" xfId="0" applyFill="1" applyBorder="1" applyAlignment="1">
      <alignment vertical="center" wrapText="1"/>
    </xf>
    <xf numFmtId="0" fontId="25" fillId="9" borderId="9" xfId="0" applyFont="1" applyFill="1" applyBorder="1">
      <alignment vertical="center"/>
    </xf>
    <xf numFmtId="0" fontId="25" fillId="9" borderId="9" xfId="0" applyFont="1" applyFill="1" applyBorder="1" applyAlignment="1">
      <alignment vertical="center" wrapText="1"/>
    </xf>
    <xf numFmtId="0" fontId="26" fillId="9" borderId="9" xfId="0" applyFont="1" applyFill="1" applyBorder="1" applyAlignment="1">
      <alignment vertical="center" wrapText="1"/>
    </xf>
    <xf numFmtId="0" fontId="27" fillId="9" borderId="9" xfId="0" applyFont="1" applyFill="1" applyBorder="1">
      <alignment vertical="center"/>
    </xf>
    <xf numFmtId="0" fontId="57" fillId="14" borderId="7" xfId="0" applyFont="1" applyFill="1" applyBorder="1">
      <alignment vertical="center"/>
    </xf>
    <xf numFmtId="0" fontId="57" fillId="14" borderId="3" xfId="0" applyFont="1" applyFill="1" applyBorder="1">
      <alignment vertical="center"/>
    </xf>
    <xf numFmtId="0" fontId="58" fillId="9" borderId="3" xfId="0" applyFont="1" applyFill="1" applyBorder="1" applyAlignment="1">
      <alignment vertical="center" wrapText="1"/>
    </xf>
    <xf numFmtId="0" fontId="58" fillId="9" borderId="3" xfId="0" applyFont="1" applyFill="1" applyBorder="1">
      <alignment vertical="center"/>
    </xf>
    <xf numFmtId="0" fontId="57" fillId="10" borderId="7" xfId="0" applyFont="1" applyFill="1" applyBorder="1">
      <alignment vertical="center"/>
    </xf>
    <xf numFmtId="0" fontId="57" fillId="10" borderId="8" xfId="0" applyFont="1" applyFill="1" applyBorder="1" applyAlignment="1">
      <alignment vertical="center" wrapText="1"/>
    </xf>
    <xf numFmtId="0" fontId="23" fillId="10" borderId="7" xfId="0" applyFont="1" applyFill="1" applyBorder="1">
      <alignment vertical="center"/>
    </xf>
    <xf numFmtId="3" fontId="57" fillId="10" borderId="8" xfId="0" applyNumberFormat="1" applyFont="1" applyFill="1" applyBorder="1">
      <alignment vertical="center"/>
    </xf>
    <xf numFmtId="9" fontId="57" fillId="10" borderId="8" xfId="0" applyNumberFormat="1" applyFont="1" applyFill="1" applyBorder="1">
      <alignment vertical="center"/>
    </xf>
    <xf numFmtId="0" fontId="57" fillId="10" borderId="8" xfId="0" applyFont="1" applyFill="1" applyBorder="1">
      <alignment vertical="center"/>
    </xf>
    <xf numFmtId="0" fontId="23" fillId="10" borderId="13" xfId="0" applyFont="1" applyFill="1" applyBorder="1">
      <alignment vertical="center"/>
    </xf>
    <xf numFmtId="3" fontId="57" fillId="10" borderId="22" xfId="0" applyNumberFormat="1" applyFont="1" applyFill="1" applyBorder="1">
      <alignment vertical="center"/>
    </xf>
    <xf numFmtId="0" fontId="0" fillId="10" borderId="15" xfId="0" applyFill="1" applyBorder="1">
      <alignment vertical="center"/>
    </xf>
    <xf numFmtId="9" fontId="23" fillId="10" borderId="3" xfId="0" applyNumberFormat="1" applyFont="1" applyFill="1" applyBorder="1">
      <alignment vertical="center"/>
    </xf>
    <xf numFmtId="0" fontId="0" fillId="9" borderId="15" xfId="0" applyFill="1" applyBorder="1" applyAlignment="1">
      <alignment horizontal="right"/>
    </xf>
    <xf numFmtId="9" fontId="0" fillId="9" borderId="3" xfId="0" applyNumberFormat="1" applyFill="1" applyBorder="1" applyAlignment="1">
      <alignment vertical="center" wrapText="1"/>
    </xf>
    <xf numFmtId="0" fontId="0" fillId="11" borderId="3" xfId="0" applyFill="1" applyBorder="1" applyAlignment="1">
      <alignment vertical="center" wrapText="1"/>
    </xf>
    <xf numFmtId="0" fontId="23" fillId="0" borderId="0" xfId="0" applyFont="1" applyAlignment="1">
      <alignment vertical="center" wrapText="1"/>
    </xf>
    <xf numFmtId="0" fontId="23" fillId="9" borderId="21" xfId="0" applyFont="1" applyFill="1" applyBorder="1" applyAlignment="1">
      <alignment horizontal="center" vertical="center"/>
    </xf>
    <xf numFmtId="0" fontId="69" fillId="9" borderId="4" xfId="0" applyFont="1" applyFill="1" applyBorder="1" applyAlignment="1">
      <alignment horizontal="center" vertical="center"/>
    </xf>
    <xf numFmtId="0" fontId="70" fillId="9" borderId="5" xfId="0" applyFont="1" applyFill="1" applyBorder="1">
      <alignment vertical="center"/>
    </xf>
    <xf numFmtId="0" fontId="70" fillId="9" borderId="8" xfId="0" applyFont="1" applyFill="1" applyBorder="1">
      <alignment vertical="center"/>
    </xf>
    <xf numFmtId="0" fontId="70" fillId="9" borderId="3" xfId="0" applyFont="1" applyFill="1" applyBorder="1" applyAlignment="1">
      <alignment vertical="center" wrapText="1"/>
    </xf>
    <xf numFmtId="0" fontId="71" fillId="9" borderId="0" xfId="0" applyFont="1" applyFill="1">
      <alignment vertical="center"/>
    </xf>
    <xf numFmtId="0" fontId="70" fillId="9" borderId="3" xfId="0" applyFont="1" applyFill="1" applyBorder="1">
      <alignment vertical="center"/>
    </xf>
    <xf numFmtId="3" fontId="70" fillId="9" borderId="3" xfId="0" applyNumberFormat="1" applyFont="1" applyFill="1" applyBorder="1">
      <alignment vertical="center"/>
    </xf>
    <xf numFmtId="9" fontId="70" fillId="9" borderId="3" xfId="0" applyNumberFormat="1" applyFont="1" applyFill="1" applyBorder="1">
      <alignment vertical="center"/>
    </xf>
    <xf numFmtId="0" fontId="72" fillId="9" borderId="3" xfId="0" applyFont="1" applyFill="1" applyBorder="1" applyAlignment="1">
      <alignment vertical="center" wrapText="1"/>
    </xf>
    <xf numFmtId="0" fontId="23" fillId="2" borderId="3" xfId="0" applyFont="1" applyFill="1" applyBorder="1">
      <alignment vertical="center"/>
    </xf>
    <xf numFmtId="0" fontId="23" fillId="9" borderId="66" xfId="0" applyFont="1" applyFill="1" applyBorder="1">
      <alignment vertical="center"/>
    </xf>
    <xf numFmtId="0" fontId="23" fillId="9" borderId="67" xfId="0" applyFont="1" applyFill="1" applyBorder="1">
      <alignment vertical="center"/>
    </xf>
    <xf numFmtId="0" fontId="23" fillId="0" borderId="0" xfId="0" applyFont="1">
      <alignment vertical="center"/>
    </xf>
    <xf numFmtId="0" fontId="23" fillId="0" borderId="4" xfId="0" applyFont="1" applyBorder="1" applyAlignment="1">
      <alignment vertical="center" wrapText="1"/>
    </xf>
    <xf numFmtId="0" fontId="23" fillId="9" borderId="22" xfId="0" applyFont="1" applyFill="1" applyBorder="1">
      <alignment vertical="center"/>
    </xf>
    <xf numFmtId="0" fontId="24" fillId="9" borderId="5" xfId="0" applyFont="1" applyFill="1" applyBorder="1">
      <alignment vertical="center"/>
    </xf>
    <xf numFmtId="0" fontId="24" fillId="9" borderId="8" xfId="0" applyFont="1" applyFill="1" applyBorder="1">
      <alignment vertical="center"/>
    </xf>
    <xf numFmtId="3" fontId="0" fillId="9" borderId="2" xfId="0" applyNumberFormat="1" applyFill="1" applyBorder="1">
      <alignment vertical="center"/>
    </xf>
    <xf numFmtId="9" fontId="0" fillId="9" borderId="2" xfId="0" applyNumberFormat="1" applyFill="1" applyBorder="1">
      <alignment vertical="center"/>
    </xf>
    <xf numFmtId="0" fontId="57" fillId="9" borderId="3" xfId="0" applyFont="1" applyFill="1" applyBorder="1" applyAlignment="1">
      <alignment horizontal="center" vertical="center"/>
    </xf>
    <xf numFmtId="0" fontId="28" fillId="9" borderId="3" xfId="0" applyFont="1" applyFill="1" applyBorder="1" applyAlignment="1">
      <alignment horizontal="left" vertical="center"/>
    </xf>
    <xf numFmtId="3" fontId="57" fillId="9" borderId="3" xfId="0" applyNumberFormat="1" applyFont="1" applyFill="1" applyBorder="1" applyAlignment="1">
      <alignment horizontal="center" vertical="center"/>
    </xf>
    <xf numFmtId="0" fontId="73" fillId="9" borderId="3" xfId="0" applyFont="1" applyFill="1" applyBorder="1" applyAlignment="1">
      <alignment horizontal="left" vertical="center"/>
    </xf>
    <xf numFmtId="0" fontId="59" fillId="9" borderId="3" xfId="0" applyFont="1" applyFill="1" applyBorder="1" applyAlignment="1">
      <alignment horizontal="center" vertical="center"/>
    </xf>
    <xf numFmtId="0" fontId="24" fillId="9" borderId="10" xfId="0" applyFont="1" applyFill="1" applyBorder="1" applyAlignment="1">
      <alignment horizontal="center" vertical="center"/>
    </xf>
    <xf numFmtId="0" fontId="28" fillId="9" borderId="10" xfId="0" applyFont="1" applyFill="1" applyBorder="1" applyAlignment="1">
      <alignment horizontal="left" vertical="center"/>
    </xf>
    <xf numFmtId="0" fontId="0" fillId="9" borderId="10" xfId="0" applyFill="1" applyBorder="1">
      <alignment vertical="center"/>
    </xf>
    <xf numFmtId="3" fontId="0" fillId="9" borderId="10" xfId="0" applyNumberFormat="1" applyFill="1" applyBorder="1">
      <alignment vertical="center"/>
    </xf>
    <xf numFmtId="9" fontId="0" fillId="9" borderId="10" xfId="0" applyNumberFormat="1" applyFill="1" applyBorder="1">
      <alignment vertical="center"/>
    </xf>
    <xf numFmtId="3" fontId="59" fillId="9" borderId="3" xfId="0" applyNumberFormat="1" applyFont="1" applyFill="1" applyBorder="1" applyAlignment="1">
      <alignment horizontal="center" vertical="center"/>
    </xf>
    <xf numFmtId="0" fontId="61" fillId="9" borderId="3" xfId="0" applyFont="1" applyFill="1" applyBorder="1" applyAlignment="1">
      <alignment horizontal="center" vertical="center"/>
    </xf>
    <xf numFmtId="0" fontId="18" fillId="9" borderId="0" xfId="0" applyFont="1" applyFill="1">
      <alignment vertical="center"/>
    </xf>
    <xf numFmtId="0" fontId="75" fillId="9" borderId="3" xfId="0" applyFont="1" applyFill="1" applyBorder="1" applyAlignment="1">
      <alignment horizontal="center" vertical="center" readingOrder="1"/>
    </xf>
    <xf numFmtId="0" fontId="76" fillId="9" borderId="3" xfId="0" applyFont="1" applyFill="1" applyBorder="1" applyAlignment="1">
      <alignment horizontal="center" vertical="center" readingOrder="1"/>
    </xf>
    <xf numFmtId="0" fontId="77" fillId="9" borderId="3" xfId="0" applyFont="1" applyFill="1" applyBorder="1" applyAlignment="1">
      <alignment horizontal="center" vertical="center" wrapText="1" readingOrder="1"/>
    </xf>
    <xf numFmtId="0" fontId="27" fillId="9" borderId="3" xfId="0" applyFont="1" applyFill="1" applyBorder="1" applyAlignment="1">
      <alignment horizontal="center" vertical="center" wrapText="1" readingOrder="1"/>
    </xf>
    <xf numFmtId="0" fontId="79" fillId="9" borderId="3" xfId="0" applyFont="1" applyFill="1" applyBorder="1">
      <alignment vertical="center"/>
    </xf>
    <xf numFmtId="41" fontId="28" fillId="9" borderId="3" xfId="0" applyNumberFormat="1" applyFont="1" applyFill="1" applyBorder="1" applyAlignment="1">
      <alignment horizontal="right" vertical="center"/>
    </xf>
    <xf numFmtId="0" fontId="61" fillId="9" borderId="3" xfId="0" applyFont="1" applyFill="1" applyBorder="1" applyAlignment="1">
      <alignment horizontal="right" vertical="center"/>
    </xf>
    <xf numFmtId="0" fontId="24" fillId="9" borderId="3" xfId="0" applyFont="1" applyFill="1" applyBorder="1" applyAlignment="1">
      <alignment horizontal="center"/>
    </xf>
    <xf numFmtId="0" fontId="28" fillId="9" borderId="3" xfId="0" applyFont="1" applyFill="1" applyBorder="1" applyAlignment="1"/>
    <xf numFmtId="9" fontId="28" fillId="9" borderId="3" xfId="0" applyNumberFormat="1" applyFont="1" applyFill="1" applyBorder="1" applyAlignment="1"/>
    <xf numFmtId="0" fontId="28" fillId="9" borderId="3" xfId="0" applyFont="1" applyFill="1" applyBorder="1" applyAlignment="1">
      <alignment horizontal="right"/>
    </xf>
    <xf numFmtId="41" fontId="28" fillId="9" borderId="3" xfId="0" applyNumberFormat="1" applyFont="1" applyFill="1" applyBorder="1" applyAlignment="1">
      <alignment horizontal="right"/>
    </xf>
    <xf numFmtId="0" fontId="0" fillId="15" borderId="3" xfId="0" applyFill="1" applyBorder="1">
      <alignment vertical="center"/>
    </xf>
    <xf numFmtId="0" fontId="0" fillId="15" borderId="3" xfId="0" applyFill="1" applyBorder="1" applyAlignment="1">
      <alignment vertical="center" wrapText="1"/>
    </xf>
    <xf numFmtId="9" fontId="0" fillId="15" borderId="3" xfId="0" applyNumberFormat="1" applyFill="1" applyBorder="1">
      <alignment vertical="center"/>
    </xf>
    <xf numFmtId="0" fontId="74" fillId="6" borderId="0" xfId="0" applyFont="1" applyFill="1" applyAlignment="1">
      <alignment horizontal="left" vertical="center" indent="1"/>
    </xf>
    <xf numFmtId="0" fontId="25" fillId="9" borderId="4" xfId="0" applyFont="1" applyFill="1" applyBorder="1">
      <alignment vertical="center"/>
    </xf>
    <xf numFmtId="3" fontId="25" fillId="9" borderId="4" xfId="0" applyNumberFormat="1" applyFont="1" applyFill="1" applyBorder="1">
      <alignment vertical="center"/>
    </xf>
    <xf numFmtId="9" fontId="25" fillId="9" borderId="5" xfId="0" applyNumberFormat="1" applyFont="1" applyFill="1" applyBorder="1">
      <alignment vertical="center"/>
    </xf>
    <xf numFmtId="0" fontId="25" fillId="9" borderId="7" xfId="0" applyFont="1" applyFill="1" applyBorder="1">
      <alignment vertical="center"/>
    </xf>
    <xf numFmtId="3" fontId="25" fillId="9" borderId="7" xfId="0" applyNumberFormat="1" applyFont="1" applyFill="1" applyBorder="1">
      <alignment vertical="center"/>
    </xf>
    <xf numFmtId="9" fontId="25" fillId="9" borderId="8" xfId="0" applyNumberFormat="1" applyFont="1" applyFill="1" applyBorder="1">
      <alignment vertical="center"/>
    </xf>
    <xf numFmtId="9" fontId="24" fillId="9" borderId="4" xfId="0" applyNumberFormat="1" applyFont="1" applyFill="1" applyBorder="1">
      <alignment vertical="center"/>
    </xf>
    <xf numFmtId="9" fontId="24" fillId="9" borderId="7" xfId="0" applyNumberFormat="1" applyFont="1" applyFill="1" applyBorder="1">
      <alignment vertical="center"/>
    </xf>
    <xf numFmtId="0" fontId="2" fillId="9" borderId="3" xfId="0" applyFont="1" applyFill="1" applyBorder="1" applyAlignment="1">
      <alignment horizontal="right" vertical="center"/>
    </xf>
    <xf numFmtId="0" fontId="82" fillId="9" borderId="3" xfId="0" applyFont="1" applyFill="1" applyBorder="1" applyAlignment="1">
      <alignment vertical="center" wrapText="1"/>
    </xf>
    <xf numFmtId="3" fontId="82" fillId="9" borderId="3" xfId="0" applyNumberFormat="1" applyFont="1" applyFill="1" applyBorder="1" applyAlignment="1">
      <alignment vertical="center" wrapText="1"/>
    </xf>
    <xf numFmtId="0" fontId="83" fillId="9" borderId="3" xfId="0" applyFont="1" applyFill="1" applyBorder="1" applyAlignment="1">
      <alignment vertical="center" wrapText="1"/>
    </xf>
    <xf numFmtId="0" fontId="23" fillId="9" borderId="2" xfId="0" applyFont="1" applyFill="1" applyBorder="1">
      <alignment vertical="center"/>
    </xf>
    <xf numFmtId="0" fontId="25" fillId="9" borderId="2" xfId="0" applyFont="1" applyFill="1" applyBorder="1">
      <alignment vertical="center"/>
    </xf>
    <xf numFmtId="3" fontId="23" fillId="9" borderId="2" xfId="0" applyNumberFormat="1" applyFont="1" applyFill="1" applyBorder="1">
      <alignment vertical="center"/>
    </xf>
    <xf numFmtId="9" fontId="23" fillId="9" borderId="2" xfId="0" applyNumberFormat="1" applyFont="1" applyFill="1" applyBorder="1">
      <alignment vertical="center"/>
    </xf>
    <xf numFmtId="0" fontId="0" fillId="10" borderId="12" xfId="0" applyFill="1" applyBorder="1">
      <alignment vertical="center"/>
    </xf>
    <xf numFmtId="0" fontId="23" fillId="14" borderId="3" xfId="0" applyFont="1" applyFill="1" applyBorder="1">
      <alignment vertical="center"/>
    </xf>
    <xf numFmtId="0" fontId="44" fillId="9" borderId="3" xfId="0" applyFont="1" applyFill="1" applyBorder="1">
      <alignment vertical="center"/>
    </xf>
    <xf numFmtId="0" fontId="20" fillId="9" borderId="3" xfId="0" applyFont="1" applyFill="1" applyBorder="1">
      <alignment vertical="center"/>
    </xf>
    <xf numFmtId="3" fontId="20" fillId="9" borderId="3" xfId="0" applyNumberFormat="1" applyFont="1" applyFill="1" applyBorder="1">
      <alignment vertical="center"/>
    </xf>
    <xf numFmtId="0" fontId="0" fillId="9" borderId="11" xfId="0" applyFill="1" applyBorder="1">
      <alignment vertical="center"/>
    </xf>
    <xf numFmtId="0" fontId="0" fillId="9" borderId="3" xfId="0" quotePrefix="1" applyFill="1" applyBorder="1" applyAlignment="1">
      <alignment vertical="center" wrapText="1"/>
    </xf>
    <xf numFmtId="0" fontId="0" fillId="14" borderId="3" xfId="0" applyFill="1" applyBorder="1">
      <alignment vertical="center"/>
    </xf>
    <xf numFmtId="0" fontId="0" fillId="14" borderId="3" xfId="0" applyFill="1" applyBorder="1" applyAlignment="1">
      <alignment vertical="center" wrapText="1"/>
    </xf>
    <xf numFmtId="41" fontId="22" fillId="9" borderId="3" xfId="0" applyNumberFormat="1" applyFont="1" applyFill="1" applyBorder="1">
      <alignment vertical="center"/>
    </xf>
    <xf numFmtId="41" fontId="25" fillId="9" borderId="3" xfId="0" applyNumberFormat="1" applyFont="1" applyFill="1" applyBorder="1">
      <alignment vertical="center"/>
    </xf>
    <xf numFmtId="41" fontId="23" fillId="9" borderId="3" xfId="0" applyNumberFormat="1" applyFont="1" applyFill="1" applyBorder="1">
      <alignment vertical="center"/>
    </xf>
    <xf numFmtId="41" fontId="24" fillId="9" borderId="3" xfId="0" applyNumberFormat="1" applyFont="1" applyFill="1" applyBorder="1">
      <alignment vertical="center"/>
    </xf>
    <xf numFmtId="0" fontId="61" fillId="9" borderId="3" xfId="5" applyFont="1" applyFill="1" applyBorder="1">
      <alignment vertical="center"/>
    </xf>
    <xf numFmtId="0" fontId="0" fillId="9" borderId="9" xfId="0" applyFill="1" applyBorder="1">
      <alignment vertical="center"/>
    </xf>
    <xf numFmtId="0" fontId="0" fillId="2" borderId="10" xfId="0" applyFill="1" applyBorder="1">
      <alignment vertical="center"/>
    </xf>
    <xf numFmtId="3" fontId="83" fillId="9" borderId="3" xfId="0" applyNumberFormat="1" applyFont="1" applyFill="1" applyBorder="1">
      <alignment vertical="center"/>
    </xf>
    <xf numFmtId="0" fontId="85" fillId="9" borderId="3" xfId="0" applyFont="1" applyFill="1" applyBorder="1" applyAlignment="1">
      <alignment vertical="center" wrapText="1"/>
    </xf>
    <xf numFmtId="176" fontId="0" fillId="9" borderId="3" xfId="0" applyNumberFormat="1" applyFill="1" applyBorder="1" applyAlignment="1">
      <alignment horizontal="center" vertical="center"/>
    </xf>
    <xf numFmtId="0" fontId="86" fillId="9" borderId="3" xfId="0" applyFont="1" applyFill="1" applyBorder="1">
      <alignment vertical="center"/>
    </xf>
    <xf numFmtId="0" fontId="2" fillId="14" borderId="3" xfId="0" applyFont="1" applyFill="1" applyBorder="1">
      <alignment vertical="center"/>
    </xf>
    <xf numFmtId="3" fontId="23" fillId="14" borderId="3" xfId="0" applyNumberFormat="1" applyFont="1" applyFill="1" applyBorder="1">
      <alignment vertical="center"/>
    </xf>
    <xf numFmtId="9" fontId="0" fillId="14" borderId="3" xfId="0" applyNumberFormat="1" applyFill="1" applyBorder="1">
      <alignment vertical="center"/>
    </xf>
    <xf numFmtId="0" fontId="0" fillId="10" borderId="3" xfId="0" applyFill="1" applyBorder="1" applyAlignment="1">
      <alignment horizontal="right" vertical="center"/>
    </xf>
    <xf numFmtId="41" fontId="0" fillId="10" borderId="3" xfId="0" applyNumberFormat="1" applyFill="1" applyBorder="1">
      <alignment vertical="center"/>
    </xf>
    <xf numFmtId="0" fontId="0" fillId="9" borderId="2" xfId="0" applyFill="1" applyBorder="1" applyAlignment="1">
      <alignment horizontal="right" vertical="center"/>
    </xf>
    <xf numFmtId="41" fontId="0" fillId="9" borderId="2" xfId="0" applyNumberFormat="1" applyFill="1" applyBorder="1">
      <alignment vertical="center"/>
    </xf>
    <xf numFmtId="0" fontId="88" fillId="9" borderId="4" xfId="0" applyFont="1" applyFill="1" applyBorder="1">
      <alignment vertical="center"/>
    </xf>
    <xf numFmtId="0" fontId="88" fillId="9" borderId="7" xfId="0" applyFont="1" applyFill="1" applyBorder="1">
      <alignment vertical="center"/>
    </xf>
    <xf numFmtId="0" fontId="60" fillId="9" borderId="4" xfId="0" applyFont="1" applyFill="1" applyBorder="1">
      <alignment vertical="center"/>
    </xf>
    <xf numFmtId="0" fontId="60" fillId="9" borderId="5" xfId="0" applyFont="1" applyFill="1" applyBorder="1">
      <alignment vertical="center"/>
    </xf>
    <xf numFmtId="0" fontId="89" fillId="9" borderId="4" xfId="0" applyFont="1" applyFill="1" applyBorder="1">
      <alignment vertical="center"/>
    </xf>
    <xf numFmtId="3" fontId="60" fillId="9" borderId="5" xfId="0" applyNumberFormat="1" applyFont="1" applyFill="1" applyBorder="1">
      <alignment vertical="center"/>
    </xf>
    <xf numFmtId="9" fontId="60" fillId="9" borderId="5" xfId="0" applyNumberFormat="1" applyFont="1" applyFill="1" applyBorder="1">
      <alignment vertical="center"/>
    </xf>
    <xf numFmtId="0" fontId="60" fillId="9" borderId="7" xfId="0" applyFont="1" applyFill="1" applyBorder="1">
      <alignment vertical="center"/>
    </xf>
    <xf numFmtId="0" fontId="89" fillId="9" borderId="7" xfId="0" applyFont="1" applyFill="1" applyBorder="1">
      <alignment vertical="center"/>
    </xf>
    <xf numFmtId="3" fontId="60" fillId="9" borderId="8" xfId="0" applyNumberFormat="1" applyFont="1" applyFill="1" applyBorder="1">
      <alignment vertical="center"/>
    </xf>
    <xf numFmtId="9" fontId="60" fillId="9" borderId="8" xfId="0" applyNumberFormat="1" applyFont="1" applyFill="1" applyBorder="1">
      <alignment vertical="center"/>
    </xf>
    <xf numFmtId="0" fontId="89" fillId="9" borderId="13" xfId="0" applyFont="1" applyFill="1" applyBorder="1">
      <alignment vertical="center"/>
    </xf>
    <xf numFmtId="3" fontId="60" fillId="9" borderId="22" xfId="0" applyNumberFormat="1" applyFont="1" applyFill="1" applyBorder="1">
      <alignment vertical="center"/>
    </xf>
    <xf numFmtId="9" fontId="60" fillId="9" borderId="22" xfId="0" applyNumberFormat="1" applyFont="1" applyFill="1" applyBorder="1">
      <alignment vertical="center"/>
    </xf>
    <xf numFmtId="0" fontId="73" fillId="9" borderId="4" xfId="0" applyFont="1" applyFill="1" applyBorder="1">
      <alignment vertical="center"/>
    </xf>
    <xf numFmtId="0" fontId="77" fillId="9" borderId="5" xfId="0" applyFont="1" applyFill="1" applyBorder="1">
      <alignment vertical="center"/>
    </xf>
    <xf numFmtId="0" fontId="88" fillId="9" borderId="3" xfId="0" applyFont="1" applyFill="1" applyBorder="1">
      <alignment vertical="center"/>
    </xf>
    <xf numFmtId="3" fontId="44" fillId="9" borderId="3" xfId="0" applyNumberFormat="1" applyFont="1" applyFill="1" applyBorder="1">
      <alignment vertical="center"/>
    </xf>
    <xf numFmtId="9" fontId="44" fillId="9" borderId="3" xfId="0" applyNumberFormat="1" applyFont="1" applyFill="1" applyBorder="1">
      <alignment vertical="center"/>
    </xf>
    <xf numFmtId="0" fontId="73" fillId="8" borderId="7" xfId="0" applyFont="1" applyFill="1" applyBorder="1">
      <alignment vertical="center"/>
    </xf>
    <xf numFmtId="0" fontId="77" fillId="8" borderId="8" xfId="0" applyFont="1" applyFill="1" applyBorder="1">
      <alignment vertical="center"/>
    </xf>
    <xf numFmtId="0" fontId="88" fillId="8" borderId="3" xfId="0" applyFont="1" applyFill="1" applyBorder="1">
      <alignment vertical="center"/>
    </xf>
    <xf numFmtId="3" fontId="44" fillId="8" borderId="3" xfId="0" applyNumberFormat="1" applyFont="1" applyFill="1" applyBorder="1">
      <alignment vertical="center"/>
    </xf>
    <xf numFmtId="9" fontId="44" fillId="8" borderId="3" xfId="0" applyNumberFormat="1" applyFont="1" applyFill="1" applyBorder="1">
      <alignment vertical="center"/>
    </xf>
    <xf numFmtId="0" fontId="73" fillId="9" borderId="7" xfId="0" applyFont="1" applyFill="1" applyBorder="1">
      <alignment vertical="center"/>
    </xf>
    <xf numFmtId="0" fontId="77" fillId="9" borderId="8" xfId="0" applyFont="1" applyFill="1" applyBorder="1">
      <alignment vertical="center"/>
    </xf>
    <xf numFmtId="0" fontId="57" fillId="9" borderId="28" xfId="0" applyFont="1" applyFill="1" applyBorder="1">
      <alignment vertical="center"/>
    </xf>
    <xf numFmtId="0" fontId="14" fillId="6" borderId="3" xfId="0" applyFont="1" applyFill="1" applyBorder="1" applyAlignment="1">
      <alignment horizontal="left" vertical="center" indent="1"/>
    </xf>
    <xf numFmtId="0" fontId="91" fillId="9" borderId="3" xfId="0" applyFont="1" applyFill="1" applyBorder="1" applyAlignment="1">
      <alignment vertical="center" wrapText="1"/>
    </xf>
    <xf numFmtId="0" fontId="92" fillId="9" borderId="3" xfId="6" applyFont="1" applyFill="1" applyBorder="1" applyAlignment="1">
      <alignment horizontal="center" vertical="center" wrapText="1"/>
    </xf>
    <xf numFmtId="0" fontId="92" fillId="9" borderId="3" xfId="6" applyFont="1" applyFill="1" applyBorder="1" applyAlignment="1">
      <alignment vertical="center" wrapText="1"/>
    </xf>
    <xf numFmtId="0" fontId="95" fillId="9" borderId="3" xfId="7" applyFont="1" applyFill="1" applyBorder="1" applyProtection="1">
      <alignment vertical="center"/>
      <protection locked="0"/>
    </xf>
    <xf numFmtId="0" fontId="96" fillId="9" borderId="3" xfId="7" applyFont="1" applyFill="1" applyBorder="1" applyAlignment="1" applyProtection="1">
      <alignment horizontal="left" vertical="center"/>
      <protection locked="0"/>
    </xf>
    <xf numFmtId="178" fontId="93" fillId="9" borderId="3" xfId="0" applyNumberFormat="1" applyFont="1" applyFill="1" applyBorder="1" applyAlignment="1">
      <alignment horizontal="left" vertical="center"/>
    </xf>
    <xf numFmtId="0" fontId="60" fillId="9" borderId="3" xfId="0" applyFont="1" applyFill="1" applyBorder="1">
      <alignment vertical="center"/>
    </xf>
    <xf numFmtId="0" fontId="60" fillId="9" borderId="3" xfId="0" applyFont="1" applyFill="1" applyBorder="1" applyAlignment="1">
      <alignment vertical="center" wrapText="1"/>
    </xf>
    <xf numFmtId="3" fontId="60" fillId="9" borderId="3" xfId="0" applyNumberFormat="1" applyFont="1" applyFill="1" applyBorder="1">
      <alignment vertical="center"/>
    </xf>
    <xf numFmtId="3" fontId="97" fillId="9" borderId="3" xfId="0" applyNumberFormat="1" applyFont="1" applyFill="1" applyBorder="1">
      <alignment vertical="center"/>
    </xf>
    <xf numFmtId="0" fontId="98" fillId="9" borderId="3" xfId="0" applyFont="1" applyFill="1" applyBorder="1" applyAlignment="1">
      <alignment vertical="center" wrapText="1"/>
    </xf>
    <xf numFmtId="0" fontId="99" fillId="0" borderId="0" xfId="0" applyFont="1" applyAlignment="1">
      <alignment horizontal="left" vertical="center"/>
    </xf>
    <xf numFmtId="0" fontId="100" fillId="0" borderId="0" xfId="0" applyFont="1" applyAlignment="1">
      <alignment horizontal="left" vertical="center"/>
    </xf>
    <xf numFmtId="0" fontId="101" fillId="0" borderId="0" xfId="0" applyFont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101" fillId="0" borderId="0" xfId="0" applyFont="1" applyAlignment="1">
      <alignment horizontal="right" vertical="center"/>
    </xf>
    <xf numFmtId="0" fontId="102" fillId="0" borderId="0" xfId="0" applyFont="1">
      <alignment vertical="center"/>
    </xf>
    <xf numFmtId="0" fontId="103" fillId="0" borderId="0" xfId="0" applyFont="1">
      <alignment vertical="center"/>
    </xf>
    <xf numFmtId="0" fontId="104" fillId="0" borderId="0" xfId="0" applyFont="1" applyAlignment="1">
      <alignment horizontal="center" vertical="center"/>
    </xf>
    <xf numFmtId="0" fontId="105" fillId="0" borderId="0" xfId="0" applyFont="1" applyAlignment="1">
      <alignment horizontal="center" vertical="center"/>
    </xf>
    <xf numFmtId="0" fontId="106" fillId="4" borderId="73" xfId="0" applyFont="1" applyFill="1" applyBorder="1" applyAlignment="1">
      <alignment horizontal="center" vertical="center"/>
    </xf>
    <xf numFmtId="0" fontId="106" fillId="4" borderId="75" xfId="0" applyFont="1" applyFill="1" applyBorder="1" applyAlignment="1">
      <alignment horizontal="center" vertical="center"/>
    </xf>
    <xf numFmtId="0" fontId="100" fillId="16" borderId="75" xfId="0" applyFont="1" applyFill="1" applyBorder="1" applyAlignment="1">
      <alignment horizontal="center" vertical="center" wrapText="1"/>
    </xf>
    <xf numFmtId="0" fontId="100" fillId="16" borderId="75" xfId="0" applyFont="1" applyFill="1" applyBorder="1" applyAlignment="1">
      <alignment horizontal="center" vertical="center"/>
    </xf>
    <xf numFmtId="0" fontId="106" fillId="4" borderId="75" xfId="0" applyFont="1" applyFill="1" applyBorder="1" applyAlignment="1">
      <alignment horizontal="center" vertical="center" wrapText="1"/>
    </xf>
    <xf numFmtId="0" fontId="106" fillId="4" borderId="76" xfId="0" applyFont="1" applyFill="1" applyBorder="1" applyAlignment="1">
      <alignment horizontal="center" vertical="center" wrapText="1"/>
    </xf>
    <xf numFmtId="0" fontId="106" fillId="10" borderId="28" xfId="0" applyFont="1" applyFill="1" applyBorder="1" applyAlignment="1">
      <alignment horizontal="left" vertical="center" indent="1"/>
    </xf>
    <xf numFmtId="0" fontId="106" fillId="10" borderId="0" xfId="0" applyFont="1" applyFill="1" applyAlignment="1">
      <alignment horizontal="center" vertical="center"/>
    </xf>
    <xf numFmtId="0" fontId="106" fillId="4" borderId="0" xfId="0" applyFont="1" applyFill="1" applyAlignment="1">
      <alignment horizontal="center" vertical="center"/>
    </xf>
    <xf numFmtId="0" fontId="106" fillId="4" borderId="22" xfId="0" applyFont="1" applyFill="1" applyBorder="1" applyAlignment="1">
      <alignment horizontal="center" vertical="center" wrapText="1"/>
    </xf>
    <xf numFmtId="0" fontId="107" fillId="0" borderId="21" xfId="0" applyFont="1" applyBorder="1" applyAlignment="1">
      <alignment horizontal="center" vertical="center"/>
    </xf>
    <xf numFmtId="0" fontId="102" fillId="0" borderId="77" xfId="0" applyFont="1" applyBorder="1" applyAlignment="1">
      <alignment horizontal="center" vertical="center"/>
    </xf>
    <xf numFmtId="0" fontId="24" fillId="0" borderId="78" xfId="0" applyFont="1" applyBorder="1" applyAlignment="1">
      <alignment horizontal="center" vertical="center"/>
    </xf>
    <xf numFmtId="0" fontId="107" fillId="0" borderId="13" xfId="0" applyFont="1" applyBorder="1" applyAlignment="1">
      <alignment horizontal="center" vertical="center"/>
    </xf>
    <xf numFmtId="0" fontId="102" fillId="0" borderId="43" xfId="0" applyFont="1" applyBorder="1" applyAlignment="1">
      <alignment horizontal="center" vertical="center"/>
    </xf>
    <xf numFmtId="178" fontId="102" fillId="0" borderId="43" xfId="0" applyNumberFormat="1" applyFont="1" applyBorder="1" applyAlignment="1">
      <alignment horizontal="center" vertical="center"/>
    </xf>
    <xf numFmtId="0" fontId="102" fillId="0" borderId="20" xfId="0" applyFont="1" applyBorder="1" applyAlignment="1">
      <alignment horizontal="center" vertical="center"/>
    </xf>
    <xf numFmtId="0" fontId="108" fillId="0" borderId="79" xfId="0" applyFont="1" applyBorder="1" applyAlignment="1">
      <alignment horizontal="center" vertical="center"/>
    </xf>
    <xf numFmtId="0" fontId="102" fillId="0" borderId="15" xfId="0" applyFont="1" applyBorder="1" applyAlignment="1">
      <alignment horizontal="center" vertical="center"/>
    </xf>
    <xf numFmtId="0" fontId="108" fillId="0" borderId="80" xfId="0" applyFont="1" applyBorder="1" applyAlignment="1">
      <alignment horizontal="center" vertical="center"/>
    </xf>
    <xf numFmtId="0" fontId="108" fillId="0" borderId="0" xfId="0" applyFont="1" applyAlignment="1">
      <alignment horizontal="center" vertical="center"/>
    </xf>
    <xf numFmtId="0" fontId="108" fillId="0" borderId="81" xfId="0" applyFont="1" applyBorder="1" applyAlignment="1">
      <alignment horizontal="center" vertical="center"/>
    </xf>
    <xf numFmtId="0" fontId="0" fillId="10" borderId="79" xfId="0" applyFill="1" applyBorder="1" applyAlignment="1">
      <alignment horizontal="center" vertical="center"/>
    </xf>
    <xf numFmtId="0" fontId="108" fillId="0" borderId="82" xfId="0" applyFont="1" applyBorder="1" applyAlignment="1">
      <alignment horizontal="center" vertical="center"/>
    </xf>
    <xf numFmtId="0" fontId="109" fillId="0" borderId="0" xfId="0" applyFont="1" applyAlignment="1">
      <alignment horizontal="center" vertical="center"/>
    </xf>
    <xf numFmtId="0" fontId="107" fillId="0" borderId="7" xfId="0" applyFont="1" applyBorder="1" applyAlignment="1">
      <alignment horizontal="center" vertical="center"/>
    </xf>
    <xf numFmtId="0" fontId="102" fillId="0" borderId="83" xfId="0" applyFont="1" applyBorder="1" applyAlignment="1">
      <alignment horizontal="center" vertical="center"/>
    </xf>
    <xf numFmtId="0" fontId="23" fillId="0" borderId="84" xfId="0" applyFont="1" applyBorder="1" applyAlignment="1">
      <alignment horizontal="center" vertical="center"/>
    </xf>
    <xf numFmtId="0" fontId="23" fillId="0" borderId="78" xfId="0" applyFont="1" applyBorder="1" applyAlignment="1">
      <alignment horizontal="center" vertical="center"/>
    </xf>
    <xf numFmtId="0" fontId="102" fillId="0" borderId="36" xfId="0" applyFont="1" applyBorder="1" applyAlignment="1">
      <alignment horizontal="center" vertical="center"/>
    </xf>
    <xf numFmtId="0" fontId="23" fillId="0" borderId="85" xfId="0" applyFont="1" applyBorder="1" applyAlignment="1">
      <alignment horizontal="center" vertical="center"/>
    </xf>
    <xf numFmtId="0" fontId="110" fillId="0" borderId="43" xfId="0" applyFont="1" applyBorder="1" applyAlignment="1">
      <alignment horizontal="center" vertical="center"/>
    </xf>
    <xf numFmtId="0" fontId="102" fillId="14" borderId="15" xfId="0" applyFont="1" applyFill="1" applyBorder="1" applyAlignment="1">
      <alignment horizontal="center" vertical="center"/>
    </xf>
    <xf numFmtId="178" fontId="102" fillId="0" borderId="83" xfId="0" applyNumberFormat="1" applyFont="1" applyBorder="1" applyAlignment="1">
      <alignment horizontal="center" vertical="center"/>
    </xf>
    <xf numFmtId="178" fontId="102" fillId="0" borderId="15" xfId="0" applyNumberFormat="1" applyFont="1" applyBorder="1" applyAlignment="1">
      <alignment horizontal="center" vertical="center"/>
    </xf>
    <xf numFmtId="0" fontId="102" fillId="0" borderId="77" xfId="0" quotePrefix="1" applyFont="1" applyBorder="1" applyAlignment="1">
      <alignment horizontal="center" vertical="center"/>
    </xf>
    <xf numFmtId="178" fontId="102" fillId="0" borderId="77" xfId="0" applyNumberFormat="1" applyFont="1" applyBorder="1" applyAlignment="1">
      <alignment horizontal="center" vertical="center"/>
    </xf>
    <xf numFmtId="0" fontId="102" fillId="0" borderId="15" xfId="0" quotePrefix="1" applyFont="1" applyBorder="1" applyAlignment="1">
      <alignment horizontal="center" vertical="center"/>
    </xf>
    <xf numFmtId="0" fontId="102" fillId="14" borderId="15" xfId="0" quotePrefix="1" applyFont="1" applyFill="1" applyBorder="1" applyAlignment="1">
      <alignment horizontal="center" vertical="center"/>
    </xf>
    <xf numFmtId="178" fontId="102" fillId="14" borderId="15" xfId="0" applyNumberFormat="1" applyFont="1" applyFill="1" applyBorder="1" applyAlignment="1">
      <alignment horizontal="center" vertical="center"/>
    </xf>
    <xf numFmtId="0" fontId="102" fillId="9" borderId="15" xfId="0" applyFont="1" applyFill="1" applyBorder="1" applyAlignment="1">
      <alignment horizontal="center" vertical="center"/>
    </xf>
    <xf numFmtId="178" fontId="102" fillId="9" borderId="15" xfId="0" applyNumberFormat="1" applyFont="1" applyFill="1" applyBorder="1" applyAlignment="1">
      <alignment horizontal="center" vertical="center"/>
    </xf>
    <xf numFmtId="0" fontId="92" fillId="0" borderId="80" xfId="0" applyFont="1" applyBorder="1" applyAlignment="1">
      <alignment horizontal="center" vertical="center"/>
    </xf>
    <xf numFmtId="0" fontId="106" fillId="4" borderId="25" xfId="0" applyFont="1" applyFill="1" applyBorder="1" applyAlignment="1">
      <alignment horizontal="center" vertical="center"/>
    </xf>
    <xf numFmtId="0" fontId="92" fillId="0" borderId="82" xfId="0" applyFont="1" applyBorder="1" applyAlignment="1">
      <alignment horizontal="center" vertical="center"/>
    </xf>
    <xf numFmtId="0" fontId="111" fillId="10" borderId="82" xfId="0" applyFont="1" applyFill="1" applyBorder="1" applyAlignment="1">
      <alignment horizontal="center" vertical="center"/>
    </xf>
    <xf numFmtId="0" fontId="111" fillId="0" borderId="80" xfId="0" applyFont="1" applyBorder="1" applyAlignment="1">
      <alignment horizontal="center" vertical="center"/>
    </xf>
    <xf numFmtId="0" fontId="107" fillId="14" borderId="13" xfId="0" applyFont="1" applyFill="1" applyBorder="1" applyAlignment="1">
      <alignment horizontal="center" vertical="center"/>
    </xf>
    <xf numFmtId="0" fontId="102" fillId="14" borderId="20" xfId="0" applyFont="1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102" fillId="14" borderId="0" xfId="0" applyFont="1" applyFill="1">
      <alignment vertical="center"/>
    </xf>
    <xf numFmtId="0" fontId="0" fillId="0" borderId="0" xfId="0" applyAlignment="1">
      <alignment horizontal="center" vertical="center"/>
    </xf>
    <xf numFmtId="176" fontId="111" fillId="0" borderId="80" xfId="0" applyNumberFormat="1" applyFont="1" applyBorder="1" applyAlignment="1">
      <alignment horizontal="center" vertical="center"/>
    </xf>
    <xf numFmtId="0" fontId="111" fillId="0" borderId="0" xfId="0" applyFont="1" applyAlignment="1">
      <alignment horizontal="center" vertical="center"/>
    </xf>
    <xf numFmtId="0" fontId="111" fillId="0" borderId="86" xfId="0" applyFont="1" applyBorder="1" applyAlignment="1">
      <alignment horizontal="center" vertical="center"/>
    </xf>
    <xf numFmtId="178" fontId="102" fillId="0" borderId="20" xfId="0" applyNumberFormat="1" applyFont="1" applyBorder="1" applyAlignment="1">
      <alignment horizontal="center" vertical="center"/>
    </xf>
    <xf numFmtId="0" fontId="102" fillId="14" borderId="77" xfId="0" applyFont="1" applyFill="1" applyBorder="1" applyAlignment="1">
      <alignment horizontal="center" vertical="center"/>
    </xf>
    <xf numFmtId="0" fontId="112" fillId="0" borderId="15" xfId="0" applyFont="1" applyBorder="1" applyAlignment="1">
      <alignment horizontal="center" vertical="center"/>
    </xf>
    <xf numFmtId="0" fontId="23" fillId="0" borderId="87" xfId="0" applyFont="1" applyBorder="1" applyAlignment="1">
      <alignment horizontal="center" vertical="center" wrapText="1"/>
    </xf>
    <xf numFmtId="0" fontId="112" fillId="0" borderId="20" xfId="0" applyFont="1" applyBorder="1" applyAlignment="1">
      <alignment horizontal="center" vertical="center"/>
    </xf>
    <xf numFmtId="0" fontId="102" fillId="0" borderId="16" xfId="0" applyFont="1" applyBorder="1" applyAlignment="1">
      <alignment horizontal="center" vertical="center"/>
    </xf>
    <xf numFmtId="0" fontId="102" fillId="0" borderId="13" xfId="0" applyFont="1" applyBorder="1" applyAlignment="1">
      <alignment horizontal="center" vertical="center"/>
    </xf>
    <xf numFmtId="0" fontId="23" fillId="0" borderId="88" xfId="0" applyFont="1" applyBorder="1" applyAlignment="1">
      <alignment horizontal="center" vertical="center" wrapText="1"/>
    </xf>
    <xf numFmtId="0" fontId="102" fillId="0" borderId="46" xfId="0" applyFont="1" applyBorder="1" applyAlignment="1">
      <alignment horizontal="center" vertical="center"/>
    </xf>
    <xf numFmtId="0" fontId="102" fillId="17" borderId="15" xfId="0" applyFont="1" applyFill="1" applyBorder="1" applyAlignment="1">
      <alignment horizontal="center" vertical="center"/>
    </xf>
    <xf numFmtId="0" fontId="102" fillId="17" borderId="15" xfId="0" quotePrefix="1" applyFont="1" applyFill="1" applyBorder="1" applyAlignment="1">
      <alignment horizontal="center" vertical="center"/>
    </xf>
    <xf numFmtId="178" fontId="102" fillId="17" borderId="15" xfId="0" applyNumberFormat="1" applyFont="1" applyFill="1" applyBorder="1" applyAlignment="1">
      <alignment horizontal="center" vertical="center"/>
    </xf>
    <xf numFmtId="0" fontId="112" fillId="0" borderId="77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13" fillId="0" borderId="78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2" fillId="0" borderId="43" xfId="0" applyFont="1" applyBorder="1" applyAlignment="1">
      <alignment horizontal="center" vertical="center"/>
    </xf>
    <xf numFmtId="0" fontId="92" fillId="0" borderId="89" xfId="0" applyFont="1" applyBorder="1" applyAlignment="1">
      <alignment horizontal="center" vertical="center"/>
    </xf>
    <xf numFmtId="0" fontId="111" fillId="0" borderId="82" xfId="0" applyFont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111" fillId="0" borderId="79" xfId="0" applyFont="1" applyBorder="1" applyAlignment="1">
      <alignment horizontal="center" vertical="center"/>
    </xf>
    <xf numFmtId="0" fontId="111" fillId="0" borderId="90" xfId="0" applyFont="1" applyBorder="1" applyAlignment="1">
      <alignment horizontal="center" vertical="center"/>
    </xf>
    <xf numFmtId="0" fontId="112" fillId="0" borderId="83" xfId="0" applyFont="1" applyBorder="1" applyAlignment="1">
      <alignment horizontal="center" vertical="center"/>
    </xf>
    <xf numFmtId="0" fontId="13" fillId="0" borderId="80" xfId="0" applyFont="1" applyBorder="1" applyAlignment="1">
      <alignment horizontal="center" vertical="center"/>
    </xf>
    <xf numFmtId="0" fontId="110" fillId="0" borderId="20" xfId="0" applyFont="1" applyBorder="1" applyAlignment="1">
      <alignment horizontal="center" vertical="center"/>
    </xf>
    <xf numFmtId="0" fontId="107" fillId="0" borderId="36" xfId="0" applyFont="1" applyBorder="1" applyAlignment="1">
      <alignment horizontal="center" vertical="center"/>
    </xf>
    <xf numFmtId="0" fontId="112" fillId="0" borderId="91" xfId="0" applyFont="1" applyBorder="1" applyAlignment="1">
      <alignment horizontal="center" vertical="center"/>
    </xf>
    <xf numFmtId="0" fontId="112" fillId="14" borderId="15" xfId="0" applyFont="1" applyFill="1" applyBorder="1" applyAlignment="1">
      <alignment horizontal="center" vertical="center"/>
    </xf>
    <xf numFmtId="0" fontId="115" fillId="0" borderId="21" xfId="0" applyFont="1" applyBorder="1" applyAlignment="1">
      <alignment horizontal="center" vertical="center"/>
    </xf>
    <xf numFmtId="0" fontId="112" fillId="0" borderId="77" xfId="0" quotePrefix="1" applyFont="1" applyBorder="1" applyAlignment="1">
      <alignment horizontal="center" vertical="center"/>
    </xf>
    <xf numFmtId="178" fontId="112" fillId="0" borderId="77" xfId="0" applyNumberFormat="1" applyFont="1" applyBorder="1" applyAlignment="1">
      <alignment horizontal="center" vertical="center"/>
    </xf>
    <xf numFmtId="0" fontId="112" fillId="0" borderId="0" xfId="0" applyFont="1">
      <alignment vertical="center"/>
    </xf>
    <xf numFmtId="0" fontId="115" fillId="0" borderId="13" xfId="0" applyFont="1" applyBorder="1" applyAlignment="1">
      <alignment horizontal="center" vertical="center"/>
    </xf>
    <xf numFmtId="0" fontId="112" fillId="0" borderId="15" xfId="0" quotePrefix="1" applyFont="1" applyBorder="1" applyAlignment="1">
      <alignment horizontal="center" vertical="center"/>
    </xf>
    <xf numFmtId="178" fontId="112" fillId="0" borderId="15" xfId="0" applyNumberFormat="1" applyFont="1" applyBorder="1" applyAlignment="1">
      <alignment horizontal="center" vertical="center"/>
    </xf>
    <xf numFmtId="0" fontId="112" fillId="17" borderId="15" xfId="0" applyFont="1" applyFill="1" applyBorder="1" applyAlignment="1">
      <alignment horizontal="center" vertical="center"/>
    </xf>
    <xf numFmtId="178" fontId="112" fillId="17" borderId="15" xfId="0" applyNumberFormat="1" applyFont="1" applyFill="1" applyBorder="1" applyAlignment="1">
      <alignment horizontal="center" vertical="center"/>
    </xf>
    <xf numFmtId="0" fontId="115" fillId="0" borderId="36" xfId="0" applyFont="1" applyBorder="1" applyAlignment="1">
      <alignment horizontal="center" vertical="center"/>
    </xf>
    <xf numFmtId="0" fontId="102" fillId="0" borderId="19" xfId="0" applyFont="1" applyBorder="1" applyAlignment="1">
      <alignment horizontal="center" vertical="center"/>
    </xf>
    <xf numFmtId="0" fontId="112" fillId="17" borderId="15" xfId="0" quotePrefix="1" applyFont="1" applyFill="1" applyBorder="1" applyAlignment="1">
      <alignment horizontal="center" vertical="center"/>
    </xf>
    <xf numFmtId="0" fontId="102" fillId="0" borderId="92" xfId="0" applyFont="1" applyBorder="1" applyAlignment="1">
      <alignment horizontal="center" vertical="center"/>
    </xf>
    <xf numFmtId="0" fontId="24" fillId="0" borderId="93" xfId="0" applyFont="1" applyBorder="1" applyAlignment="1">
      <alignment horizontal="center" vertical="center"/>
    </xf>
    <xf numFmtId="0" fontId="102" fillId="0" borderId="94" xfId="0" applyFont="1" applyBorder="1" applyAlignment="1">
      <alignment horizontal="center" vertical="center"/>
    </xf>
    <xf numFmtId="0" fontId="102" fillId="0" borderId="31" xfId="0" applyFont="1" applyBorder="1" applyAlignment="1">
      <alignment horizontal="center" vertical="center"/>
    </xf>
    <xf numFmtId="0" fontId="110" fillId="0" borderId="95" xfId="0" applyFont="1" applyBorder="1" applyAlignment="1">
      <alignment horizontal="center" vertical="center"/>
    </xf>
    <xf numFmtId="0" fontId="110" fillId="0" borderId="96" xfId="0" applyFont="1" applyBorder="1" applyAlignment="1">
      <alignment horizontal="center" vertical="center"/>
    </xf>
    <xf numFmtId="0" fontId="112" fillId="10" borderId="15" xfId="0" applyFont="1" applyFill="1" applyBorder="1" applyAlignment="1">
      <alignment horizontal="center" vertical="center"/>
    </xf>
    <xf numFmtId="0" fontId="112" fillId="10" borderId="77" xfId="0" applyFont="1" applyFill="1" applyBorder="1" applyAlignment="1">
      <alignment horizontal="center" vertical="center"/>
    </xf>
    <xf numFmtId="0" fontId="112" fillId="10" borderId="31" xfId="0" applyFont="1" applyFill="1" applyBorder="1" applyAlignment="1">
      <alignment horizontal="center" vertical="center"/>
    </xf>
    <xf numFmtId="0" fontId="24" fillId="10" borderId="93" xfId="0" applyFont="1" applyFill="1" applyBorder="1" applyAlignment="1">
      <alignment horizontal="center" vertical="center"/>
    </xf>
    <xf numFmtId="0" fontId="112" fillId="10" borderId="19" xfId="0" applyFont="1" applyFill="1" applyBorder="1" applyAlignment="1">
      <alignment horizontal="center" vertical="center"/>
    </xf>
    <xf numFmtId="0" fontId="102" fillId="10" borderId="15" xfId="0" applyFont="1" applyFill="1" applyBorder="1" applyAlignment="1">
      <alignment horizontal="center" vertical="center"/>
    </xf>
    <xf numFmtId="0" fontId="102" fillId="10" borderId="77" xfId="0" applyFont="1" applyFill="1" applyBorder="1" applyAlignment="1">
      <alignment horizontal="center" vertical="center"/>
    </xf>
    <xf numFmtId="0" fontId="102" fillId="10" borderId="31" xfId="0" applyFont="1" applyFill="1" applyBorder="1" applyAlignment="1">
      <alignment horizontal="center" vertical="center"/>
    </xf>
    <xf numFmtId="0" fontId="102" fillId="10" borderId="19" xfId="0" applyFont="1" applyFill="1" applyBorder="1" applyAlignment="1">
      <alignment horizontal="center" vertical="center"/>
    </xf>
    <xf numFmtId="0" fontId="116" fillId="4" borderId="0" xfId="0" applyFont="1" applyFill="1" applyAlignment="1">
      <alignment horizontal="center" vertical="center"/>
    </xf>
    <xf numFmtId="0" fontId="102" fillId="10" borderId="20" xfId="0" applyFont="1" applyFill="1" applyBorder="1" applyAlignment="1">
      <alignment horizontal="center" vertical="center"/>
    </xf>
    <xf numFmtId="0" fontId="112" fillId="10" borderId="43" xfId="0" applyFont="1" applyFill="1" applyBorder="1" applyAlignment="1">
      <alignment horizontal="center" vertical="center"/>
    </xf>
    <xf numFmtId="0" fontId="102" fillId="10" borderId="41" xfId="0" applyFont="1" applyFill="1" applyBorder="1" applyAlignment="1">
      <alignment horizontal="center" vertical="center"/>
    </xf>
    <xf numFmtId="0" fontId="92" fillId="0" borderId="97" xfId="0" applyFont="1" applyBorder="1" applyAlignment="1">
      <alignment horizontal="center" vertical="center"/>
    </xf>
    <xf numFmtId="0" fontId="111" fillId="0" borderId="81" xfId="0" applyFont="1" applyBorder="1" applyAlignment="1">
      <alignment horizontal="center" vertical="center"/>
    </xf>
    <xf numFmtId="0" fontId="102" fillId="18" borderId="15" xfId="0" applyFont="1" applyFill="1" applyBorder="1" applyAlignment="1">
      <alignment horizontal="center" vertical="center"/>
    </xf>
    <xf numFmtId="0" fontId="117" fillId="0" borderId="87" xfId="0" applyFont="1" applyBorder="1" applyAlignment="1">
      <alignment horizontal="center" vertical="center" wrapText="1"/>
    </xf>
    <xf numFmtId="0" fontId="117" fillId="0" borderId="98" xfId="0" applyFont="1" applyBorder="1" applyAlignment="1">
      <alignment horizontal="center" vertical="center" wrapText="1"/>
    </xf>
    <xf numFmtId="0" fontId="102" fillId="10" borderId="0" xfId="0" applyFont="1" applyFill="1">
      <alignment vertical="center"/>
    </xf>
    <xf numFmtId="0" fontId="107" fillId="10" borderId="13" xfId="0" applyFont="1" applyFill="1" applyBorder="1" applyAlignment="1">
      <alignment horizontal="center" vertical="center"/>
    </xf>
    <xf numFmtId="0" fontId="107" fillId="0" borderId="77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117" fillId="0" borderId="88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116" fillId="10" borderId="28" xfId="0" applyFont="1" applyFill="1" applyBorder="1" applyAlignment="1">
      <alignment horizontal="left" vertical="center" indent="1"/>
    </xf>
    <xf numFmtId="0" fontId="24" fillId="0" borderId="99" xfId="0" applyFont="1" applyBorder="1" applyAlignment="1">
      <alignment horizontal="center" vertical="center"/>
    </xf>
    <xf numFmtId="0" fontId="110" fillId="0" borderId="19" xfId="0" applyFont="1" applyBorder="1" applyAlignment="1">
      <alignment horizontal="center" vertical="center"/>
    </xf>
    <xf numFmtId="0" fontId="24" fillId="0" borderId="100" xfId="0" applyFont="1" applyBorder="1" applyAlignment="1">
      <alignment horizontal="center" vertical="center"/>
    </xf>
    <xf numFmtId="0" fontId="102" fillId="0" borderId="32" xfId="0" applyFont="1" applyBorder="1" applyAlignment="1">
      <alignment horizontal="center" vertical="center"/>
    </xf>
    <xf numFmtId="0" fontId="111" fillId="0" borderId="101" xfId="0" applyFont="1" applyBorder="1" applyAlignment="1">
      <alignment horizontal="center" vertical="center"/>
    </xf>
    <xf numFmtId="0" fontId="102" fillId="0" borderId="44" xfId="0" applyFont="1" applyBorder="1" applyAlignment="1">
      <alignment horizontal="center" vertical="center"/>
    </xf>
    <xf numFmtId="0" fontId="112" fillId="0" borderId="31" xfId="0" applyFont="1" applyBorder="1" applyAlignment="1">
      <alignment horizontal="center" vertical="center"/>
    </xf>
    <xf numFmtId="0" fontId="111" fillId="0" borderId="95" xfId="0" applyFont="1" applyBorder="1" applyAlignment="1">
      <alignment horizontal="center" vertical="center"/>
    </xf>
    <xf numFmtId="0" fontId="112" fillId="0" borderId="19" xfId="0" applyFont="1" applyBorder="1" applyAlignment="1">
      <alignment horizontal="center" vertical="center"/>
    </xf>
    <xf numFmtId="0" fontId="111" fillId="0" borderId="11" xfId="0" applyFont="1" applyBorder="1" applyAlignment="1">
      <alignment horizontal="center" vertical="center"/>
    </xf>
    <xf numFmtId="0" fontId="111" fillId="0" borderId="102" xfId="0" applyFont="1" applyBorder="1" applyAlignment="1">
      <alignment horizontal="center" vertical="center"/>
    </xf>
    <xf numFmtId="0" fontId="111" fillId="0" borderId="103" xfId="0" applyFont="1" applyBorder="1" applyAlignment="1">
      <alignment horizontal="center" vertical="center"/>
    </xf>
    <xf numFmtId="0" fontId="111" fillId="0" borderId="96" xfId="0" applyFont="1" applyBorder="1" applyAlignment="1">
      <alignment horizontal="center" vertical="center"/>
    </xf>
    <xf numFmtId="0" fontId="112" fillId="0" borderId="16" xfId="0" applyFont="1" applyBorder="1" applyAlignment="1">
      <alignment horizontal="center" vertical="center"/>
    </xf>
    <xf numFmtId="0" fontId="112" fillId="0" borderId="13" xfId="0" applyFont="1" applyBorder="1" applyAlignment="1">
      <alignment horizontal="center" vertical="center"/>
    </xf>
    <xf numFmtId="0" fontId="102" fillId="10" borderId="13" xfId="0" applyFont="1" applyFill="1" applyBorder="1" applyAlignment="1">
      <alignment horizontal="center" vertical="center"/>
    </xf>
    <xf numFmtId="178" fontId="102" fillId="10" borderId="13" xfId="0" applyNumberFormat="1" applyFont="1" applyFill="1" applyBorder="1" applyAlignment="1">
      <alignment horizontal="center" vertical="center"/>
    </xf>
    <xf numFmtId="0" fontId="115" fillId="0" borderId="77" xfId="0" applyFont="1" applyBorder="1" applyAlignment="1">
      <alignment horizontal="center" vertical="center"/>
    </xf>
    <xf numFmtId="178" fontId="102" fillId="0" borderId="0" xfId="0" applyNumberFormat="1" applyFont="1" applyAlignment="1">
      <alignment horizontal="center" vertical="center"/>
    </xf>
    <xf numFmtId="176" fontId="0" fillId="5" borderId="3" xfId="0" applyNumberFormat="1" applyFill="1" applyBorder="1" applyAlignment="1">
      <alignment horizontal="center" vertical="center"/>
    </xf>
    <xf numFmtId="0" fontId="112" fillId="10" borderId="15" xfId="0" quotePrefix="1" applyFont="1" applyFill="1" applyBorder="1" applyAlignment="1">
      <alignment horizontal="center" vertical="center"/>
    </xf>
    <xf numFmtId="178" fontId="102" fillId="10" borderId="15" xfId="0" applyNumberFormat="1" applyFont="1" applyFill="1" applyBorder="1" applyAlignment="1">
      <alignment horizontal="center" vertical="center"/>
    </xf>
    <xf numFmtId="0" fontId="114" fillId="0" borderId="5" xfId="0" applyFont="1" applyBorder="1" applyAlignment="1">
      <alignment horizontal="center" vertical="center"/>
    </xf>
    <xf numFmtId="0" fontId="44" fillId="0" borderId="8" xfId="0" applyFont="1" applyBorder="1" applyAlignment="1">
      <alignment horizontal="center" vertical="center"/>
    </xf>
    <xf numFmtId="0" fontId="118" fillId="4" borderId="25" xfId="0" applyFont="1" applyFill="1" applyBorder="1" applyAlignment="1">
      <alignment horizontal="center" vertical="center"/>
    </xf>
    <xf numFmtId="0" fontId="102" fillId="5" borderId="20" xfId="0" applyFont="1" applyFill="1" applyBorder="1" applyAlignment="1">
      <alignment horizontal="center" vertical="center"/>
    </xf>
    <xf numFmtId="0" fontId="102" fillId="5" borderId="15" xfId="0" applyFont="1" applyFill="1" applyBorder="1" applyAlignment="1">
      <alignment horizontal="center" vertical="center"/>
    </xf>
    <xf numFmtId="0" fontId="13" fillId="10" borderId="82" xfId="0" applyFont="1" applyFill="1" applyBorder="1" applyAlignment="1">
      <alignment horizontal="center" vertical="center"/>
    </xf>
    <xf numFmtId="0" fontId="112" fillId="10" borderId="20" xfId="0" applyFont="1" applyFill="1" applyBorder="1" applyAlignment="1">
      <alignment horizontal="center" vertical="center"/>
    </xf>
    <xf numFmtId="3" fontId="102" fillId="0" borderId="0" xfId="0" applyNumberFormat="1" applyFont="1">
      <alignment vertical="center"/>
    </xf>
    <xf numFmtId="178" fontId="102" fillId="0" borderId="46" xfId="0" applyNumberFormat="1" applyFont="1" applyBorder="1" applyAlignment="1">
      <alignment horizontal="center" vertical="center"/>
    </xf>
    <xf numFmtId="0" fontId="44" fillId="0" borderId="5" xfId="0" applyFont="1" applyBorder="1" applyAlignment="1">
      <alignment horizontal="center" vertical="center"/>
    </xf>
    <xf numFmtId="0" fontId="57" fillId="0" borderId="8" xfId="0" applyFont="1" applyBorder="1" applyAlignment="1">
      <alignment horizontal="center" vertical="center"/>
    </xf>
    <xf numFmtId="0" fontId="102" fillId="0" borderId="15" xfId="0" applyFont="1" applyBorder="1" applyAlignment="1">
      <alignment horizontal="left" vertical="center"/>
    </xf>
    <xf numFmtId="0" fontId="102" fillId="9" borderId="20" xfId="0" applyFont="1" applyFill="1" applyBorder="1" applyAlignment="1">
      <alignment horizontal="center" vertical="center"/>
    </xf>
    <xf numFmtId="0" fontId="112" fillId="9" borderId="15" xfId="0" applyFont="1" applyFill="1" applyBorder="1" applyAlignment="1">
      <alignment horizontal="center" vertical="center"/>
    </xf>
    <xf numFmtId="178" fontId="102" fillId="9" borderId="20" xfId="0" applyNumberFormat="1" applyFont="1" applyFill="1" applyBorder="1" applyAlignment="1">
      <alignment horizontal="center" vertical="center"/>
    </xf>
    <xf numFmtId="0" fontId="107" fillId="13" borderId="13" xfId="0" applyFont="1" applyFill="1" applyBorder="1" applyAlignment="1">
      <alignment horizontal="center" vertical="center"/>
    </xf>
    <xf numFmtId="0" fontId="102" fillId="13" borderId="20" xfId="0" applyFont="1" applyFill="1" applyBorder="1" applyAlignment="1">
      <alignment horizontal="center" vertical="center"/>
    </xf>
    <xf numFmtId="0" fontId="102" fillId="13" borderId="15" xfId="0" applyFont="1" applyFill="1" applyBorder="1" applyAlignment="1">
      <alignment horizontal="center" vertical="center"/>
    </xf>
    <xf numFmtId="0" fontId="112" fillId="13" borderId="15" xfId="0" applyFont="1" applyFill="1" applyBorder="1" applyAlignment="1">
      <alignment horizontal="center" vertical="center"/>
    </xf>
    <xf numFmtId="178" fontId="102" fillId="13" borderId="15" xfId="0" applyNumberFormat="1" applyFont="1" applyFill="1" applyBorder="1" applyAlignment="1">
      <alignment horizontal="center" vertical="center"/>
    </xf>
    <xf numFmtId="0" fontId="102" fillId="13" borderId="0" xfId="0" applyFont="1" applyFill="1">
      <alignment vertical="center"/>
    </xf>
    <xf numFmtId="0" fontId="102" fillId="10" borderId="46" xfId="0" applyFont="1" applyFill="1" applyBorder="1" applyAlignment="1">
      <alignment horizontal="center" vertical="center"/>
    </xf>
    <xf numFmtId="0" fontId="112" fillId="10" borderId="46" xfId="0" applyFont="1" applyFill="1" applyBorder="1" applyAlignment="1">
      <alignment horizontal="center" vertical="center"/>
    </xf>
    <xf numFmtId="178" fontId="102" fillId="10" borderId="46" xfId="0" applyNumberFormat="1" applyFont="1" applyFill="1" applyBorder="1" applyAlignment="1">
      <alignment horizontal="center" vertical="center"/>
    </xf>
    <xf numFmtId="0" fontId="102" fillId="0" borderId="15" xfId="0" applyFont="1" applyBorder="1" applyAlignment="1">
      <alignment horizontal="center" vertical="center" wrapText="1"/>
    </xf>
    <xf numFmtId="0" fontId="24" fillId="14" borderId="8" xfId="0" applyFont="1" applyFill="1" applyBorder="1" applyAlignment="1">
      <alignment horizontal="center" vertical="center"/>
    </xf>
    <xf numFmtId="0" fontId="116" fillId="10" borderId="0" xfId="0" applyFont="1" applyFill="1" applyAlignment="1">
      <alignment horizontal="center" vertical="center"/>
    </xf>
    <xf numFmtId="0" fontId="116" fillId="4" borderId="25" xfId="0" applyFont="1" applyFill="1" applyBorder="1" applyAlignment="1">
      <alignment horizontal="center" vertical="center"/>
    </xf>
    <xf numFmtId="0" fontId="116" fillId="4" borderId="22" xfId="0" applyFont="1" applyFill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0" fontId="115" fillId="0" borderId="7" xfId="0" applyFont="1" applyBorder="1" applyAlignment="1">
      <alignment horizontal="center" vertical="center"/>
    </xf>
    <xf numFmtId="0" fontId="112" fillId="0" borderId="46" xfId="0" applyFont="1" applyBorder="1" applyAlignment="1">
      <alignment horizontal="center" vertical="center"/>
    </xf>
    <xf numFmtId="0" fontId="120" fillId="19" borderId="104" xfId="0" applyFont="1" applyFill="1" applyBorder="1" applyAlignment="1">
      <alignment horizontal="center" vertical="center"/>
    </xf>
    <xf numFmtId="0" fontId="120" fillId="19" borderId="105" xfId="0" applyFont="1" applyFill="1" applyBorder="1" applyAlignment="1">
      <alignment horizontal="center" vertical="center"/>
    </xf>
    <xf numFmtId="0" fontId="102" fillId="17" borderId="16" xfId="0" applyFont="1" applyFill="1" applyBorder="1" applyAlignment="1">
      <alignment horizontal="center" vertical="center"/>
    </xf>
    <xf numFmtId="178" fontId="102" fillId="17" borderId="16" xfId="0" applyNumberFormat="1" applyFont="1" applyFill="1" applyBorder="1" applyAlignment="1">
      <alignment horizontal="center" vertical="center"/>
    </xf>
    <xf numFmtId="0" fontId="112" fillId="17" borderId="83" xfId="0" applyFont="1" applyFill="1" applyBorder="1" applyAlignment="1">
      <alignment horizontal="center" vertical="center"/>
    </xf>
    <xf numFmtId="178" fontId="112" fillId="17" borderId="83" xfId="0" applyNumberFormat="1" applyFont="1" applyFill="1" applyBorder="1" applyAlignment="1">
      <alignment horizontal="center" vertical="center"/>
    </xf>
    <xf numFmtId="0" fontId="24" fillId="0" borderId="84" xfId="0" applyFont="1" applyBorder="1" applyAlignment="1">
      <alignment horizontal="center" vertical="center"/>
    </xf>
    <xf numFmtId="0" fontId="112" fillId="14" borderId="20" xfId="0" applyFont="1" applyFill="1" applyBorder="1" applyAlignment="1">
      <alignment horizontal="center" vertical="center"/>
    </xf>
    <xf numFmtId="0" fontId="112" fillId="14" borderId="77" xfId="0" applyFont="1" applyFill="1" applyBorder="1" applyAlignment="1">
      <alignment horizontal="center" vertical="center"/>
    </xf>
    <xf numFmtId="0" fontId="121" fillId="0" borderId="80" xfId="0" applyFont="1" applyBorder="1" applyAlignment="1">
      <alignment horizontal="center" vertical="center"/>
    </xf>
    <xf numFmtId="0" fontId="121" fillId="0" borderId="90" xfId="0" applyFont="1" applyBorder="1" applyAlignment="1">
      <alignment horizontal="center" vertical="center"/>
    </xf>
    <xf numFmtId="0" fontId="122" fillId="0" borderId="0" xfId="0" applyFont="1" applyAlignment="1">
      <alignment horizontal="center" vertical="center"/>
    </xf>
    <xf numFmtId="0" fontId="102" fillId="20" borderId="15" xfId="0" applyFont="1" applyFill="1" applyBorder="1" applyAlignment="1">
      <alignment horizontal="center" vertical="center"/>
    </xf>
    <xf numFmtId="0" fontId="112" fillId="0" borderId="0" xfId="0" applyFont="1" applyAlignment="1">
      <alignment horizontal="center" vertical="center"/>
    </xf>
    <xf numFmtId="0" fontId="110" fillId="0" borderId="0" xfId="0" applyFont="1" applyAlignment="1">
      <alignment horizontal="center" vertical="center"/>
    </xf>
    <xf numFmtId="0" fontId="112" fillId="21" borderId="15" xfId="0" applyFont="1" applyFill="1" applyBorder="1" applyAlignment="1">
      <alignment horizontal="center" vertical="center"/>
    </xf>
    <xf numFmtId="0" fontId="123" fillId="0" borderId="4" xfId="0" applyFont="1" applyBorder="1" applyAlignment="1">
      <alignment horizontal="center" vertical="center"/>
    </xf>
    <xf numFmtId="0" fontId="57" fillId="0" borderId="5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124" fillId="0" borderId="0" xfId="0" applyFont="1" applyAlignment="1">
      <alignment horizontal="center" vertical="center"/>
    </xf>
    <xf numFmtId="0" fontId="112" fillId="8" borderId="20" xfId="0" applyFont="1" applyFill="1" applyBorder="1" applyAlignment="1">
      <alignment horizontal="center" vertical="center"/>
    </xf>
    <xf numFmtId="0" fontId="112" fillId="8" borderId="77" xfId="0" applyFont="1" applyFill="1" applyBorder="1" applyAlignment="1">
      <alignment horizontal="center" vertical="center"/>
    </xf>
    <xf numFmtId="0" fontId="110" fillId="0" borderId="106" xfId="0" applyFont="1" applyBorder="1" applyAlignment="1">
      <alignment horizontal="center" vertical="center"/>
    </xf>
    <xf numFmtId="178" fontId="112" fillId="0" borderId="20" xfId="0" applyNumberFormat="1" applyFont="1" applyBorder="1" applyAlignment="1">
      <alignment horizontal="center" vertical="center"/>
    </xf>
    <xf numFmtId="0" fontId="110" fillId="0" borderId="107" xfId="0" applyFont="1" applyBorder="1" applyAlignment="1">
      <alignment horizontal="center" vertical="center"/>
    </xf>
    <xf numFmtId="178" fontId="112" fillId="0" borderId="16" xfId="0" applyNumberFormat="1" applyFont="1" applyBorder="1" applyAlignment="1">
      <alignment horizontal="center" vertical="center"/>
    </xf>
    <xf numFmtId="178" fontId="112" fillId="0" borderId="101" xfId="0" applyNumberFormat="1" applyFont="1" applyBorder="1" applyAlignment="1">
      <alignment horizontal="center" vertical="center"/>
    </xf>
    <xf numFmtId="178" fontId="112" fillId="0" borderId="108" xfId="0" applyNumberFormat="1" applyFont="1" applyBorder="1" applyAlignment="1">
      <alignment horizontal="center" vertical="center"/>
    </xf>
    <xf numFmtId="0" fontId="110" fillId="0" borderId="109" xfId="0" applyFont="1" applyBorder="1" applyAlignment="1">
      <alignment horizontal="center" vertical="center"/>
    </xf>
    <xf numFmtId="178" fontId="112" fillId="0" borderId="83" xfId="0" applyNumberFormat="1" applyFont="1" applyBorder="1" applyAlignment="1">
      <alignment horizontal="center" vertical="center"/>
    </xf>
    <xf numFmtId="0" fontId="112" fillId="0" borderId="110" xfId="0" applyFont="1" applyBorder="1" applyAlignment="1">
      <alignment horizontal="center" vertical="center"/>
    </xf>
    <xf numFmtId="0" fontId="112" fillId="0" borderId="111" xfId="0" applyFont="1" applyBorder="1" applyAlignment="1">
      <alignment horizontal="center" vertical="center"/>
    </xf>
    <xf numFmtId="0" fontId="112" fillId="0" borderId="92" xfId="0" quotePrefix="1" applyFont="1" applyBorder="1" applyAlignment="1">
      <alignment horizontal="center" vertical="center"/>
    </xf>
    <xf numFmtId="0" fontId="112" fillId="0" borderId="2" xfId="0" applyFont="1" applyBorder="1" applyAlignment="1">
      <alignment horizontal="center" vertical="center"/>
    </xf>
    <xf numFmtId="178" fontId="112" fillId="0" borderId="112" xfId="0" applyNumberFormat="1" applyFont="1" applyBorder="1" applyAlignment="1">
      <alignment horizontal="center" vertical="center"/>
    </xf>
    <xf numFmtId="0" fontId="112" fillId="0" borderId="94" xfId="0" applyFont="1" applyBorder="1" applyAlignment="1">
      <alignment horizontal="center" vertical="center"/>
    </xf>
    <xf numFmtId="0" fontId="112" fillId="0" borderId="31" xfId="0" quotePrefix="1" applyFont="1" applyBorder="1" applyAlignment="1">
      <alignment horizontal="center" vertical="center"/>
    </xf>
    <xf numFmtId="0" fontId="112" fillId="0" borderId="113" xfId="0" applyFont="1" applyBorder="1" applyAlignment="1">
      <alignment horizontal="center" vertical="center"/>
    </xf>
    <xf numFmtId="178" fontId="112" fillId="0" borderId="95" xfId="0" applyNumberFormat="1" applyFont="1" applyBorder="1" applyAlignment="1">
      <alignment horizontal="center" vertical="center"/>
    </xf>
    <xf numFmtId="0" fontId="112" fillId="0" borderId="103" xfId="0" applyFont="1" applyBorder="1" applyAlignment="1">
      <alignment horizontal="center" vertical="center"/>
    </xf>
    <xf numFmtId="0" fontId="112" fillId="0" borderId="114" xfId="0" applyFont="1" applyBorder="1" applyAlignment="1">
      <alignment horizontal="center" vertical="center"/>
    </xf>
    <xf numFmtId="0" fontId="112" fillId="0" borderId="11" xfId="0" applyFont="1" applyBorder="1" applyAlignment="1">
      <alignment horizontal="center" vertical="center"/>
    </xf>
    <xf numFmtId="0" fontId="112" fillId="17" borderId="16" xfId="0" applyFont="1" applyFill="1" applyBorder="1" applyAlignment="1">
      <alignment horizontal="center" vertical="center"/>
    </xf>
    <xf numFmtId="0" fontId="112" fillId="17" borderId="17" xfId="0" quotePrefix="1" applyFont="1" applyFill="1" applyBorder="1" applyAlignment="1">
      <alignment horizontal="center" vertical="center"/>
    </xf>
    <xf numFmtId="0" fontId="112" fillId="17" borderId="115" xfId="0" applyFont="1" applyFill="1" applyBorder="1" applyAlignment="1">
      <alignment horizontal="center" vertical="center"/>
    </xf>
    <xf numFmtId="178" fontId="110" fillId="17" borderId="103" xfId="0" applyNumberFormat="1" applyFont="1" applyFill="1" applyBorder="1" applyAlignment="1">
      <alignment horizontal="center" vertical="center"/>
    </xf>
    <xf numFmtId="178" fontId="112" fillId="17" borderId="116" xfId="0" applyNumberFormat="1" applyFont="1" applyFill="1" applyBorder="1" applyAlignment="1">
      <alignment horizontal="center" vertical="center"/>
    </xf>
    <xf numFmtId="0" fontId="112" fillId="17" borderId="34" xfId="0" applyFont="1" applyFill="1" applyBorder="1" applyAlignment="1">
      <alignment horizontal="center" vertical="center"/>
    </xf>
    <xf numFmtId="0" fontId="112" fillId="17" borderId="43" xfId="0" applyFont="1" applyFill="1" applyBorder="1" applyAlignment="1">
      <alignment horizontal="center" vertical="center"/>
    </xf>
    <xf numFmtId="0" fontId="112" fillId="17" borderId="36" xfId="0" applyFont="1" applyFill="1" applyBorder="1" applyAlignment="1">
      <alignment horizontal="center" vertical="center"/>
    </xf>
    <xf numFmtId="178" fontId="112" fillId="17" borderId="36" xfId="0" applyNumberFormat="1" applyFont="1" applyFill="1" applyBorder="1" applyAlignment="1">
      <alignment horizontal="center" vertical="center"/>
    </xf>
    <xf numFmtId="178" fontId="112" fillId="17" borderId="43" xfId="0" applyNumberFormat="1" applyFont="1" applyFill="1" applyBorder="1" applyAlignment="1">
      <alignment horizontal="center" vertical="center"/>
    </xf>
    <xf numFmtId="41" fontId="112" fillId="0" borderId="20" xfId="0" applyNumberFormat="1" applyFont="1" applyBorder="1" applyAlignment="1">
      <alignment horizontal="center" vertical="center"/>
    </xf>
    <xf numFmtId="0" fontId="23" fillId="19" borderId="7" xfId="0" applyFont="1" applyFill="1" applyBorder="1" applyAlignment="1">
      <alignment horizontal="center" vertical="center" wrapText="1"/>
    </xf>
    <xf numFmtId="0" fontId="112" fillId="5" borderId="15" xfId="0" applyFont="1" applyFill="1" applyBorder="1" applyAlignment="1">
      <alignment horizontal="center" vertical="center"/>
    </xf>
    <xf numFmtId="41" fontId="112" fillId="0" borderId="15" xfId="0" applyNumberFormat="1" applyFont="1" applyBorder="1" applyAlignment="1">
      <alignment horizontal="center" vertical="center"/>
    </xf>
    <xf numFmtId="0" fontId="117" fillId="0" borderId="0" xfId="0" applyFont="1" applyAlignment="1">
      <alignment horizontal="center" vertical="center" wrapText="1"/>
    </xf>
    <xf numFmtId="0" fontId="107" fillId="0" borderId="0" xfId="0" applyFont="1" applyAlignment="1">
      <alignment horizontal="center" vertical="center"/>
    </xf>
    <xf numFmtId="0" fontId="102" fillId="0" borderId="22" xfId="0" applyFont="1" applyBorder="1" applyAlignment="1">
      <alignment horizontal="center" vertical="center"/>
    </xf>
    <xf numFmtId="0" fontId="125" fillId="0" borderId="0" xfId="0" applyFont="1" applyAlignment="1">
      <alignment horizontal="left" vertical="center"/>
    </xf>
    <xf numFmtId="0" fontId="126" fillId="0" borderId="0" xfId="0" applyFont="1" applyAlignment="1">
      <alignment horizontal="center" vertical="center"/>
    </xf>
    <xf numFmtId="0" fontId="125" fillId="0" borderId="0" xfId="0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 applyAlignment="1">
      <alignment horizontal="center" vertical="center"/>
    </xf>
    <xf numFmtId="0" fontId="129" fillId="0" borderId="0" xfId="0" applyFont="1" applyAlignment="1">
      <alignment horizontal="center" vertical="center"/>
    </xf>
    <xf numFmtId="176" fontId="128" fillId="0" borderId="0" xfId="0" applyNumberFormat="1" applyFont="1" applyAlignment="1">
      <alignment horizontal="center" vertical="center"/>
    </xf>
    <xf numFmtId="0" fontId="128" fillId="0" borderId="0" xfId="0" applyFont="1" applyAlignment="1">
      <alignment horizontal="right" vertical="center"/>
    </xf>
    <xf numFmtId="0" fontId="129" fillId="0" borderId="0" xfId="0" applyFont="1">
      <alignment vertical="center"/>
    </xf>
    <xf numFmtId="9" fontId="129" fillId="0" borderId="0" xfId="0" applyNumberFormat="1" applyFont="1" applyAlignment="1">
      <alignment horizontal="center" vertical="center"/>
    </xf>
    <xf numFmtId="0" fontId="130" fillId="0" borderId="0" xfId="0" applyFont="1">
      <alignment vertical="center"/>
    </xf>
    <xf numFmtId="0" fontId="126" fillId="0" borderId="0" xfId="0" applyFont="1">
      <alignment vertical="center"/>
    </xf>
    <xf numFmtId="0" fontId="130" fillId="0" borderId="0" xfId="0" applyFont="1" applyAlignment="1">
      <alignment horizontal="center" vertical="center"/>
    </xf>
    <xf numFmtId="0" fontId="131" fillId="0" borderId="0" xfId="0" applyFont="1" applyAlignment="1">
      <alignment horizontal="center" vertical="center"/>
    </xf>
    <xf numFmtId="176" fontId="132" fillId="0" borderId="0" xfId="0" applyNumberFormat="1" applyFont="1" applyAlignment="1">
      <alignment horizontal="center" vertical="center"/>
    </xf>
    <xf numFmtId="0" fontId="132" fillId="0" borderId="0" xfId="0" applyFont="1">
      <alignment vertical="center"/>
    </xf>
    <xf numFmtId="0" fontId="133" fillId="0" borderId="0" xfId="0" applyFont="1">
      <alignment vertical="center"/>
    </xf>
    <xf numFmtId="0" fontId="134" fillId="4" borderId="75" xfId="0" applyFont="1" applyFill="1" applyBorder="1" applyAlignment="1">
      <alignment horizontal="center" vertical="center"/>
    </xf>
    <xf numFmtId="0" fontId="134" fillId="4" borderId="75" xfId="0" applyFont="1" applyFill="1" applyBorder="1" applyAlignment="1">
      <alignment horizontal="center" vertical="center" wrapText="1"/>
    </xf>
    <xf numFmtId="0" fontId="135" fillId="4" borderId="75" xfId="0" applyFont="1" applyFill="1" applyBorder="1" applyAlignment="1">
      <alignment horizontal="center" vertical="center" wrapText="1"/>
    </xf>
    <xf numFmtId="176" fontId="134" fillId="4" borderId="75" xfId="0" applyNumberFormat="1" applyFont="1" applyFill="1" applyBorder="1" applyAlignment="1">
      <alignment horizontal="center" vertical="center"/>
    </xf>
    <xf numFmtId="41" fontId="134" fillId="4" borderId="75" xfId="0" applyNumberFormat="1" applyFont="1" applyFill="1" applyBorder="1" applyAlignment="1">
      <alignment horizontal="center" vertical="center"/>
    </xf>
    <xf numFmtId="41" fontId="134" fillId="16" borderId="75" xfId="0" applyNumberFormat="1" applyFont="1" applyFill="1" applyBorder="1" applyAlignment="1">
      <alignment horizontal="center" vertical="center" wrapText="1"/>
    </xf>
    <xf numFmtId="41" fontId="136" fillId="4" borderId="75" xfId="0" applyNumberFormat="1" applyFont="1" applyFill="1" applyBorder="1" applyAlignment="1">
      <alignment horizontal="center" vertical="center" wrapText="1"/>
    </xf>
    <xf numFmtId="9" fontId="134" fillId="4" borderId="75" xfId="0" applyNumberFormat="1" applyFont="1" applyFill="1" applyBorder="1" applyAlignment="1">
      <alignment horizontal="center" vertical="center"/>
    </xf>
    <xf numFmtId="9" fontId="134" fillId="4" borderId="75" xfId="0" applyNumberFormat="1" applyFont="1" applyFill="1" applyBorder="1" applyAlignment="1">
      <alignment horizontal="center" vertical="center" wrapText="1"/>
    </xf>
    <xf numFmtId="0" fontId="134" fillId="22" borderId="75" xfId="0" applyFont="1" applyFill="1" applyBorder="1" applyAlignment="1">
      <alignment horizontal="center" vertical="center"/>
    </xf>
    <xf numFmtId="0" fontId="134" fillId="22" borderId="75" xfId="0" applyFont="1" applyFill="1" applyBorder="1" applyAlignment="1">
      <alignment horizontal="center" vertical="center" wrapText="1"/>
    </xf>
    <xf numFmtId="0" fontId="134" fillId="16" borderId="118" xfId="0" applyFont="1" applyFill="1" applyBorder="1" applyAlignment="1">
      <alignment horizontal="left" vertical="center" indent="1"/>
    </xf>
    <xf numFmtId="0" fontId="137" fillId="0" borderId="44" xfId="0" applyFont="1" applyBorder="1" applyAlignment="1">
      <alignment horizontal="center" vertical="center"/>
    </xf>
    <xf numFmtId="0" fontId="138" fillId="0" borderId="119" xfId="0" applyFont="1" applyBorder="1" applyAlignment="1">
      <alignment horizontal="center" vertical="center"/>
    </xf>
    <xf numFmtId="0" fontId="129" fillId="0" borderId="20" xfId="0" applyFont="1" applyBorder="1">
      <alignment vertical="center"/>
    </xf>
    <xf numFmtId="0" fontId="129" fillId="0" borderId="120" xfId="0" applyFont="1" applyBorder="1" applyAlignment="1">
      <alignment horizontal="center" vertical="center"/>
    </xf>
    <xf numFmtId="176" fontId="129" fillId="0" borderId="121" xfId="0" applyNumberFormat="1" applyFont="1" applyBorder="1" applyAlignment="1">
      <alignment horizontal="center" vertical="center"/>
    </xf>
    <xf numFmtId="49" fontId="129" fillId="0" borderId="121" xfId="0" applyNumberFormat="1" applyFont="1" applyBorder="1" applyAlignment="1">
      <alignment horizontal="center" vertical="center"/>
    </xf>
    <xf numFmtId="0" fontId="129" fillId="0" borderId="122" xfId="0" applyFont="1" applyBorder="1" applyAlignment="1">
      <alignment horizontal="left" vertical="center"/>
    </xf>
    <xf numFmtId="41" fontId="129" fillId="0" borderId="20" xfId="0" applyNumberFormat="1" applyFont="1" applyBorder="1" applyAlignment="1">
      <alignment horizontal="center" vertical="center"/>
    </xf>
    <xf numFmtId="9" fontId="129" fillId="0" borderId="20" xfId="0" applyNumberFormat="1" applyFont="1" applyBorder="1" applyAlignment="1">
      <alignment horizontal="center" vertical="center"/>
    </xf>
    <xf numFmtId="0" fontId="129" fillId="0" borderId="20" xfId="0" applyFont="1" applyBorder="1" applyAlignment="1">
      <alignment horizontal="center" vertical="center"/>
    </xf>
    <xf numFmtId="0" fontId="129" fillId="23" borderId="0" xfId="0" applyFont="1" applyFill="1">
      <alignment vertical="center"/>
    </xf>
    <xf numFmtId="0" fontId="129" fillId="0" borderId="95" xfId="0" applyFont="1" applyBorder="1">
      <alignment vertical="center"/>
    </xf>
    <xf numFmtId="0" fontId="137" fillId="0" borderId="19" xfId="0" applyFont="1" applyBorder="1" applyAlignment="1">
      <alignment horizontal="center" vertical="center"/>
    </xf>
    <xf numFmtId="0" fontId="138" fillId="0" borderId="123" xfId="0" applyFont="1" applyBorder="1" applyAlignment="1">
      <alignment horizontal="center" vertical="center"/>
    </xf>
    <xf numFmtId="0" fontId="129" fillId="0" borderId="15" xfId="0" applyFont="1" applyBorder="1">
      <alignment vertical="center"/>
    </xf>
    <xf numFmtId="0" fontId="129" fillId="0" borderId="15" xfId="0" applyFont="1" applyBorder="1" applyAlignment="1">
      <alignment horizontal="center" vertical="center"/>
    </xf>
    <xf numFmtId="176" fontId="92" fillId="0" borderId="88" xfId="0" applyNumberFormat="1" applyFont="1" applyBorder="1" applyAlignment="1">
      <alignment horizontal="center" vertical="center"/>
    </xf>
    <xf numFmtId="41" fontId="129" fillId="0" borderId="15" xfId="0" applyNumberFormat="1" applyFont="1" applyBorder="1" applyAlignment="1">
      <alignment horizontal="center" vertical="center"/>
    </xf>
    <xf numFmtId="9" fontId="129" fillId="0" borderId="15" xfId="0" applyNumberFormat="1" applyFont="1" applyBorder="1" applyAlignment="1">
      <alignment horizontal="center" vertical="center"/>
    </xf>
    <xf numFmtId="0" fontId="129" fillId="23" borderId="124" xfId="0" applyFont="1" applyFill="1" applyBorder="1">
      <alignment vertical="center"/>
    </xf>
    <xf numFmtId="0" fontId="129" fillId="0" borderId="124" xfId="0" applyFont="1" applyBorder="1">
      <alignment vertical="center"/>
    </xf>
    <xf numFmtId="176" fontId="129" fillId="0" borderId="15" xfId="0" applyNumberFormat="1" applyFont="1" applyBorder="1" applyAlignment="1">
      <alignment horizontal="center" vertical="center"/>
    </xf>
    <xf numFmtId="0" fontId="129" fillId="23" borderId="15" xfId="0" applyFont="1" applyFill="1" applyBorder="1">
      <alignment vertical="center"/>
    </xf>
    <xf numFmtId="0" fontId="137" fillId="0" borderId="94" xfId="0" applyFont="1" applyBorder="1" applyAlignment="1">
      <alignment horizontal="center" vertical="center"/>
    </xf>
    <xf numFmtId="0" fontId="138" fillId="0" borderId="125" xfId="0" applyFont="1" applyBorder="1" applyAlignment="1">
      <alignment horizontal="center" vertical="center"/>
    </xf>
    <xf numFmtId="0" fontId="129" fillId="0" borderId="77" xfId="0" applyFont="1" applyBorder="1">
      <alignment vertical="center"/>
    </xf>
    <xf numFmtId="0" fontId="129" fillId="0" borderId="77" xfId="0" applyFont="1" applyBorder="1" applyAlignment="1">
      <alignment horizontal="center" vertical="center"/>
    </xf>
    <xf numFmtId="176" fontId="73" fillId="0" borderId="88" xfId="0" applyNumberFormat="1" applyFont="1" applyBorder="1" applyAlignment="1">
      <alignment horizontal="center" vertical="center"/>
    </xf>
    <xf numFmtId="41" fontId="129" fillId="0" borderId="77" xfId="0" applyNumberFormat="1" applyFont="1" applyBorder="1" applyAlignment="1">
      <alignment horizontal="center" vertical="center"/>
    </xf>
    <xf numFmtId="9" fontId="129" fillId="0" borderId="77" xfId="0" applyNumberFormat="1" applyFont="1" applyBorder="1" applyAlignment="1">
      <alignment horizontal="center" vertical="center"/>
    </xf>
    <xf numFmtId="0" fontId="129" fillId="23" borderId="126" xfId="0" applyFont="1" applyFill="1" applyBorder="1">
      <alignment vertical="center"/>
    </xf>
    <xf numFmtId="0" fontId="129" fillId="0" borderId="126" xfId="0" applyFont="1" applyBorder="1">
      <alignment vertical="center"/>
    </xf>
    <xf numFmtId="0" fontId="137" fillId="0" borderId="127" xfId="0" applyFont="1" applyBorder="1" applyAlignment="1">
      <alignment horizontal="center" vertical="center"/>
    </xf>
    <xf numFmtId="0" fontId="138" fillId="0" borderId="19" xfId="0" applyFont="1" applyBorder="1" applyAlignment="1">
      <alignment horizontal="center" vertical="center"/>
    </xf>
    <xf numFmtId="41" fontId="129" fillId="10" borderId="15" xfId="0" applyNumberFormat="1" applyFont="1" applyFill="1" applyBorder="1" applyAlignment="1">
      <alignment horizontal="center" vertical="center"/>
    </xf>
    <xf numFmtId="176" fontId="129" fillId="0" borderId="77" xfId="0" applyNumberFormat="1" applyFont="1" applyBorder="1" applyAlignment="1">
      <alignment horizontal="center" vertical="center"/>
    </xf>
    <xf numFmtId="176" fontId="129" fillId="0" borderId="15" xfId="0" applyNumberFormat="1" applyFont="1" applyBorder="1" applyAlignment="1">
      <alignment horizontal="center" vertical="center" wrapText="1"/>
    </xf>
    <xf numFmtId="176" fontId="92" fillId="0" borderId="128" xfId="0" applyNumberFormat="1" applyFont="1" applyBorder="1" applyAlignment="1">
      <alignment horizontal="center" vertical="center"/>
    </xf>
    <xf numFmtId="0" fontId="138" fillId="10" borderId="123" xfId="0" applyFont="1" applyFill="1" applyBorder="1" applyAlignment="1">
      <alignment horizontal="center" vertical="center"/>
    </xf>
    <xf numFmtId="0" fontId="129" fillId="10" borderId="15" xfId="0" applyFont="1" applyFill="1" applyBorder="1">
      <alignment vertical="center"/>
    </xf>
    <xf numFmtId="0" fontId="129" fillId="10" borderId="15" xfId="0" applyFont="1" applyFill="1" applyBorder="1" applyAlignment="1">
      <alignment horizontal="center" vertical="center"/>
    </xf>
    <xf numFmtId="176" fontId="129" fillId="10" borderId="15" xfId="0" applyNumberFormat="1" applyFont="1" applyFill="1" applyBorder="1" applyAlignment="1">
      <alignment horizontal="center" vertical="center"/>
    </xf>
    <xf numFmtId="41" fontId="140" fillId="0" borderId="15" xfId="0" applyNumberFormat="1" applyFont="1" applyBorder="1" applyAlignment="1">
      <alignment horizontal="center" vertical="center"/>
    </xf>
    <xf numFmtId="176" fontId="141" fillId="0" borderId="129" xfId="0" applyNumberFormat="1" applyFont="1" applyBorder="1" applyAlignment="1">
      <alignment horizontal="center" vertical="center"/>
    </xf>
    <xf numFmtId="176" fontId="92" fillId="0" borderId="130" xfId="0" applyNumberFormat="1" applyFont="1" applyBorder="1" applyAlignment="1">
      <alignment horizontal="center" vertical="center"/>
    </xf>
    <xf numFmtId="0" fontId="130" fillId="16" borderId="118" xfId="0" applyFont="1" applyFill="1" applyBorder="1" applyAlignment="1">
      <alignment horizontal="left" vertical="center" indent="1"/>
    </xf>
    <xf numFmtId="176" fontId="28" fillId="0" borderId="128" xfId="0" applyNumberFormat="1" applyFont="1" applyBorder="1" applyAlignment="1">
      <alignment horizontal="center" vertical="center"/>
    </xf>
    <xf numFmtId="0" fontId="140" fillId="0" borderId="15" xfId="0" applyFont="1" applyBorder="1">
      <alignment vertical="center"/>
    </xf>
    <xf numFmtId="0" fontId="140" fillId="0" borderId="15" xfId="0" applyFont="1" applyBorder="1" applyAlignment="1">
      <alignment horizontal="center" vertical="center"/>
    </xf>
    <xf numFmtId="176" fontId="140" fillId="0" borderId="15" xfId="0" applyNumberFormat="1" applyFont="1" applyBorder="1" applyAlignment="1">
      <alignment horizontal="center" vertical="center"/>
    </xf>
    <xf numFmtId="9" fontId="140" fillId="0" borderId="15" xfId="0" applyNumberFormat="1" applyFont="1" applyBorder="1" applyAlignment="1">
      <alignment horizontal="center" vertical="center"/>
    </xf>
    <xf numFmtId="0" fontId="140" fillId="23" borderId="124" xfId="0" applyFont="1" applyFill="1" applyBorder="1">
      <alignment vertical="center"/>
    </xf>
    <xf numFmtId="176" fontId="143" fillId="10" borderId="0" xfId="0" applyNumberFormat="1" applyFont="1" applyFill="1" applyAlignment="1">
      <alignment horizontal="center" vertical="center"/>
    </xf>
    <xf numFmtId="0" fontId="129" fillId="0" borderId="77" xfId="0" applyFont="1" applyBorder="1" applyAlignment="1">
      <alignment vertical="center" wrapText="1"/>
    </xf>
    <xf numFmtId="176" fontId="144" fillId="0" borderId="20" xfId="0" applyNumberFormat="1" applyFont="1" applyBorder="1" applyAlignment="1">
      <alignment horizontal="center" vertical="center"/>
    </xf>
    <xf numFmtId="0" fontId="138" fillId="0" borderId="94" xfId="0" applyFont="1" applyBorder="1" applyAlignment="1">
      <alignment horizontal="center" vertical="center"/>
    </xf>
    <xf numFmtId="0" fontId="140" fillId="0" borderId="77" xfId="0" applyFont="1" applyBorder="1">
      <alignment vertical="center"/>
    </xf>
    <xf numFmtId="0" fontId="140" fillId="0" borderId="77" xfId="0" applyFont="1" applyBorder="1" applyAlignment="1">
      <alignment horizontal="center" vertical="center"/>
    </xf>
    <xf numFmtId="176" fontId="140" fillId="0" borderId="77" xfId="0" applyNumberFormat="1" applyFont="1" applyBorder="1" applyAlignment="1">
      <alignment horizontal="center" vertical="center"/>
    </xf>
    <xf numFmtId="41" fontId="140" fillId="0" borderId="77" xfId="0" applyNumberFormat="1" applyFont="1" applyBorder="1" applyAlignment="1">
      <alignment horizontal="center" vertical="center"/>
    </xf>
    <xf numFmtId="9" fontId="140" fillId="0" borderId="77" xfId="0" applyNumberFormat="1" applyFont="1" applyBorder="1" applyAlignment="1">
      <alignment horizontal="center" vertical="center"/>
    </xf>
    <xf numFmtId="0" fontId="140" fillId="23" borderId="126" xfId="0" applyFont="1" applyFill="1" applyBorder="1">
      <alignment vertical="center"/>
    </xf>
    <xf numFmtId="0" fontId="140" fillId="0" borderId="126" xfId="0" applyFont="1" applyBorder="1">
      <alignment vertical="center"/>
    </xf>
    <xf numFmtId="0" fontId="140" fillId="0" borderId="0" xfId="0" applyFont="1">
      <alignment vertical="center"/>
    </xf>
    <xf numFmtId="0" fontId="0" fillId="10" borderId="0" xfId="0" applyFill="1">
      <alignment vertical="center"/>
    </xf>
    <xf numFmtId="0" fontId="137" fillId="0" borderId="131" xfId="0" applyFont="1" applyBorder="1" applyAlignment="1">
      <alignment horizontal="center" vertical="center"/>
    </xf>
    <xf numFmtId="0" fontId="138" fillId="0" borderId="132" xfId="0" applyFont="1" applyBorder="1" applyAlignment="1">
      <alignment horizontal="center" vertical="center"/>
    </xf>
    <xf numFmtId="0" fontId="129" fillId="0" borderId="43" xfId="0" applyFont="1" applyBorder="1">
      <alignment vertical="center"/>
    </xf>
    <xf numFmtId="0" fontId="129" fillId="0" borderId="43" xfId="0" applyFont="1" applyBorder="1" applyAlignment="1">
      <alignment horizontal="center" vertical="center"/>
    </xf>
    <xf numFmtId="41" fontId="129" fillId="0" borderId="43" xfId="0" applyNumberFormat="1" applyFont="1" applyBorder="1" applyAlignment="1">
      <alignment horizontal="center" vertical="center"/>
    </xf>
    <xf numFmtId="9" fontId="129" fillId="0" borderId="16" xfId="0" applyNumberFormat="1" applyFont="1" applyBorder="1" applyAlignment="1">
      <alignment horizontal="center" vertical="center"/>
    </xf>
    <xf numFmtId="0" fontId="129" fillId="0" borderId="16" xfId="0" applyFont="1" applyBorder="1" applyAlignment="1">
      <alignment horizontal="center" vertical="center"/>
    </xf>
    <xf numFmtId="0" fontId="129" fillId="23" borderId="133" xfId="0" applyFont="1" applyFill="1" applyBorder="1">
      <alignment vertical="center"/>
    </xf>
    <xf numFmtId="0" fontId="129" fillId="0" borderId="133" xfId="0" applyFont="1" applyBorder="1">
      <alignment vertical="center"/>
    </xf>
    <xf numFmtId="0" fontId="140" fillId="14" borderId="62" xfId="0" applyFont="1" applyFill="1" applyBorder="1">
      <alignment vertical="center"/>
    </xf>
    <xf numFmtId="0" fontId="140" fillId="14" borderId="30" xfId="0" applyFont="1" applyFill="1" applyBorder="1">
      <alignment vertical="center"/>
    </xf>
    <xf numFmtId="176" fontId="140" fillId="14" borderId="15" xfId="0" applyNumberFormat="1" applyFont="1" applyFill="1" applyBorder="1" applyAlignment="1">
      <alignment horizontal="center" vertical="center"/>
    </xf>
    <xf numFmtId="0" fontId="140" fillId="14" borderId="33" xfId="0" applyFont="1" applyFill="1" applyBorder="1">
      <alignment vertical="center"/>
    </xf>
    <xf numFmtId="0" fontId="138" fillId="14" borderId="30" xfId="0" applyFont="1" applyFill="1" applyBorder="1">
      <alignment vertical="center"/>
    </xf>
    <xf numFmtId="0" fontId="140" fillId="14" borderId="2" xfId="0" applyFont="1" applyFill="1" applyBorder="1">
      <alignment vertical="center"/>
    </xf>
    <xf numFmtId="0" fontId="137" fillId="0" borderId="41" xfId="0" applyFont="1" applyBorder="1" applyAlignment="1">
      <alignment horizontal="center" vertical="center"/>
    </xf>
    <xf numFmtId="0" fontId="129" fillId="0" borderId="124" xfId="0" applyFont="1" applyBorder="1" applyAlignment="1">
      <alignment horizontal="center" vertical="center"/>
    </xf>
    <xf numFmtId="0" fontId="140" fillId="0" borderId="124" xfId="0" applyFont="1" applyBorder="1">
      <alignment vertical="center"/>
    </xf>
    <xf numFmtId="176" fontId="23" fillId="10" borderId="0" xfId="0" applyNumberFormat="1" applyFont="1" applyFill="1" applyAlignment="1">
      <alignment horizontal="center" vertical="center"/>
    </xf>
    <xf numFmtId="0" fontId="33" fillId="0" borderId="4" xfId="0" applyFont="1" applyBorder="1" applyAlignment="1">
      <alignment vertical="center" wrapText="1"/>
    </xf>
    <xf numFmtId="0" fontId="33" fillId="0" borderId="5" xfId="0" applyFont="1" applyBorder="1" applyAlignment="1">
      <alignment vertical="center" wrapText="1"/>
    </xf>
    <xf numFmtId="0" fontId="33" fillId="0" borderId="91" xfId="0" applyFont="1" applyBorder="1" applyAlignment="1">
      <alignment vertical="center" wrapText="1"/>
    </xf>
    <xf numFmtId="0" fontId="33" fillId="0" borderId="134" xfId="0" applyFont="1" applyBorder="1" applyAlignment="1">
      <alignment vertical="center" wrapText="1"/>
    </xf>
    <xf numFmtId="9" fontId="129" fillId="0" borderId="43" xfId="0" applyNumberFormat="1" applyFont="1" applyBorder="1" applyAlignment="1">
      <alignment horizontal="center" vertical="center"/>
    </xf>
    <xf numFmtId="0" fontId="129" fillId="23" borderId="135" xfId="0" applyFont="1" applyFill="1" applyBorder="1">
      <alignment vertical="center"/>
    </xf>
    <xf numFmtId="0" fontId="129" fillId="0" borderId="135" xfId="0" applyFont="1" applyBorder="1">
      <alignment vertical="center"/>
    </xf>
    <xf numFmtId="0" fontId="129" fillId="23" borderId="136" xfId="0" applyFont="1" applyFill="1" applyBorder="1">
      <alignment vertical="center"/>
    </xf>
    <xf numFmtId="0" fontId="129" fillId="0" borderId="136" xfId="0" applyFont="1" applyBorder="1">
      <alignment vertical="center"/>
    </xf>
    <xf numFmtId="0" fontId="137" fillId="10" borderId="19" xfId="0" applyFont="1" applyFill="1" applyBorder="1" applyAlignment="1">
      <alignment horizontal="center" vertical="center"/>
    </xf>
    <xf numFmtId="0" fontId="140" fillId="10" borderId="15" xfId="0" applyFont="1" applyFill="1" applyBorder="1">
      <alignment vertical="center"/>
    </xf>
    <xf numFmtId="0" fontId="140" fillId="10" borderId="15" xfId="0" applyFont="1" applyFill="1" applyBorder="1" applyAlignment="1">
      <alignment horizontal="center" vertical="center"/>
    </xf>
    <xf numFmtId="176" fontId="138" fillId="10" borderId="15" xfId="0" applyNumberFormat="1" applyFont="1" applyFill="1" applyBorder="1" applyAlignment="1">
      <alignment horizontal="center" vertical="center"/>
    </xf>
    <xf numFmtId="41" fontId="140" fillId="10" borderId="15" xfId="0" applyNumberFormat="1" applyFont="1" applyFill="1" applyBorder="1" applyAlignment="1">
      <alignment horizontal="center" vertical="center"/>
    </xf>
    <xf numFmtId="9" fontId="140" fillId="10" borderId="15" xfId="0" applyNumberFormat="1" applyFont="1" applyFill="1" applyBorder="1" applyAlignment="1">
      <alignment horizontal="center" vertical="center"/>
    </xf>
    <xf numFmtId="0" fontId="140" fillId="10" borderId="124" xfId="0" applyFont="1" applyFill="1" applyBorder="1">
      <alignment vertical="center"/>
    </xf>
    <xf numFmtId="0" fontId="129" fillId="10" borderId="124" xfId="0" applyFont="1" applyFill="1" applyBorder="1">
      <alignment vertical="center"/>
    </xf>
    <xf numFmtId="0" fontId="129" fillId="10" borderId="0" xfId="0" applyFont="1" applyFill="1">
      <alignment vertical="center"/>
    </xf>
    <xf numFmtId="41" fontId="134" fillId="16" borderId="26" xfId="0" applyNumberFormat="1" applyFont="1" applyFill="1" applyBorder="1" applyAlignment="1">
      <alignment horizontal="center" vertical="center"/>
    </xf>
    <xf numFmtId="41" fontId="134" fillId="16" borderId="26" xfId="0" applyNumberFormat="1" applyFont="1" applyFill="1" applyBorder="1" applyAlignment="1">
      <alignment horizontal="center" vertical="center" wrapText="1"/>
    </xf>
    <xf numFmtId="9" fontId="134" fillId="16" borderId="26" xfId="0" applyNumberFormat="1" applyFont="1" applyFill="1" applyBorder="1" applyAlignment="1">
      <alignment horizontal="center" vertical="center"/>
    </xf>
    <xf numFmtId="9" fontId="134" fillId="16" borderId="26" xfId="0" applyNumberFormat="1" applyFont="1" applyFill="1" applyBorder="1" applyAlignment="1">
      <alignment horizontal="center" vertical="center" wrapText="1"/>
    </xf>
    <xf numFmtId="0" fontId="134" fillId="16" borderId="26" xfId="0" applyFont="1" applyFill="1" applyBorder="1" applyAlignment="1">
      <alignment horizontal="center" vertical="center" wrapText="1"/>
    </xf>
    <xf numFmtId="0" fontId="134" fillId="23" borderId="118" xfId="0" applyFont="1" applyFill="1" applyBorder="1" applyAlignment="1">
      <alignment horizontal="center" vertical="center"/>
    </xf>
    <xf numFmtId="0" fontId="134" fillId="16" borderId="118" xfId="0" applyFont="1" applyFill="1" applyBorder="1" applyAlignment="1">
      <alignment horizontal="center" vertical="center"/>
    </xf>
    <xf numFmtId="0" fontId="140" fillId="0" borderId="20" xfId="0" applyFont="1" applyBorder="1" applyAlignment="1">
      <alignment horizontal="center" vertical="center"/>
    </xf>
    <xf numFmtId="176" fontId="144" fillId="0" borderId="15" xfId="0" applyNumberFormat="1" applyFont="1" applyBorder="1" applyAlignment="1">
      <alignment horizontal="center" vertical="center"/>
    </xf>
    <xf numFmtId="0" fontId="137" fillId="0" borderId="138" xfId="0" applyFont="1" applyBorder="1" applyAlignment="1">
      <alignment horizontal="center" vertical="center"/>
    </xf>
    <xf numFmtId="0" fontId="138" fillId="0" borderId="139" xfId="0" applyFont="1" applyBorder="1" applyAlignment="1">
      <alignment horizontal="center" vertical="center"/>
    </xf>
    <xf numFmtId="0" fontId="129" fillId="0" borderId="83" xfId="0" applyFont="1" applyBorder="1">
      <alignment vertical="center"/>
    </xf>
    <xf numFmtId="0" fontId="129" fillId="0" borderId="83" xfId="0" applyFont="1" applyBorder="1" applyAlignment="1">
      <alignment horizontal="center" vertical="center"/>
    </xf>
    <xf numFmtId="176" fontId="129" fillId="0" borderId="83" xfId="0" applyNumberFormat="1" applyFont="1" applyBorder="1" applyAlignment="1">
      <alignment horizontal="center" vertical="center"/>
    </xf>
    <xf numFmtId="41" fontId="129" fillId="0" borderId="83" xfId="0" applyNumberFormat="1" applyFont="1" applyBorder="1" applyAlignment="1">
      <alignment horizontal="center" vertical="center"/>
    </xf>
    <xf numFmtId="9" fontId="129" fillId="0" borderId="83" xfId="0" applyNumberFormat="1" applyFont="1" applyBorder="1" applyAlignment="1">
      <alignment horizontal="center" vertical="center"/>
    </xf>
    <xf numFmtId="0" fontId="129" fillId="23" borderId="140" xfId="0" applyFont="1" applyFill="1" applyBorder="1">
      <alignment vertical="center"/>
    </xf>
    <xf numFmtId="0" fontId="129" fillId="0" borderId="140" xfId="0" applyFont="1" applyBorder="1">
      <alignment vertical="center"/>
    </xf>
    <xf numFmtId="49" fontId="123" fillId="0" borderId="4" xfId="0" applyNumberFormat="1" applyFont="1" applyBorder="1" applyAlignment="1">
      <alignment horizontal="center" vertical="center"/>
    </xf>
    <xf numFmtId="0" fontId="123" fillId="0" borderId="4" xfId="0" applyFont="1" applyBorder="1" applyAlignment="1">
      <alignment horizontal="left" vertical="center"/>
    </xf>
    <xf numFmtId="41" fontId="123" fillId="0" borderId="4" xfId="2" applyFont="1" applyBorder="1" applyAlignment="1">
      <alignment horizontal="center" vertical="center"/>
    </xf>
    <xf numFmtId="0" fontId="140" fillId="0" borderId="83" xfId="0" applyFont="1" applyBorder="1" applyAlignment="1">
      <alignment horizontal="center" vertical="center"/>
    </xf>
    <xf numFmtId="176" fontId="24" fillId="0" borderId="4" xfId="0" applyNumberFormat="1" applyFont="1" applyBorder="1" applyAlignment="1">
      <alignment horizontal="center" vertical="center"/>
    </xf>
    <xf numFmtId="0" fontId="129" fillId="0" borderId="15" xfId="0" applyFont="1" applyBorder="1" applyAlignment="1">
      <alignment vertical="center" wrapText="1"/>
    </xf>
    <xf numFmtId="176" fontId="144" fillId="10" borderId="15" xfId="0" applyNumberFormat="1" applyFont="1" applyFill="1" applyBorder="1" applyAlignment="1">
      <alignment horizontal="center" vertical="center"/>
    </xf>
    <xf numFmtId="0" fontId="129" fillId="0" borderId="15" xfId="0" applyFont="1" applyBorder="1" applyAlignment="1">
      <alignment horizontal="center" vertical="center" wrapText="1"/>
    </xf>
    <xf numFmtId="0" fontId="137" fillId="14" borderId="19" xfId="0" applyFont="1" applyFill="1" applyBorder="1" applyAlignment="1">
      <alignment horizontal="center" vertical="center"/>
    </xf>
    <xf numFmtId="0" fontId="138" fillId="14" borderId="123" xfId="0" applyFont="1" applyFill="1" applyBorder="1" applyAlignment="1">
      <alignment horizontal="center" vertical="center"/>
    </xf>
    <xf numFmtId="0" fontId="129" fillId="14" borderId="15" xfId="0" applyFont="1" applyFill="1" applyBorder="1">
      <alignment vertical="center"/>
    </xf>
    <xf numFmtId="0" fontId="129" fillId="14" borderId="15" xfId="0" applyFont="1" applyFill="1" applyBorder="1" applyAlignment="1">
      <alignment horizontal="center" vertical="center"/>
    </xf>
    <xf numFmtId="41" fontId="129" fillId="14" borderId="15" xfId="0" applyNumberFormat="1" applyFont="1" applyFill="1" applyBorder="1" applyAlignment="1">
      <alignment horizontal="center" vertical="center"/>
    </xf>
    <xf numFmtId="9" fontId="129" fillId="14" borderId="15" xfId="0" applyNumberFormat="1" applyFont="1" applyFill="1" applyBorder="1" applyAlignment="1">
      <alignment horizontal="center" vertical="center"/>
    </xf>
    <xf numFmtId="0" fontId="129" fillId="14" borderId="124" xfId="0" applyFont="1" applyFill="1" applyBorder="1">
      <alignment vertical="center"/>
    </xf>
    <xf numFmtId="0" fontId="145" fillId="0" borderId="15" xfId="0" applyFont="1" applyBorder="1" applyAlignment="1">
      <alignment vertical="center" wrapText="1"/>
    </xf>
    <xf numFmtId="0" fontId="129" fillId="23" borderId="124" xfId="0" applyFont="1" applyFill="1" applyBorder="1" applyAlignment="1">
      <alignment vertical="center" wrapText="1"/>
    </xf>
    <xf numFmtId="9" fontId="140" fillId="0" borderId="20" xfId="0" applyNumberFormat="1" applyFont="1" applyBorder="1" applyAlignment="1">
      <alignment horizontal="center" vertical="center"/>
    </xf>
    <xf numFmtId="0" fontId="140" fillId="0" borderId="124" xfId="0" applyFont="1" applyBorder="1" applyAlignment="1">
      <alignment horizontal="center" vertical="center"/>
    </xf>
    <xf numFmtId="176" fontId="23" fillId="0" borderId="0" xfId="0" applyNumberFormat="1" applyFont="1" applyAlignment="1">
      <alignment horizontal="center" vertical="center"/>
    </xf>
    <xf numFmtId="0" fontId="140" fillId="0" borderId="21" xfId="0" applyFont="1" applyBorder="1" applyAlignment="1">
      <alignment horizontal="center" vertical="center"/>
    </xf>
    <xf numFmtId="0" fontId="140" fillId="0" borderId="21" xfId="0" applyFont="1" applyBorder="1" applyAlignment="1">
      <alignment vertical="center" wrapText="1"/>
    </xf>
    <xf numFmtId="0" fontId="140" fillId="23" borderId="136" xfId="0" applyFont="1" applyFill="1" applyBorder="1">
      <alignment vertical="center"/>
    </xf>
    <xf numFmtId="176" fontId="140" fillId="0" borderId="31" xfId="0" applyNumberFormat="1" applyFont="1" applyBorder="1" applyAlignment="1">
      <alignment horizontal="center" vertical="center"/>
    </xf>
    <xf numFmtId="0" fontId="140" fillId="0" borderId="115" xfId="0" applyFont="1" applyBorder="1" applyAlignment="1">
      <alignment horizontal="center" vertical="center"/>
    </xf>
    <xf numFmtId="0" fontId="140" fillId="0" borderId="141" xfId="0" applyFont="1" applyBorder="1">
      <alignment vertical="center"/>
    </xf>
    <xf numFmtId="41" fontId="140" fillId="0" borderId="19" xfId="0" applyNumberFormat="1" applyFont="1" applyBorder="1" applyAlignment="1">
      <alignment horizontal="center" vertical="center"/>
    </xf>
    <xf numFmtId="0" fontId="140" fillId="0" borderId="142" xfId="0" applyFont="1" applyBorder="1" applyAlignment="1">
      <alignment horizontal="center" vertical="center"/>
    </xf>
    <xf numFmtId="0" fontId="140" fillId="0" borderId="143" xfId="0" applyFont="1" applyBorder="1">
      <alignment vertical="center"/>
    </xf>
    <xf numFmtId="41" fontId="129" fillId="0" borderId="19" xfId="0" applyNumberFormat="1" applyFont="1" applyBorder="1" applyAlignment="1">
      <alignment horizontal="center" vertical="center"/>
    </xf>
    <xf numFmtId="176" fontId="140" fillId="10" borderId="31" xfId="0" applyNumberFormat="1" applyFont="1" applyFill="1" applyBorder="1" applyAlignment="1">
      <alignment horizontal="center" vertical="center"/>
    </xf>
    <xf numFmtId="0" fontId="129" fillId="10" borderId="20" xfId="0" applyFont="1" applyFill="1" applyBorder="1" applyAlignment="1">
      <alignment horizontal="center" vertical="center"/>
    </xf>
    <xf numFmtId="0" fontId="129" fillId="10" borderId="20" xfId="0" applyFont="1" applyFill="1" applyBorder="1">
      <alignment vertical="center"/>
    </xf>
    <xf numFmtId="9" fontId="129" fillId="10" borderId="15" xfId="0" applyNumberFormat="1" applyFont="1" applyFill="1" applyBorder="1" applyAlignment="1">
      <alignment horizontal="center" vertical="center"/>
    </xf>
    <xf numFmtId="0" fontId="146" fillId="10" borderId="0" xfId="0" applyFont="1" applyFill="1">
      <alignment vertical="center"/>
    </xf>
    <xf numFmtId="176" fontId="141" fillId="0" borderId="144" xfId="0" applyNumberFormat="1" applyFont="1" applyBorder="1" applyAlignment="1">
      <alignment horizontal="center" vertical="center"/>
    </xf>
    <xf numFmtId="176" fontId="57" fillId="0" borderId="0" xfId="0" applyNumberFormat="1" applyFont="1" applyAlignment="1">
      <alignment horizontal="center" vertical="center"/>
    </xf>
    <xf numFmtId="0" fontId="129" fillId="0" borderId="77" xfId="0" applyFont="1" applyBorder="1" applyAlignment="1">
      <alignment horizontal="center" vertical="center" wrapText="1"/>
    </xf>
    <xf numFmtId="0" fontId="23" fillId="19" borderId="4" xfId="0" applyFont="1" applyFill="1" applyBorder="1">
      <alignment vertical="center"/>
    </xf>
    <xf numFmtId="176" fontId="146" fillId="0" borderId="20" xfId="0" applyNumberFormat="1" applyFont="1" applyBorder="1" applyAlignment="1">
      <alignment horizontal="center" vertical="center"/>
    </xf>
    <xf numFmtId="0" fontId="60" fillId="0" borderId="3" xfId="0" applyFont="1" applyBorder="1" applyAlignment="1">
      <alignment horizontal="center" vertical="center"/>
    </xf>
    <xf numFmtId="176" fontId="13" fillId="0" borderId="4" xfId="0" applyNumberFormat="1" applyFont="1" applyBorder="1" applyAlignment="1">
      <alignment horizontal="center" vertical="center"/>
    </xf>
    <xf numFmtId="0" fontId="60" fillId="5" borderId="3" xfId="0" applyFont="1" applyFill="1" applyBorder="1" applyAlignment="1">
      <alignment horizontal="center" vertical="center" wrapText="1"/>
    </xf>
    <xf numFmtId="0" fontId="60" fillId="5" borderId="12" xfId="0" applyFont="1" applyFill="1" applyBorder="1" applyAlignment="1">
      <alignment horizontal="left" vertical="center" wrapText="1"/>
    </xf>
    <xf numFmtId="176" fontId="73" fillId="0" borderId="128" xfId="0" applyNumberFormat="1" applyFont="1" applyBorder="1" applyAlignment="1">
      <alignment horizontal="center" vertical="center"/>
    </xf>
    <xf numFmtId="176" fontId="141" fillId="5" borderId="144" xfId="0" applyNumberFormat="1" applyFont="1" applyFill="1" applyBorder="1" applyAlignment="1">
      <alignment horizontal="center" vertical="center"/>
    </xf>
    <xf numFmtId="176" fontId="141" fillId="5" borderId="45" xfId="0" applyNumberFormat="1" applyFont="1" applyFill="1" applyBorder="1" applyAlignment="1">
      <alignment horizontal="center" vertical="center"/>
    </xf>
    <xf numFmtId="176" fontId="141" fillId="0" borderId="98" xfId="0" applyNumberFormat="1" applyFont="1" applyBorder="1" applyAlignment="1">
      <alignment horizontal="center" vertical="center" wrapText="1"/>
    </xf>
    <xf numFmtId="176" fontId="138" fillId="0" borderId="15" xfId="0" applyNumberFormat="1" applyFont="1" applyBorder="1" applyAlignment="1">
      <alignment horizontal="center" vertical="center"/>
    </xf>
    <xf numFmtId="0" fontId="129" fillId="0" borderId="124" xfId="0" applyFont="1" applyBorder="1" applyAlignment="1">
      <alignment horizontal="left" vertical="center"/>
    </xf>
    <xf numFmtId="176" fontId="129" fillId="0" borderId="43" xfId="0" applyNumberFormat="1" applyFont="1" applyBorder="1" applyAlignment="1">
      <alignment horizontal="center" vertical="center"/>
    </xf>
    <xf numFmtId="0" fontId="137" fillId="10" borderId="94" xfId="0" applyFont="1" applyFill="1" applyBorder="1" applyAlignment="1">
      <alignment horizontal="center" vertical="center"/>
    </xf>
    <xf numFmtId="0" fontId="138" fillId="10" borderId="125" xfId="0" applyFont="1" applyFill="1" applyBorder="1" applyAlignment="1">
      <alignment horizontal="center" vertical="center"/>
    </xf>
    <xf numFmtId="0" fontId="129" fillId="10" borderId="77" xfId="0" applyFont="1" applyFill="1" applyBorder="1">
      <alignment vertical="center"/>
    </xf>
    <xf numFmtId="0" fontId="129" fillId="10" borderId="77" xfId="0" applyFont="1" applyFill="1" applyBorder="1" applyAlignment="1">
      <alignment horizontal="center" vertical="center"/>
    </xf>
    <xf numFmtId="176" fontId="147" fillId="10" borderId="128" xfId="0" applyNumberFormat="1" applyFont="1" applyFill="1" applyBorder="1" applyAlignment="1">
      <alignment horizontal="center" vertical="center"/>
    </xf>
    <xf numFmtId="0" fontId="140" fillId="10" borderId="21" xfId="0" applyFont="1" applyFill="1" applyBorder="1" applyAlignment="1">
      <alignment horizontal="center" vertical="center"/>
    </xf>
    <xf numFmtId="0" fontId="140" fillId="0" borderId="20" xfId="0" applyFont="1" applyBorder="1">
      <alignment vertical="center"/>
    </xf>
    <xf numFmtId="176" fontId="140" fillId="10" borderId="15" xfId="0" applyNumberFormat="1" applyFont="1" applyFill="1" applyBorder="1" applyAlignment="1">
      <alignment horizontal="center" vertical="center"/>
    </xf>
    <xf numFmtId="3" fontId="24" fillId="0" borderId="128" xfId="0" applyNumberFormat="1" applyFont="1" applyBorder="1">
      <alignment vertical="center"/>
    </xf>
    <xf numFmtId="3" fontId="24" fillId="0" borderId="146" xfId="0" applyNumberFormat="1" applyFont="1" applyBorder="1">
      <alignment vertical="center"/>
    </xf>
    <xf numFmtId="3" fontId="148" fillId="0" borderId="128" xfId="0" applyNumberFormat="1" applyFont="1" applyBorder="1">
      <alignment vertical="center"/>
    </xf>
    <xf numFmtId="0" fontId="24" fillId="0" borderId="128" xfId="0" applyFont="1" applyBorder="1">
      <alignment vertical="center"/>
    </xf>
    <xf numFmtId="0" fontId="24" fillId="0" borderId="146" xfId="0" applyFont="1" applyBorder="1">
      <alignment vertical="center"/>
    </xf>
    <xf numFmtId="3" fontId="148" fillId="0" borderId="146" xfId="0" applyNumberFormat="1" applyFont="1" applyBorder="1">
      <alignment vertical="center"/>
    </xf>
    <xf numFmtId="9" fontId="24" fillId="0" borderId="128" xfId="0" applyNumberFormat="1" applyFont="1" applyBorder="1">
      <alignment vertical="center"/>
    </xf>
    <xf numFmtId="9" fontId="24" fillId="0" borderId="146" xfId="0" applyNumberFormat="1" applyFont="1" applyBorder="1">
      <alignment vertical="center"/>
    </xf>
    <xf numFmtId="0" fontId="126" fillId="0" borderId="13" xfId="0" applyFont="1" applyBorder="1" applyAlignment="1">
      <alignment horizontal="center" vertical="center"/>
    </xf>
    <xf numFmtId="0" fontId="140" fillId="5" borderId="15" xfId="0" applyFont="1" applyFill="1" applyBorder="1" applyAlignment="1">
      <alignment horizontal="center" vertical="center"/>
    </xf>
    <xf numFmtId="176" fontId="129" fillId="0" borderId="0" xfId="0" applyNumberFormat="1" applyFont="1" applyAlignment="1">
      <alignment horizontal="center" vertical="center"/>
    </xf>
    <xf numFmtId="176" fontId="24" fillId="0" borderId="0" xfId="0" applyNumberFormat="1" applyFont="1" applyAlignment="1">
      <alignment horizontal="center" vertical="center"/>
    </xf>
    <xf numFmtId="0" fontId="129" fillId="0" borderId="20" xfId="0" applyFont="1" applyBorder="1" applyAlignment="1">
      <alignment horizontal="center" vertical="center" wrapText="1"/>
    </xf>
    <xf numFmtId="0" fontId="129" fillId="5" borderId="20" xfId="0" applyFont="1" applyFill="1" applyBorder="1" applyAlignment="1">
      <alignment vertical="center" wrapText="1"/>
    </xf>
    <xf numFmtId="0" fontId="149" fillId="0" borderId="0" xfId="0" applyFont="1">
      <alignment vertical="center"/>
    </xf>
    <xf numFmtId="3" fontId="0" fillId="0" borderId="0" xfId="0" applyNumberFormat="1">
      <alignment vertical="center"/>
    </xf>
    <xf numFmtId="3" fontId="150" fillId="0" borderId="0" xfId="0" applyNumberFormat="1" applyFont="1">
      <alignment vertical="center"/>
    </xf>
    <xf numFmtId="176" fontId="144" fillId="0" borderId="6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0" fontId="138" fillId="0" borderId="44" xfId="0" applyFont="1" applyBorder="1" applyAlignment="1">
      <alignment horizontal="center" vertical="center"/>
    </xf>
    <xf numFmtId="176" fontId="140" fillId="0" borderId="20" xfId="0" applyNumberFormat="1" applyFont="1" applyBorder="1" applyAlignment="1">
      <alignment horizontal="center" vertical="center"/>
    </xf>
    <xf numFmtId="0" fontId="140" fillId="0" borderId="20" xfId="0" applyFont="1" applyBorder="1" applyAlignment="1">
      <alignment horizontal="center" vertical="center" wrapText="1"/>
    </xf>
    <xf numFmtId="0" fontId="140" fillId="5" borderId="20" xfId="0" applyFont="1" applyFill="1" applyBorder="1">
      <alignment vertical="center"/>
    </xf>
    <xf numFmtId="41" fontId="140" fillId="0" borderId="20" xfId="0" applyNumberFormat="1" applyFont="1" applyBorder="1" applyAlignment="1">
      <alignment horizontal="center" vertical="center"/>
    </xf>
    <xf numFmtId="0" fontId="140" fillId="0" borderId="136" xfId="0" applyFont="1" applyBorder="1">
      <alignment vertical="center"/>
    </xf>
    <xf numFmtId="0" fontId="138" fillId="0" borderId="147" xfId="0" applyFont="1" applyBorder="1" applyAlignment="1">
      <alignment horizontal="center" vertical="center"/>
    </xf>
    <xf numFmtId="0" fontId="138" fillId="0" borderId="148" xfId="0" applyFont="1" applyBorder="1" applyAlignment="1">
      <alignment horizontal="center" vertical="center"/>
    </xf>
    <xf numFmtId="0" fontId="140" fillId="0" borderId="46" xfId="0" applyFont="1" applyBorder="1">
      <alignment vertical="center"/>
    </xf>
    <xf numFmtId="0" fontId="140" fillId="0" borderId="46" xfId="0" applyFont="1" applyBorder="1" applyAlignment="1">
      <alignment horizontal="center" vertical="center"/>
    </xf>
    <xf numFmtId="176" fontId="140" fillId="0" borderId="46" xfId="0" applyNumberFormat="1" applyFont="1" applyBorder="1" applyAlignment="1">
      <alignment horizontal="center" vertical="center"/>
    </xf>
    <xf numFmtId="41" fontId="140" fillId="0" borderId="46" xfId="0" applyNumberFormat="1" applyFont="1" applyBorder="1" applyAlignment="1">
      <alignment horizontal="center" vertical="center"/>
    </xf>
    <xf numFmtId="9" fontId="140" fillId="0" borderId="46" xfId="0" applyNumberFormat="1" applyFont="1" applyBorder="1" applyAlignment="1">
      <alignment horizontal="center" vertical="center"/>
    </xf>
    <xf numFmtId="0" fontId="140" fillId="23" borderId="149" xfId="0" applyFont="1" applyFill="1" applyBorder="1">
      <alignment vertical="center"/>
    </xf>
    <xf numFmtId="0" fontId="140" fillId="0" borderId="149" xfId="0" applyFont="1" applyBorder="1">
      <alignment vertical="center"/>
    </xf>
    <xf numFmtId="0" fontId="138" fillId="0" borderId="131" xfId="0" applyFont="1" applyBorder="1" applyAlignment="1">
      <alignment horizontal="center" vertical="center"/>
    </xf>
    <xf numFmtId="0" fontId="140" fillId="0" borderId="43" xfId="0" applyFont="1" applyBorder="1">
      <alignment vertical="center"/>
    </xf>
    <xf numFmtId="0" fontId="140" fillId="0" borderId="43" xfId="0" applyFont="1" applyBorder="1" applyAlignment="1">
      <alignment horizontal="center" vertical="center"/>
    </xf>
    <xf numFmtId="176" fontId="140" fillId="0" borderId="43" xfId="0" applyNumberFormat="1" applyFont="1" applyBorder="1" applyAlignment="1">
      <alignment horizontal="center" vertical="center"/>
    </xf>
    <xf numFmtId="41" fontId="140" fillId="0" borderId="43" xfId="0" applyNumberFormat="1" applyFont="1" applyBorder="1" applyAlignment="1">
      <alignment horizontal="center" vertical="center"/>
    </xf>
    <xf numFmtId="9" fontId="140" fillId="0" borderId="43" xfId="0" applyNumberFormat="1" applyFont="1" applyBorder="1" applyAlignment="1">
      <alignment horizontal="center" vertical="center"/>
    </xf>
    <xf numFmtId="0" fontId="140" fillId="23" borderId="135" xfId="0" applyFont="1" applyFill="1" applyBorder="1">
      <alignment vertical="center"/>
    </xf>
    <xf numFmtId="0" fontId="140" fillId="0" borderId="135" xfId="0" applyFont="1" applyBorder="1">
      <alignment vertical="center"/>
    </xf>
    <xf numFmtId="0" fontId="129" fillId="10" borderId="15" xfId="0" applyFont="1" applyFill="1" applyBorder="1" applyAlignment="1">
      <alignment horizontal="center" vertical="center" wrapText="1"/>
    </xf>
    <xf numFmtId="176" fontId="144" fillId="0" borderId="0" xfId="0" applyNumberFormat="1" applyFont="1" applyAlignment="1">
      <alignment horizontal="center" vertical="center"/>
    </xf>
    <xf numFmtId="3" fontId="33" fillId="0" borderId="4" xfId="0" applyNumberFormat="1" applyFont="1" applyBorder="1" applyAlignment="1">
      <alignment vertical="center" wrapText="1"/>
    </xf>
    <xf numFmtId="176" fontId="140" fillId="10" borderId="15" xfId="0" applyNumberFormat="1" applyFont="1" applyFill="1" applyBorder="1">
      <alignment vertical="center"/>
    </xf>
    <xf numFmtId="176" fontId="129" fillId="0" borderId="15" xfId="0" applyNumberFormat="1" applyFont="1" applyBorder="1" applyAlignment="1">
      <alignment vertical="center" wrapText="1"/>
    </xf>
    <xf numFmtId="0" fontId="129" fillId="0" borderId="43" xfId="0" applyFont="1" applyBorder="1" applyAlignment="1">
      <alignment vertical="center" wrapText="1"/>
    </xf>
    <xf numFmtId="9" fontId="140" fillId="0" borderId="91" xfId="0" applyNumberFormat="1" applyFont="1" applyBorder="1" applyAlignment="1">
      <alignment horizontal="center" vertical="center"/>
    </xf>
    <xf numFmtId="0" fontId="129" fillId="0" borderId="25" xfId="0" applyFont="1" applyBorder="1">
      <alignment vertical="center"/>
    </xf>
    <xf numFmtId="176" fontId="129" fillId="0" borderId="20" xfId="0" applyNumberFormat="1" applyFont="1" applyBorder="1" applyAlignment="1">
      <alignment horizontal="center" vertical="center"/>
    </xf>
    <xf numFmtId="176" fontId="140" fillId="0" borderId="15" xfId="0" applyNumberFormat="1" applyFont="1" applyBorder="1">
      <alignment vertical="center"/>
    </xf>
    <xf numFmtId="0" fontId="129" fillId="23" borderId="126" xfId="0" applyFont="1" applyFill="1" applyBorder="1" applyAlignment="1">
      <alignment vertical="center" wrapText="1"/>
    </xf>
    <xf numFmtId="0" fontId="129" fillId="23" borderId="136" xfId="0" applyFont="1" applyFill="1" applyBorder="1" applyAlignment="1">
      <alignment vertical="center" wrapText="1"/>
    </xf>
    <xf numFmtId="0" fontId="137" fillId="23" borderId="126" xfId="0" applyFont="1" applyFill="1" applyBorder="1">
      <alignment vertical="center"/>
    </xf>
    <xf numFmtId="0" fontId="151" fillId="0" borderId="4" xfId="0" applyFont="1" applyBorder="1" applyAlignment="1">
      <alignment vertical="center" wrapText="1"/>
    </xf>
    <xf numFmtId="0" fontId="151" fillId="0" borderId="5" xfId="0" applyFont="1" applyBorder="1" applyAlignment="1">
      <alignment vertical="center" wrapText="1"/>
    </xf>
    <xf numFmtId="0" fontId="60" fillId="19" borderId="4" xfId="0" applyFont="1" applyFill="1" applyBorder="1">
      <alignment vertical="center"/>
    </xf>
    <xf numFmtId="176" fontId="144" fillId="5" borderId="3" xfId="0" applyNumberFormat="1" applyFont="1" applyFill="1" applyBorder="1" applyAlignment="1">
      <alignment horizontal="center" vertical="center"/>
    </xf>
    <xf numFmtId="41" fontId="129" fillId="0" borderId="16" xfId="0" applyNumberFormat="1" applyFont="1" applyBorder="1" applyAlignment="1">
      <alignment horizontal="center" vertical="center"/>
    </xf>
    <xf numFmtId="0" fontId="129" fillId="14" borderId="0" xfId="0" applyFont="1" applyFill="1">
      <alignment vertical="center"/>
    </xf>
    <xf numFmtId="0" fontId="137" fillId="14" borderId="94" xfId="0" applyFont="1" applyFill="1" applyBorder="1" applyAlignment="1">
      <alignment horizontal="center" vertical="center"/>
    </xf>
    <xf numFmtId="0" fontId="138" fillId="14" borderId="125" xfId="0" applyFont="1" applyFill="1" applyBorder="1" applyAlignment="1">
      <alignment horizontal="center" vertical="center"/>
    </xf>
    <xf numFmtId="0" fontId="129" fillId="14" borderId="77" xfId="0" applyFont="1" applyFill="1" applyBorder="1">
      <alignment vertical="center"/>
    </xf>
    <xf numFmtId="0" fontId="129" fillId="14" borderId="77" xfId="0" applyFont="1" applyFill="1" applyBorder="1" applyAlignment="1">
      <alignment horizontal="center" vertical="center"/>
    </xf>
    <xf numFmtId="176" fontId="28" fillId="14" borderId="150" xfId="0" applyNumberFormat="1" applyFont="1" applyFill="1" applyBorder="1" applyAlignment="1">
      <alignment horizontal="center" vertical="center"/>
    </xf>
    <xf numFmtId="0" fontId="140" fillId="14" borderId="77" xfId="0" applyFont="1" applyFill="1" applyBorder="1" applyAlignment="1">
      <alignment horizontal="center" vertical="center"/>
    </xf>
    <xf numFmtId="0" fontId="140" fillId="14" borderId="77" xfId="0" applyFont="1" applyFill="1" applyBorder="1">
      <alignment vertical="center"/>
    </xf>
    <xf numFmtId="41" fontId="140" fillId="14" borderId="20" xfId="0" applyNumberFormat="1" applyFont="1" applyFill="1" applyBorder="1" applyAlignment="1">
      <alignment horizontal="center" vertical="center"/>
    </xf>
    <xf numFmtId="41" fontId="129" fillId="14" borderId="77" xfId="0" applyNumberFormat="1" applyFont="1" applyFill="1" applyBorder="1" applyAlignment="1">
      <alignment horizontal="center" vertical="center"/>
    </xf>
    <xf numFmtId="9" fontId="129" fillId="14" borderId="77" xfId="0" applyNumberFormat="1" applyFont="1" applyFill="1" applyBorder="1" applyAlignment="1">
      <alignment horizontal="center" vertical="center"/>
    </xf>
    <xf numFmtId="0" fontId="129" fillId="14" borderId="126" xfId="0" applyFont="1" applyFill="1" applyBorder="1">
      <alignment vertical="center"/>
    </xf>
    <xf numFmtId="0" fontId="140" fillId="0" borderId="15" xfId="0" applyFont="1" applyBorder="1" applyAlignment="1">
      <alignment vertical="center" wrapText="1"/>
    </xf>
    <xf numFmtId="3" fontId="57" fillId="0" borderId="0" xfId="0" applyNumberFormat="1" applyFont="1">
      <alignment vertical="center"/>
    </xf>
    <xf numFmtId="176" fontId="28" fillId="0" borderId="150" xfId="0" applyNumberFormat="1" applyFont="1" applyBorder="1" applyAlignment="1">
      <alignment horizontal="center" vertical="center"/>
    </xf>
    <xf numFmtId="0" fontId="146" fillId="0" borderId="15" xfId="0" applyFont="1" applyBorder="1">
      <alignment vertical="center"/>
    </xf>
    <xf numFmtId="176" fontId="0" fillId="10" borderId="0" xfId="0" applyNumberFormat="1" applyFill="1">
      <alignment vertical="center"/>
    </xf>
    <xf numFmtId="176" fontId="28" fillId="0" borderId="151" xfId="0" applyNumberFormat="1" applyFont="1" applyBorder="1" applyAlignment="1">
      <alignment horizontal="center" vertical="center"/>
    </xf>
    <xf numFmtId="0" fontId="60" fillId="19" borderId="4" xfId="0" applyFont="1" applyFill="1" applyBorder="1" applyAlignment="1">
      <alignment horizontal="center" vertical="center"/>
    </xf>
    <xf numFmtId="176" fontId="129" fillId="10" borderId="20" xfId="0" applyNumberFormat="1" applyFont="1" applyFill="1" applyBorder="1" applyAlignment="1">
      <alignment horizontal="center" vertical="center"/>
    </xf>
    <xf numFmtId="0" fontId="129" fillId="10" borderId="20" xfId="0" applyFont="1" applyFill="1" applyBorder="1" applyAlignment="1">
      <alignment vertical="center" wrapText="1"/>
    </xf>
    <xf numFmtId="0" fontId="24" fillId="0" borderId="7" xfId="0" applyFont="1" applyBorder="1">
      <alignment vertical="center"/>
    </xf>
    <xf numFmtId="0" fontId="24" fillId="0" borderId="7" xfId="0" applyFont="1" applyBorder="1" applyAlignment="1">
      <alignment vertical="center" wrapText="1"/>
    </xf>
    <xf numFmtId="176" fontId="146" fillId="5" borderId="3" xfId="0" applyNumberFormat="1" applyFont="1" applyFill="1" applyBorder="1" applyAlignment="1">
      <alignment horizontal="center" vertical="center"/>
    </xf>
    <xf numFmtId="0" fontId="140" fillId="23" borderId="124" xfId="0" applyFont="1" applyFill="1" applyBorder="1" applyAlignment="1">
      <alignment vertical="center" wrapText="1"/>
    </xf>
    <xf numFmtId="0" fontId="23" fillId="0" borderId="152" xfId="0" applyFont="1" applyBorder="1">
      <alignment vertical="center"/>
    </xf>
    <xf numFmtId="0" fontId="23" fillId="0" borderId="153" xfId="0" applyFont="1" applyBorder="1" applyAlignment="1">
      <alignment vertical="center" wrapText="1"/>
    </xf>
    <xf numFmtId="41" fontId="129" fillId="0" borderId="0" xfId="0" applyNumberFormat="1" applyFont="1" applyAlignment="1">
      <alignment horizontal="center" vertical="center"/>
    </xf>
    <xf numFmtId="0" fontId="27" fillId="0" borderId="4" xfId="0" applyFont="1" applyBorder="1">
      <alignment vertical="center"/>
    </xf>
    <xf numFmtId="0" fontId="27" fillId="0" borderId="5" xfId="0" applyFont="1" applyBorder="1" applyAlignment="1">
      <alignment vertical="center" wrapText="1"/>
    </xf>
    <xf numFmtId="0" fontId="73" fillId="0" borderId="4" xfId="0" applyFont="1" applyBorder="1">
      <alignment vertical="center"/>
    </xf>
    <xf numFmtId="176" fontId="129" fillId="14" borderId="15" xfId="0" applyNumberFormat="1" applyFont="1" applyFill="1" applyBorder="1" applyAlignment="1">
      <alignment horizontal="center" vertical="center"/>
    </xf>
    <xf numFmtId="0" fontId="129" fillId="14" borderId="15" xfId="0" applyFont="1" applyFill="1" applyBorder="1" applyAlignment="1">
      <alignment horizontal="left" vertical="center"/>
    </xf>
    <xf numFmtId="41" fontId="140" fillId="14" borderId="77" xfId="0" applyNumberFormat="1" applyFont="1" applyFill="1" applyBorder="1" applyAlignment="1">
      <alignment horizontal="center" vertical="center"/>
    </xf>
    <xf numFmtId="0" fontId="152" fillId="0" borderId="0" xfId="0" applyFont="1">
      <alignment vertical="center"/>
    </xf>
    <xf numFmtId="0" fontId="33" fillId="10" borderId="4" xfId="0" applyFont="1" applyFill="1" applyBorder="1" applyAlignment="1">
      <alignment vertical="center" wrapText="1"/>
    </xf>
    <xf numFmtId="0" fontId="33" fillId="10" borderId="5" xfId="0" applyFont="1" applyFill="1" applyBorder="1" applyAlignment="1">
      <alignment vertical="center" wrapText="1"/>
    </xf>
    <xf numFmtId="41" fontId="129" fillId="0" borderId="21" xfId="0" applyNumberFormat="1" applyFont="1" applyBorder="1" applyAlignment="1">
      <alignment horizontal="center" vertical="center"/>
    </xf>
    <xf numFmtId="9" fontId="129" fillId="0" borderId="21" xfId="0" applyNumberFormat="1" applyFont="1" applyBorder="1" applyAlignment="1">
      <alignment horizontal="center" vertical="center"/>
    </xf>
    <xf numFmtId="0" fontId="26" fillId="0" borderId="4" xfId="0" applyFont="1" applyBorder="1">
      <alignment vertical="center"/>
    </xf>
    <xf numFmtId="0" fontId="26" fillId="0" borderId="5" xfId="0" applyFont="1" applyBorder="1">
      <alignment vertical="center"/>
    </xf>
    <xf numFmtId="3" fontId="26" fillId="0" borderId="4" xfId="0" applyNumberFormat="1" applyFont="1" applyBorder="1">
      <alignment vertical="center"/>
    </xf>
    <xf numFmtId="3" fontId="23" fillId="0" borderId="4" xfId="0" applyNumberFormat="1" applyFont="1" applyBorder="1">
      <alignment vertical="center"/>
    </xf>
    <xf numFmtId="9" fontId="26" fillId="0" borderId="4" xfId="0" applyNumberFormat="1" applyFont="1" applyBorder="1">
      <alignment vertical="center"/>
    </xf>
    <xf numFmtId="0" fontId="24" fillId="0" borderId="0" xfId="0" applyFont="1">
      <alignment vertical="center"/>
    </xf>
    <xf numFmtId="3" fontId="44" fillId="0" borderId="3" xfId="0" applyNumberFormat="1" applyFont="1" applyBorder="1" applyAlignment="1">
      <alignment vertical="center" wrapText="1"/>
    </xf>
    <xf numFmtId="0" fontId="24" fillId="0" borderId="4" xfId="0" applyFont="1" applyBorder="1">
      <alignment vertical="center"/>
    </xf>
    <xf numFmtId="3" fontId="147" fillId="0" borderId="4" xfId="0" applyNumberFormat="1" applyFont="1" applyBorder="1">
      <alignment vertical="center"/>
    </xf>
    <xf numFmtId="0" fontId="24" fillId="19" borderId="4" xfId="0" applyFont="1" applyFill="1" applyBorder="1" applyAlignment="1">
      <alignment vertical="center" wrapText="1"/>
    </xf>
    <xf numFmtId="3" fontId="24" fillId="19" borderId="4" xfId="0" applyNumberFormat="1" applyFont="1" applyFill="1" applyBorder="1">
      <alignment vertical="center"/>
    </xf>
    <xf numFmtId="0" fontId="140" fillId="0" borderId="0" xfId="0" applyFont="1" applyAlignment="1">
      <alignment horizontal="center" vertical="center"/>
    </xf>
    <xf numFmtId="0" fontId="140" fillId="23" borderId="0" xfId="0" applyFont="1" applyFill="1">
      <alignment vertical="center"/>
    </xf>
    <xf numFmtId="0" fontId="44" fillId="0" borderId="0" xfId="0" applyFont="1" applyAlignment="1">
      <alignment horizontal="center" vertical="center"/>
    </xf>
    <xf numFmtId="0" fontId="44" fillId="0" borderId="0" xfId="0" applyFont="1">
      <alignment vertical="center"/>
    </xf>
    <xf numFmtId="0" fontId="44" fillId="0" borderId="4" xfId="0" applyFont="1" applyBorder="1">
      <alignment vertical="center"/>
    </xf>
    <xf numFmtId="0" fontId="151" fillId="10" borderId="13" xfId="0" applyFont="1" applyFill="1" applyBorder="1" applyAlignment="1">
      <alignment vertical="center" wrapText="1"/>
    </xf>
    <xf numFmtId="0" fontId="151" fillId="10" borderId="22" xfId="0" applyFont="1" applyFill="1" applyBorder="1" applyAlignment="1">
      <alignment vertical="center" wrapText="1"/>
    </xf>
    <xf numFmtId="0" fontId="57" fillId="0" borderId="7" xfId="0" applyFont="1" applyBorder="1">
      <alignment vertical="center"/>
    </xf>
    <xf numFmtId="0" fontId="57" fillId="0" borderId="23" xfId="0" applyFont="1" applyBorder="1">
      <alignment vertical="center"/>
    </xf>
    <xf numFmtId="0" fontId="137" fillId="0" borderId="34" xfId="0" applyFont="1" applyBorder="1" applyAlignment="1">
      <alignment horizontal="center" vertical="center"/>
    </xf>
    <xf numFmtId="0" fontId="138" fillId="0" borderId="27" xfId="0" applyFont="1" applyBorder="1" applyAlignment="1">
      <alignment horizontal="center" vertical="center"/>
    </xf>
    <xf numFmtId="0" fontId="129" fillId="0" borderId="16" xfId="0" applyFont="1" applyBorder="1">
      <alignment vertical="center"/>
    </xf>
    <xf numFmtId="176" fontId="129" fillId="0" borderId="16" xfId="0" applyNumberFormat="1" applyFont="1" applyBorder="1" applyAlignment="1">
      <alignment horizontal="center" vertical="center"/>
    </xf>
    <xf numFmtId="0" fontId="129" fillId="0" borderId="33" xfId="0" applyFont="1" applyBorder="1">
      <alignment vertical="center"/>
    </xf>
    <xf numFmtId="0" fontId="137" fillId="0" borderId="147" xfId="0" applyFont="1" applyBorder="1" applyAlignment="1">
      <alignment horizontal="center" vertical="center"/>
    </xf>
    <xf numFmtId="0" fontId="129" fillId="0" borderId="46" xfId="0" applyFont="1" applyBorder="1">
      <alignment vertical="center"/>
    </xf>
    <xf numFmtId="0" fontId="129" fillId="0" borderId="46" xfId="0" applyFont="1" applyBorder="1" applyAlignment="1">
      <alignment horizontal="center" vertical="center"/>
    </xf>
    <xf numFmtId="176" fontId="129" fillId="0" borderId="46" xfId="0" applyNumberFormat="1" applyFont="1" applyBorder="1" applyAlignment="1">
      <alignment horizontal="center" vertical="center"/>
    </xf>
    <xf numFmtId="0" fontId="151" fillId="0" borderId="154" xfId="0" applyFont="1" applyBorder="1" applyAlignment="1">
      <alignment vertical="center" wrapText="1"/>
    </xf>
    <xf numFmtId="0" fontId="151" fillId="0" borderId="155" xfId="0" applyFont="1" applyBorder="1" applyAlignment="1">
      <alignment vertical="center" wrapText="1"/>
    </xf>
    <xf numFmtId="41" fontId="129" fillId="0" borderId="46" xfId="0" applyNumberFormat="1" applyFont="1" applyBorder="1" applyAlignment="1">
      <alignment horizontal="center" vertical="center"/>
    </xf>
    <xf numFmtId="9" fontId="129" fillId="0" borderId="46" xfId="0" applyNumberFormat="1" applyFont="1" applyBorder="1" applyAlignment="1">
      <alignment horizontal="center" vertical="center"/>
    </xf>
    <xf numFmtId="0" fontId="129" fillId="23" borderId="149" xfId="0" applyFont="1" applyFill="1" applyBorder="1">
      <alignment vertical="center"/>
    </xf>
    <xf numFmtId="0" fontId="129" fillId="0" borderId="149" xfId="0" applyFont="1" applyBorder="1">
      <alignment vertical="center"/>
    </xf>
    <xf numFmtId="0" fontId="126" fillId="0" borderId="77" xfId="0" applyFont="1" applyBorder="1" applyAlignment="1">
      <alignment horizontal="center" vertical="center"/>
    </xf>
    <xf numFmtId="0" fontId="126" fillId="0" borderId="15" xfId="0" applyFont="1" applyBorder="1" applyAlignment="1">
      <alignment horizontal="center" vertical="center"/>
    </xf>
    <xf numFmtId="0" fontId="126" fillId="0" borderId="83" xfId="0" applyFont="1" applyBorder="1" applyAlignment="1">
      <alignment horizontal="center" vertical="center"/>
    </xf>
    <xf numFmtId="0" fontId="134" fillId="16" borderId="26" xfId="0" applyFont="1" applyFill="1" applyBorder="1" applyAlignment="1">
      <alignment horizontal="center" vertical="center"/>
    </xf>
    <xf numFmtId="0" fontId="130" fillId="16" borderId="26" xfId="0" applyFont="1" applyFill="1" applyBorder="1" applyAlignment="1">
      <alignment horizontal="center" vertical="center"/>
    </xf>
    <xf numFmtId="0" fontId="131" fillId="16" borderId="117" xfId="0" applyFont="1" applyFill="1" applyBorder="1" applyAlignment="1">
      <alignment horizontal="center" vertical="center"/>
    </xf>
    <xf numFmtId="176" fontId="134" fillId="16" borderId="26" xfId="0" applyNumberFormat="1" applyFont="1" applyFill="1" applyBorder="1" applyAlignment="1">
      <alignment horizontal="center" vertical="center"/>
    </xf>
    <xf numFmtId="0" fontId="137" fillId="0" borderId="0" xfId="0" applyFont="1" applyAlignment="1">
      <alignment horizontal="center" vertical="center"/>
    </xf>
    <xf numFmtId="0" fontId="138" fillId="0" borderId="0" xfId="0" applyFont="1" applyAlignment="1">
      <alignment horizontal="center" vertical="center"/>
    </xf>
    <xf numFmtId="0" fontId="154" fillId="0" borderId="0" xfId="0" applyFont="1" applyAlignment="1">
      <alignment horizontal="center" vertical="center"/>
    </xf>
    <xf numFmtId="0" fontId="155" fillId="0" borderId="0" xfId="0" applyFont="1">
      <alignment vertical="center"/>
    </xf>
    <xf numFmtId="0" fontId="154" fillId="0" borderId="0" xfId="0" applyFont="1">
      <alignment vertical="center"/>
    </xf>
    <xf numFmtId="0" fontId="5" fillId="0" borderId="0" xfId="0" quotePrefix="1" applyFont="1">
      <alignment vertical="center"/>
    </xf>
    <xf numFmtId="0" fontId="5" fillId="0" borderId="0" xfId="0" quotePrefix="1" applyFont="1" applyAlignment="1">
      <alignment horizontal="center" vertical="center"/>
    </xf>
    <xf numFmtId="0" fontId="156" fillId="0" borderId="0" xfId="0" applyFont="1" applyAlignment="1">
      <alignment horizontal="center" vertical="center"/>
    </xf>
    <xf numFmtId="0" fontId="157" fillId="0" borderId="0" xfId="0" applyFont="1" applyAlignment="1">
      <alignment horizontal="center" vertical="center"/>
    </xf>
    <xf numFmtId="41" fontId="157" fillId="0" borderId="0" xfId="0" applyNumberFormat="1" applyFont="1" applyAlignment="1">
      <alignment horizontal="center" vertical="center"/>
    </xf>
    <xf numFmtId="0" fontId="158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159" fillId="0" borderId="0" xfId="0" applyFont="1" applyAlignment="1">
      <alignment horizontal="center" vertical="center"/>
    </xf>
    <xf numFmtId="0" fontId="160" fillId="0" borderId="0" xfId="0" applyFont="1">
      <alignment vertical="center"/>
    </xf>
    <xf numFmtId="41" fontId="159" fillId="0" borderId="0" xfId="0" applyNumberFormat="1" applyFont="1" applyAlignment="1">
      <alignment horizontal="center" vertical="center"/>
    </xf>
    <xf numFmtId="41" fontId="161" fillId="0" borderId="0" xfId="0" applyNumberFormat="1" applyFont="1" applyAlignment="1">
      <alignment horizontal="center" vertical="center"/>
    </xf>
    <xf numFmtId="0" fontId="92" fillId="0" borderId="0" xfId="0" applyFont="1" applyAlignment="1">
      <alignment horizontal="left" vertical="center"/>
    </xf>
    <xf numFmtId="0" fontId="162" fillId="0" borderId="0" xfId="0" applyFont="1">
      <alignment vertical="center"/>
    </xf>
    <xf numFmtId="0" fontId="164" fillId="16" borderId="2" xfId="0" applyFont="1" applyFill="1" applyBorder="1" applyAlignment="1">
      <alignment horizontal="center" vertical="center"/>
    </xf>
    <xf numFmtId="0" fontId="165" fillId="16" borderId="2" xfId="0" applyFont="1" applyFill="1" applyBorder="1" applyAlignment="1">
      <alignment horizontal="center" vertical="center"/>
    </xf>
    <xf numFmtId="0" fontId="164" fillId="16" borderId="2" xfId="0" applyFont="1" applyFill="1" applyBorder="1" applyAlignment="1">
      <alignment horizontal="center" vertical="center" wrapText="1"/>
    </xf>
    <xf numFmtId="41" fontId="167" fillId="24" borderId="2" xfId="0" applyNumberFormat="1" applyFont="1" applyFill="1" applyBorder="1" applyAlignment="1">
      <alignment horizontal="center" vertical="center"/>
    </xf>
    <xf numFmtId="0" fontId="164" fillId="25" borderId="37" xfId="0" applyFont="1" applyFill="1" applyBorder="1" applyAlignment="1">
      <alignment horizontal="center" vertical="center"/>
    </xf>
    <xf numFmtId="0" fontId="164" fillId="25" borderId="61" xfId="0" applyFont="1" applyFill="1" applyBorder="1" applyAlignment="1">
      <alignment horizontal="center" vertical="center"/>
    </xf>
    <xf numFmtId="0" fontId="164" fillId="25" borderId="2" xfId="0" applyFont="1" applyFill="1" applyBorder="1">
      <alignment vertical="center"/>
    </xf>
    <xf numFmtId="0" fontId="93" fillId="0" borderId="0" xfId="0" applyFont="1">
      <alignment vertical="center"/>
    </xf>
    <xf numFmtId="0" fontId="93" fillId="0" borderId="0" xfId="0" applyFont="1" applyAlignment="1">
      <alignment horizontal="center" vertical="center"/>
    </xf>
    <xf numFmtId="0" fontId="164" fillId="0" borderId="21" xfId="0" applyFont="1" applyBorder="1" applyAlignment="1">
      <alignment horizontal="center" vertical="center"/>
    </xf>
    <xf numFmtId="0" fontId="168" fillId="0" borderId="4" xfId="0" applyFont="1" applyBorder="1" applyAlignment="1">
      <alignment horizontal="center" vertical="center"/>
    </xf>
    <xf numFmtId="0" fontId="169" fillId="0" borderId="4" xfId="0" applyFont="1" applyBorder="1" applyAlignment="1">
      <alignment horizontal="left" vertical="center"/>
    </xf>
    <xf numFmtId="0" fontId="169" fillId="0" borderId="4" xfId="0" applyFont="1" applyBorder="1" applyAlignment="1">
      <alignment horizontal="center" vertical="center"/>
    </xf>
    <xf numFmtId="3" fontId="170" fillId="0" borderId="4" xfId="0" applyNumberFormat="1" applyFont="1" applyBorder="1">
      <alignment vertical="center"/>
    </xf>
    <xf numFmtId="3" fontId="170" fillId="0" borderId="5" xfId="0" applyNumberFormat="1" applyFont="1" applyBorder="1">
      <alignment vertical="center"/>
    </xf>
    <xf numFmtId="41" fontId="170" fillId="0" borderId="5" xfId="0" applyNumberFormat="1" applyFont="1" applyBorder="1" applyAlignment="1">
      <alignment horizontal="center" vertical="center"/>
    </xf>
    <xf numFmtId="0" fontId="93" fillId="0" borderId="4" xfId="0" applyFont="1" applyBorder="1" applyAlignment="1">
      <alignment horizontal="center" vertical="center"/>
    </xf>
    <xf numFmtId="0" fontId="153" fillId="0" borderId="4" xfId="8" applyBorder="1" applyAlignment="1">
      <alignment vertical="center"/>
    </xf>
    <xf numFmtId="0" fontId="164" fillId="0" borderId="13" xfId="0" applyFont="1" applyBorder="1">
      <alignment vertical="center"/>
    </xf>
    <xf numFmtId="0" fontId="169" fillId="26" borderId="4" xfId="0" applyFont="1" applyFill="1" applyBorder="1" applyAlignment="1">
      <alignment horizontal="center" vertical="center"/>
    </xf>
    <xf numFmtId="3" fontId="170" fillId="0" borderId="7" xfId="0" applyNumberFormat="1" applyFont="1" applyBorder="1">
      <alignment vertical="center"/>
    </xf>
    <xf numFmtId="3" fontId="170" fillId="0" borderId="8" xfId="0" applyNumberFormat="1" applyFont="1" applyBorder="1">
      <alignment vertical="center"/>
    </xf>
    <xf numFmtId="41" fontId="170" fillId="0" borderId="8" xfId="0" applyNumberFormat="1" applyFont="1" applyBorder="1" applyAlignment="1">
      <alignment horizontal="center" vertical="center"/>
    </xf>
    <xf numFmtId="0" fontId="169" fillId="0" borderId="5" xfId="0" applyFont="1" applyBorder="1" applyAlignment="1">
      <alignment horizontal="center" vertical="center"/>
    </xf>
    <xf numFmtId="0" fontId="169" fillId="0" borderId="4" xfId="0" applyFont="1" applyBorder="1">
      <alignment vertical="center"/>
    </xf>
    <xf numFmtId="0" fontId="168" fillId="17" borderId="4" xfId="0" applyFont="1" applyFill="1" applyBorder="1" applyAlignment="1">
      <alignment horizontal="center" vertical="center"/>
    </xf>
    <xf numFmtId="176" fontId="169" fillId="0" borderId="4" xfId="0" applyNumberFormat="1" applyFont="1" applyBorder="1" applyAlignment="1">
      <alignment horizontal="center" vertical="center"/>
    </xf>
    <xf numFmtId="0" fontId="170" fillId="0" borderId="7" xfId="0" applyFont="1" applyBorder="1">
      <alignment vertical="center"/>
    </xf>
    <xf numFmtId="0" fontId="170" fillId="0" borderId="8" xfId="0" applyFont="1" applyBorder="1">
      <alignment vertical="center"/>
    </xf>
    <xf numFmtId="0" fontId="153" fillId="0" borderId="0" xfId="8" applyBorder="1" applyAlignment="1">
      <alignment vertical="center"/>
    </xf>
    <xf numFmtId="0" fontId="93" fillId="0" borderId="4" xfId="0" applyFont="1" applyBorder="1">
      <alignment vertical="center"/>
    </xf>
    <xf numFmtId="0" fontId="93" fillId="0" borderId="5" xfId="0" applyFont="1" applyBorder="1" applyAlignment="1">
      <alignment horizontal="center" vertical="center"/>
    </xf>
    <xf numFmtId="0" fontId="168" fillId="10" borderId="4" xfId="0" applyFont="1" applyFill="1" applyBorder="1" applyAlignment="1">
      <alignment horizontal="center" vertical="center"/>
    </xf>
    <xf numFmtId="3" fontId="147" fillId="0" borderId="7" xfId="0" applyNumberFormat="1" applyFont="1" applyBorder="1">
      <alignment vertical="center"/>
    </xf>
    <xf numFmtId="3" fontId="147" fillId="0" borderId="8" xfId="0" applyNumberFormat="1" applyFont="1" applyBorder="1">
      <alignment vertical="center"/>
    </xf>
    <xf numFmtId="41" fontId="147" fillId="0" borderId="8" xfId="0" applyNumberFormat="1" applyFont="1" applyBorder="1" applyAlignment="1">
      <alignment horizontal="center" vertical="center"/>
    </xf>
    <xf numFmtId="0" fontId="153" fillId="0" borderId="4" xfId="8" applyBorder="1">
      <alignment vertical="center"/>
    </xf>
    <xf numFmtId="0" fontId="93" fillId="14" borderId="0" xfId="0" applyFont="1" applyFill="1" applyAlignment="1">
      <alignment horizontal="center" vertical="center"/>
    </xf>
    <xf numFmtId="0" fontId="164" fillId="14" borderId="13" xfId="0" applyFont="1" applyFill="1" applyBorder="1">
      <alignment vertical="center"/>
    </xf>
    <xf numFmtId="0" fontId="168" fillId="14" borderId="4" xfId="0" applyFont="1" applyFill="1" applyBorder="1" applyAlignment="1">
      <alignment horizontal="center" vertical="center"/>
    </xf>
    <xf numFmtId="0" fontId="93" fillId="14" borderId="4" xfId="0" applyFont="1" applyFill="1" applyBorder="1">
      <alignment vertical="center"/>
    </xf>
    <xf numFmtId="0" fontId="93" fillId="14" borderId="4" xfId="0" applyFont="1" applyFill="1" applyBorder="1" applyAlignment="1">
      <alignment horizontal="center" vertical="center"/>
    </xf>
    <xf numFmtId="0" fontId="170" fillId="27" borderId="7" xfId="0" applyFont="1" applyFill="1" applyBorder="1">
      <alignment vertical="center"/>
    </xf>
    <xf numFmtId="0" fontId="170" fillId="27" borderId="8" xfId="0" applyFont="1" applyFill="1" applyBorder="1">
      <alignment vertical="center"/>
    </xf>
    <xf numFmtId="41" fontId="170" fillId="27" borderId="8" xfId="0" applyNumberFormat="1" applyFont="1" applyFill="1" applyBorder="1" applyAlignment="1">
      <alignment horizontal="center" vertical="center"/>
    </xf>
    <xf numFmtId="0" fontId="93" fillId="14" borderId="5" xfId="0" applyFont="1" applyFill="1" applyBorder="1" applyAlignment="1">
      <alignment horizontal="center" vertical="center"/>
    </xf>
    <xf numFmtId="0" fontId="153" fillId="14" borderId="4" xfId="8" applyFill="1" applyBorder="1" applyAlignment="1">
      <alignment vertical="center"/>
    </xf>
    <xf numFmtId="0" fontId="93" fillId="14" borderId="0" xfId="0" applyFont="1" applyFill="1">
      <alignment vertical="center"/>
    </xf>
    <xf numFmtId="0" fontId="147" fillId="0" borderId="7" xfId="0" applyFont="1" applyBorder="1">
      <alignment vertical="center"/>
    </xf>
    <xf numFmtId="0" fontId="93" fillId="14" borderId="28" xfId="0" applyFont="1" applyFill="1" applyBorder="1" applyAlignment="1">
      <alignment horizontal="center" vertical="center"/>
    </xf>
    <xf numFmtId="0" fontId="93" fillId="14" borderId="22" xfId="0" applyFont="1" applyFill="1" applyBorder="1" applyAlignment="1">
      <alignment horizontal="center" vertical="center"/>
    </xf>
    <xf numFmtId="0" fontId="153" fillId="14" borderId="3" xfId="8" applyFill="1" applyBorder="1" applyAlignment="1">
      <alignment vertical="center"/>
    </xf>
    <xf numFmtId="0" fontId="171" fillId="14" borderId="4" xfId="0" applyFont="1" applyFill="1" applyBorder="1">
      <alignment vertical="center"/>
    </xf>
    <xf numFmtId="0" fontId="174" fillId="14" borderId="4" xfId="0" applyFont="1" applyFill="1" applyBorder="1" applyAlignment="1">
      <alignment horizontal="center" vertical="center"/>
    </xf>
    <xf numFmtId="0" fontId="92" fillId="14" borderId="0" xfId="0" applyFont="1" applyFill="1" applyAlignment="1">
      <alignment horizontal="center" vertical="center"/>
    </xf>
    <xf numFmtId="0" fontId="169" fillId="14" borderId="4" xfId="0" applyFont="1" applyFill="1" applyBorder="1" applyAlignment="1">
      <alignment horizontal="center" vertical="center"/>
    </xf>
    <xf numFmtId="41" fontId="175" fillId="14" borderId="4" xfId="0" applyNumberFormat="1" applyFont="1" applyFill="1" applyBorder="1" applyAlignment="1">
      <alignment horizontal="center" vertical="center"/>
    </xf>
    <xf numFmtId="0" fontId="93" fillId="0" borderId="28" xfId="0" applyFont="1" applyBorder="1" applyAlignment="1">
      <alignment horizontal="center" vertical="center"/>
    </xf>
    <xf numFmtId="0" fontId="169" fillId="0" borderId="91" xfId="0" applyFont="1" applyBorder="1" applyAlignment="1">
      <alignment horizontal="center" vertical="center"/>
    </xf>
    <xf numFmtId="41" fontId="175" fillId="0" borderId="74" xfId="0" applyNumberFormat="1" applyFont="1" applyBorder="1" applyAlignment="1">
      <alignment horizontal="center" vertical="center"/>
    </xf>
    <xf numFmtId="0" fontId="93" fillId="0" borderId="91" xfId="0" applyFont="1" applyBorder="1" applyAlignment="1">
      <alignment horizontal="center" vertical="center"/>
    </xf>
    <xf numFmtId="0" fontId="93" fillId="0" borderId="22" xfId="0" applyFont="1" applyBorder="1" applyAlignment="1">
      <alignment horizontal="center" vertical="center"/>
    </xf>
    <xf numFmtId="0" fontId="93" fillId="0" borderId="134" xfId="0" applyFont="1" applyBorder="1" applyAlignment="1">
      <alignment horizontal="center" vertical="center"/>
    </xf>
    <xf numFmtId="0" fontId="153" fillId="0" borderId="3" xfId="8" applyBorder="1" applyAlignment="1">
      <alignment vertical="center"/>
    </xf>
    <xf numFmtId="41" fontId="175" fillId="0" borderId="4" xfId="0" applyNumberFormat="1" applyFont="1" applyBorder="1" applyAlignment="1">
      <alignment horizontal="center" vertical="center"/>
    </xf>
    <xf numFmtId="41" fontId="175" fillId="0" borderId="28" xfId="0" applyNumberFormat="1" applyFont="1" applyBorder="1" applyAlignment="1">
      <alignment horizontal="center" vertical="center"/>
    </xf>
    <xf numFmtId="41" fontId="175" fillId="14" borderId="28" xfId="0" applyNumberFormat="1" applyFont="1" applyFill="1" applyBorder="1" applyAlignment="1">
      <alignment horizontal="center" vertical="center"/>
    </xf>
    <xf numFmtId="0" fontId="93" fillId="14" borderId="3" xfId="0" applyFont="1" applyFill="1" applyBorder="1">
      <alignment vertical="center"/>
    </xf>
    <xf numFmtId="41" fontId="175" fillId="14" borderId="74" xfId="0" applyNumberFormat="1" applyFont="1" applyFill="1" applyBorder="1" applyAlignment="1">
      <alignment horizontal="center" vertical="center"/>
    </xf>
    <xf numFmtId="41" fontId="175" fillId="0" borderId="3" xfId="0" applyNumberFormat="1" applyFont="1" applyBorder="1" applyAlignment="1">
      <alignment horizontal="center" vertical="center"/>
    </xf>
    <xf numFmtId="0" fontId="153" fillId="0" borderId="2" xfId="8" applyBorder="1" applyAlignment="1">
      <alignment vertical="center"/>
    </xf>
    <xf numFmtId="0" fontId="153" fillId="0" borderId="3" xfId="8" applyBorder="1" applyAlignment="1">
      <alignment vertical="center" wrapText="1"/>
    </xf>
    <xf numFmtId="0" fontId="169" fillId="0" borderId="28" xfId="0" applyFont="1" applyBorder="1" applyAlignment="1">
      <alignment horizontal="center" vertical="center"/>
    </xf>
    <xf numFmtId="0" fontId="93" fillId="0" borderId="28" xfId="0" applyFont="1" applyBorder="1">
      <alignment vertical="center"/>
    </xf>
    <xf numFmtId="0" fontId="93" fillId="0" borderId="9" xfId="0" applyFont="1" applyBorder="1" applyAlignment="1">
      <alignment horizontal="center" vertical="center"/>
    </xf>
    <xf numFmtId="0" fontId="93" fillId="0" borderId="12" xfId="0" applyFont="1" applyBorder="1" applyAlignment="1">
      <alignment horizontal="center" vertical="center"/>
    </xf>
    <xf numFmtId="0" fontId="93" fillId="0" borderId="156" xfId="0" applyFont="1" applyBorder="1" applyAlignment="1">
      <alignment horizontal="center" vertical="center"/>
    </xf>
    <xf numFmtId="0" fontId="169" fillId="14" borderId="29" xfId="0" applyFont="1" applyFill="1" applyBorder="1" applyAlignment="1">
      <alignment horizontal="center" vertical="center"/>
    </xf>
    <xf numFmtId="41" fontId="175" fillId="14" borderId="3" xfId="0" applyNumberFormat="1" applyFont="1" applyFill="1" applyBorder="1" applyAlignment="1">
      <alignment horizontal="center" vertical="center"/>
    </xf>
    <xf numFmtId="0" fontId="93" fillId="14" borderId="8" xfId="0" applyFont="1" applyFill="1" applyBorder="1" applyAlignment="1">
      <alignment horizontal="center" vertical="center"/>
    </xf>
    <xf numFmtId="0" fontId="93" fillId="14" borderId="7" xfId="0" applyFont="1" applyFill="1" applyBorder="1" applyAlignment="1">
      <alignment horizontal="center" vertical="center"/>
    </xf>
    <xf numFmtId="0" fontId="93" fillId="10" borderId="4" xfId="0" applyFont="1" applyFill="1" applyBorder="1">
      <alignment vertical="center"/>
    </xf>
    <xf numFmtId="41" fontId="175" fillId="14" borderId="7" xfId="0" applyNumberFormat="1" applyFont="1" applyFill="1" applyBorder="1" applyAlignment="1">
      <alignment horizontal="center" vertical="center"/>
    </xf>
    <xf numFmtId="0" fontId="93" fillId="0" borderId="21" xfId="0" applyFont="1" applyBorder="1" applyAlignment="1">
      <alignment horizontal="center" vertical="center"/>
    </xf>
    <xf numFmtId="41" fontId="175" fillId="0" borderId="21" xfId="0" applyNumberFormat="1" applyFont="1" applyBorder="1" applyAlignment="1">
      <alignment horizontal="center" vertical="center"/>
    </xf>
    <xf numFmtId="0" fontId="153" fillId="0" borderId="4" xfId="8" applyBorder="1" applyAlignment="1">
      <alignment vertical="center" wrapText="1"/>
    </xf>
    <xf numFmtId="0" fontId="93" fillId="0" borderId="29" xfId="0" applyFont="1" applyBorder="1" applyAlignment="1">
      <alignment horizontal="center" vertical="center"/>
    </xf>
    <xf numFmtId="41" fontId="175" fillId="0" borderId="29" xfId="0" applyNumberFormat="1" applyFont="1" applyBorder="1" applyAlignment="1">
      <alignment horizontal="center" vertical="center"/>
    </xf>
    <xf numFmtId="0" fontId="93" fillId="0" borderId="7" xfId="0" applyFont="1" applyBorder="1" applyAlignment="1">
      <alignment horizontal="center" vertical="center"/>
    </xf>
    <xf numFmtId="0" fontId="93" fillId="0" borderId="8" xfId="0" applyFont="1" applyBorder="1" applyAlignment="1">
      <alignment horizontal="center" vertical="center"/>
    </xf>
    <xf numFmtId="0" fontId="153" fillId="0" borderId="10" xfId="8" applyBorder="1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164" fillId="0" borderId="48" xfId="0" applyFont="1" applyBorder="1">
      <alignment vertical="center"/>
    </xf>
    <xf numFmtId="0" fontId="168" fillId="0" borderId="157" xfId="0" applyFont="1" applyBorder="1" applyAlignment="1">
      <alignment horizontal="center" vertical="center"/>
    </xf>
    <xf numFmtId="0" fontId="168" fillId="17" borderId="157" xfId="0" applyFont="1" applyFill="1" applyBorder="1" applyAlignment="1">
      <alignment horizontal="center" vertical="center"/>
    </xf>
    <xf numFmtId="0" fontId="93" fillId="0" borderId="157" xfId="0" applyFont="1" applyBorder="1">
      <alignment vertical="center"/>
    </xf>
    <xf numFmtId="0" fontId="93" fillId="0" borderId="157" xfId="0" applyFont="1" applyBorder="1" applyAlignment="1">
      <alignment horizontal="center" vertical="center"/>
    </xf>
    <xf numFmtId="41" fontId="175" fillId="0" borderId="157" xfId="0" applyNumberFormat="1" applyFont="1" applyBorder="1" applyAlignment="1">
      <alignment horizontal="center" vertical="center"/>
    </xf>
    <xf numFmtId="0" fontId="93" fillId="0" borderId="158" xfId="0" applyFont="1" applyBorder="1" applyAlignment="1">
      <alignment horizontal="center" vertical="center"/>
    </xf>
    <xf numFmtId="0" fontId="153" fillId="0" borderId="159" xfId="8" applyBorder="1" applyAlignment="1">
      <alignment vertical="center"/>
    </xf>
    <xf numFmtId="0" fontId="168" fillId="0" borderId="7" xfId="0" applyFont="1" applyBorder="1" applyAlignment="1">
      <alignment horizontal="center" vertical="center"/>
    </xf>
    <xf numFmtId="0" fontId="169" fillId="0" borderId="7" xfId="0" applyFont="1" applyBorder="1" applyAlignment="1">
      <alignment horizontal="left" vertical="center"/>
    </xf>
    <xf numFmtId="0" fontId="169" fillId="0" borderId="7" xfId="0" applyFont="1" applyBorder="1" applyAlignment="1">
      <alignment horizontal="center" vertical="center"/>
    </xf>
    <xf numFmtId="0" fontId="169" fillId="0" borderId="160" xfId="0" applyFont="1" applyBorder="1" applyAlignment="1">
      <alignment horizontal="center" vertical="center"/>
    </xf>
    <xf numFmtId="41" fontId="175" fillId="0" borderId="7" xfId="0" applyNumberFormat="1" applyFont="1" applyBorder="1" applyAlignment="1">
      <alignment horizontal="center" vertical="center"/>
    </xf>
    <xf numFmtId="0" fontId="169" fillId="0" borderId="8" xfId="0" applyFont="1" applyBorder="1" applyAlignment="1">
      <alignment horizontal="center" vertical="center"/>
    </xf>
    <xf numFmtId="0" fontId="169" fillId="0" borderId="8" xfId="0" applyFont="1" applyBorder="1">
      <alignment vertical="center"/>
    </xf>
    <xf numFmtId="0" fontId="153" fillId="0" borderId="5" xfId="8" applyBorder="1">
      <alignment vertical="center"/>
    </xf>
    <xf numFmtId="0" fontId="169" fillId="14" borderId="4" xfId="0" applyFont="1" applyFill="1" applyBorder="1" applyAlignment="1">
      <alignment horizontal="left" vertical="center"/>
    </xf>
    <xf numFmtId="0" fontId="169" fillId="14" borderId="5" xfId="0" applyFont="1" applyFill="1" applyBorder="1" applyAlignment="1">
      <alignment horizontal="center" vertical="center"/>
    </xf>
    <xf numFmtId="0" fontId="153" fillId="14" borderId="0" xfId="8" applyFill="1" applyAlignment="1">
      <alignment vertical="center"/>
    </xf>
    <xf numFmtId="0" fontId="153" fillId="0" borderId="0" xfId="8" applyFill="1" applyAlignment="1">
      <alignment vertical="center"/>
    </xf>
    <xf numFmtId="0" fontId="153" fillId="0" borderId="5" xfId="8" applyFill="1" applyBorder="1" applyAlignment="1">
      <alignment vertical="center"/>
    </xf>
    <xf numFmtId="0" fontId="153" fillId="14" borderId="5" xfId="8" applyFill="1" applyBorder="1" applyAlignment="1">
      <alignment vertical="center"/>
    </xf>
    <xf numFmtId="0" fontId="168" fillId="6" borderId="4" xfId="0" applyFont="1" applyFill="1" applyBorder="1" applyAlignment="1">
      <alignment horizontal="center" vertical="center"/>
    </xf>
    <xf numFmtId="0" fontId="153" fillId="0" borderId="12" xfId="8" applyFill="1" applyBorder="1" applyAlignment="1">
      <alignment vertical="center"/>
    </xf>
    <xf numFmtId="0" fontId="93" fillId="14" borderId="3" xfId="0" applyFont="1" applyFill="1" applyBorder="1" applyAlignment="1">
      <alignment horizontal="center" vertical="center"/>
    </xf>
    <xf numFmtId="0" fontId="153" fillId="14" borderId="0" xfId="8" applyFill="1" applyBorder="1" applyAlignment="1">
      <alignment vertical="center"/>
    </xf>
    <xf numFmtId="0" fontId="153" fillId="0" borderId="0" xfId="8" applyFill="1" applyBorder="1" applyAlignment="1">
      <alignment vertical="center"/>
    </xf>
    <xf numFmtId="0" fontId="153" fillId="14" borderId="4" xfId="8" applyFill="1" applyBorder="1">
      <alignment vertical="center"/>
    </xf>
    <xf numFmtId="0" fontId="60" fillId="0" borderId="0" xfId="0" applyFont="1" applyAlignment="1">
      <alignment horizontal="center" vertical="center"/>
    </xf>
    <xf numFmtId="0" fontId="153" fillId="0" borderId="0" xfId="8" applyBorder="1">
      <alignment vertical="center"/>
    </xf>
    <xf numFmtId="0" fontId="153" fillId="14" borderId="0" xfId="8" applyFill="1">
      <alignment vertical="center"/>
    </xf>
    <xf numFmtId="0" fontId="12" fillId="14" borderId="4" xfId="0" applyFont="1" applyFill="1" applyBorder="1" applyAlignment="1">
      <alignment horizontal="center" vertical="center"/>
    </xf>
    <xf numFmtId="0" fontId="153" fillId="0" borderId="10" xfId="8" applyFill="1" applyBorder="1" applyAlignment="1">
      <alignment vertical="center"/>
    </xf>
    <xf numFmtId="0" fontId="153" fillId="0" borderId="25" xfId="8" applyBorder="1">
      <alignment vertical="center"/>
    </xf>
    <xf numFmtId="0" fontId="175" fillId="0" borderId="0" xfId="0" applyFont="1" applyAlignment="1">
      <alignment horizontal="center" vertical="center"/>
    </xf>
    <xf numFmtId="0" fontId="176" fillId="10" borderId="4" xfId="0" applyFont="1" applyFill="1" applyBorder="1">
      <alignment vertical="center"/>
    </xf>
    <xf numFmtId="0" fontId="93" fillId="10" borderId="4" xfId="0" applyFont="1" applyFill="1" applyBorder="1" applyAlignment="1">
      <alignment horizontal="center" vertical="center"/>
    </xf>
    <xf numFmtId="41" fontId="175" fillId="10" borderId="4" xfId="0" applyNumberFormat="1" applyFont="1" applyFill="1" applyBorder="1" applyAlignment="1">
      <alignment horizontal="center" vertical="center"/>
    </xf>
    <xf numFmtId="0" fontId="175" fillId="14" borderId="0" xfId="0" applyFont="1" applyFill="1" applyAlignment="1">
      <alignment horizontal="center" vertical="center"/>
    </xf>
    <xf numFmtId="0" fontId="93" fillId="0" borderId="74" xfId="0" applyFont="1" applyBorder="1" applyAlignment="1">
      <alignment horizontal="center" vertical="center"/>
    </xf>
    <xf numFmtId="0" fontId="169" fillId="14" borderId="4" xfId="0" applyFont="1" applyFill="1" applyBorder="1">
      <alignment vertical="center"/>
    </xf>
    <xf numFmtId="0" fontId="169" fillId="0" borderId="0" xfId="0" applyFont="1">
      <alignment vertical="center"/>
    </xf>
    <xf numFmtId="0" fontId="153" fillId="0" borderId="12" xfId="8" applyBorder="1">
      <alignment vertical="center"/>
    </xf>
    <xf numFmtId="0" fontId="177" fillId="0" borderId="4" xfId="0" applyFont="1" applyBorder="1" applyAlignment="1">
      <alignment horizontal="center" vertical="center"/>
    </xf>
    <xf numFmtId="0" fontId="153" fillId="0" borderId="61" xfId="8" applyFill="1" applyBorder="1" applyAlignment="1">
      <alignment vertical="center"/>
    </xf>
    <xf numFmtId="41" fontId="175" fillId="14" borderId="161" xfId="0" applyNumberFormat="1" applyFont="1" applyFill="1" applyBorder="1" applyAlignment="1">
      <alignment horizontal="center" vertical="center"/>
    </xf>
    <xf numFmtId="0" fontId="153" fillId="14" borderId="12" xfId="8" applyFill="1" applyBorder="1" applyAlignment="1">
      <alignment vertical="center" wrapText="1"/>
    </xf>
    <xf numFmtId="41" fontId="175" fillId="0" borderId="161" xfId="0" applyNumberFormat="1" applyFont="1" applyBorder="1" applyAlignment="1">
      <alignment horizontal="center" vertical="center"/>
    </xf>
    <xf numFmtId="0" fontId="153" fillId="0" borderId="12" xfId="8" applyBorder="1" applyAlignment="1">
      <alignment vertical="center" wrapText="1"/>
    </xf>
    <xf numFmtId="0" fontId="93" fillId="14" borderId="74" xfId="0" applyFont="1" applyFill="1" applyBorder="1" applyAlignment="1">
      <alignment horizontal="center" vertical="center"/>
    </xf>
    <xf numFmtId="41" fontId="175" fillId="14" borderId="72" xfId="0" applyNumberFormat="1" applyFont="1" applyFill="1" applyBorder="1" applyAlignment="1">
      <alignment horizontal="center" vertical="center"/>
    </xf>
    <xf numFmtId="0" fontId="93" fillId="14" borderId="35" xfId="0" applyFont="1" applyFill="1" applyBorder="1" applyAlignment="1">
      <alignment horizontal="center" vertical="center"/>
    </xf>
    <xf numFmtId="0" fontId="93" fillId="0" borderId="3" xfId="0" applyFont="1" applyBorder="1" applyAlignment="1">
      <alignment horizontal="center" vertical="center"/>
    </xf>
    <xf numFmtId="0" fontId="93" fillId="0" borderId="64" xfId="0" applyFont="1" applyBorder="1" applyAlignment="1">
      <alignment horizontal="center" vertical="center"/>
    </xf>
    <xf numFmtId="0" fontId="169" fillId="0" borderId="162" xfId="0" applyFont="1" applyBorder="1" applyAlignment="1">
      <alignment horizontal="center" vertical="center"/>
    </xf>
    <xf numFmtId="0" fontId="153" fillId="0" borderId="0" xfId="8">
      <alignment vertical="center"/>
    </xf>
    <xf numFmtId="0" fontId="153" fillId="0" borderId="5" xfId="8" applyFill="1" applyBorder="1" applyAlignment="1">
      <alignment vertical="center" wrapText="1"/>
    </xf>
    <xf numFmtId="0" fontId="93" fillId="14" borderId="28" xfId="0" applyFont="1" applyFill="1" applyBorder="1">
      <alignment vertical="center"/>
    </xf>
    <xf numFmtId="0" fontId="93" fillId="14" borderId="12" xfId="0" applyFont="1" applyFill="1" applyBorder="1" applyAlignment="1">
      <alignment horizontal="center" vertical="center"/>
    </xf>
    <xf numFmtId="0" fontId="93" fillId="14" borderId="156" xfId="0" applyFont="1" applyFill="1" applyBorder="1" applyAlignment="1">
      <alignment horizontal="center" vertical="center"/>
    </xf>
    <xf numFmtId="0" fontId="93" fillId="0" borderId="37" xfId="0" applyFont="1" applyBorder="1" applyAlignment="1">
      <alignment horizontal="center" vertical="center"/>
    </xf>
    <xf numFmtId="0" fontId="93" fillId="0" borderId="35" xfId="0" applyFont="1" applyBorder="1" applyAlignment="1">
      <alignment horizontal="center" vertical="center"/>
    </xf>
    <xf numFmtId="0" fontId="153" fillId="14" borderId="5" xfId="8" applyFill="1" applyBorder="1">
      <alignment vertical="center"/>
    </xf>
    <xf numFmtId="0" fontId="168" fillId="6" borderId="5" xfId="0" applyFont="1" applyFill="1" applyBorder="1" applyAlignment="1">
      <alignment horizontal="center" vertical="center"/>
    </xf>
    <xf numFmtId="0" fontId="169" fillId="0" borderId="3" xfId="0" applyFont="1" applyBorder="1" applyAlignment="1">
      <alignment horizontal="center" vertical="center"/>
    </xf>
    <xf numFmtId="0" fontId="93" fillId="14" borderId="25" xfId="0" applyFont="1" applyFill="1" applyBorder="1" applyAlignment="1">
      <alignment horizontal="center" vertical="center"/>
    </xf>
    <xf numFmtId="0" fontId="168" fillId="14" borderId="5" xfId="0" applyFont="1" applyFill="1" applyBorder="1" applyAlignment="1">
      <alignment horizontal="center" vertical="center"/>
    </xf>
    <xf numFmtId="0" fontId="169" fillId="14" borderId="3" xfId="0" applyFont="1" applyFill="1" applyBorder="1" applyAlignment="1">
      <alignment horizontal="center" vertical="center"/>
    </xf>
    <xf numFmtId="0" fontId="175" fillId="0" borderId="4" xfId="0" applyFont="1" applyBorder="1">
      <alignment vertical="center"/>
    </xf>
    <xf numFmtId="0" fontId="153" fillId="0" borderId="3" xfId="8" applyFill="1" applyBorder="1" applyAlignment="1">
      <alignment vertical="center"/>
    </xf>
    <xf numFmtId="0" fontId="175" fillId="0" borderId="4" xfId="0" applyFont="1" applyBorder="1" applyAlignment="1">
      <alignment horizontal="center" vertical="center"/>
    </xf>
    <xf numFmtId="0" fontId="93" fillId="0" borderId="21" xfId="0" applyFont="1" applyBorder="1">
      <alignment vertical="center"/>
    </xf>
    <xf numFmtId="0" fontId="93" fillId="0" borderId="10" xfId="0" applyFont="1" applyBorder="1" applyAlignment="1">
      <alignment horizontal="center" vertical="center"/>
    </xf>
    <xf numFmtId="0" fontId="93" fillId="0" borderId="7" xfId="0" applyFont="1" applyBorder="1">
      <alignment vertical="center"/>
    </xf>
    <xf numFmtId="0" fontId="175" fillId="0" borderId="5" xfId="0" applyFont="1" applyBorder="1" applyAlignment="1">
      <alignment horizontal="center" vertical="center"/>
    </xf>
    <xf numFmtId="41" fontId="175" fillId="0" borderId="5" xfId="0" applyNumberFormat="1" applyFont="1" applyBorder="1" applyAlignment="1">
      <alignment horizontal="center" vertical="center"/>
    </xf>
    <xf numFmtId="0" fontId="168" fillId="28" borderId="4" xfId="0" applyFont="1" applyFill="1" applyBorder="1" applyAlignment="1">
      <alignment horizontal="center" vertical="center"/>
    </xf>
    <xf numFmtId="0" fontId="176" fillId="28" borderId="4" xfId="0" applyFont="1" applyFill="1" applyBorder="1">
      <alignment vertical="center"/>
    </xf>
    <xf numFmtId="0" fontId="93" fillId="28" borderId="4" xfId="0" applyFont="1" applyFill="1" applyBorder="1" applyAlignment="1">
      <alignment horizontal="center" vertical="center"/>
    </xf>
    <xf numFmtId="41" fontId="175" fillId="28" borderId="4" xfId="0" applyNumberFormat="1" applyFont="1" applyFill="1" applyBorder="1" applyAlignment="1">
      <alignment horizontal="center" vertical="center"/>
    </xf>
    <xf numFmtId="0" fontId="93" fillId="28" borderId="4" xfId="0" applyFont="1" applyFill="1" applyBorder="1">
      <alignment vertical="center"/>
    </xf>
    <xf numFmtId="0" fontId="164" fillId="0" borderId="36" xfId="0" applyFont="1" applyBorder="1">
      <alignment vertical="center"/>
    </xf>
    <xf numFmtId="0" fontId="168" fillId="9" borderId="4" xfId="0" applyFont="1" applyFill="1" applyBorder="1" applyAlignment="1">
      <alignment horizontal="center" vertical="center"/>
    </xf>
    <xf numFmtId="0" fontId="168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64" fillId="0" borderId="13" xfId="0" applyFont="1" applyBorder="1" applyAlignment="1">
      <alignment horizontal="center" vertical="center"/>
    </xf>
    <xf numFmtId="0" fontId="153" fillId="0" borderId="4" xfId="8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164" fillId="0" borderId="36" xfId="0" applyFont="1" applyBorder="1" applyAlignment="1">
      <alignment horizontal="center" vertical="center"/>
    </xf>
    <xf numFmtId="41" fontId="175" fillId="0" borderId="0" xfId="0" applyNumberFormat="1" applyFont="1" applyAlignment="1">
      <alignment horizontal="center" vertical="center"/>
    </xf>
    <xf numFmtId="0" fontId="186" fillId="0" borderId="0" xfId="0" applyFont="1" applyAlignment="1">
      <alignment horizontal="center" vertical="center"/>
    </xf>
    <xf numFmtId="0" fontId="0" fillId="26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87" fillId="0" borderId="0" xfId="0" applyFont="1" applyAlignment="1">
      <alignment horizontal="center" vertical="center"/>
    </xf>
    <xf numFmtId="0" fontId="188" fillId="0" borderId="0" xfId="0" applyFont="1" applyAlignment="1">
      <alignment horizontal="left" vertical="center"/>
    </xf>
    <xf numFmtId="0" fontId="188" fillId="0" borderId="0" xfId="0" applyFont="1" applyAlignment="1">
      <alignment horizontal="center" vertical="center"/>
    </xf>
    <xf numFmtId="0" fontId="188" fillId="0" borderId="0" xfId="0" applyFont="1">
      <alignment vertical="center"/>
    </xf>
    <xf numFmtId="0" fontId="0" fillId="10" borderId="4" xfId="0" applyFill="1" applyBorder="1" applyAlignment="1">
      <alignment horizontal="center" vertical="center"/>
    </xf>
    <xf numFmtId="0" fontId="0" fillId="10" borderId="161" xfId="0" applyFill="1" applyBorder="1" applyAlignment="1">
      <alignment horizontal="center" vertical="center"/>
    </xf>
    <xf numFmtId="0" fontId="0" fillId="10" borderId="35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3" xfId="0" applyNumberFormat="1" applyBorder="1" applyAlignment="1">
      <alignment horizontal="center" vertical="center"/>
    </xf>
    <xf numFmtId="0" fontId="189" fillId="0" borderId="3" xfId="0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190" fillId="10" borderId="3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0" fillId="30" borderId="4" xfId="0" applyFont="1" applyFill="1" applyBorder="1" applyAlignment="1">
      <alignment horizontal="center" vertical="center"/>
    </xf>
    <xf numFmtId="0" fontId="60" fillId="30" borderId="5" xfId="0" applyFont="1" applyFill="1" applyBorder="1" applyAlignment="1">
      <alignment horizontal="center" vertical="center"/>
    </xf>
    <xf numFmtId="0" fontId="60" fillId="30" borderId="7" xfId="0" applyFont="1" applyFill="1" applyBorder="1" applyAlignment="1">
      <alignment horizontal="center" vertical="center"/>
    </xf>
    <xf numFmtId="0" fontId="60" fillId="0" borderId="8" xfId="0" applyFont="1" applyBorder="1" applyAlignment="1">
      <alignment horizontal="center" vertical="center"/>
    </xf>
    <xf numFmtId="0" fontId="3" fillId="29" borderId="163" xfId="0" applyFont="1" applyFill="1" applyBorder="1" applyAlignment="1">
      <alignment horizontal="center" vertical="center"/>
    </xf>
    <xf numFmtId="0" fontId="3" fillId="29" borderId="164" xfId="0" applyFont="1" applyFill="1" applyBorder="1" applyAlignment="1">
      <alignment horizontal="center" vertical="center"/>
    </xf>
    <xf numFmtId="0" fontId="190" fillId="0" borderId="167" xfId="0" applyFont="1" applyBorder="1" applyAlignment="1">
      <alignment horizontal="center" vertical="center"/>
    </xf>
    <xf numFmtId="0" fontId="191" fillId="0" borderId="0" xfId="0" applyFont="1" applyAlignment="1">
      <alignment horizontal="center" vertical="center"/>
    </xf>
    <xf numFmtId="0" fontId="190" fillId="0" borderId="17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90" fillId="0" borderId="0" xfId="0" applyFont="1">
      <alignment vertical="center"/>
    </xf>
    <xf numFmtId="0" fontId="3" fillId="0" borderId="30" xfId="0" applyFont="1" applyBorder="1" applyAlignment="1">
      <alignment horizontal="left" vertical="center" indent="1"/>
    </xf>
    <xf numFmtId="0" fontId="0" fillId="0" borderId="33" xfId="0" applyBorder="1" applyAlignment="1">
      <alignment horizontal="left" vertical="center" indent="1"/>
    </xf>
    <xf numFmtId="0" fontId="0" fillId="0" borderId="61" xfId="0" applyBorder="1" applyAlignment="1">
      <alignment horizontal="left" vertical="center" indent="1"/>
    </xf>
    <xf numFmtId="0" fontId="0" fillId="0" borderId="64" xfId="0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62" xfId="0" applyBorder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0" fontId="186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64" xfId="0" applyFont="1" applyBorder="1" applyAlignment="1">
      <alignment horizontal="left" vertical="center" indent="1"/>
    </xf>
    <xf numFmtId="0" fontId="0" fillId="0" borderId="0" xfId="0" applyAlignment="1">
      <alignment vertical="center" readingOrder="1"/>
    </xf>
    <xf numFmtId="0" fontId="0" fillId="0" borderId="65" xfId="0" applyBorder="1" applyAlignment="1">
      <alignment horizontal="left" vertical="center" indent="1"/>
    </xf>
    <xf numFmtId="0" fontId="0" fillId="0" borderId="25" xfId="0" applyBorder="1" applyAlignment="1">
      <alignment horizontal="left" vertical="center" indent="1"/>
    </xf>
    <xf numFmtId="0" fontId="0" fillId="0" borderId="171" xfId="0" applyBorder="1" applyAlignment="1">
      <alignment horizontal="left" vertical="center" indent="1"/>
    </xf>
    <xf numFmtId="0" fontId="192" fillId="0" borderId="0" xfId="0" applyFont="1">
      <alignment vertical="center"/>
    </xf>
    <xf numFmtId="0" fontId="57" fillId="0" borderId="0" xfId="0" applyFont="1">
      <alignment vertical="center"/>
    </xf>
    <xf numFmtId="0" fontId="193" fillId="0" borderId="0" xfId="0" applyFont="1">
      <alignment vertical="center"/>
    </xf>
    <xf numFmtId="0" fontId="192" fillId="31" borderId="21" xfId="0" applyFont="1" applyFill="1" applyBorder="1">
      <alignment vertical="center"/>
    </xf>
    <xf numFmtId="0" fontId="57" fillId="32" borderId="24" xfId="0" applyFont="1" applyFill="1" applyBorder="1">
      <alignment vertical="center"/>
    </xf>
    <xf numFmtId="0" fontId="57" fillId="32" borderId="12" xfId="0" applyFont="1" applyFill="1" applyBorder="1">
      <alignment vertical="center"/>
    </xf>
    <xf numFmtId="0" fontId="57" fillId="22" borderId="12" xfId="0" applyFont="1" applyFill="1" applyBorder="1">
      <alignment vertical="center"/>
    </xf>
    <xf numFmtId="0" fontId="192" fillId="31" borderId="36" xfId="0" applyFont="1" applyFill="1" applyBorder="1">
      <alignment vertical="center"/>
    </xf>
    <xf numFmtId="0" fontId="57" fillId="0" borderId="171" xfId="0" applyFont="1" applyBorder="1">
      <alignment vertical="center"/>
    </xf>
    <xf numFmtId="0" fontId="192" fillId="31" borderId="13" xfId="0" applyFont="1" applyFill="1" applyBorder="1">
      <alignment vertical="center"/>
    </xf>
    <xf numFmtId="0" fontId="57" fillId="32" borderId="33" xfId="0" applyFont="1" applyFill="1" applyBorder="1">
      <alignment vertical="center"/>
    </xf>
    <xf numFmtId="0" fontId="57" fillId="32" borderId="61" xfId="0" applyFont="1" applyFill="1" applyBorder="1">
      <alignment vertical="center"/>
    </xf>
    <xf numFmtId="0" fontId="57" fillId="22" borderId="171" xfId="0" applyFont="1" applyFill="1" applyBorder="1">
      <alignment vertical="center"/>
    </xf>
    <xf numFmtId="0" fontId="57" fillId="0" borderId="5" xfId="0" applyFont="1" applyBorder="1">
      <alignment vertical="center"/>
    </xf>
    <xf numFmtId="0" fontId="57" fillId="0" borderId="172" xfId="0" applyFont="1" applyBorder="1">
      <alignment vertical="center"/>
    </xf>
    <xf numFmtId="0" fontId="57" fillId="0" borderId="26" xfId="0" applyFont="1" applyBorder="1">
      <alignment vertical="center"/>
    </xf>
    <xf numFmtId="0" fontId="57" fillId="0" borderId="8" xfId="0" applyFont="1" applyBorder="1">
      <alignment vertical="center"/>
    </xf>
    <xf numFmtId="0" fontId="192" fillId="31" borderId="7" xfId="0" applyFont="1" applyFill="1" applyBorder="1">
      <alignment vertical="center"/>
    </xf>
    <xf numFmtId="0" fontId="57" fillId="0" borderId="13" xfId="0" applyFont="1" applyBorder="1">
      <alignment vertical="center"/>
    </xf>
    <xf numFmtId="0" fontId="23" fillId="0" borderId="26" xfId="0" applyFont="1" applyBorder="1">
      <alignment vertical="center"/>
    </xf>
    <xf numFmtId="0" fontId="23" fillId="0" borderId="5" xfId="0" applyFont="1" applyBorder="1">
      <alignment vertical="center"/>
    </xf>
    <xf numFmtId="0" fontId="194" fillId="10" borderId="0" xfId="0" applyFont="1" applyFill="1" applyAlignment="1">
      <alignment horizontal="left" vertical="center"/>
    </xf>
    <xf numFmtId="0" fontId="113" fillId="10" borderId="0" xfId="0" applyFont="1" applyFill="1" applyAlignment="1">
      <alignment horizontal="center" vertical="center"/>
    </xf>
    <xf numFmtId="0" fontId="113" fillId="0" borderId="0" xfId="0" applyFont="1">
      <alignment vertical="center"/>
    </xf>
    <xf numFmtId="0" fontId="92" fillId="0" borderId="0" xfId="0" applyFont="1">
      <alignment vertical="center"/>
    </xf>
    <xf numFmtId="0" fontId="113" fillId="0" borderId="0" xfId="0" applyFont="1" applyAlignment="1">
      <alignment horizontal="center" vertical="center"/>
    </xf>
    <xf numFmtId="0" fontId="194" fillId="33" borderId="9" xfId="0" applyFont="1" applyFill="1" applyBorder="1" applyAlignment="1">
      <alignment horizontal="center" vertical="center"/>
    </xf>
    <xf numFmtId="0" fontId="194" fillId="33" borderId="24" xfId="0" applyFont="1" applyFill="1" applyBorder="1" applyAlignment="1">
      <alignment horizontal="center" vertical="center"/>
    </xf>
    <xf numFmtId="0" fontId="113" fillId="0" borderId="3" xfId="0" applyFont="1" applyBorder="1">
      <alignment vertical="center"/>
    </xf>
    <xf numFmtId="0" fontId="166" fillId="0" borderId="0" xfId="0" applyFont="1">
      <alignment vertical="center"/>
    </xf>
    <xf numFmtId="0" fontId="195" fillId="0" borderId="0" xfId="0" applyFont="1">
      <alignment vertical="center"/>
    </xf>
    <xf numFmtId="0" fontId="194" fillId="0" borderId="0" xfId="0" applyFont="1" applyAlignment="1">
      <alignment horizontal="center" vertical="center"/>
    </xf>
    <xf numFmtId="0" fontId="194" fillId="33" borderId="30" xfId="0" applyFont="1" applyFill="1" applyBorder="1" applyAlignment="1">
      <alignment horizontal="center" vertical="center"/>
    </xf>
    <xf numFmtId="0" fontId="113" fillId="0" borderId="30" xfId="0" applyFont="1" applyBorder="1" applyAlignment="1">
      <alignment horizontal="center" vertical="center"/>
    </xf>
    <xf numFmtId="0" fontId="113" fillId="0" borderId="30" xfId="0" applyFont="1" applyBorder="1">
      <alignment vertical="center"/>
    </xf>
    <xf numFmtId="0" fontId="166" fillId="0" borderId="2" xfId="0" applyFont="1" applyBorder="1">
      <alignment vertical="center"/>
    </xf>
    <xf numFmtId="0" fontId="113" fillId="0" borderId="61" xfId="0" applyFont="1" applyBorder="1">
      <alignment vertical="center"/>
    </xf>
    <xf numFmtId="0" fontId="196" fillId="0" borderId="0" xfId="0" applyFont="1">
      <alignment vertical="center"/>
    </xf>
    <xf numFmtId="0" fontId="113" fillId="33" borderId="64" xfId="0" applyFont="1" applyFill="1" applyBorder="1" applyAlignment="1">
      <alignment horizontal="center" vertical="center"/>
    </xf>
    <xf numFmtId="0" fontId="113" fillId="0" borderId="2" xfId="0" applyFont="1" applyBorder="1">
      <alignment vertical="center"/>
    </xf>
    <xf numFmtId="0" fontId="113" fillId="0" borderId="9" xfId="0" applyFont="1" applyBorder="1" applyAlignment="1">
      <alignment horizontal="center" vertical="center"/>
    </xf>
    <xf numFmtId="0" fontId="113" fillId="0" borderId="9" xfId="0" applyFont="1" applyBorder="1">
      <alignment vertical="center"/>
    </xf>
    <xf numFmtId="0" fontId="113" fillId="0" borderId="12" xfId="0" applyFont="1" applyBorder="1">
      <alignment vertical="center"/>
    </xf>
    <xf numFmtId="0" fontId="113" fillId="33" borderId="137" xfId="0" applyFont="1" applyFill="1" applyBorder="1" applyAlignment="1">
      <alignment horizontal="center" vertical="center"/>
    </xf>
    <xf numFmtId="0" fontId="113" fillId="0" borderId="173" xfId="0" applyFont="1" applyBorder="1" applyAlignment="1">
      <alignment horizontal="center" vertical="center"/>
    </xf>
    <xf numFmtId="0" fontId="113" fillId="0" borderId="173" xfId="0" applyFont="1" applyBorder="1">
      <alignment vertical="center"/>
    </xf>
    <xf numFmtId="0" fontId="113" fillId="0" borderId="75" xfId="0" applyFont="1" applyBorder="1">
      <alignment vertical="center"/>
    </xf>
    <xf numFmtId="0" fontId="113" fillId="0" borderId="174" xfId="0" applyFont="1" applyBorder="1">
      <alignment vertical="center"/>
    </xf>
    <xf numFmtId="0" fontId="195" fillId="0" borderId="0" xfId="0" applyFont="1" applyAlignment="1">
      <alignment horizontal="left" vertical="center"/>
    </xf>
    <xf numFmtId="0" fontId="195" fillId="0" borderId="0" xfId="0" applyFont="1" applyAlignment="1">
      <alignment horizontal="center" vertical="center"/>
    </xf>
    <xf numFmtId="0" fontId="194" fillId="0" borderId="28" xfId="0" applyFont="1" applyBorder="1" applyAlignment="1">
      <alignment horizontal="center" vertical="center"/>
    </xf>
    <xf numFmtId="0" fontId="113" fillId="0" borderId="26" xfId="0" applyFont="1" applyBorder="1" applyAlignment="1">
      <alignment horizontal="center" vertical="center"/>
    </xf>
    <xf numFmtId="0" fontId="113" fillId="0" borderId="26" xfId="0" applyFont="1" applyBorder="1">
      <alignment vertical="center"/>
    </xf>
    <xf numFmtId="0" fontId="113" fillId="0" borderId="5" xfId="0" applyFont="1" applyBorder="1">
      <alignment vertical="center"/>
    </xf>
    <xf numFmtId="0" fontId="194" fillId="33" borderId="22" xfId="0" applyFont="1" applyFill="1" applyBorder="1" applyAlignment="1">
      <alignment horizontal="center" vertical="center"/>
    </xf>
    <xf numFmtId="0" fontId="53" fillId="0" borderId="13" xfId="0" applyFont="1" applyBorder="1" applyAlignment="1">
      <alignment horizontal="center" vertical="center"/>
    </xf>
    <xf numFmtId="0" fontId="113" fillId="0" borderId="22" xfId="0" applyFont="1" applyBorder="1">
      <alignment vertical="center"/>
    </xf>
    <xf numFmtId="0" fontId="92" fillId="0" borderId="7" xfId="0" applyFont="1" applyBorder="1" applyAlignment="1">
      <alignment horizontal="center" vertical="center"/>
    </xf>
    <xf numFmtId="0" fontId="92" fillId="0" borderId="23" xfId="0" applyFont="1" applyBorder="1">
      <alignment vertical="center"/>
    </xf>
    <xf numFmtId="0" fontId="92" fillId="0" borderId="8" xfId="0" applyFont="1" applyBorder="1">
      <alignment vertical="center"/>
    </xf>
    <xf numFmtId="0" fontId="113" fillId="0" borderId="8" xfId="0" applyFont="1" applyBorder="1">
      <alignment vertical="center"/>
    </xf>
    <xf numFmtId="0" fontId="53" fillId="0" borderId="21" xfId="0" applyFont="1" applyBorder="1" applyAlignment="1">
      <alignment horizontal="center" vertical="center"/>
    </xf>
    <xf numFmtId="0" fontId="92" fillId="0" borderId="47" xfId="0" applyFont="1" applyBorder="1">
      <alignment vertical="center"/>
    </xf>
    <xf numFmtId="0" fontId="113" fillId="0" borderId="35" xfId="0" applyFont="1" applyBorder="1">
      <alignment vertical="center"/>
    </xf>
    <xf numFmtId="0" fontId="92" fillId="0" borderId="13" xfId="0" applyFont="1" applyBorder="1" applyAlignment="1">
      <alignment horizontal="center" vertical="center"/>
    </xf>
    <xf numFmtId="0" fontId="92" fillId="0" borderId="22" xfId="0" applyFont="1" applyBorder="1">
      <alignment vertical="center"/>
    </xf>
    <xf numFmtId="0" fontId="92" fillId="0" borderId="8" xfId="0" applyFont="1" applyBorder="1" applyAlignment="1">
      <alignment horizontal="left" vertical="center"/>
    </xf>
    <xf numFmtId="0" fontId="92" fillId="0" borderId="22" xfId="0" applyFont="1" applyBorder="1" applyAlignment="1">
      <alignment horizontal="left" vertical="center"/>
    </xf>
    <xf numFmtId="0" fontId="92" fillId="0" borderId="0" xfId="0" applyFont="1" applyAlignment="1">
      <alignment horizontal="center"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3" fillId="33" borderId="6" xfId="0" applyFont="1" applyFill="1" applyBorder="1" applyAlignment="1">
      <alignment horizontal="center" vertical="center"/>
    </xf>
    <xf numFmtId="0" fontId="53" fillId="33" borderId="0" xfId="0" applyFont="1" applyFill="1" applyAlignment="1">
      <alignment horizontal="center" vertical="center"/>
    </xf>
    <xf numFmtId="0" fontId="53" fillId="33" borderId="22" xfId="0" applyFont="1" applyFill="1" applyBorder="1" applyAlignment="1">
      <alignment horizontal="center" vertical="center"/>
    </xf>
    <xf numFmtId="0" fontId="165" fillId="29" borderId="4" xfId="0" applyFont="1" applyFill="1" applyBorder="1" applyAlignment="1">
      <alignment horizontal="center" vertical="center"/>
    </xf>
    <xf numFmtId="0" fontId="165" fillId="29" borderId="3" xfId="0" applyFont="1" applyFill="1" applyBorder="1" applyAlignment="1">
      <alignment horizontal="center" vertical="center"/>
    </xf>
    <xf numFmtId="0" fontId="60" fillId="30" borderId="26" xfId="0" applyFont="1" applyFill="1" applyBorder="1" applyAlignment="1">
      <alignment horizontal="center" vertical="center"/>
    </xf>
    <xf numFmtId="0" fontId="60" fillId="30" borderId="5" xfId="0" applyFont="1" applyFill="1" applyBorder="1" applyAlignment="1">
      <alignment horizontal="center" vertical="center"/>
    </xf>
    <xf numFmtId="0" fontId="60" fillId="0" borderId="13" xfId="0" applyFont="1" applyBorder="1" applyAlignment="1">
      <alignment horizontal="center" vertical="center"/>
    </xf>
    <xf numFmtId="0" fontId="60" fillId="0" borderId="7" xfId="0" applyFont="1" applyBorder="1" applyAlignment="1">
      <alignment horizontal="center" vertical="center"/>
    </xf>
    <xf numFmtId="0" fontId="3" fillId="29" borderId="3" xfId="0" quotePrefix="1" applyFont="1" applyFill="1" applyBorder="1" applyAlignment="1">
      <alignment horizontal="center" vertical="center"/>
    </xf>
    <xf numFmtId="0" fontId="3" fillId="29" borderId="3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90" fillId="0" borderId="165" xfId="0" applyFont="1" applyBorder="1" applyAlignment="1">
      <alignment horizontal="center" vertical="center"/>
    </xf>
    <xf numFmtId="0" fontId="190" fillId="0" borderId="168" xfId="0" applyFont="1" applyBorder="1" applyAlignment="1">
      <alignment horizontal="center" vertical="center"/>
    </xf>
    <xf numFmtId="0" fontId="190" fillId="0" borderId="166" xfId="0" applyFont="1" applyBorder="1" applyAlignment="1">
      <alignment horizontal="center" vertical="center"/>
    </xf>
    <xf numFmtId="0" fontId="190" fillId="0" borderId="169" xfId="0" applyFont="1" applyBorder="1" applyAlignment="1">
      <alignment horizontal="center" vertical="center"/>
    </xf>
    <xf numFmtId="0" fontId="164" fillId="0" borderId="59" xfId="0" applyFont="1" applyBorder="1" applyAlignment="1">
      <alignment horizontal="center" vertical="top"/>
    </xf>
    <xf numFmtId="0" fontId="164" fillId="0" borderId="13" xfId="0" applyFont="1" applyBorder="1" applyAlignment="1">
      <alignment horizontal="center" vertical="top"/>
    </xf>
    <xf numFmtId="0" fontId="164" fillId="0" borderId="7" xfId="0" applyFont="1" applyBorder="1" applyAlignment="1">
      <alignment horizontal="center" vertical="top"/>
    </xf>
    <xf numFmtId="0" fontId="93" fillId="0" borderId="22" xfId="0" applyFont="1" applyBorder="1" applyAlignment="1">
      <alignment horizontal="center" vertical="center"/>
    </xf>
    <xf numFmtId="0" fontId="126" fillId="0" borderId="21" xfId="0" applyFont="1" applyBorder="1" applyAlignment="1">
      <alignment horizontal="center" vertical="center"/>
    </xf>
    <xf numFmtId="0" fontId="126" fillId="0" borderId="13" xfId="0" applyFont="1" applyBorder="1" applyAlignment="1">
      <alignment horizontal="center" vertical="center"/>
    </xf>
    <xf numFmtId="0" fontId="126" fillId="0" borderId="7" xfId="0" applyFont="1" applyBorder="1" applyAlignment="1">
      <alignment horizontal="center" vertical="center"/>
    </xf>
    <xf numFmtId="0" fontId="130" fillId="16" borderId="117" xfId="0" applyFont="1" applyFill="1" applyBorder="1" applyAlignment="1">
      <alignment horizontal="left" vertical="center" indent="1"/>
    </xf>
    <xf numFmtId="0" fontId="130" fillId="16" borderId="26" xfId="0" applyFont="1" applyFill="1" applyBorder="1" applyAlignment="1">
      <alignment horizontal="left" vertical="center" indent="1"/>
    </xf>
    <xf numFmtId="0" fontId="139" fillId="0" borderId="21" xfId="0" applyFont="1" applyBorder="1" applyAlignment="1">
      <alignment horizontal="center" vertical="center"/>
    </xf>
    <xf numFmtId="0" fontId="139" fillId="0" borderId="13" xfId="0" applyFont="1" applyBorder="1" applyAlignment="1">
      <alignment horizontal="center" vertical="center"/>
    </xf>
    <xf numFmtId="0" fontId="139" fillId="0" borderId="7" xfId="0" applyFont="1" applyBorder="1" applyAlignment="1">
      <alignment horizontal="center" vertical="center"/>
    </xf>
    <xf numFmtId="0" fontId="130" fillId="16" borderId="137" xfId="0" applyFont="1" applyFill="1" applyBorder="1" applyAlignment="1">
      <alignment horizontal="left" vertical="center" indent="1"/>
    </xf>
    <xf numFmtId="0" fontId="126" fillId="0" borderId="3" xfId="0" applyFont="1" applyBorder="1" applyAlignment="1">
      <alignment horizontal="center" vertical="center"/>
    </xf>
    <xf numFmtId="0" fontId="130" fillId="16" borderId="145" xfId="0" applyFont="1" applyFill="1" applyBorder="1" applyAlignment="1">
      <alignment horizontal="left" vertical="center" indent="1"/>
    </xf>
    <xf numFmtId="0" fontId="139" fillId="0" borderId="10" xfId="0" applyFont="1" applyBorder="1" applyAlignment="1">
      <alignment horizontal="center" vertical="center"/>
    </xf>
    <xf numFmtId="0" fontId="139" fillId="0" borderId="3" xfId="0" applyFont="1" applyBorder="1" applyAlignment="1">
      <alignment horizontal="center" vertical="center"/>
    </xf>
    <xf numFmtId="0" fontId="139" fillId="0" borderId="74" xfId="0" applyFont="1" applyBorder="1" applyAlignment="1">
      <alignment horizontal="center" vertical="center"/>
    </xf>
    <xf numFmtId="0" fontId="139" fillId="0" borderId="73" xfId="0" applyFont="1" applyBorder="1" applyAlignment="1">
      <alignment horizontal="center" vertical="center"/>
    </xf>
    <xf numFmtId="0" fontId="131" fillId="16" borderId="137" xfId="0" applyFont="1" applyFill="1" applyBorder="1" applyAlignment="1">
      <alignment horizontal="left" vertical="center" indent="1"/>
    </xf>
    <xf numFmtId="0" fontId="139" fillId="0" borderId="72" xfId="0" applyFont="1" applyBorder="1" applyAlignment="1">
      <alignment horizontal="center" vertical="center"/>
    </xf>
    <xf numFmtId="0" fontId="135" fillId="16" borderId="117" xfId="0" applyFont="1" applyFill="1" applyBorder="1" applyAlignment="1">
      <alignment horizontal="left" vertical="center" indent="1"/>
    </xf>
    <xf numFmtId="0" fontId="134" fillId="16" borderId="117" xfId="0" applyFont="1" applyFill="1" applyBorder="1" applyAlignment="1">
      <alignment horizontal="left" vertical="center" indent="1"/>
    </xf>
    <xf numFmtId="179" fontId="126" fillId="0" borderId="72" xfId="0" applyNumberFormat="1" applyFont="1" applyBorder="1" applyAlignment="1">
      <alignment horizontal="center" vertical="center"/>
    </xf>
    <xf numFmtId="0" fontId="126" fillId="0" borderId="72" xfId="0" applyFont="1" applyBorder="1" applyAlignment="1">
      <alignment horizontal="center" vertical="center"/>
    </xf>
    <xf numFmtId="0" fontId="74" fillId="0" borderId="0" xfId="0" applyFont="1">
      <alignment vertical="center"/>
    </xf>
    <xf numFmtId="0" fontId="14" fillId="5" borderId="0" xfId="0" applyFont="1" applyFill="1" applyAlignment="1">
      <alignment horizontal="left" vertical="center" indent="1"/>
    </xf>
    <xf numFmtId="0" fontId="57" fillId="9" borderId="3" xfId="0" applyFont="1" applyFill="1" applyBorder="1">
      <alignment vertical="center"/>
    </xf>
    <xf numFmtId="0" fontId="57" fillId="9" borderId="3" xfId="0" applyFon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right" vertical="center"/>
    </xf>
    <xf numFmtId="41" fontId="0" fillId="9" borderId="3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57" fillId="9" borderId="3" xfId="0" applyFont="1" applyFill="1" applyBorder="1" applyAlignment="1">
      <alignment horizontal="center" vertical="center" wrapText="1"/>
    </xf>
    <xf numFmtId="3" fontId="0" fillId="9" borderId="3" xfId="0" applyNumberFormat="1" applyFill="1" applyBorder="1" applyAlignment="1">
      <alignment horizontal="center" vertical="center"/>
    </xf>
    <xf numFmtId="178" fontId="93" fillId="9" borderId="3" xfId="0" applyNumberFormat="1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 wrapText="1"/>
    </xf>
    <xf numFmtId="0" fontId="18" fillId="9" borderId="3" xfId="0" applyFont="1" applyFill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 wrapText="1"/>
    </xf>
    <xf numFmtId="3" fontId="44" fillId="9" borderId="3" xfId="0" applyNumberFormat="1" applyFont="1" applyFill="1" applyBorder="1" applyAlignment="1">
      <alignment horizontal="center" vertical="center"/>
    </xf>
    <xf numFmtId="0" fontId="90" fillId="9" borderId="3" xfId="0" applyFont="1" applyFill="1" applyBorder="1" applyAlignment="1">
      <alignment vertical="center" wrapText="1"/>
    </xf>
    <xf numFmtId="0" fontId="57" fillId="9" borderId="35" xfId="0" applyFont="1" applyFill="1" applyBorder="1">
      <alignment vertical="center"/>
    </xf>
    <xf numFmtId="0" fontId="57" fillId="9" borderId="22" xfId="0" applyFont="1" applyFill="1" applyBorder="1">
      <alignment vertical="center"/>
    </xf>
    <xf numFmtId="0" fontId="57" fillId="9" borderId="69" xfId="0" applyFont="1" applyFill="1" applyBorder="1">
      <alignment vertical="center"/>
    </xf>
    <xf numFmtId="0" fontId="57" fillId="9" borderId="74" xfId="0" applyFont="1" applyFill="1" applyBorder="1" applyAlignment="1">
      <alignment vertical="center" wrapText="1"/>
    </xf>
    <xf numFmtId="0" fontId="57" fillId="9" borderId="6" xfId="0" applyFont="1" applyFill="1" applyBorder="1" applyAlignment="1">
      <alignment vertical="center" wrapText="1"/>
    </xf>
    <xf numFmtId="0" fontId="57" fillId="9" borderId="40" xfId="0" applyFont="1" applyFill="1" applyBorder="1" applyAlignment="1">
      <alignment vertical="center" wrapText="1"/>
    </xf>
    <xf numFmtId="3" fontId="57" fillId="9" borderId="3" xfId="0" applyNumberFormat="1" applyFont="1" applyFill="1" applyBorder="1">
      <alignment vertical="center"/>
    </xf>
    <xf numFmtId="0" fontId="57" fillId="9" borderId="21" xfId="0" applyFont="1" applyFill="1" applyBorder="1" applyAlignment="1">
      <alignment vertical="center" wrapText="1"/>
    </xf>
    <xf numFmtId="0" fontId="57" fillId="9" borderId="13" xfId="0" applyFont="1" applyFill="1" applyBorder="1" applyAlignment="1">
      <alignment vertical="center" wrapText="1"/>
    </xf>
    <xf numFmtId="0" fontId="57" fillId="9" borderId="7" xfId="0" applyFont="1" applyFill="1" applyBorder="1" applyAlignment="1">
      <alignment vertical="center" wrapText="1"/>
    </xf>
    <xf numFmtId="0" fontId="0" fillId="2" borderId="68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70" xfId="0" applyFill="1" applyBorder="1" applyAlignment="1">
      <alignment horizontal="center" vertical="center"/>
    </xf>
    <xf numFmtId="0" fontId="0" fillId="9" borderId="37" xfId="0" applyFill="1" applyBorder="1" applyAlignment="1">
      <alignment horizontal="center" vertical="center"/>
    </xf>
    <xf numFmtId="0" fontId="0" fillId="9" borderId="38" xfId="0" applyFill="1" applyBorder="1" applyAlignment="1">
      <alignment horizontal="center" vertical="center"/>
    </xf>
    <xf numFmtId="0" fontId="0" fillId="9" borderId="39" xfId="0" applyFill="1" applyBorder="1" applyAlignment="1">
      <alignment horizontal="center" vertical="center"/>
    </xf>
    <xf numFmtId="0" fontId="89" fillId="9" borderId="21" xfId="0" applyFont="1" applyFill="1" applyBorder="1" applyAlignment="1">
      <alignment horizontal="center" vertical="center" wrapText="1"/>
    </xf>
    <xf numFmtId="0" fontId="89" fillId="9" borderId="13" xfId="0" applyFont="1" applyFill="1" applyBorder="1" applyAlignment="1">
      <alignment horizontal="center" vertical="center" wrapText="1"/>
    </xf>
    <xf numFmtId="0" fontId="89" fillId="9" borderId="36" xfId="0" applyFont="1" applyFill="1" applyBorder="1" applyAlignment="1">
      <alignment horizontal="center" vertical="center" wrapText="1"/>
    </xf>
    <xf numFmtId="0" fontId="60" fillId="9" borderId="1" xfId="0" applyFont="1" applyFill="1" applyBorder="1" applyAlignment="1">
      <alignment horizontal="center" vertical="center"/>
    </xf>
    <xf numFmtId="0" fontId="60" fillId="9" borderId="13" xfId="0" applyFont="1" applyFill="1" applyBorder="1" applyAlignment="1">
      <alignment horizontal="center" vertical="center"/>
    </xf>
    <xf numFmtId="3" fontId="60" fillId="9" borderId="1" xfId="0" applyNumberFormat="1" applyFont="1" applyFill="1" applyBorder="1" applyAlignment="1">
      <alignment horizontal="center" vertical="center"/>
    </xf>
    <xf numFmtId="3" fontId="60" fillId="9" borderId="13" xfId="0" applyNumberFormat="1" applyFont="1" applyFill="1" applyBorder="1" applyAlignment="1">
      <alignment horizontal="center" vertical="center"/>
    </xf>
    <xf numFmtId="0" fontId="58" fillId="9" borderId="72" xfId="0" applyFont="1" applyFill="1" applyBorder="1" applyAlignment="1">
      <alignment horizontal="center" vertical="center"/>
    </xf>
    <xf numFmtId="0" fontId="58" fillId="9" borderId="14" xfId="0" applyFont="1" applyFill="1" applyBorder="1" applyAlignment="1">
      <alignment horizontal="center" vertical="center"/>
    </xf>
    <xf numFmtId="0" fontId="57" fillId="9" borderId="71" xfId="0" applyFont="1" applyFill="1" applyBorder="1" applyAlignment="1">
      <alignment horizontal="center" vertical="center"/>
    </xf>
    <xf numFmtId="0" fontId="57" fillId="9" borderId="38" xfId="0" applyFont="1" applyFill="1" applyBorder="1" applyAlignment="1">
      <alignment horizontal="center" vertical="center"/>
    </xf>
    <xf numFmtId="0" fontId="57" fillId="9" borderId="39" xfId="0" applyFont="1" applyFill="1" applyBorder="1" applyAlignment="1">
      <alignment horizontal="center" vertical="center"/>
    </xf>
    <xf numFmtId="0" fontId="59" fillId="9" borderId="21" xfId="0" applyFont="1" applyFill="1" applyBorder="1" applyAlignment="1">
      <alignment vertical="center" wrapText="1"/>
    </xf>
    <xf numFmtId="0" fontId="59" fillId="9" borderId="13" xfId="0" applyFont="1" applyFill="1" applyBorder="1" applyAlignment="1">
      <alignment vertical="center" wrapText="1"/>
    </xf>
    <xf numFmtId="0" fontId="59" fillId="9" borderId="7" xfId="0" applyFont="1" applyFill="1" applyBorder="1" applyAlignment="1">
      <alignment vertical="center" wrapText="1"/>
    </xf>
    <xf numFmtId="0" fontId="57" fillId="9" borderId="21" xfId="0" applyFont="1" applyFill="1" applyBorder="1" applyAlignment="1">
      <alignment horizontal="center" vertical="center"/>
    </xf>
    <xf numFmtId="0" fontId="57" fillId="9" borderId="13" xfId="0" applyFont="1" applyFill="1" applyBorder="1" applyAlignment="1">
      <alignment horizontal="center" vertical="center"/>
    </xf>
    <xf numFmtId="0" fontId="57" fillId="9" borderId="36" xfId="0" applyFont="1" applyFill="1" applyBorder="1" applyAlignment="1">
      <alignment horizontal="center" vertical="center"/>
    </xf>
    <xf numFmtId="3" fontId="57" fillId="9" borderId="21" xfId="0" applyNumberFormat="1" applyFont="1" applyFill="1" applyBorder="1" applyAlignment="1">
      <alignment horizontal="center" vertical="center"/>
    </xf>
    <xf numFmtId="3" fontId="57" fillId="9" borderId="13" xfId="0" applyNumberFormat="1" applyFont="1" applyFill="1" applyBorder="1" applyAlignment="1">
      <alignment horizontal="center" vertical="center"/>
    </xf>
    <xf numFmtId="3" fontId="57" fillId="9" borderId="36" xfId="0" applyNumberFormat="1" applyFont="1" applyFill="1" applyBorder="1" applyAlignment="1">
      <alignment horizontal="center" vertical="center"/>
    </xf>
    <xf numFmtId="0" fontId="44" fillId="9" borderId="37" xfId="0" applyFont="1" applyFill="1" applyBorder="1" applyAlignment="1">
      <alignment horizontal="center" vertical="center"/>
    </xf>
    <xf numFmtId="0" fontId="44" fillId="9" borderId="38" xfId="0" applyFont="1" applyFill="1" applyBorder="1" applyAlignment="1">
      <alignment horizontal="center" vertical="center"/>
    </xf>
    <xf numFmtId="0" fontId="44" fillId="9" borderId="39" xfId="0" applyFont="1" applyFill="1" applyBorder="1" applyAlignment="1">
      <alignment horizontal="center" vertical="center"/>
    </xf>
    <xf numFmtId="0" fontId="59" fillId="9" borderId="73" xfId="0" applyFont="1" applyFill="1" applyBorder="1" applyAlignment="1">
      <alignment horizontal="center" vertical="center"/>
    </xf>
    <xf numFmtId="0" fontId="59" fillId="9" borderId="6" xfId="0" applyFont="1" applyFill="1" applyBorder="1" applyAlignment="1">
      <alignment horizontal="center" vertical="center"/>
    </xf>
    <xf numFmtId="0" fontId="59" fillId="9" borderId="29" xfId="0" applyFont="1" applyFill="1" applyBorder="1" applyAlignment="1">
      <alignment horizontal="center" vertical="center"/>
    </xf>
    <xf numFmtId="0" fontId="44" fillId="9" borderId="3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 wrapText="1"/>
    </xf>
    <xf numFmtId="0" fontId="0" fillId="9" borderId="10" xfId="0" applyFill="1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 wrapText="1"/>
    </xf>
    <xf numFmtId="176" fontId="0" fillId="9" borderId="3" xfId="0" applyNumberFormat="1" applyFill="1" applyBorder="1" applyAlignment="1">
      <alignment horizontal="center" vertical="center"/>
    </xf>
    <xf numFmtId="41" fontId="0" fillId="9" borderId="3" xfId="0" applyNumberFormat="1" applyFill="1" applyBorder="1" applyAlignment="1">
      <alignment horizontal="center" vertical="center" wrapText="1"/>
    </xf>
    <xf numFmtId="41" fontId="0" fillId="9" borderId="9" xfId="0" applyNumberFormat="1" applyFill="1" applyBorder="1" applyAlignment="1">
      <alignment horizontal="center" vertical="center"/>
    </xf>
    <xf numFmtId="41" fontId="0" fillId="9" borderId="10" xfId="0" applyNumberFormat="1" applyFill="1" applyBorder="1" applyAlignment="1">
      <alignment horizontal="center" vertical="center"/>
    </xf>
    <xf numFmtId="41" fontId="0" fillId="9" borderId="2" xfId="0" applyNumberFormat="1" applyFill="1" applyBorder="1" applyAlignment="1">
      <alignment horizontal="center" vertical="center"/>
    </xf>
    <xf numFmtId="0" fontId="23" fillId="9" borderId="3" xfId="0" applyFont="1" applyFill="1" applyBorder="1">
      <alignment vertical="center"/>
    </xf>
    <xf numFmtId="0" fontId="23" fillId="9" borderId="3" xfId="0" applyFont="1" applyFill="1" applyBorder="1" applyAlignment="1">
      <alignment vertical="center" wrapText="1"/>
    </xf>
    <xf numFmtId="0" fontId="0" fillId="9" borderId="3" xfId="0" quotePrefix="1" applyFill="1" applyBorder="1" applyAlignment="1">
      <alignment horizontal="center" vertical="center" wrapText="1"/>
    </xf>
    <xf numFmtId="3" fontId="23" fillId="9" borderId="3" xfId="0" applyNumberFormat="1" applyFont="1" applyFill="1" applyBorder="1">
      <alignment vertical="center"/>
    </xf>
    <xf numFmtId="0" fontId="24" fillId="9" borderId="3" xfId="0" applyFont="1" applyFill="1" applyBorder="1" applyAlignment="1">
      <alignment horizontal="center" vertical="center"/>
    </xf>
    <xf numFmtId="3" fontId="23" fillId="9" borderId="3" xfId="0" applyNumberFormat="1" applyFont="1" applyFill="1" applyBorder="1" applyAlignment="1">
      <alignment horizontal="center" vertical="center"/>
    </xf>
    <xf numFmtId="3" fontId="24" fillId="9" borderId="3" xfId="0" applyNumberFormat="1" applyFont="1" applyFill="1" applyBorder="1" applyAlignment="1">
      <alignment horizontal="center" vertical="center"/>
    </xf>
    <xf numFmtId="0" fontId="29" fillId="9" borderId="3" xfId="0" applyFont="1" applyFill="1" applyBorder="1" applyAlignment="1">
      <alignment vertical="center" wrapText="1"/>
    </xf>
    <xf numFmtId="0" fontId="25" fillId="9" borderId="3" xfId="0" applyFont="1" applyFill="1" applyBorder="1" applyAlignment="1">
      <alignment horizontal="center" vertical="center"/>
    </xf>
    <xf numFmtId="0" fontId="25" fillId="9" borderId="3" xfId="0" applyFont="1" applyFill="1" applyBorder="1" applyAlignment="1">
      <alignment horizontal="center" vertical="center" wrapText="1"/>
    </xf>
    <xf numFmtId="3" fontId="25" fillId="9" borderId="3" xfId="0" applyNumberFormat="1" applyFont="1" applyFill="1" applyBorder="1" applyAlignment="1">
      <alignment horizontal="center" vertical="center"/>
    </xf>
    <xf numFmtId="0" fontId="31" fillId="9" borderId="3" xfId="0" applyFont="1" applyFill="1" applyBorder="1" applyAlignment="1">
      <alignment horizontal="center" vertical="center"/>
    </xf>
    <xf numFmtId="0" fontId="38" fillId="9" borderId="3" xfId="0" applyFont="1" applyFill="1" applyBorder="1" applyAlignment="1">
      <alignment horizontal="center" vertical="center"/>
    </xf>
    <xf numFmtId="0" fontId="23" fillId="9" borderId="2" xfId="0" applyFont="1" applyFill="1" applyBorder="1" applyAlignment="1">
      <alignment horizontal="center" vertical="center"/>
    </xf>
    <xf numFmtId="0" fontId="23" fillId="9" borderId="11" xfId="0" applyFont="1" applyFill="1" applyBorder="1" applyAlignment="1">
      <alignment horizontal="center" vertical="center"/>
    </xf>
    <xf numFmtId="0" fontId="23" fillId="9" borderId="10" xfId="0" applyFont="1" applyFill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 wrapText="1"/>
    </xf>
    <xf numFmtId="0" fontId="18" fillId="9" borderId="11" xfId="0" applyFont="1" applyFill="1" applyBorder="1" applyAlignment="1">
      <alignment horizontal="center" vertical="center"/>
    </xf>
    <xf numFmtId="0" fontId="18" fillId="9" borderId="10" xfId="0" applyFont="1" applyFill="1" applyBorder="1" applyAlignment="1">
      <alignment horizontal="center" vertical="center"/>
    </xf>
    <xf numFmtId="0" fontId="23" fillId="9" borderId="2" xfId="0" applyFont="1" applyFill="1" applyBorder="1" applyAlignment="1">
      <alignment horizontal="center" vertical="center" wrapText="1"/>
    </xf>
    <xf numFmtId="0" fontId="23" fillId="9" borderId="11" xfId="0" applyFont="1" applyFill="1" applyBorder="1" applyAlignment="1">
      <alignment horizontal="center" vertical="center" wrapText="1"/>
    </xf>
    <xf numFmtId="0" fontId="23" fillId="9" borderId="10" xfId="0" applyFont="1" applyFill="1" applyBorder="1" applyAlignment="1">
      <alignment horizontal="center" vertical="center" wrapText="1"/>
    </xf>
    <xf numFmtId="0" fontId="59" fillId="9" borderId="3" xfId="0" applyFont="1" applyFill="1" applyBorder="1" applyAlignment="1">
      <alignment vertical="center" wrapText="1"/>
    </xf>
    <xf numFmtId="0" fontId="0" fillId="10" borderId="3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 wrapText="1"/>
    </xf>
    <xf numFmtId="0" fontId="0" fillId="10" borderId="11" xfId="0" applyFill="1" applyBorder="1" applyAlignment="1">
      <alignment horizontal="center" vertical="center" wrapText="1"/>
    </xf>
    <xf numFmtId="0" fontId="0" fillId="10" borderId="10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23" fillId="9" borderId="2" xfId="0" applyFont="1" applyFill="1" applyBorder="1">
      <alignment vertical="center"/>
    </xf>
    <xf numFmtId="0" fontId="23" fillId="9" borderId="2" xfId="0" applyFont="1" applyFill="1" applyBorder="1" applyAlignment="1">
      <alignment vertical="center" wrapText="1"/>
    </xf>
    <xf numFmtId="0" fontId="0" fillId="9" borderId="64" xfId="0" applyFill="1" applyBorder="1" applyAlignment="1">
      <alignment horizontal="center" vertical="center"/>
    </xf>
    <xf numFmtId="0" fontId="24" fillId="9" borderId="37" xfId="0" applyFont="1" applyFill="1" applyBorder="1" applyAlignment="1">
      <alignment horizontal="center" vertical="center"/>
    </xf>
    <xf numFmtId="0" fontId="24" fillId="9" borderId="38" xfId="0" applyFont="1" applyFill="1" applyBorder="1" applyAlignment="1">
      <alignment horizontal="center" vertical="center"/>
    </xf>
    <xf numFmtId="0" fontId="24" fillId="9" borderId="39" xfId="0" applyFont="1" applyFill="1" applyBorder="1" applyAlignment="1">
      <alignment horizontal="center" vertical="center"/>
    </xf>
    <xf numFmtId="0" fontId="24" fillId="9" borderId="68" xfId="0" applyFont="1" applyFill="1" applyBorder="1" applyAlignment="1">
      <alignment horizontal="center" vertical="center"/>
    </xf>
    <xf numFmtId="0" fontId="24" fillId="9" borderId="14" xfId="0" applyFont="1" applyFill="1" applyBorder="1" applyAlignment="1">
      <alignment horizontal="center" vertical="center"/>
    </xf>
    <xf numFmtId="0" fontId="24" fillId="9" borderId="70" xfId="0" applyFont="1" applyFill="1" applyBorder="1" applyAlignment="1">
      <alignment horizontal="center" vertical="center"/>
    </xf>
    <xf numFmtId="0" fontId="23" fillId="9" borderId="68" xfId="0" applyFont="1" applyFill="1" applyBorder="1" applyAlignment="1">
      <alignment horizontal="center" vertical="center"/>
    </xf>
    <xf numFmtId="0" fontId="23" fillId="9" borderId="14" xfId="0" applyFont="1" applyFill="1" applyBorder="1" applyAlignment="1">
      <alignment horizontal="center" vertical="center"/>
    </xf>
    <xf numFmtId="0" fontId="23" fillId="9" borderId="70" xfId="0" applyFont="1" applyFill="1" applyBorder="1" applyAlignment="1">
      <alignment horizontal="center" vertical="center"/>
    </xf>
    <xf numFmtId="0" fontId="24" fillId="9" borderId="2" xfId="0" applyFont="1" applyFill="1" applyBorder="1" applyAlignment="1">
      <alignment horizontal="center" vertical="center" wrapText="1"/>
    </xf>
    <xf numFmtId="0" fontId="24" fillId="9" borderId="11" xfId="0" applyFont="1" applyFill="1" applyBorder="1" applyAlignment="1">
      <alignment horizontal="center" vertical="center" wrapText="1"/>
    </xf>
    <xf numFmtId="0" fontId="24" fillId="9" borderId="10" xfId="0" applyFont="1" applyFill="1" applyBorder="1" applyAlignment="1">
      <alignment horizontal="center" vertical="center" wrapText="1"/>
    </xf>
    <xf numFmtId="0" fontId="25" fillId="9" borderId="37" xfId="0" applyFont="1" applyFill="1" applyBorder="1" applyAlignment="1">
      <alignment horizontal="center" vertical="center"/>
    </xf>
    <xf numFmtId="0" fontId="25" fillId="9" borderId="38" xfId="0" applyFont="1" applyFill="1" applyBorder="1" applyAlignment="1">
      <alignment horizontal="center" vertical="center"/>
    </xf>
    <xf numFmtId="0" fontId="25" fillId="9" borderId="39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 wrapText="1"/>
    </xf>
    <xf numFmtId="0" fontId="25" fillId="9" borderId="13" xfId="0" applyFont="1" applyFill="1" applyBorder="1" applyAlignment="1">
      <alignment horizontal="center" vertical="center" wrapText="1"/>
    </xf>
    <xf numFmtId="0" fontId="25" fillId="9" borderId="36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center" vertical="center"/>
    </xf>
    <xf numFmtId="0" fontId="25" fillId="9" borderId="13" xfId="0" applyFont="1" applyFill="1" applyBorder="1" applyAlignment="1">
      <alignment horizontal="center" vertical="center"/>
    </xf>
    <xf numFmtId="0" fontId="25" fillId="9" borderId="36" xfId="0" applyFont="1" applyFill="1" applyBorder="1" applyAlignment="1">
      <alignment horizontal="center" vertical="center"/>
    </xf>
    <xf numFmtId="3" fontId="25" fillId="9" borderId="1" xfId="0" applyNumberFormat="1" applyFont="1" applyFill="1" applyBorder="1" applyAlignment="1">
      <alignment horizontal="center" vertical="center"/>
    </xf>
    <xf numFmtId="3" fontId="25" fillId="9" borderId="13" xfId="0" applyNumberFormat="1" applyFont="1" applyFill="1" applyBorder="1" applyAlignment="1">
      <alignment horizontal="center" vertical="center"/>
    </xf>
    <xf numFmtId="3" fontId="25" fillId="9" borderId="36" xfId="0" applyNumberFormat="1" applyFont="1" applyFill="1" applyBorder="1" applyAlignment="1">
      <alignment horizontal="center" vertical="center"/>
    </xf>
    <xf numFmtId="0" fontId="31" fillId="9" borderId="68" xfId="0" applyFont="1" applyFill="1" applyBorder="1" applyAlignment="1">
      <alignment horizontal="center" vertical="center"/>
    </xf>
    <xf numFmtId="0" fontId="31" fillId="9" borderId="14" xfId="0" applyFont="1" applyFill="1" applyBorder="1" applyAlignment="1">
      <alignment horizontal="center" vertical="center"/>
    </xf>
    <xf numFmtId="0" fontId="31" fillId="9" borderId="70" xfId="0" applyFont="1" applyFill="1" applyBorder="1" applyAlignment="1">
      <alignment horizontal="center" vertical="center"/>
    </xf>
    <xf numFmtId="0" fontId="23" fillId="9" borderId="3" xfId="0" quotePrefix="1" applyFont="1" applyFill="1" applyBorder="1" applyAlignment="1">
      <alignment horizontal="center" vertical="center" wrapText="1"/>
    </xf>
    <xf numFmtId="0" fontId="23" fillId="9" borderId="11" xfId="0" applyFont="1" applyFill="1" applyBorder="1" applyAlignment="1">
      <alignment vertical="center" wrapText="1"/>
    </xf>
    <xf numFmtId="0" fontId="23" fillId="9" borderId="10" xfId="0" applyFont="1" applyFill="1" applyBorder="1" applyAlignment="1">
      <alignment vertical="center" wrapText="1"/>
    </xf>
    <xf numFmtId="0" fontId="0" fillId="15" borderId="3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41" fontId="0" fillId="9" borderId="3" xfId="0" applyNumberFormat="1" applyFill="1" applyBorder="1" applyAlignment="1">
      <alignment horizontal="right" vertical="center"/>
    </xf>
    <xf numFmtId="0" fontId="29" fillId="9" borderId="3" xfId="0" applyFont="1" applyFill="1" applyBorder="1" applyAlignment="1">
      <alignment horizontal="center" vertical="center" wrapText="1"/>
    </xf>
    <xf numFmtId="0" fontId="64" fillId="9" borderId="3" xfId="0" applyFont="1" applyFill="1" applyBorder="1" applyAlignment="1">
      <alignment horizontal="center" vertical="center"/>
    </xf>
    <xf numFmtId="0" fontId="79" fillId="9" borderId="3" xfId="0" applyFont="1" applyFill="1" applyBorder="1" applyAlignment="1">
      <alignment horizontal="center" vertical="center" wrapText="1"/>
    </xf>
    <xf numFmtId="0" fontId="18" fillId="9" borderId="3" xfId="0" applyFont="1" applyFill="1" applyBorder="1" applyAlignment="1">
      <alignment vertical="center" wrapText="1"/>
    </xf>
    <xf numFmtId="0" fontId="61" fillId="9" borderId="3" xfId="0" applyFont="1" applyFill="1" applyBorder="1" applyAlignment="1">
      <alignment horizontal="center" vertical="center"/>
    </xf>
    <xf numFmtId="0" fontId="75" fillId="9" borderId="3" xfId="0" applyFont="1" applyFill="1" applyBorder="1" applyAlignment="1">
      <alignment horizontal="center" vertical="center" readingOrder="1"/>
    </xf>
    <xf numFmtId="0" fontId="76" fillId="9" borderId="3" xfId="0" applyFont="1" applyFill="1" applyBorder="1" applyAlignment="1">
      <alignment horizontal="center" vertical="center" readingOrder="1"/>
    </xf>
    <xf numFmtId="0" fontId="57" fillId="9" borderId="3" xfId="0" applyFont="1" applyFill="1" applyBorder="1" applyAlignment="1">
      <alignment horizontal="center" vertical="center" readingOrder="1"/>
    </xf>
    <xf numFmtId="0" fontId="78" fillId="9" borderId="3" xfId="0" applyFont="1" applyFill="1" applyBorder="1" applyAlignment="1">
      <alignment horizontal="center" vertical="center" readingOrder="1"/>
    </xf>
    <xf numFmtId="0" fontId="77" fillId="9" borderId="3" xfId="0" applyFont="1" applyFill="1" applyBorder="1" applyAlignment="1">
      <alignment horizontal="center" vertical="center" wrapText="1" readingOrder="1"/>
    </xf>
    <xf numFmtId="0" fontId="25" fillId="9" borderId="2" xfId="0" applyFont="1" applyFill="1" applyBorder="1" applyAlignment="1">
      <alignment horizontal="center" vertical="center"/>
    </xf>
    <xf numFmtId="0" fontId="25" fillId="9" borderId="11" xfId="0" applyFont="1" applyFill="1" applyBorder="1" applyAlignment="1">
      <alignment horizontal="center" vertical="center"/>
    </xf>
    <xf numFmtId="0" fontId="25" fillId="9" borderId="10" xfId="0" applyFont="1" applyFill="1" applyBorder="1" applyAlignment="1">
      <alignment horizontal="center" vertical="center"/>
    </xf>
    <xf numFmtId="3" fontId="25" fillId="9" borderId="2" xfId="0" applyNumberFormat="1" applyFont="1" applyFill="1" applyBorder="1" applyAlignment="1">
      <alignment horizontal="center" vertical="center"/>
    </xf>
    <xf numFmtId="3" fontId="25" fillId="9" borderId="11" xfId="0" applyNumberFormat="1" applyFont="1" applyFill="1" applyBorder="1" applyAlignment="1">
      <alignment horizontal="center" vertical="center"/>
    </xf>
    <xf numFmtId="3" fontId="25" fillId="9" borderId="10" xfId="0" applyNumberFormat="1" applyFont="1" applyFill="1" applyBorder="1" applyAlignment="1">
      <alignment horizontal="center" vertical="center"/>
    </xf>
    <xf numFmtId="0" fontId="31" fillId="9" borderId="2" xfId="0" applyFont="1" applyFill="1" applyBorder="1" applyAlignment="1">
      <alignment horizontal="center" vertical="center"/>
    </xf>
    <xf numFmtId="0" fontId="31" fillId="9" borderId="11" xfId="0" applyFont="1" applyFill="1" applyBorder="1" applyAlignment="1">
      <alignment horizontal="center" vertical="center"/>
    </xf>
    <xf numFmtId="0" fontId="31" fillId="9" borderId="10" xfId="0" applyFont="1" applyFill="1" applyBorder="1" applyAlignment="1">
      <alignment horizontal="center" vertical="center"/>
    </xf>
    <xf numFmtId="0" fontId="27" fillId="9" borderId="3" xfId="0" applyFont="1" applyFill="1" applyBorder="1" applyAlignment="1">
      <alignment horizontal="center" vertical="center"/>
    </xf>
    <xf numFmtId="0" fontId="29" fillId="9" borderId="9" xfId="0" applyFont="1" applyFill="1" applyBorder="1" applyAlignment="1">
      <alignment vertical="center" wrapText="1"/>
    </xf>
    <xf numFmtId="0" fontId="0" fillId="9" borderId="16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9" borderId="36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 wrapText="1"/>
    </xf>
    <xf numFmtId="0" fontId="0" fillId="9" borderId="13" xfId="0" applyFill="1" applyBorder="1" applyAlignment="1">
      <alignment horizontal="center" vertical="center" wrapText="1"/>
    </xf>
    <xf numFmtId="0" fontId="0" fillId="9" borderId="20" xfId="0" applyFill="1" applyBorder="1" applyAlignment="1">
      <alignment horizontal="center" vertical="center" wrapText="1"/>
    </xf>
    <xf numFmtId="0" fontId="57" fillId="9" borderId="2" xfId="0" applyFont="1" applyFill="1" applyBorder="1" applyAlignment="1">
      <alignment horizontal="center" vertical="center"/>
    </xf>
    <xf numFmtId="0" fontId="57" fillId="9" borderId="11" xfId="0" applyFont="1" applyFill="1" applyBorder="1" applyAlignment="1">
      <alignment horizontal="center" vertical="center"/>
    </xf>
    <xf numFmtId="0" fontId="59" fillId="9" borderId="3" xfId="0" applyFont="1" applyFill="1" applyBorder="1" applyAlignment="1">
      <alignment horizontal="center" vertical="center"/>
    </xf>
    <xf numFmtId="0" fontId="57" fillId="9" borderId="3" xfId="0" applyFont="1" applyFill="1" applyBorder="1" applyAlignment="1">
      <alignment horizontal="center" vertical="center"/>
    </xf>
    <xf numFmtId="3" fontId="57" fillId="9" borderId="3" xfId="0" applyNumberFormat="1" applyFont="1" applyFill="1" applyBorder="1" applyAlignment="1">
      <alignment horizontal="center" vertical="center"/>
    </xf>
    <xf numFmtId="0" fontId="57" fillId="9" borderId="10" xfId="0" applyFont="1" applyFill="1" applyBorder="1" applyAlignment="1">
      <alignment horizontal="center" vertical="center" wrapText="1"/>
    </xf>
    <xf numFmtId="0" fontId="59" fillId="9" borderId="10" xfId="0" applyFont="1" applyFill="1" applyBorder="1" applyAlignment="1">
      <alignment horizontal="center" vertical="center"/>
    </xf>
    <xf numFmtId="0" fontId="57" fillId="9" borderId="10" xfId="0" applyFont="1" applyFill="1" applyBorder="1" applyAlignment="1">
      <alignment horizontal="center" vertical="center"/>
    </xf>
    <xf numFmtId="3" fontId="57" fillId="9" borderId="10" xfId="0" applyNumberFormat="1" applyFont="1" applyFill="1" applyBorder="1" applyAlignment="1">
      <alignment horizontal="center" vertical="center"/>
    </xf>
    <xf numFmtId="3" fontId="0" fillId="9" borderId="2" xfId="0" applyNumberFormat="1" applyFill="1" applyBorder="1" applyAlignment="1">
      <alignment horizontal="center" vertical="center"/>
    </xf>
    <xf numFmtId="0" fontId="23" fillId="9" borderId="21" xfId="0" applyFont="1" applyFill="1" applyBorder="1" applyAlignment="1">
      <alignment horizontal="center" vertical="center"/>
    </xf>
    <xf numFmtId="0" fontId="23" fillId="9" borderId="13" xfId="0" applyFont="1" applyFill="1" applyBorder="1" applyAlignment="1">
      <alignment horizontal="center" vertical="center"/>
    </xf>
    <xf numFmtId="0" fontId="23" fillId="9" borderId="36" xfId="0" applyFont="1" applyFill="1" applyBorder="1" applyAlignment="1">
      <alignment horizontal="center" vertical="center"/>
    </xf>
    <xf numFmtId="0" fontId="23" fillId="9" borderId="21" xfId="0" applyFont="1" applyFill="1" applyBorder="1">
      <alignment vertical="center"/>
    </xf>
    <xf numFmtId="0" fontId="23" fillId="9" borderId="13" xfId="0" applyFont="1" applyFill="1" applyBorder="1">
      <alignment vertical="center"/>
    </xf>
    <xf numFmtId="0" fontId="23" fillId="9" borderId="36" xfId="0" applyFont="1" applyFill="1" applyBorder="1">
      <alignment vertical="center"/>
    </xf>
    <xf numFmtId="0" fontId="23" fillId="2" borderId="2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9" borderId="0" xfId="0" applyFont="1" applyFill="1" applyAlignment="1">
      <alignment horizontal="center" vertical="center"/>
    </xf>
    <xf numFmtId="0" fontId="23" fillId="9" borderId="25" xfId="0" applyFont="1" applyFill="1" applyBorder="1" applyAlignment="1">
      <alignment horizontal="center" vertical="center"/>
    </xf>
    <xf numFmtId="0" fontId="23" fillId="9" borderId="22" xfId="0" applyFont="1" applyFill="1" applyBorder="1" applyAlignment="1">
      <alignment horizontal="center" vertical="center"/>
    </xf>
    <xf numFmtId="0" fontId="23" fillId="9" borderId="69" xfId="0" applyFont="1" applyFill="1" applyBorder="1" applyAlignment="1">
      <alignment horizontal="center" vertical="center"/>
    </xf>
    <xf numFmtId="0" fontId="23" fillId="9" borderId="68" xfId="0" applyFont="1" applyFill="1" applyBorder="1" applyAlignment="1">
      <alignment horizontal="center" vertical="center" wrapText="1"/>
    </xf>
    <xf numFmtId="0" fontId="23" fillId="9" borderId="14" xfId="0" applyFont="1" applyFill="1" applyBorder="1" applyAlignment="1">
      <alignment horizontal="center" vertical="center" wrapText="1"/>
    </xf>
    <xf numFmtId="0" fontId="23" fillId="9" borderId="70" xfId="0" applyFont="1" applyFill="1" applyBorder="1" applyAlignment="1">
      <alignment horizontal="center" vertical="center" wrapText="1"/>
    </xf>
    <xf numFmtId="0" fontId="23" fillId="9" borderId="7" xfId="0" applyFont="1" applyFill="1" applyBorder="1" applyAlignment="1">
      <alignment horizontal="center" vertical="center"/>
    </xf>
    <xf numFmtId="0" fontId="23" fillId="9" borderId="7" xfId="0" applyFont="1" applyFill="1" applyBorder="1">
      <alignment vertical="center"/>
    </xf>
    <xf numFmtId="0" fontId="23" fillId="9" borderId="53" xfId="0" applyFont="1" applyFill="1" applyBorder="1" applyAlignment="1">
      <alignment horizontal="center" vertical="center"/>
    </xf>
    <xf numFmtId="0" fontId="23" fillId="9" borderId="49" xfId="0" applyFont="1" applyFill="1" applyBorder="1" applyAlignment="1">
      <alignment horizontal="center" vertical="center"/>
    </xf>
    <xf numFmtId="0" fontId="23" fillId="9" borderId="56" xfId="0" applyFont="1" applyFill="1" applyBorder="1" applyAlignment="1">
      <alignment horizontal="center" vertical="center"/>
    </xf>
    <xf numFmtId="0" fontId="23" fillId="9" borderId="54" xfId="0" applyFont="1" applyFill="1" applyBorder="1">
      <alignment vertical="center"/>
    </xf>
    <xf numFmtId="0" fontId="23" fillId="9" borderId="48" xfId="0" applyFont="1" applyFill="1" applyBorder="1">
      <alignment vertical="center"/>
    </xf>
    <xf numFmtId="0" fontId="0" fillId="9" borderId="6" xfId="0" applyFill="1" applyBorder="1" applyAlignment="1">
      <alignment horizontal="center" vertical="center"/>
    </xf>
    <xf numFmtId="0" fontId="0" fillId="9" borderId="32" xfId="0" applyFill="1" applyBorder="1" applyAlignment="1">
      <alignment horizontal="center" vertical="center"/>
    </xf>
    <xf numFmtId="0" fontId="23" fillId="0" borderId="0" xfId="0" applyFont="1" applyAlignment="1">
      <alignment vertical="center" wrapText="1"/>
    </xf>
    <xf numFmtId="0" fontId="23" fillId="9" borderId="47" xfId="0" applyFont="1" applyFill="1" applyBorder="1">
      <alignment vertical="center"/>
    </xf>
    <xf numFmtId="0" fontId="23" fillId="9" borderId="0" xfId="0" applyFont="1" applyFill="1">
      <alignment vertical="center"/>
    </xf>
    <xf numFmtId="0" fontId="0" fillId="9" borderId="17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 wrapText="1"/>
    </xf>
    <xf numFmtId="0" fontId="0" fillId="11" borderId="11" xfId="0" applyFill="1" applyBorder="1" applyAlignment="1">
      <alignment horizontal="center" vertical="center" wrapText="1"/>
    </xf>
    <xf numFmtId="0" fontId="0" fillId="11" borderId="10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0" fontId="57" fillId="9" borderId="21" xfId="0" applyFont="1" applyFill="1" applyBorder="1">
      <alignment vertical="center"/>
    </xf>
    <xf numFmtId="0" fontId="57" fillId="9" borderId="13" xfId="0" applyFont="1" applyFill="1" applyBorder="1">
      <alignment vertical="center"/>
    </xf>
    <xf numFmtId="0" fontId="57" fillId="9" borderId="36" xfId="0" applyFont="1" applyFill="1" applyBorder="1">
      <alignment vertical="center"/>
    </xf>
    <xf numFmtId="0" fontId="57" fillId="10" borderId="21" xfId="0" applyFont="1" applyFill="1" applyBorder="1" applyAlignment="1">
      <alignment vertical="center" wrapText="1"/>
    </xf>
    <xf numFmtId="0" fontId="0" fillId="10" borderId="16" xfId="0" applyFill="1" applyBorder="1" applyAlignment="1">
      <alignment horizontal="center" vertical="center"/>
    </xf>
    <xf numFmtId="0" fontId="57" fillId="9" borderId="7" xfId="0" applyFont="1" applyFill="1" applyBorder="1">
      <alignment vertical="center"/>
    </xf>
    <xf numFmtId="0" fontId="57" fillId="9" borderId="36" xfId="0" applyFont="1" applyFill="1" applyBorder="1" applyAlignment="1">
      <alignment vertical="center" wrapText="1"/>
    </xf>
    <xf numFmtId="0" fontId="0" fillId="2" borderId="16" xfId="0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0" fontId="0" fillId="9" borderId="65" xfId="0" applyFill="1" applyBorder="1" applyAlignment="1">
      <alignment horizontal="center" vertical="center"/>
    </xf>
    <xf numFmtId="0" fontId="31" fillId="9" borderId="3" xfId="0" applyFont="1" applyFill="1" applyBorder="1" applyAlignment="1">
      <alignment horizontal="center" vertical="center" wrapText="1"/>
    </xf>
    <xf numFmtId="0" fontId="26" fillId="9" borderId="3" xfId="0" applyFont="1" applyFill="1" applyBorder="1" applyAlignment="1">
      <alignment horizontal="center" vertical="center" wrapText="1"/>
    </xf>
    <xf numFmtId="0" fontId="25" fillId="9" borderId="3" xfId="0" applyFont="1" applyFill="1" applyBorder="1" applyAlignment="1">
      <alignment vertical="center" wrapText="1"/>
    </xf>
    <xf numFmtId="0" fontId="0" fillId="9" borderId="9" xfId="0" applyFill="1" applyBorder="1" applyAlignment="1">
      <alignment horizontal="center" vertical="center"/>
    </xf>
    <xf numFmtId="0" fontId="66" fillId="7" borderId="3" xfId="0" applyFont="1" applyFill="1" applyBorder="1" applyAlignment="1">
      <alignment horizontal="center" vertical="center" wrapText="1"/>
    </xf>
    <xf numFmtId="0" fontId="0" fillId="9" borderId="45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0" fillId="9" borderId="61" xfId="0" applyFill="1" applyBorder="1" applyAlignment="1">
      <alignment horizontal="center" vertical="center"/>
    </xf>
    <xf numFmtId="0" fontId="0" fillId="9" borderId="62" xfId="0" applyFill="1" applyBorder="1" applyAlignment="1">
      <alignment horizontal="center" vertical="center"/>
    </xf>
    <xf numFmtId="0" fontId="0" fillId="9" borderId="63" xfId="0" applyFill="1" applyBorder="1" applyAlignment="1">
      <alignment horizontal="center" vertical="center"/>
    </xf>
    <xf numFmtId="0" fontId="23" fillId="9" borderId="53" xfId="0" applyFont="1" applyFill="1" applyBorder="1">
      <alignment vertical="center"/>
    </xf>
    <xf numFmtId="0" fontId="23" fillId="9" borderId="56" xfId="0" applyFont="1" applyFill="1" applyBorder="1">
      <alignment vertical="center"/>
    </xf>
    <xf numFmtId="0" fontId="0" fillId="9" borderId="59" xfId="0" applyFill="1" applyBorder="1" applyAlignment="1">
      <alignment horizontal="center" vertical="center"/>
    </xf>
    <xf numFmtId="0" fontId="23" fillId="9" borderId="49" xfId="0" applyFont="1" applyFill="1" applyBorder="1">
      <alignment vertical="center"/>
    </xf>
    <xf numFmtId="0" fontId="23" fillId="9" borderId="52" xfId="0" applyFont="1" applyFill="1" applyBorder="1">
      <alignment vertical="center"/>
    </xf>
    <xf numFmtId="0" fontId="23" fillId="9" borderId="13" xfId="0" applyFont="1" applyFill="1" applyBorder="1" applyAlignment="1">
      <alignment vertical="center" wrapText="1"/>
    </xf>
    <xf numFmtId="0" fontId="23" fillId="9" borderId="36" xfId="0" applyFont="1" applyFill="1" applyBorder="1" applyAlignment="1">
      <alignment vertical="center" wrapText="1"/>
    </xf>
    <xf numFmtId="0" fontId="23" fillId="9" borderId="21" xfId="0" applyFont="1" applyFill="1" applyBorder="1" applyAlignment="1">
      <alignment vertical="center" wrapText="1"/>
    </xf>
    <xf numFmtId="0" fontId="23" fillId="9" borderId="45" xfId="0" applyFont="1" applyFill="1" applyBorder="1" applyAlignment="1">
      <alignment horizontal="center" vertical="center"/>
    </xf>
    <xf numFmtId="0" fontId="23" fillId="9" borderId="42" xfId="0" applyFont="1" applyFill="1" applyBorder="1" applyAlignment="1">
      <alignment horizontal="center" vertical="center"/>
    </xf>
    <xf numFmtId="0" fontId="0" fillId="9" borderId="34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0" fillId="9" borderId="44" xfId="0" applyFill="1" applyBorder="1" applyAlignment="1">
      <alignment horizontal="center" vertical="center"/>
    </xf>
    <xf numFmtId="41" fontId="19" fillId="7" borderId="9" xfId="2" applyFont="1" applyFill="1" applyBorder="1" applyAlignment="1">
      <alignment horizontal="center" vertical="center" wrapText="1"/>
    </xf>
    <xf numFmtId="41" fontId="19" fillId="7" borderId="12" xfId="2" applyFont="1" applyFill="1" applyBorder="1" applyAlignment="1">
      <alignment horizontal="center" vertical="center" wrapText="1"/>
    </xf>
    <xf numFmtId="0" fontId="0" fillId="9" borderId="33" xfId="0" applyFill="1" applyBorder="1" applyAlignment="1">
      <alignment horizontal="center" vertical="center"/>
    </xf>
    <xf numFmtId="0" fontId="0" fillId="9" borderId="42" xfId="0" applyFill="1" applyBorder="1" applyAlignment="1">
      <alignment horizontal="center" vertical="center"/>
    </xf>
    <xf numFmtId="9" fontId="0" fillId="9" borderId="3" xfId="0" applyNumberForma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45" fillId="9" borderId="21" xfId="0" applyFont="1" applyFill="1" applyBorder="1" applyAlignment="1">
      <alignment vertical="center" readingOrder="1"/>
    </xf>
    <xf numFmtId="0" fontId="45" fillId="9" borderId="13" xfId="0" applyFont="1" applyFill="1" applyBorder="1" applyAlignment="1">
      <alignment vertical="center" readingOrder="1"/>
    </xf>
    <xf numFmtId="0" fontId="45" fillId="9" borderId="36" xfId="0" applyFont="1" applyFill="1" applyBorder="1" applyAlignment="1">
      <alignment vertical="center" readingOrder="1"/>
    </xf>
    <xf numFmtId="0" fontId="54" fillId="9" borderId="21" xfId="0" applyFont="1" applyFill="1" applyBorder="1" applyAlignment="1">
      <alignment vertical="center" readingOrder="1"/>
    </xf>
    <xf numFmtId="0" fontId="54" fillId="9" borderId="13" xfId="0" applyFont="1" applyFill="1" applyBorder="1" applyAlignment="1">
      <alignment vertical="center" readingOrder="1"/>
    </xf>
    <xf numFmtId="0" fontId="54" fillId="9" borderId="36" xfId="0" applyFont="1" applyFill="1" applyBorder="1" applyAlignment="1">
      <alignment vertical="center" readingOrder="1"/>
    </xf>
    <xf numFmtId="0" fontId="24" fillId="9" borderId="4" xfId="0" applyFont="1" applyFill="1" applyBorder="1" applyAlignment="1">
      <alignment horizontal="center" vertical="center" wrapText="1" readingOrder="1"/>
    </xf>
    <xf numFmtId="0" fontId="45" fillId="9" borderId="3" xfId="0" applyFont="1" applyFill="1" applyBorder="1" applyAlignment="1">
      <alignment horizontal="center" vertical="center" readingOrder="1"/>
    </xf>
    <xf numFmtId="0" fontId="0" fillId="11" borderId="11" xfId="0" applyFill="1" applyBorder="1" applyAlignment="1">
      <alignment horizontal="center" vertical="center"/>
    </xf>
    <xf numFmtId="0" fontId="47" fillId="9" borderId="21" xfId="0" applyFont="1" applyFill="1" applyBorder="1" applyAlignment="1">
      <alignment vertical="center" readingOrder="1"/>
    </xf>
    <xf numFmtId="0" fontId="47" fillId="9" borderId="13" xfId="0" applyFont="1" applyFill="1" applyBorder="1" applyAlignment="1">
      <alignment vertical="center" readingOrder="1"/>
    </xf>
    <xf numFmtId="0" fontId="47" fillId="9" borderId="36" xfId="0" applyFont="1" applyFill="1" applyBorder="1" applyAlignment="1">
      <alignment vertical="center" readingOrder="1"/>
    </xf>
    <xf numFmtId="9" fontId="45" fillId="9" borderId="3" xfId="0" applyNumberFormat="1" applyFont="1" applyFill="1" applyBorder="1" applyAlignment="1">
      <alignment vertical="center" readingOrder="1"/>
    </xf>
    <xf numFmtId="0" fontId="45" fillId="9" borderId="3" xfId="0" applyFont="1" applyFill="1" applyBorder="1" applyAlignment="1">
      <alignment vertical="center" readingOrder="1"/>
    </xf>
    <xf numFmtId="0" fontId="49" fillId="9" borderId="13" xfId="0" applyFont="1" applyFill="1" applyBorder="1" applyAlignment="1">
      <alignment vertical="center" wrapText="1" readingOrder="1"/>
    </xf>
    <xf numFmtId="0" fontId="49" fillId="9" borderId="36" xfId="0" applyFont="1" applyFill="1" applyBorder="1" applyAlignment="1">
      <alignment vertical="center" wrapText="1" readingOrder="1"/>
    </xf>
    <xf numFmtId="3" fontId="45" fillId="9" borderId="6" xfId="0" applyNumberFormat="1" applyFont="1" applyFill="1" applyBorder="1" applyAlignment="1">
      <alignment vertical="center" readingOrder="1"/>
    </xf>
    <xf numFmtId="0" fontId="45" fillId="9" borderId="6" xfId="0" applyFont="1" applyFill="1" applyBorder="1" applyAlignment="1">
      <alignment vertical="center" readingOrder="1"/>
    </xf>
    <xf numFmtId="0" fontId="45" fillId="9" borderId="40" xfId="0" applyFont="1" applyFill="1" applyBorder="1" applyAlignment="1">
      <alignment vertical="center" readingOrder="1"/>
    </xf>
    <xf numFmtId="0" fontId="47" fillId="9" borderId="22" xfId="0" applyFont="1" applyFill="1" applyBorder="1" applyAlignment="1">
      <alignment vertical="center" readingOrder="1"/>
    </xf>
    <xf numFmtId="0" fontId="0" fillId="9" borderId="37" xfId="0" applyFill="1" applyBorder="1" applyAlignment="1">
      <alignment horizontal="center" vertical="center" wrapText="1"/>
    </xf>
    <xf numFmtId="0" fontId="0" fillId="9" borderId="38" xfId="0" applyFill="1" applyBorder="1" applyAlignment="1">
      <alignment horizontal="center" vertical="center" wrapText="1"/>
    </xf>
    <xf numFmtId="0" fontId="0" fillId="9" borderId="39" xfId="0" applyFill="1" applyBorder="1" applyAlignment="1">
      <alignment horizontal="center" vertical="center" wrapText="1"/>
    </xf>
    <xf numFmtId="0" fontId="45" fillId="9" borderId="7" xfId="0" applyFont="1" applyFill="1" applyBorder="1" applyAlignment="1">
      <alignment vertical="center" readingOrder="1"/>
    </xf>
    <xf numFmtId="0" fontId="47" fillId="9" borderId="3" xfId="0" applyFont="1" applyFill="1" applyBorder="1" applyAlignment="1">
      <alignment horizontal="center" vertical="center" wrapText="1" readingOrder="1"/>
    </xf>
    <xf numFmtId="0" fontId="49" fillId="9" borderId="21" xfId="0" applyFont="1" applyFill="1" applyBorder="1" applyAlignment="1">
      <alignment vertical="center" wrapText="1" readingOrder="1"/>
    </xf>
    <xf numFmtId="0" fontId="57" fillId="12" borderId="3" xfId="0" applyFont="1" applyFill="1" applyBorder="1" applyAlignment="1">
      <alignment horizontal="center" vertical="center" wrapText="1"/>
    </xf>
    <xf numFmtId="0" fontId="47" fillId="9" borderId="3" xfId="0" applyFont="1" applyFill="1" applyBorder="1" applyAlignment="1">
      <alignment vertical="center" wrapText="1" readingOrder="1"/>
    </xf>
    <xf numFmtId="0" fontId="44" fillId="10" borderId="3" xfId="0" applyFont="1" applyFill="1" applyBorder="1" applyAlignment="1">
      <alignment vertical="center" wrapText="1" readingOrder="1"/>
    </xf>
    <xf numFmtId="0" fontId="47" fillId="9" borderId="35" xfId="0" applyFont="1" applyFill="1" applyBorder="1" applyAlignment="1">
      <alignment vertical="center" readingOrder="1"/>
    </xf>
    <xf numFmtId="0" fontId="44" fillId="9" borderId="21" xfId="0" applyFont="1" applyFill="1" applyBorder="1" applyAlignment="1">
      <alignment vertical="center" readingOrder="1"/>
    </xf>
    <xf numFmtId="0" fontId="0" fillId="9" borderId="2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9" borderId="32" xfId="0" applyFill="1" applyBorder="1" applyAlignment="1">
      <alignment horizontal="center" vertical="center" wrapText="1"/>
    </xf>
    <xf numFmtId="0" fontId="62" fillId="9" borderId="3" xfId="0" applyFont="1" applyFill="1" applyBorder="1" applyAlignment="1">
      <alignment horizontal="center" vertical="center" wrapText="1"/>
    </xf>
    <xf numFmtId="0" fontId="62" fillId="9" borderId="2" xfId="0" applyFont="1" applyFill="1" applyBorder="1" applyAlignment="1">
      <alignment horizontal="center" vertical="center" wrapText="1"/>
    </xf>
    <xf numFmtId="0" fontId="64" fillId="9" borderId="2" xfId="0" applyFont="1" applyFill="1" applyBorder="1" applyAlignment="1">
      <alignment horizontal="center" vertical="center"/>
    </xf>
    <xf numFmtId="3" fontId="63" fillId="9" borderId="3" xfId="0" applyNumberFormat="1" applyFont="1" applyFill="1" applyBorder="1" applyAlignment="1">
      <alignment horizontal="center" vertical="center"/>
    </xf>
    <xf numFmtId="3" fontId="63" fillId="9" borderId="2" xfId="0" applyNumberFormat="1" applyFont="1" applyFill="1" applyBorder="1" applyAlignment="1">
      <alignment horizontal="center" vertical="center"/>
    </xf>
    <xf numFmtId="0" fontId="23" fillId="9" borderId="9" xfId="0" applyFont="1" applyFill="1" applyBorder="1" applyAlignment="1">
      <alignment horizontal="center" vertical="center" wrapText="1"/>
    </xf>
    <xf numFmtId="0" fontId="23" fillId="9" borderId="30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/>
    </xf>
    <xf numFmtId="3" fontId="23" fillId="9" borderId="1" xfId="0" applyNumberFormat="1" applyFon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57" fillId="9" borderId="2" xfId="0" applyFont="1" applyFill="1" applyBorder="1">
      <alignment vertical="center"/>
    </xf>
    <xf numFmtId="3" fontId="57" fillId="9" borderId="2" xfId="0" applyNumberFormat="1" applyFont="1" applyFill="1" applyBorder="1">
      <alignment vertical="center"/>
    </xf>
    <xf numFmtId="0" fontId="57" fillId="9" borderId="2" xfId="0" applyFont="1" applyFill="1" applyBorder="1" applyAlignment="1">
      <alignment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41" fontId="19" fillId="7" borderId="2" xfId="2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5" fillId="10" borderId="2" xfId="0" applyFont="1" applyFill="1" applyBorder="1" applyAlignment="1">
      <alignment horizontal="center" vertical="center" readingOrder="1"/>
    </xf>
    <xf numFmtId="0" fontId="56" fillId="10" borderId="2" xfId="0" applyFont="1" applyFill="1" applyBorder="1" applyAlignment="1">
      <alignment horizontal="center" vertical="center" readingOrder="1"/>
    </xf>
    <xf numFmtId="0" fontId="47" fillId="9" borderId="3" xfId="0" applyFont="1" applyFill="1" applyBorder="1" applyAlignment="1">
      <alignment horizontal="center" vertical="center" readingOrder="1"/>
    </xf>
    <xf numFmtId="0" fontId="45" fillId="9" borderId="13" xfId="0" applyFont="1" applyFill="1" applyBorder="1" applyAlignment="1">
      <alignment horizontal="center" vertical="center" wrapText="1" readingOrder="1"/>
    </xf>
    <xf numFmtId="9" fontId="45" fillId="9" borderId="13" xfId="0" applyNumberFormat="1" applyFont="1" applyFill="1" applyBorder="1" applyAlignment="1">
      <alignment horizontal="center" vertical="center" readingOrder="1"/>
    </xf>
    <xf numFmtId="0" fontId="45" fillId="9" borderId="14" xfId="0" applyFont="1" applyFill="1" applyBorder="1" applyAlignment="1">
      <alignment horizontal="center" vertical="center" wrapText="1" readingOrder="1"/>
    </xf>
    <xf numFmtId="0" fontId="47" fillId="9" borderId="2" xfId="0" applyFont="1" applyFill="1" applyBorder="1" applyAlignment="1">
      <alignment horizontal="center" vertical="center" readingOrder="1"/>
    </xf>
    <xf numFmtId="0" fontId="45" fillId="9" borderId="2" xfId="0" applyFont="1" applyFill="1" applyBorder="1" applyAlignment="1">
      <alignment horizontal="center" vertical="center" readingOrder="1"/>
    </xf>
    <xf numFmtId="0" fontId="49" fillId="9" borderId="2" xfId="0" applyFont="1" applyFill="1" applyBorder="1" applyAlignment="1">
      <alignment horizontal="center" vertical="center" readingOrder="1"/>
    </xf>
    <xf numFmtId="0" fontId="45" fillId="9" borderId="2" xfId="0" applyFont="1" applyFill="1" applyBorder="1" applyAlignment="1">
      <alignment horizontal="center" vertical="center" wrapText="1" readingOrder="1"/>
    </xf>
    <xf numFmtId="0" fontId="53" fillId="9" borderId="2" xfId="4" applyFont="1" applyFill="1" applyBorder="1" applyAlignment="1">
      <alignment horizontal="center" vertical="center" wrapText="1"/>
    </xf>
    <xf numFmtId="0" fontId="49" fillId="9" borderId="3" xfId="0" applyFont="1" applyFill="1" applyBorder="1" applyAlignment="1">
      <alignment horizontal="center" vertical="center" wrapText="1" readingOrder="1"/>
    </xf>
    <xf numFmtId="9" fontId="45" fillId="9" borderId="3" xfId="3" applyFont="1" applyFill="1" applyBorder="1" applyAlignment="1">
      <alignment horizontal="center" vertical="center" readingOrder="1"/>
    </xf>
    <xf numFmtId="49" fontId="44" fillId="9" borderId="2" xfId="0" applyNumberFormat="1" applyFont="1" applyFill="1" applyBorder="1" applyAlignment="1">
      <alignment horizontal="center" vertical="center" wrapText="1" readingOrder="1"/>
    </xf>
    <xf numFmtId="0" fontId="51" fillId="9" borderId="3" xfId="0" applyFont="1" applyFill="1" applyBorder="1">
      <alignment vertical="center"/>
    </xf>
    <xf numFmtId="0" fontId="44" fillId="9" borderId="2" xfId="0" applyFont="1" applyFill="1" applyBorder="1" applyAlignment="1">
      <alignment horizontal="center" vertical="center" readingOrder="1"/>
    </xf>
    <xf numFmtId="0" fontId="47" fillId="9" borderId="11" xfId="0" applyFont="1" applyFill="1" applyBorder="1" applyAlignment="1">
      <alignment horizontal="center" vertical="center" wrapText="1" readingOrder="1"/>
    </xf>
    <xf numFmtId="0" fontId="42" fillId="9" borderId="3" xfId="0" applyFont="1" applyFill="1" applyBorder="1" applyAlignment="1">
      <alignment horizontal="center" vertical="center" readingOrder="1"/>
    </xf>
    <xf numFmtId="0" fontId="44" fillId="9" borderId="3" xfId="0" applyFont="1" applyFill="1" applyBorder="1" applyAlignment="1">
      <alignment horizontal="center" vertical="center" readingOrder="1"/>
    </xf>
    <xf numFmtId="0" fontId="50" fillId="9" borderId="3" xfId="0" applyFont="1" applyFill="1" applyBorder="1" applyAlignment="1">
      <alignment horizontal="center" vertical="center" readingOrder="1"/>
    </xf>
    <xf numFmtId="0" fontId="27" fillId="9" borderId="3" xfId="0" applyFont="1" applyFill="1" applyBorder="1">
      <alignment vertical="center"/>
    </xf>
    <xf numFmtId="0" fontId="27" fillId="9" borderId="3" xfId="0" applyFont="1" applyFill="1" applyBorder="1" applyAlignment="1">
      <alignment vertical="center" wrapText="1"/>
    </xf>
    <xf numFmtId="0" fontId="27" fillId="9" borderId="3" xfId="0" applyFont="1" applyFill="1" applyBorder="1" applyAlignment="1">
      <alignment horizontal="center" vertical="center" wrapText="1"/>
    </xf>
    <xf numFmtId="0" fontId="28" fillId="9" borderId="3" xfId="0" applyFont="1" applyFill="1" applyBorder="1" applyAlignment="1">
      <alignment vertical="center" wrapText="1"/>
    </xf>
    <xf numFmtId="0" fontId="27" fillId="9" borderId="3" xfId="0" quotePrefix="1" applyFont="1" applyFill="1" applyBorder="1" applyAlignment="1">
      <alignment vertical="center" wrapText="1"/>
    </xf>
    <xf numFmtId="0" fontId="32" fillId="9" borderId="3" xfId="0" applyFont="1" applyFill="1" applyBorder="1" applyAlignment="1">
      <alignment vertical="center" wrapText="1"/>
    </xf>
    <xf numFmtId="41" fontId="25" fillId="9" borderId="3" xfId="0" applyNumberFormat="1" applyFont="1" applyFill="1" applyBorder="1" applyAlignment="1">
      <alignment horizontal="center" vertical="center"/>
    </xf>
    <xf numFmtId="41" fontId="0" fillId="9" borderId="10" xfId="0" applyNumberFormat="1" applyFill="1" applyBorder="1" applyAlignment="1">
      <alignment horizontal="right" vertical="center"/>
    </xf>
    <xf numFmtId="41" fontId="0" fillId="9" borderId="3" xfId="0" applyNumberFormat="1" applyFill="1" applyBorder="1" applyAlignment="1">
      <alignment horizontal="right" vertical="center" wrapText="1"/>
    </xf>
    <xf numFmtId="0" fontId="27" fillId="9" borderId="1" xfId="0" applyFont="1" applyFill="1" applyBorder="1" applyAlignment="1">
      <alignment horizontal="center" vertical="center"/>
    </xf>
    <xf numFmtId="0" fontId="29" fillId="9" borderId="6" xfId="0" applyFont="1" applyFill="1" applyBorder="1" applyAlignment="1">
      <alignment vertical="center" wrapText="1"/>
    </xf>
  </cellXfs>
  <cellStyles count="9">
    <cellStyle name="Hyperlink" xfId="8" xr:uid="{63BDE560-9ACE-42F2-81E0-44D41F5CD276}"/>
    <cellStyle name="백분율 2" xfId="3" xr:uid="{F4B17DC2-3155-43F0-BBDC-2483A8489D3A}"/>
    <cellStyle name="쉼표 [0] 2" xfId="2" xr:uid="{51C52FE8-A273-4855-B194-371E069044EF}"/>
    <cellStyle name="표준" xfId="0" builtinId="0"/>
    <cellStyle name="표준 103" xfId="6" xr:uid="{95697591-DFDA-4A2C-8979-9901581BFBEE}"/>
    <cellStyle name="표준 2" xfId="1" xr:uid="{AF3A4C4D-C05A-40E0-92D7-158536563BA2}"/>
    <cellStyle name="표준 3" xfId="5" xr:uid="{01DD2E20-4737-4D38-A4F8-70016B3C59D1}"/>
    <cellStyle name="표준 42" xfId="4" xr:uid="{C3DD80D6-61D6-405E-AF2D-D253A051182D}"/>
    <cellStyle name="표준 94 3" xfId="7" xr:uid="{BA779246-AFF9-46A4-9120-0F33F2DEB313}"/>
  </cellStyles>
  <dxfs count="215"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342900</xdr:colOff>
      <xdr:row>15</xdr:row>
      <xdr:rowOff>152400</xdr:rowOff>
    </xdr:from>
    <xdr:to>
      <xdr:col>22</xdr:col>
      <xdr:colOff>611506</xdr:colOff>
      <xdr:row>27</xdr:row>
      <xdr:rowOff>104255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DD00E61-8ECF-4905-9B2E-633AD6162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25700" y="3362325"/>
          <a:ext cx="7517131" cy="25331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sg/Downloads/&#9679;&#49888;&#49464;&#44228;-24&#45380;%205&#50900;%202&#51452;&#52264;V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nsegaegroup-my.sharepoint.com/&#54200;&#49457;&#54016;/&#51204;&#54872;&#50984;/&#50500;&#51060;&#53596;&#44288;&#47532;/&#50500;&#51060;&#53596;&#44288;&#47532;V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카테고리"/>
      <sheetName val="신양식"/>
      <sheetName val="보고용_비중"/>
      <sheetName val="인덱스"/>
      <sheetName val="보고용"/>
      <sheetName val="보고용_송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m.shinsegaetvshopping.com/plan/detail/2024099214" TargetMode="External"/><Relationship Id="rId18" Type="http://schemas.openxmlformats.org/officeDocument/2006/relationships/hyperlink" Target="https://m.shinsegaetvshopping.com/plan/detail/202309013183" TargetMode="External"/><Relationship Id="rId26" Type="http://schemas.openxmlformats.org/officeDocument/2006/relationships/hyperlink" Target="https://www.shinsegaetvshopping.com/deal/detail/202311024280" TargetMode="External"/><Relationship Id="rId39" Type="http://schemas.openxmlformats.org/officeDocument/2006/relationships/hyperlink" Target="https://m.shinsegaetvshopping.com/plan/detail/2024089095" TargetMode="External"/><Relationship Id="rId21" Type="http://schemas.openxmlformats.org/officeDocument/2006/relationships/hyperlink" Target="https://www.shinsegaetvshopping.com/deal/detail/202401316257" TargetMode="External"/><Relationship Id="rId34" Type="http://schemas.openxmlformats.org/officeDocument/2006/relationships/hyperlink" Target="https://www.shinsegaetvshopping.com/plan/detail/2024099264" TargetMode="External"/><Relationship Id="rId42" Type="http://schemas.openxmlformats.org/officeDocument/2006/relationships/vmlDrawing" Target="../drawings/vmlDrawing1.vml"/><Relationship Id="rId7" Type="http://schemas.openxmlformats.org/officeDocument/2006/relationships/hyperlink" Target="https://m.shinsegaetvshopping.com/plan/detail/2024099264" TargetMode="External"/><Relationship Id="rId2" Type="http://schemas.openxmlformats.org/officeDocument/2006/relationships/hyperlink" Target="https://m.shinsegaetvshopping.com/plan/detail/2024099124" TargetMode="External"/><Relationship Id="rId16" Type="http://schemas.openxmlformats.org/officeDocument/2006/relationships/hyperlink" Target="https://m.shinsegaetvshopping.com/plan/detail/2024119395" TargetMode="External"/><Relationship Id="rId20" Type="http://schemas.openxmlformats.org/officeDocument/2006/relationships/hyperlink" Target="https://m.shinsegaetvshopping.com/plan/detail/" TargetMode="External"/><Relationship Id="rId29" Type="http://schemas.openxmlformats.org/officeDocument/2006/relationships/hyperlink" Target="http://m.shinsegaetvshopping.com/fs/shop?viewType&amp;linkCode=241100126" TargetMode="External"/><Relationship Id="rId41" Type="http://schemas.openxmlformats.org/officeDocument/2006/relationships/hyperlink" Target="https://www.shinsegaetvshopping.com/plan/detail/202502042294" TargetMode="External"/><Relationship Id="rId1" Type="http://schemas.openxmlformats.org/officeDocument/2006/relationships/hyperlink" Target="https://m.shinsegaetvshopping.com/plan/detail/2022033252" TargetMode="External"/><Relationship Id="rId6" Type="http://schemas.openxmlformats.org/officeDocument/2006/relationships/hyperlink" Target="https://m.shinsegaetvshopping.com/plan/detail/2024099271" TargetMode="External"/><Relationship Id="rId11" Type="http://schemas.openxmlformats.org/officeDocument/2006/relationships/hyperlink" Target="https://m.shinsegaetvshopping.com/plan/detail/2024027790" TargetMode="External"/><Relationship Id="rId24" Type="http://schemas.openxmlformats.org/officeDocument/2006/relationships/hyperlink" Target="https://www.shinsegaetvshopping.com/display/detail/30068625?srchwdRslt=44702727&amp;trackSearchType=pc_normal&amp;trackCurationType=c_search_normal&amp;prePg=goods-search_search&amp;pgArea=searchlist-products&amp;listNum=&amp;odd=n" TargetMode="External"/><Relationship Id="rId32" Type="http://schemas.openxmlformats.org/officeDocument/2006/relationships/hyperlink" Target="https://www.shinsegaetvshopping.com/plan/detail/2024129532" TargetMode="External"/><Relationship Id="rId37" Type="http://schemas.openxmlformats.org/officeDocument/2006/relationships/hyperlink" Target="https://www.shinsegaetvshopping.com/plan/detail/2024099265" TargetMode="External"/><Relationship Id="rId40" Type="http://schemas.openxmlformats.org/officeDocument/2006/relationships/hyperlink" Target="https://www.shinsegaetvshopping.com/plan/detail/2024038055" TargetMode="External"/><Relationship Id="rId5" Type="http://schemas.openxmlformats.org/officeDocument/2006/relationships/hyperlink" Target="https://m.shinsegaetvshopping.com/plan/detail/2024099190" TargetMode="External"/><Relationship Id="rId15" Type="http://schemas.openxmlformats.org/officeDocument/2006/relationships/hyperlink" Target="https://m.shinsegaetvshopping.com/plan/detail/2024058585" TargetMode="External"/><Relationship Id="rId23" Type="http://schemas.openxmlformats.org/officeDocument/2006/relationships/hyperlink" Target="https://www.shinsegaetvshopping.com/display/detail/44702727?srchwdRslt=44702727&amp;trackSearchType=pc_normal&amp;trackCurationType=c_search_normal&amp;prePg=goods-search_search&amp;pgArea=searchlist-products&amp;listNum=&amp;odd=n" TargetMode="External"/><Relationship Id="rId28" Type="http://schemas.openxmlformats.org/officeDocument/2006/relationships/hyperlink" Target="https://www.shinsegaetvshopping.com/goods-search/search?searchKeyword=%EB%B1%85%EB%B1%85&amp;trackSearchType=pc_normal" TargetMode="External"/><Relationship Id="rId36" Type="http://schemas.openxmlformats.org/officeDocument/2006/relationships/hyperlink" Target="https://www.shinsegaetvshopping.com/goods-search/search?searchKeyword=%EB%A5%B4%EC%83%B5&amp;trackSearchType=pc_normal" TargetMode="External"/><Relationship Id="rId10" Type="http://schemas.openxmlformats.org/officeDocument/2006/relationships/hyperlink" Target="https://m.shinsegaetvshopping.com/plan/detail/2024058386" TargetMode="External"/><Relationship Id="rId19" Type="http://schemas.openxmlformats.org/officeDocument/2006/relationships/hyperlink" Target="https://m.shinsegaetvshopping.com/plan/detail/202402236731" TargetMode="External"/><Relationship Id="rId31" Type="http://schemas.openxmlformats.org/officeDocument/2006/relationships/hyperlink" Target="http://m.shinsegaetvshopping.com/fs/shop?viewType&amp;linkCode=241000098" TargetMode="External"/><Relationship Id="rId4" Type="http://schemas.openxmlformats.org/officeDocument/2006/relationships/hyperlink" Target="https://www.dlm1947.com/main/index.php" TargetMode="External"/><Relationship Id="rId9" Type="http://schemas.openxmlformats.org/officeDocument/2006/relationships/hyperlink" Target="https://m.shinsegaetvshopping.com/plan/detail/2024058386" TargetMode="External"/><Relationship Id="rId14" Type="http://schemas.openxmlformats.org/officeDocument/2006/relationships/hyperlink" Target="https://m.shinsegaetvshopping.com/plan/detail/2024119379" TargetMode="External"/><Relationship Id="rId22" Type="http://schemas.openxmlformats.org/officeDocument/2006/relationships/hyperlink" Target="https://www.shinsegaetvshopping.com/deal/detail/202303149184" TargetMode="External"/><Relationship Id="rId27" Type="http://schemas.openxmlformats.org/officeDocument/2006/relationships/hyperlink" Target="https://www.shinsegaetvshopping.com/display/detail/44702727?srchwdRslt=44702727&amp;trackSearchType=pc_normal&amp;trackCurationType=c_search_normal&amp;prePg=goods-search_search&amp;pgArea=searchlist-products&amp;listNum=&amp;odd=n" TargetMode="External"/><Relationship Id="rId30" Type="http://schemas.openxmlformats.org/officeDocument/2006/relationships/hyperlink" Target="https://www.shinsegaetvshopping.com/plan/detail/2024109314" TargetMode="External"/><Relationship Id="rId35" Type="http://schemas.openxmlformats.org/officeDocument/2006/relationships/hyperlink" Target="http://m.shinsegaetvshopping.com/fs/shop?viewType&amp;linkCode=241100111" TargetMode="External"/><Relationship Id="rId43" Type="http://schemas.openxmlformats.org/officeDocument/2006/relationships/comments" Target="../comments1.xml"/><Relationship Id="rId8" Type="http://schemas.openxmlformats.org/officeDocument/2006/relationships/hyperlink" Target="https://m.shinsegaetvshopping.com/plan/detail/2024099216" TargetMode="External"/><Relationship Id="rId3" Type="http://schemas.openxmlformats.org/officeDocument/2006/relationships/hyperlink" Target="https://m.shinsegaetvshopping.com/plan/detail/2024109314" TargetMode="External"/><Relationship Id="rId12" Type="http://schemas.openxmlformats.org/officeDocument/2006/relationships/hyperlink" Target="https://m.shinsegaetvshopping.com/plan/detail/2024129466" TargetMode="External"/><Relationship Id="rId17" Type="http://schemas.openxmlformats.org/officeDocument/2006/relationships/hyperlink" Target="https://m.shinsegaetvshopping.com/plan/detail/2024089038" TargetMode="External"/><Relationship Id="rId25" Type="http://schemas.openxmlformats.org/officeDocument/2006/relationships/hyperlink" Target="https://www.shinsegaetvshopping.com/display/detail/44702727?srchwdRslt=44702727&amp;trackSearchType=pc_normal&amp;trackCurationType=c_search_normal&amp;prePg=goods-search_search&amp;pgArea=searchlist-products&amp;listNum=&amp;odd=n" TargetMode="External"/><Relationship Id="rId33" Type="http://schemas.openxmlformats.org/officeDocument/2006/relationships/hyperlink" Target="https://www.shinsegaetvshopping.com/deal/detail/202307212435?dealShopCode=201710240001&amp;prePg=deal_dealList_201710240001&amp;pgArea=categoryDealList_2&amp;listNum=12&amp;odd=n" TargetMode="External"/><Relationship Id="rId38" Type="http://schemas.openxmlformats.org/officeDocument/2006/relationships/hyperlink" Target="https://m.shinsegaetvshopping.com/plan/detail/2024089093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47A6C-0292-41CE-B1C5-87238FC769F9}">
  <sheetPr>
    <tabColor theme="1"/>
  </sheetPr>
  <dimension ref="A1:W117"/>
  <sheetViews>
    <sheetView showGridLines="0" zoomScale="85" zoomScaleNormal="85" workbookViewId="0">
      <pane xSplit="1" ySplit="4" topLeftCell="B5" activePane="bottomRight" state="frozen"/>
      <selection pane="topRight"/>
      <selection pane="bottomLeft"/>
      <selection pane="bottomRight" activeCell="D33" sqref="D33"/>
    </sheetView>
  </sheetViews>
  <sheetFormatPr defaultRowHeight="16.5" customHeight="1"/>
  <cols>
    <col min="1" max="1" width="9.375" style="1283" bestFit="1" customWidth="1"/>
    <col min="2" max="2" width="16.625" style="541" customWidth="1"/>
    <col min="3" max="4" width="16.375" style="541" bestFit="1" customWidth="1"/>
    <col min="5" max="5" width="17" style="541" customWidth="1"/>
    <col min="6" max="6" width="20.75" style="541" customWidth="1"/>
    <col min="7" max="7" width="5.625" customWidth="1"/>
    <col min="8" max="12" width="17.25" customWidth="1"/>
    <col min="13" max="14" width="5.625" customWidth="1"/>
    <col min="15" max="15" width="11.125" style="541" customWidth="1"/>
    <col min="16" max="16" width="6.125" bestFit="1" customWidth="1"/>
    <col min="17" max="17" width="7.125" style="541" bestFit="1" customWidth="1"/>
    <col min="18" max="18" width="6.125" bestFit="1" customWidth="1"/>
    <col min="19" max="19" width="7.25" style="541" bestFit="1" customWidth="1"/>
    <col min="20" max="20" width="35.625" bestFit="1" customWidth="1"/>
    <col min="21" max="21" width="7.125" style="541" bestFit="1" customWidth="1"/>
    <col min="16376" max="16376" width="9" bestFit="1" customWidth="1"/>
  </cols>
  <sheetData>
    <row r="1" spans="1:21">
      <c r="B1" s="1401" t="s">
        <v>6634</v>
      </c>
      <c r="C1" s="1284" t="s">
        <v>6635</v>
      </c>
      <c r="D1" s="1284" t="s">
        <v>6636</v>
      </c>
      <c r="E1" s="1284" t="s">
        <v>6637</v>
      </c>
    </row>
    <row r="2" spans="1:21">
      <c r="B2" s="1401"/>
      <c r="C2" s="1285" t="s">
        <v>6638</v>
      </c>
      <c r="D2" s="1285" t="s">
        <v>6639</v>
      </c>
      <c r="E2" s="1285" t="s">
        <v>6640</v>
      </c>
      <c r="N2" s="541"/>
    </row>
    <row r="3" spans="1:21" s="1289" customFormat="1">
      <c r="A3" s="1286"/>
      <c r="B3" s="1287" t="s">
        <v>6641</v>
      </c>
      <c r="C3" s="1288"/>
      <c r="D3" s="1288"/>
      <c r="E3" s="1288"/>
      <c r="F3" s="1288"/>
      <c r="N3" s="1288"/>
      <c r="O3" s="1288"/>
      <c r="Q3" s="1288"/>
      <c r="S3" s="1288"/>
      <c r="U3" s="1288"/>
    </row>
    <row r="4" spans="1:21">
      <c r="B4" s="1290" t="s">
        <v>6642</v>
      </c>
      <c r="C4" s="1290" t="s">
        <v>6635</v>
      </c>
      <c r="D4" s="1290" t="s">
        <v>6636</v>
      </c>
      <c r="E4" s="1291" t="s">
        <v>6637</v>
      </c>
      <c r="F4" s="1292" t="s">
        <v>6643</v>
      </c>
      <c r="H4" s="1402" t="s">
        <v>6634</v>
      </c>
      <c r="I4" s="1284" t="s">
        <v>6635</v>
      </c>
      <c r="J4" s="1284" t="s">
        <v>6636</v>
      </c>
      <c r="K4" s="1284" t="s">
        <v>6637</v>
      </c>
      <c r="N4" s="1293"/>
      <c r="P4" s="1293"/>
    </row>
    <row r="5" spans="1:21">
      <c r="B5" s="1294" t="s">
        <v>6644</v>
      </c>
      <c r="C5" s="1285" t="s">
        <v>6645</v>
      </c>
      <c r="D5" s="1285" t="s">
        <v>6646</v>
      </c>
      <c r="E5" s="1295" t="s">
        <v>6647</v>
      </c>
      <c r="F5" s="1285"/>
      <c r="H5" s="1402"/>
      <c r="I5" s="1285" t="s">
        <v>6638</v>
      </c>
      <c r="J5" s="1285" t="s">
        <v>6639</v>
      </c>
      <c r="K5" s="1285" t="s">
        <v>6640</v>
      </c>
      <c r="N5" s="1293"/>
      <c r="O5" s="1296" t="s">
        <v>6648</v>
      </c>
      <c r="P5" s="1297"/>
      <c r="T5" s="541"/>
    </row>
    <row r="6" spans="1:21">
      <c r="B6" s="1294" t="s">
        <v>6649</v>
      </c>
      <c r="C6" s="1285"/>
      <c r="D6" s="1285"/>
      <c r="E6" s="1295"/>
      <c r="F6" s="1285"/>
      <c r="H6" s="1298" t="s">
        <v>6650</v>
      </c>
      <c r="I6" s="1298" t="s">
        <v>6635</v>
      </c>
      <c r="J6" s="1298" t="s">
        <v>6636</v>
      </c>
      <c r="K6" s="1298" t="s">
        <v>6637</v>
      </c>
      <c r="N6" s="1293"/>
      <c r="O6" s="1299"/>
      <c r="P6" s="1297"/>
      <c r="T6" s="541"/>
    </row>
    <row r="7" spans="1:21" ht="17.45" customHeight="1">
      <c r="B7" s="1294" t="s">
        <v>6651</v>
      </c>
      <c r="C7" s="1285"/>
      <c r="D7" s="1285"/>
      <c r="E7" s="1295"/>
      <c r="F7" s="1285"/>
      <c r="H7" s="1300" t="s">
        <v>6652</v>
      </c>
      <c r="I7" s="1301" t="s">
        <v>6645</v>
      </c>
      <c r="J7" s="1301" t="s">
        <v>6646</v>
      </c>
      <c r="K7" s="1295" t="s">
        <v>6647</v>
      </c>
      <c r="N7" s="1293"/>
      <c r="O7" s="1302" t="s">
        <v>6653</v>
      </c>
      <c r="P7" s="1403" t="s">
        <v>6654</v>
      </c>
      <c r="Q7" s="1403"/>
      <c r="R7" s="1404"/>
      <c r="S7" s="1303" t="s">
        <v>6655</v>
      </c>
      <c r="U7"/>
    </row>
    <row r="8" spans="1:21" ht="17.45" customHeight="1">
      <c r="B8" s="1294" t="s">
        <v>6656</v>
      </c>
      <c r="C8" s="1285"/>
      <c r="D8" s="1285"/>
      <c r="E8" s="1295"/>
      <c r="F8" s="1285"/>
      <c r="N8" s="1293"/>
      <c r="O8" s="1304" t="s">
        <v>6657</v>
      </c>
      <c r="P8" s="1305" t="s">
        <v>477</v>
      </c>
      <c r="Q8" s="1305" t="s">
        <v>417</v>
      </c>
      <c r="R8" s="1305" t="s">
        <v>252</v>
      </c>
      <c r="S8" s="1305" t="s">
        <v>6658</v>
      </c>
      <c r="U8"/>
    </row>
    <row r="9" spans="1:21" ht="16.5" customHeight="1">
      <c r="B9" s="1294" t="s">
        <v>6659</v>
      </c>
      <c r="C9" s="1285"/>
      <c r="D9" s="1285"/>
      <c r="E9" s="1295"/>
      <c r="F9" s="1285"/>
      <c r="N9" s="1293"/>
      <c r="O9" s="1304" t="s">
        <v>4829</v>
      </c>
      <c r="P9" s="1305" t="s">
        <v>185</v>
      </c>
      <c r="Q9" s="1305" t="s">
        <v>221</v>
      </c>
      <c r="R9" s="1305" t="s">
        <v>252</v>
      </c>
      <c r="S9" s="1405" t="s">
        <v>6660</v>
      </c>
      <c r="U9"/>
    </row>
    <row r="10" spans="1:21" ht="16.5" customHeight="1">
      <c r="B10" s="1294" t="s">
        <v>6661</v>
      </c>
      <c r="C10" s="1285"/>
      <c r="D10" s="1285"/>
      <c r="E10" s="1295"/>
      <c r="F10" s="1285"/>
      <c r="H10" s="1407" t="s">
        <v>6662</v>
      </c>
      <c r="I10" s="1408"/>
      <c r="J10" s="1408"/>
      <c r="K10" s="1408"/>
      <c r="L10" s="1408"/>
      <c r="N10" s="1293"/>
      <c r="O10" s="1304" t="s">
        <v>4084</v>
      </c>
      <c r="P10" s="1305" t="s">
        <v>32</v>
      </c>
      <c r="Q10" s="1305" t="s">
        <v>942</v>
      </c>
      <c r="R10" s="1305" t="s">
        <v>252</v>
      </c>
      <c r="S10" s="1406"/>
      <c r="U10"/>
    </row>
    <row r="11" spans="1:21" ht="17.45" customHeight="1">
      <c r="B11" s="1294" t="s">
        <v>6663</v>
      </c>
      <c r="C11" s="1285"/>
      <c r="D11" s="1285"/>
      <c r="E11" s="1295"/>
      <c r="F11" s="1285"/>
      <c r="N11" s="1293"/>
      <c r="O11" s="1304" t="s">
        <v>4519</v>
      </c>
      <c r="P11" s="1305" t="s">
        <v>1109</v>
      </c>
      <c r="Q11" s="1305" t="s">
        <v>165</v>
      </c>
      <c r="R11" s="1305" t="s">
        <v>32</v>
      </c>
      <c r="S11" s="1305" t="s">
        <v>6664</v>
      </c>
      <c r="U11"/>
    </row>
    <row r="12" spans="1:21" ht="17.45" customHeight="1" thickBot="1">
      <c r="B12" s="1294" t="s">
        <v>6665</v>
      </c>
      <c r="C12" s="1285"/>
      <c r="D12" s="1285"/>
      <c r="E12" s="1295"/>
      <c r="F12" s="1285"/>
      <c r="H12" s="1306" t="s">
        <v>6650</v>
      </c>
      <c r="I12" s="1306" t="s">
        <v>6666</v>
      </c>
      <c r="J12" s="1307" t="s">
        <v>6635</v>
      </c>
      <c r="K12" s="1307" t="s">
        <v>6636</v>
      </c>
      <c r="L12" s="1307" t="s">
        <v>6637</v>
      </c>
      <c r="N12" s="1293"/>
      <c r="O12" s="1304" t="s">
        <v>4454</v>
      </c>
      <c r="P12" s="1305" t="s">
        <v>910</v>
      </c>
      <c r="Q12" s="1305" t="s">
        <v>942</v>
      </c>
      <c r="R12" s="1305" t="s">
        <v>221</v>
      </c>
      <c r="S12" s="1305" t="s">
        <v>6667</v>
      </c>
      <c r="U12"/>
    </row>
    <row r="13" spans="1:21" ht="17.45" customHeight="1">
      <c r="B13" s="1294" t="s">
        <v>6668</v>
      </c>
      <c r="C13" s="1285"/>
      <c r="D13" s="1285"/>
      <c r="E13" s="1295"/>
      <c r="F13" s="1285"/>
      <c r="H13" s="1285"/>
      <c r="I13" s="1409"/>
      <c r="J13" s="1412"/>
      <c r="K13" s="1414"/>
      <c r="L13" s="1308"/>
      <c r="N13" s="1293"/>
      <c r="O13" s="1304" t="s">
        <v>6669</v>
      </c>
      <c r="P13" s="1305" t="s">
        <v>137</v>
      </c>
      <c r="Q13" s="1305" t="s">
        <v>795</v>
      </c>
      <c r="R13" s="1305" t="s">
        <v>252</v>
      </c>
      <c r="S13" s="1305" t="s">
        <v>6670</v>
      </c>
      <c r="U13"/>
    </row>
    <row r="14" spans="1:21" ht="17.45" customHeight="1" thickBot="1">
      <c r="A14" s="1309"/>
      <c r="B14" s="1294" t="s">
        <v>6671</v>
      </c>
      <c r="C14" s="1285"/>
      <c r="D14" s="1285"/>
      <c r="E14" s="1295"/>
      <c r="F14" s="1285"/>
      <c r="H14" s="1285"/>
      <c r="I14" s="1410"/>
      <c r="J14" s="1413"/>
      <c r="K14" s="1415"/>
      <c r="L14" s="1310"/>
      <c r="N14" s="1293"/>
      <c r="O14" s="1304" t="s">
        <v>6672</v>
      </c>
      <c r="P14" s="1305" t="s">
        <v>264</v>
      </c>
      <c r="Q14" s="1305" t="s">
        <v>331</v>
      </c>
      <c r="R14" s="1305" t="s">
        <v>252</v>
      </c>
      <c r="S14" s="1305" t="s">
        <v>6673</v>
      </c>
      <c r="U14"/>
    </row>
    <row r="15" spans="1:21" ht="17.45" customHeight="1">
      <c r="B15" s="1294" t="s">
        <v>6674</v>
      </c>
      <c r="C15" s="1285"/>
      <c r="D15" s="1285"/>
      <c r="E15" s="1295"/>
      <c r="F15" s="1285"/>
      <c r="H15" s="1285"/>
      <c r="I15" s="1411"/>
      <c r="J15" s="1311"/>
      <c r="K15" s="1311"/>
      <c r="L15" s="1311"/>
      <c r="N15" s="1293"/>
      <c r="O15"/>
      <c r="P15" s="541"/>
      <c r="Q15"/>
      <c r="S15"/>
      <c r="U15"/>
    </row>
    <row r="16" spans="1:21" ht="17.45" customHeight="1">
      <c r="A16" s="1309"/>
      <c r="B16" s="1294" t="s">
        <v>6675</v>
      </c>
      <c r="C16" s="1285"/>
      <c r="D16" s="1285"/>
      <c r="E16" s="1295"/>
      <c r="F16" s="1285"/>
      <c r="H16" s="1312" t="s">
        <v>6676</v>
      </c>
      <c r="N16" s="541"/>
      <c r="O16"/>
      <c r="P16" s="541"/>
      <c r="Q16"/>
      <c r="S16"/>
      <c r="U16"/>
    </row>
    <row r="17" spans="1:23" s="541" customFormat="1" ht="17.45" customHeight="1">
      <c r="A17" s="1283"/>
      <c r="B17" s="1294" t="s">
        <v>6677</v>
      </c>
      <c r="C17" s="1285"/>
      <c r="D17" s="1285"/>
      <c r="E17" s="1295"/>
      <c r="F17" s="1285"/>
      <c r="H17"/>
      <c r="I17"/>
      <c r="J17"/>
      <c r="K17"/>
      <c r="L17"/>
      <c r="O17"/>
      <c r="Q17"/>
      <c r="R17"/>
      <c r="S17"/>
      <c r="T17"/>
      <c r="U17"/>
      <c r="V17"/>
      <c r="W17"/>
    </row>
    <row r="18" spans="1:23" ht="17.45" customHeight="1">
      <c r="B18" s="1294" t="s">
        <v>6678</v>
      </c>
      <c r="C18" s="1285"/>
      <c r="D18" s="1285"/>
      <c r="E18" s="1295"/>
      <c r="F18" s="1285"/>
      <c r="N18" s="541"/>
      <c r="O18"/>
      <c r="P18" s="541"/>
      <c r="Q18"/>
      <c r="S18"/>
      <c r="U18"/>
    </row>
    <row r="19" spans="1:23" ht="17.45" customHeight="1">
      <c r="B19" s="1294" t="s">
        <v>6679</v>
      </c>
      <c r="C19" s="1285"/>
      <c r="D19" s="1285"/>
      <c r="E19" s="1295"/>
      <c r="F19" s="1285"/>
      <c r="O19"/>
      <c r="P19" s="541"/>
      <c r="Q19"/>
      <c r="S19"/>
      <c r="U19"/>
    </row>
    <row r="20" spans="1:23" ht="17.45" customHeight="1">
      <c r="A20" s="1309"/>
      <c r="B20" s="1294" t="s">
        <v>6680</v>
      </c>
      <c r="C20" s="1285"/>
      <c r="D20" s="1285"/>
      <c r="E20" s="1295"/>
      <c r="F20" s="1285"/>
      <c r="O20"/>
      <c r="P20" s="541"/>
      <c r="Q20"/>
      <c r="S20"/>
      <c r="U20"/>
    </row>
    <row r="21" spans="1:23" ht="17.45" customHeight="1">
      <c r="B21" s="1294" t="s">
        <v>6681</v>
      </c>
      <c r="C21" s="1285"/>
      <c r="D21" s="1285"/>
      <c r="E21" s="1295"/>
      <c r="F21" s="1285"/>
      <c r="H21" s="1313" t="s">
        <v>6682</v>
      </c>
      <c r="I21" s="1314"/>
      <c r="J21" s="1314"/>
      <c r="K21" s="1314"/>
      <c r="L21" s="1315"/>
      <c r="O21"/>
      <c r="P21" s="541"/>
      <c r="Q21"/>
      <c r="S21"/>
      <c r="U21"/>
    </row>
    <row r="22" spans="1:23" ht="17.45" customHeight="1">
      <c r="B22" s="1294" t="s">
        <v>6683</v>
      </c>
      <c r="C22" s="1285"/>
      <c r="D22" s="1285"/>
      <c r="E22" s="1295"/>
      <c r="F22" s="1285"/>
      <c r="H22" s="1316" t="s">
        <v>6684</v>
      </c>
      <c r="I22" s="1317"/>
      <c r="J22" s="1317"/>
      <c r="K22" s="1317"/>
      <c r="L22" s="1318"/>
      <c r="O22"/>
      <c r="P22" s="541"/>
      <c r="Q22"/>
      <c r="S22"/>
      <c r="U22"/>
    </row>
    <row r="23" spans="1:23">
      <c r="B23" s="1294" t="s">
        <v>6685</v>
      </c>
      <c r="C23" s="1285"/>
      <c r="D23" s="1285"/>
      <c r="E23" s="1295"/>
      <c r="F23" s="1285"/>
      <c r="H23" s="1316" t="s">
        <v>6686</v>
      </c>
      <c r="I23" s="1317"/>
      <c r="J23" s="1317"/>
      <c r="K23" s="1317"/>
      <c r="L23" s="1318"/>
      <c r="S23" s="1319"/>
    </row>
    <row r="24" spans="1:23">
      <c r="A24" s="1320"/>
      <c r="B24" s="1294" t="s">
        <v>6687</v>
      </c>
      <c r="C24" s="1285"/>
      <c r="D24" s="1285"/>
      <c r="E24" s="1295"/>
      <c r="F24" s="1285"/>
      <c r="H24" s="1316" t="s">
        <v>6688</v>
      </c>
      <c r="I24" s="1317"/>
      <c r="J24" s="1317"/>
      <c r="K24" s="1317"/>
      <c r="L24" s="1318"/>
    </row>
    <row r="25" spans="1:23">
      <c r="B25" s="1294" t="s">
        <v>6689</v>
      </c>
      <c r="C25" s="1285"/>
      <c r="D25" s="1285"/>
      <c r="E25" s="1295"/>
      <c r="F25" s="1285"/>
      <c r="H25" s="1316" t="s">
        <v>6690</v>
      </c>
      <c r="I25" s="1317"/>
      <c r="J25" s="1317"/>
      <c r="K25" s="1317"/>
      <c r="L25" s="1318"/>
    </row>
    <row r="26" spans="1:23">
      <c r="B26" s="1294" t="s">
        <v>6691</v>
      </c>
      <c r="C26" s="1285"/>
      <c r="D26" s="1285"/>
      <c r="E26" s="1295"/>
      <c r="F26" s="1285"/>
      <c r="H26" s="1316" t="s">
        <v>6692</v>
      </c>
      <c r="I26" s="1317"/>
      <c r="J26" s="1317"/>
      <c r="K26" s="1317"/>
      <c r="L26" s="1318"/>
    </row>
    <row r="27" spans="1:23">
      <c r="B27" s="1294" t="s">
        <v>6693</v>
      </c>
      <c r="C27" s="1285"/>
      <c r="D27" s="1285"/>
      <c r="E27" s="1295"/>
      <c r="F27" s="1285"/>
      <c r="H27" s="1316" t="s">
        <v>6694</v>
      </c>
      <c r="I27" s="1317"/>
      <c r="J27" s="1317"/>
      <c r="K27" s="1317"/>
      <c r="L27" s="1318"/>
      <c r="P27" s="1321"/>
      <c r="Q27" s="1319"/>
      <c r="R27" s="1321"/>
      <c r="S27" s="1319"/>
    </row>
    <row r="28" spans="1:23">
      <c r="B28" s="1294" t="s">
        <v>6695</v>
      </c>
      <c r="C28" s="1285"/>
      <c r="D28" s="1285"/>
      <c r="E28" s="1295"/>
      <c r="F28" s="1285"/>
      <c r="H28" s="1316" t="s">
        <v>6696</v>
      </c>
      <c r="I28" s="1317"/>
      <c r="J28" s="1317"/>
      <c r="K28" s="1317"/>
      <c r="L28" s="1318"/>
    </row>
    <row r="29" spans="1:23">
      <c r="A29" s="1320"/>
      <c r="B29" s="1294" t="s">
        <v>6697</v>
      </c>
      <c r="C29" s="1285"/>
      <c r="D29" s="1285"/>
      <c r="E29" s="1295"/>
      <c r="F29" s="1285"/>
      <c r="H29" s="1316" t="s">
        <v>6684</v>
      </c>
      <c r="I29" s="1317"/>
      <c r="J29" s="1317"/>
      <c r="K29" s="1317"/>
      <c r="L29" s="1318"/>
    </row>
    <row r="30" spans="1:23">
      <c r="B30" s="1294" t="s">
        <v>6698</v>
      </c>
      <c r="C30" s="1285"/>
      <c r="D30" s="1285"/>
      <c r="E30" s="1295"/>
      <c r="F30" s="1285"/>
      <c r="H30" s="1316" t="s">
        <v>6699</v>
      </c>
      <c r="I30" s="1317"/>
      <c r="J30" s="1317"/>
      <c r="K30" s="1317"/>
      <c r="L30" s="1318"/>
    </row>
    <row r="31" spans="1:23">
      <c r="B31" s="1294" t="s">
        <v>6700</v>
      </c>
      <c r="C31" s="1285"/>
      <c r="D31" s="1285"/>
      <c r="E31" s="1295"/>
      <c r="F31" s="1285"/>
      <c r="H31" s="1316" t="s">
        <v>6684</v>
      </c>
      <c r="I31" s="1317"/>
      <c r="J31" s="1317"/>
      <c r="K31" s="1317"/>
      <c r="L31" s="1318"/>
    </row>
    <row r="32" spans="1:23">
      <c r="A32" s="1320"/>
      <c r="B32" s="1294" t="s">
        <v>6701</v>
      </c>
      <c r="C32" s="1285"/>
      <c r="D32" s="1285"/>
      <c r="E32" s="1295"/>
      <c r="F32" s="1285"/>
      <c r="H32" s="1322" t="s">
        <v>6702</v>
      </c>
      <c r="I32" s="1317"/>
      <c r="J32" s="1317"/>
      <c r="K32" s="1317"/>
      <c r="L32" s="1318"/>
    </row>
    <row r="33" spans="1:19">
      <c r="B33" s="1294" t="s">
        <v>6703</v>
      </c>
      <c r="C33" s="1285"/>
      <c r="D33" s="1285"/>
      <c r="E33" s="1295"/>
      <c r="F33" s="1285"/>
      <c r="H33" s="1316" t="s">
        <v>6704</v>
      </c>
      <c r="I33" s="1317"/>
      <c r="J33" s="1317"/>
      <c r="K33" s="1317"/>
      <c r="L33" s="1318"/>
      <c r="R33" s="1396"/>
      <c r="S33" s="1397"/>
    </row>
    <row r="34" spans="1:19">
      <c r="B34" s="1294" t="s">
        <v>6705</v>
      </c>
      <c r="C34" s="1285"/>
      <c r="D34" s="1285"/>
      <c r="E34" s="1295"/>
      <c r="F34" s="1285"/>
      <c r="H34" s="1316" t="s">
        <v>6706</v>
      </c>
      <c r="I34" s="1317"/>
      <c r="J34" s="1317"/>
      <c r="K34" s="1317"/>
      <c r="L34" s="1318"/>
      <c r="R34" s="1396"/>
      <c r="S34" s="1397"/>
    </row>
    <row r="35" spans="1:19" ht="16.5" customHeight="1">
      <c r="A35" s="1320"/>
      <c r="B35" s="1294" t="s">
        <v>6707</v>
      </c>
      <c r="C35" s="1285"/>
      <c r="D35" s="1285"/>
      <c r="E35" s="1295"/>
      <c r="F35" s="1285"/>
      <c r="H35" s="1316" t="s">
        <v>6708</v>
      </c>
      <c r="I35" s="1317"/>
      <c r="J35" s="1317"/>
      <c r="K35" s="1317"/>
      <c r="L35" s="1318"/>
      <c r="P35" s="1323"/>
    </row>
    <row r="36" spans="1:19" ht="16.5" customHeight="1">
      <c r="B36" s="1294"/>
      <c r="C36" s="1285"/>
      <c r="D36" s="1285"/>
      <c r="E36" s="1295"/>
      <c r="F36" s="1285"/>
      <c r="H36" s="1316" t="s">
        <v>6709</v>
      </c>
      <c r="I36" s="1317"/>
      <c r="J36" s="1317"/>
      <c r="K36" s="1317"/>
      <c r="L36" s="1318"/>
    </row>
    <row r="37" spans="1:19" ht="16.5" customHeight="1">
      <c r="B37" s="1294"/>
      <c r="C37" s="1285"/>
      <c r="D37" s="1285"/>
      <c r="E37" s="1295"/>
      <c r="F37" s="1285"/>
      <c r="H37" s="1316" t="s">
        <v>6684</v>
      </c>
      <c r="I37" s="1317"/>
      <c r="J37" s="1317"/>
      <c r="K37" s="1317"/>
      <c r="L37" s="1318"/>
    </row>
    <row r="38" spans="1:19" ht="16.5" customHeight="1">
      <c r="A38" s="1320"/>
      <c r="B38" s="1294"/>
      <c r="C38" s="1285"/>
      <c r="D38" s="1285"/>
      <c r="E38" s="1295"/>
      <c r="F38" s="1285"/>
      <c r="H38" s="1322" t="s">
        <v>6710</v>
      </c>
      <c r="I38" s="1317"/>
      <c r="J38" s="1317"/>
      <c r="K38" s="1317"/>
      <c r="L38" s="1318"/>
    </row>
    <row r="39" spans="1:19" ht="16.5" customHeight="1">
      <c r="B39" s="1294"/>
      <c r="C39" s="1285"/>
      <c r="D39" s="1285"/>
      <c r="E39" s="1295"/>
      <c r="F39" s="1285"/>
      <c r="H39" s="1316" t="s">
        <v>6711</v>
      </c>
      <c r="I39" s="1317"/>
      <c r="J39" s="1317"/>
      <c r="K39" s="1317"/>
      <c r="L39" s="1318"/>
    </row>
    <row r="40" spans="1:19" ht="16.5" customHeight="1">
      <c r="B40" s="1294"/>
      <c r="C40" s="1285"/>
      <c r="D40" s="1285"/>
      <c r="E40" s="1295"/>
      <c r="F40" s="1285"/>
      <c r="H40" s="1316" t="s">
        <v>6712</v>
      </c>
      <c r="I40" s="1317"/>
      <c r="J40" s="1317"/>
      <c r="K40" s="1317"/>
      <c r="L40" s="1318"/>
    </row>
    <row r="41" spans="1:19" ht="16.5" customHeight="1">
      <c r="A41" s="1320"/>
      <c r="B41" s="1294"/>
      <c r="C41" s="1285"/>
      <c r="D41" s="1285"/>
      <c r="E41" s="1295"/>
      <c r="F41" s="1285"/>
      <c r="H41" s="1316" t="s">
        <v>6713</v>
      </c>
      <c r="I41" s="1317"/>
      <c r="J41" s="1317"/>
      <c r="K41" s="1317"/>
      <c r="L41" s="1318"/>
    </row>
    <row r="42" spans="1:19" ht="16.5" customHeight="1">
      <c r="B42" s="1294"/>
      <c r="C42" s="1285"/>
      <c r="D42" s="1285"/>
      <c r="E42" s="1295"/>
      <c r="F42" s="1285"/>
      <c r="H42" s="1316" t="s">
        <v>6714</v>
      </c>
      <c r="I42" s="1317"/>
      <c r="J42" s="1317"/>
      <c r="K42" s="1317"/>
      <c r="L42" s="1318"/>
    </row>
    <row r="43" spans="1:19" ht="16.5" customHeight="1">
      <c r="B43" s="1294"/>
      <c r="C43" s="1285"/>
      <c r="D43" s="1285"/>
      <c r="E43" s="1295"/>
      <c r="F43" s="1285"/>
      <c r="H43" s="1316" t="s">
        <v>6715</v>
      </c>
      <c r="I43" s="1317"/>
      <c r="J43" s="1317"/>
      <c r="K43" s="1317"/>
      <c r="L43" s="1318"/>
    </row>
    <row r="44" spans="1:19" ht="16.5" customHeight="1">
      <c r="A44" s="1320"/>
      <c r="B44" s="1294"/>
      <c r="C44" s="1285"/>
      <c r="D44" s="1285"/>
      <c r="E44" s="1295"/>
      <c r="F44" s="1285"/>
      <c r="H44" s="1316" t="s">
        <v>6684</v>
      </c>
      <c r="I44" s="1317"/>
      <c r="J44" s="1317"/>
      <c r="K44" s="1317"/>
      <c r="L44" s="1318"/>
    </row>
    <row r="45" spans="1:19" ht="16.5" customHeight="1">
      <c r="B45" s="1294"/>
      <c r="C45" s="1285"/>
      <c r="D45" s="1285"/>
      <c r="E45" s="1295"/>
      <c r="F45" s="1285"/>
      <c r="H45" s="1324"/>
      <c r="I45" s="1325"/>
      <c r="J45" s="1325"/>
      <c r="K45" s="1325"/>
      <c r="L45" s="1326"/>
    </row>
    <row r="46" spans="1:19" ht="16.5" customHeight="1">
      <c r="A46" s="1320"/>
      <c r="B46" s="1294"/>
      <c r="C46" s="1285"/>
      <c r="D46" s="1285"/>
      <c r="E46" s="1295"/>
      <c r="F46" s="1285"/>
    </row>
    <row r="47" spans="1:19" ht="16.5" customHeight="1">
      <c r="B47" s="1294"/>
      <c r="C47" s="1285"/>
      <c r="D47" s="1285"/>
      <c r="E47" s="1295"/>
      <c r="F47" s="1285"/>
    </row>
    <row r="48" spans="1:19" ht="16.5" customHeight="1">
      <c r="B48" s="1294"/>
      <c r="C48" s="1285"/>
      <c r="D48" s="1285"/>
      <c r="E48" s="1295"/>
      <c r="F48" s="1285"/>
      <c r="H48" s="1327" t="s">
        <v>6716</v>
      </c>
      <c r="I48" s="1327"/>
      <c r="J48" s="1328"/>
      <c r="K48" s="1328"/>
    </row>
    <row r="49" spans="2:11" ht="16.5" customHeight="1">
      <c r="B49" s="1294"/>
      <c r="C49" s="1285"/>
      <c r="D49" s="1285"/>
      <c r="E49" s="1295"/>
      <c r="F49" s="1285"/>
      <c r="H49" s="1328"/>
      <c r="I49" s="1328"/>
      <c r="J49" s="1328"/>
      <c r="K49" s="1329" t="s">
        <v>6717</v>
      </c>
    </row>
    <row r="50" spans="2:11" ht="16.5" customHeight="1">
      <c r="B50" s="1294"/>
      <c r="C50" s="1285"/>
      <c r="D50" s="1285"/>
      <c r="E50" s="1295"/>
      <c r="F50" s="1285"/>
      <c r="H50" s="1330" t="s">
        <v>6718</v>
      </c>
      <c r="I50" s="1331" t="s">
        <v>6719</v>
      </c>
      <c r="J50" s="1332"/>
      <c r="K50" s="1333" t="s">
        <v>6720</v>
      </c>
    </row>
    <row r="51" spans="2:11" ht="16.5" customHeight="1">
      <c r="B51" s="1294"/>
      <c r="C51" s="1285"/>
      <c r="D51" s="1285"/>
      <c r="E51" s="1295"/>
      <c r="F51" s="1285"/>
      <c r="H51" s="1334"/>
      <c r="I51" s="1335" t="s">
        <v>6721</v>
      </c>
      <c r="J51" s="1335" t="s">
        <v>6722</v>
      </c>
      <c r="K51" s="1335" t="s">
        <v>6723</v>
      </c>
    </row>
    <row r="52" spans="2:11" ht="16.5" customHeight="1">
      <c r="B52" s="1294"/>
      <c r="C52" s="1285"/>
      <c r="D52" s="1285"/>
      <c r="E52" s="1295"/>
      <c r="F52" s="1285"/>
      <c r="H52" s="1336" t="s">
        <v>6724</v>
      </c>
      <c r="I52" s="1337" t="s">
        <v>6719</v>
      </c>
      <c r="J52" s="1338"/>
      <c r="K52" s="1339" t="s">
        <v>6720</v>
      </c>
    </row>
    <row r="53" spans="2:11" ht="16.5" customHeight="1">
      <c r="B53" s="1294"/>
      <c r="C53" s="1285"/>
      <c r="D53" s="1285"/>
      <c r="E53" s="1295"/>
      <c r="F53" s="1285"/>
      <c r="H53" s="1334"/>
      <c r="I53" s="1340" t="s">
        <v>6721</v>
      </c>
      <c r="J53" s="1340" t="s">
        <v>6722</v>
      </c>
      <c r="K53" s="1341" t="s">
        <v>6723</v>
      </c>
    </row>
    <row r="54" spans="2:11" ht="16.5" customHeight="1">
      <c r="B54" s="1294"/>
      <c r="C54" s="1285"/>
      <c r="D54" s="1285"/>
      <c r="E54" s="1295"/>
      <c r="F54" s="1285"/>
    </row>
    <row r="55" spans="2:11" ht="16.5" customHeight="1">
      <c r="B55" s="1294"/>
      <c r="C55" s="1285"/>
      <c r="D55" s="1285"/>
      <c r="E55" s="1295"/>
      <c r="F55" s="1285"/>
      <c r="H55" s="1327" t="s">
        <v>6725</v>
      </c>
      <c r="I55" s="1327"/>
      <c r="J55" s="1328"/>
      <c r="K55" s="1328"/>
    </row>
    <row r="56" spans="2:11" ht="16.5" customHeight="1">
      <c r="B56" s="1294"/>
      <c r="C56" s="1285"/>
      <c r="D56" s="1285"/>
      <c r="E56" s="1295"/>
      <c r="F56" s="1285"/>
      <c r="H56" s="1328"/>
      <c r="I56" s="1328"/>
      <c r="J56" s="1328"/>
      <c r="K56" s="1328"/>
    </row>
    <row r="57" spans="2:11" ht="16.5" customHeight="1">
      <c r="B57" s="1294"/>
      <c r="C57" s="1285"/>
      <c r="D57" s="1285"/>
      <c r="E57" s="1295"/>
      <c r="F57" s="1285"/>
      <c r="H57" s="1330" t="s">
        <v>6726</v>
      </c>
      <c r="I57" s="1340" t="s">
        <v>6727</v>
      </c>
      <c r="J57" s="1342" t="s">
        <v>6728</v>
      </c>
      <c r="K57" s="1340"/>
    </row>
    <row r="58" spans="2:11" ht="16.5" customHeight="1">
      <c r="B58" s="1294"/>
      <c r="C58" s="1285"/>
      <c r="D58" s="1285"/>
      <c r="E58" s="1295"/>
      <c r="F58" s="1285"/>
      <c r="H58" s="1336"/>
      <c r="I58" s="1343" t="s">
        <v>6729</v>
      </c>
      <c r="J58" s="1342" t="s">
        <v>6730</v>
      </c>
      <c r="K58" s="1340"/>
    </row>
    <row r="59" spans="2:11" ht="16.5" customHeight="1">
      <c r="B59" s="1294"/>
      <c r="C59" s="1285"/>
      <c r="D59" s="1285"/>
      <c r="E59" s="1295"/>
      <c r="F59" s="1285"/>
      <c r="H59" s="1336"/>
      <c r="I59" s="1343" t="s">
        <v>6731</v>
      </c>
      <c r="J59" s="1342" t="s">
        <v>6730</v>
      </c>
      <c r="K59" s="1340"/>
    </row>
    <row r="60" spans="2:11" ht="16.5" customHeight="1">
      <c r="B60" s="1294"/>
      <c r="C60" s="1285"/>
      <c r="D60" s="1285"/>
      <c r="E60" s="1295"/>
      <c r="F60" s="1285"/>
      <c r="H60" s="1344"/>
      <c r="I60" s="1343" t="s">
        <v>6732</v>
      </c>
      <c r="J60" s="1342" t="s">
        <v>6733</v>
      </c>
      <c r="K60" s="1340"/>
    </row>
    <row r="61" spans="2:11" ht="16.5" customHeight="1">
      <c r="B61" s="1294"/>
      <c r="C61" s="1285"/>
      <c r="D61" s="1285"/>
      <c r="E61" s="1295"/>
      <c r="F61" s="1285"/>
      <c r="H61" s="1336" t="s">
        <v>6734</v>
      </c>
      <c r="I61" s="1343" t="s">
        <v>6735</v>
      </c>
      <c r="J61" s="1342" t="s">
        <v>6736</v>
      </c>
      <c r="K61" s="1340"/>
    </row>
    <row r="62" spans="2:11" ht="16.5" customHeight="1">
      <c r="B62" s="1294"/>
      <c r="C62" s="1285"/>
      <c r="D62" s="1285"/>
      <c r="E62" s="1295"/>
      <c r="F62" s="1285"/>
      <c r="H62" s="1336"/>
      <c r="I62" s="1345" t="s">
        <v>6737</v>
      </c>
      <c r="J62" s="1346" t="s">
        <v>6736</v>
      </c>
      <c r="K62" s="1347"/>
    </row>
    <row r="63" spans="2:11" ht="16.5" customHeight="1">
      <c r="B63" s="1294"/>
      <c r="C63" s="1285"/>
      <c r="D63" s="1285"/>
      <c r="E63" s="1295"/>
      <c r="F63" s="1285"/>
      <c r="H63" s="1336"/>
      <c r="I63" s="1345"/>
      <c r="J63" s="1346" t="s">
        <v>6738</v>
      </c>
      <c r="K63" s="1347"/>
    </row>
    <row r="64" spans="2:11" ht="16.5" customHeight="1">
      <c r="B64" s="1294"/>
      <c r="C64" s="1285"/>
      <c r="D64" s="1285"/>
      <c r="E64" s="1295"/>
      <c r="F64" s="1285"/>
      <c r="H64" s="1344"/>
      <c r="I64" s="1058"/>
      <c r="J64" s="1342" t="s">
        <v>6739</v>
      </c>
      <c r="K64" s="1340"/>
    </row>
    <row r="65" spans="2:16" ht="16.5" customHeight="1">
      <c r="B65" s="1294"/>
      <c r="C65" s="1285"/>
      <c r="D65" s="1285"/>
      <c r="E65" s="1295"/>
      <c r="F65" s="1285"/>
    </row>
    <row r="66" spans="2:16" ht="16.5" customHeight="1">
      <c r="B66" s="1294"/>
      <c r="C66" s="1285"/>
      <c r="D66" s="1285"/>
      <c r="E66" s="1295"/>
      <c r="F66" s="1285"/>
    </row>
    <row r="67" spans="2:16" ht="16.5" customHeight="1">
      <c r="B67" s="1294"/>
      <c r="C67" s="1285"/>
      <c r="D67" s="1285"/>
      <c r="E67" s="1295"/>
      <c r="F67" s="1285"/>
    </row>
    <row r="68" spans="2:16" ht="16.5" customHeight="1">
      <c r="B68" s="1294"/>
      <c r="C68" s="1285"/>
      <c r="D68" s="1285"/>
      <c r="E68" s="1295"/>
      <c r="F68" s="1285"/>
      <c r="H68" s="1348" t="s">
        <v>6740</v>
      </c>
      <c r="I68" s="1349"/>
      <c r="J68" s="1350"/>
      <c r="K68" s="1350"/>
      <c r="L68" s="1350"/>
      <c r="M68" s="1350"/>
      <c r="N68" s="1351"/>
      <c r="O68" s="1351"/>
      <c r="P68" s="1351"/>
    </row>
    <row r="69" spans="2:16" ht="16.5" customHeight="1">
      <c r="B69" s="1294"/>
      <c r="C69" s="1285"/>
      <c r="D69" s="1285"/>
      <c r="E69" s="1295"/>
      <c r="F69" s="1285"/>
      <c r="H69" s="1352"/>
      <c r="I69" s="1352"/>
      <c r="J69" s="1350"/>
      <c r="K69" s="1350"/>
      <c r="L69" s="1350"/>
      <c r="M69" s="1350"/>
      <c r="N69" s="1351"/>
      <c r="O69" s="1351"/>
      <c r="P69" s="1351"/>
    </row>
    <row r="70" spans="2:16" ht="16.5" customHeight="1">
      <c r="B70" s="1294"/>
      <c r="C70" s="1285"/>
      <c r="D70" s="1285"/>
      <c r="E70" s="1295"/>
      <c r="F70" s="1285"/>
      <c r="H70" s="1353" t="s">
        <v>6741</v>
      </c>
      <c r="I70" s="1354"/>
      <c r="J70" s="1355" t="s">
        <v>6742</v>
      </c>
      <c r="K70" s="1350"/>
      <c r="L70" s="1356"/>
      <c r="M70" s="1350"/>
      <c r="N70" s="1357"/>
      <c r="O70" s="1351"/>
      <c r="P70" s="1351"/>
    </row>
    <row r="71" spans="2:16" ht="16.5" customHeight="1">
      <c r="B71" s="1294"/>
      <c r="C71" s="1285"/>
      <c r="D71" s="1285"/>
      <c r="E71" s="1295"/>
      <c r="F71" s="1285"/>
      <c r="H71" s="1358"/>
      <c r="I71" s="1358"/>
      <c r="J71" s="1350"/>
      <c r="K71" s="1350"/>
      <c r="L71" s="1356"/>
      <c r="M71" s="1350"/>
      <c r="N71" s="1351"/>
      <c r="O71" s="1351"/>
      <c r="P71" s="1351"/>
    </row>
    <row r="72" spans="2:16" ht="16.5" customHeight="1">
      <c r="B72" s="1294"/>
      <c r="C72" s="1285"/>
      <c r="D72" s="1285"/>
      <c r="E72" s="1295"/>
      <c r="F72" s="1285"/>
      <c r="H72" s="1359" t="s">
        <v>6743</v>
      </c>
      <c r="I72" s="1360">
        <v>1</v>
      </c>
      <c r="J72" s="1361" t="s">
        <v>6744</v>
      </c>
      <c r="K72" s="1361" t="s">
        <v>6745</v>
      </c>
      <c r="L72" s="1362" t="s">
        <v>6746</v>
      </c>
      <c r="M72" s="1363" t="s">
        <v>6747</v>
      </c>
      <c r="N72" s="1364" t="s">
        <v>6748</v>
      </c>
      <c r="O72" s="1351"/>
      <c r="P72" s="1351"/>
    </row>
    <row r="73" spans="2:16" ht="16.5" customHeight="1">
      <c r="B73" s="1294"/>
      <c r="C73" s="1285"/>
      <c r="D73" s="1285"/>
      <c r="E73" s="1295"/>
      <c r="F73" s="1285"/>
      <c r="H73" s="1365"/>
      <c r="I73" s="1360">
        <v>2</v>
      </c>
      <c r="J73" s="1361" t="s">
        <v>6749</v>
      </c>
      <c r="K73" s="1361" t="s">
        <v>6750</v>
      </c>
      <c r="L73" s="1366" t="s">
        <v>6751</v>
      </c>
      <c r="M73" s="1363" t="s">
        <v>6752</v>
      </c>
      <c r="N73" s="1351"/>
      <c r="O73" s="1351"/>
      <c r="P73" s="1351"/>
    </row>
    <row r="74" spans="2:16" ht="16.5" customHeight="1">
      <c r="B74" s="1294"/>
      <c r="C74" s="1285"/>
      <c r="D74" s="1285"/>
      <c r="E74" s="1295"/>
      <c r="F74" s="1285"/>
      <c r="H74" s="1365"/>
      <c r="I74" s="1367">
        <v>3</v>
      </c>
      <c r="J74" s="1368" t="s">
        <v>6753</v>
      </c>
      <c r="K74" s="1368" t="s">
        <v>6754</v>
      </c>
      <c r="L74" s="1355" t="s">
        <v>6755</v>
      </c>
      <c r="M74" s="1369"/>
      <c r="N74" s="1351"/>
      <c r="O74" s="1351"/>
      <c r="P74" s="1351"/>
    </row>
    <row r="75" spans="2:16" ht="16.5" customHeight="1">
      <c r="B75" s="1294"/>
      <c r="C75" s="1285"/>
      <c r="D75" s="1285"/>
      <c r="E75" s="1295"/>
      <c r="F75" s="1285"/>
      <c r="H75" s="1370"/>
      <c r="I75" s="1371">
        <v>4</v>
      </c>
      <c r="J75" s="1372" t="s">
        <v>6756</v>
      </c>
      <c r="K75" s="1372" t="s">
        <v>6757</v>
      </c>
      <c r="L75" s="1373"/>
      <c r="M75" s="1374"/>
      <c r="N75" s="1351"/>
      <c r="O75" s="1351"/>
      <c r="P75" s="1351"/>
    </row>
    <row r="76" spans="2:16" ht="16.5" customHeight="1">
      <c r="B76" s="1294" t="s">
        <v>6705</v>
      </c>
      <c r="C76" s="1285"/>
      <c r="D76" s="1285"/>
      <c r="E76" s="1295"/>
      <c r="F76" s="1285"/>
      <c r="H76" s="1375" t="s">
        <v>6758</v>
      </c>
      <c r="I76" s="1352"/>
      <c r="J76" s="1350"/>
      <c r="K76" s="1350"/>
      <c r="L76" s="1350"/>
      <c r="M76" s="1350"/>
      <c r="N76" s="1351"/>
      <c r="O76" s="1351"/>
      <c r="P76" s="1351"/>
    </row>
    <row r="77" spans="2:16" ht="16.5" customHeight="1">
      <c r="B77" s="1294" t="s">
        <v>6707</v>
      </c>
      <c r="C77" s="1285"/>
      <c r="D77" s="1285"/>
      <c r="E77" s="1295"/>
      <c r="F77" s="1285"/>
      <c r="H77" s="1376"/>
      <c r="I77" s="1352"/>
      <c r="J77" s="1350"/>
      <c r="K77" s="1350"/>
      <c r="L77" s="1350"/>
      <c r="M77" s="1350"/>
      <c r="N77" s="1351"/>
      <c r="O77" s="1351"/>
      <c r="P77" s="1351"/>
    </row>
    <row r="78" spans="2:16" ht="16.5" customHeight="1">
      <c r="B78" s="1294"/>
      <c r="C78" s="1285"/>
      <c r="D78" s="1285"/>
      <c r="E78" s="1295"/>
      <c r="F78" s="1285"/>
      <c r="H78" s="1377" t="s">
        <v>6759</v>
      </c>
      <c r="I78" s="1378"/>
      <c r="J78" s="1379"/>
      <c r="K78" s="1380"/>
      <c r="L78" s="1351"/>
      <c r="M78" s="1351"/>
      <c r="N78" s="1351"/>
      <c r="O78" s="1351"/>
      <c r="P78" s="1351"/>
    </row>
    <row r="79" spans="2:16" ht="16.5" customHeight="1">
      <c r="B79" s="1294"/>
      <c r="C79" s="1285"/>
      <c r="D79" s="1285"/>
      <c r="E79" s="1295"/>
      <c r="F79" s="1285"/>
      <c r="H79" s="1398" t="s">
        <v>6760</v>
      </c>
      <c r="I79" s="1399"/>
      <c r="J79" s="1400"/>
      <c r="K79" s="1381" t="s">
        <v>6761</v>
      </c>
      <c r="L79" s="1351"/>
      <c r="M79" s="1351"/>
      <c r="N79" s="1351"/>
      <c r="O79" s="1351"/>
      <c r="P79" s="1351"/>
    </row>
    <row r="80" spans="2:16" ht="16.5" customHeight="1">
      <c r="B80" s="1294"/>
      <c r="C80" s="1285"/>
      <c r="D80" s="1285"/>
      <c r="E80" s="1295"/>
      <c r="F80" s="1285"/>
      <c r="H80" s="1382" t="s">
        <v>6762</v>
      </c>
      <c r="I80" s="1352"/>
      <c r="J80" s="1383" t="s">
        <v>6763</v>
      </c>
      <c r="K80" s="1383" t="s">
        <v>6764</v>
      </c>
      <c r="L80" s="1351"/>
      <c r="M80" s="1351"/>
      <c r="N80" s="1351"/>
      <c r="O80" s="1351"/>
      <c r="P80" s="1351"/>
    </row>
    <row r="81" spans="2:16" ht="16.5" customHeight="1">
      <c r="B81" s="1294"/>
      <c r="C81" s="1285"/>
      <c r="D81" s="1285"/>
      <c r="E81" s="1295"/>
      <c r="F81" s="1285"/>
      <c r="H81" s="1382"/>
      <c r="I81" s="1352"/>
      <c r="J81" s="1383" t="s">
        <v>6765</v>
      </c>
      <c r="K81" s="1383" t="s">
        <v>6764</v>
      </c>
      <c r="L81" s="1351"/>
      <c r="M81" s="1351"/>
      <c r="N81" s="1351"/>
      <c r="O81" s="1351"/>
      <c r="P81" s="1351"/>
    </row>
    <row r="82" spans="2:16" ht="16.5" customHeight="1">
      <c r="B82" s="1294"/>
      <c r="C82" s="1285"/>
      <c r="D82" s="1285"/>
      <c r="E82" s="1295"/>
      <c r="F82" s="1285"/>
      <c r="H82" s="1384"/>
      <c r="I82" s="1385"/>
      <c r="J82" s="1386" t="s">
        <v>6766</v>
      </c>
      <c r="K82" s="1387" t="s">
        <v>6764</v>
      </c>
      <c r="L82" s="1351"/>
      <c r="M82" s="1351"/>
      <c r="N82" s="1351"/>
      <c r="O82" s="1351"/>
      <c r="P82" s="1351"/>
    </row>
    <row r="83" spans="2:16" ht="16.5" customHeight="1">
      <c r="B83" s="1294"/>
      <c r="C83" s="1285"/>
      <c r="D83" s="1285"/>
      <c r="E83" s="1295"/>
      <c r="F83" s="1285"/>
      <c r="H83" s="1388" t="s">
        <v>6767</v>
      </c>
      <c r="I83" s="1389"/>
      <c r="J83" s="1390" t="s">
        <v>6768</v>
      </c>
      <c r="K83" s="1390" t="s">
        <v>6764</v>
      </c>
      <c r="L83" s="1351"/>
      <c r="M83" s="1351"/>
      <c r="N83" s="1351"/>
      <c r="O83" s="1351"/>
      <c r="P83" s="1351"/>
    </row>
    <row r="84" spans="2:16" ht="16.5" customHeight="1">
      <c r="B84" s="1294"/>
      <c r="C84" s="1285"/>
      <c r="D84" s="1285"/>
      <c r="E84" s="1295"/>
      <c r="F84" s="1285"/>
      <c r="H84" s="1391"/>
      <c r="I84" s="1351"/>
      <c r="J84" s="1383" t="s">
        <v>6769</v>
      </c>
      <c r="K84" s="1392" t="s">
        <v>6770</v>
      </c>
      <c r="L84" s="1351"/>
      <c r="M84" s="1351"/>
      <c r="N84" s="1351"/>
      <c r="O84" s="1351"/>
      <c r="P84" s="1351"/>
    </row>
    <row r="85" spans="2:16" ht="16.5" customHeight="1">
      <c r="B85" s="1294"/>
      <c r="C85" s="1285"/>
      <c r="D85" s="1285"/>
      <c r="E85" s="1295"/>
      <c r="F85" s="1285"/>
      <c r="H85" s="1384"/>
      <c r="I85" s="1385"/>
      <c r="J85" s="1393" t="s">
        <v>6771</v>
      </c>
      <c r="K85" s="1386" t="s">
        <v>6770</v>
      </c>
      <c r="L85" s="1351"/>
      <c r="M85" s="1351"/>
      <c r="N85" s="1351"/>
      <c r="O85" s="1351"/>
      <c r="P85" s="1351"/>
    </row>
    <row r="86" spans="2:16" ht="16.5" customHeight="1">
      <c r="B86" s="1294"/>
      <c r="C86" s="1285"/>
      <c r="D86" s="1285"/>
      <c r="E86" s="1295"/>
      <c r="F86" s="1285"/>
      <c r="H86" s="1382" t="s">
        <v>6772</v>
      </c>
      <c r="I86" s="1351"/>
      <c r="J86" s="1394" t="s">
        <v>6773</v>
      </c>
      <c r="K86" s="1392" t="s">
        <v>6774</v>
      </c>
      <c r="L86" s="1351"/>
      <c r="M86" s="1351"/>
      <c r="N86" s="1351"/>
      <c r="O86" s="1351"/>
      <c r="P86" s="1351"/>
    </row>
    <row r="87" spans="2:16" ht="16.5" customHeight="1">
      <c r="B87" s="1294"/>
      <c r="C87" s="1285"/>
      <c r="D87" s="1285"/>
      <c r="E87" s="1295"/>
      <c r="F87" s="1285"/>
      <c r="H87" s="1391"/>
      <c r="I87" s="1351"/>
      <c r="J87" s="1394" t="s">
        <v>6775</v>
      </c>
      <c r="K87" s="1392" t="s">
        <v>6774</v>
      </c>
      <c r="L87" s="1351"/>
      <c r="M87" s="1351"/>
      <c r="N87" s="1351"/>
      <c r="O87" s="1351"/>
      <c r="P87" s="1351"/>
    </row>
    <row r="88" spans="2:16" ht="16.5" customHeight="1">
      <c r="B88" s="1294"/>
      <c r="C88" s="1285"/>
      <c r="D88" s="1285"/>
      <c r="E88" s="1295"/>
      <c r="F88" s="1285"/>
      <c r="H88" s="1384"/>
      <c r="I88" s="1385"/>
      <c r="J88" s="1386" t="s">
        <v>6776</v>
      </c>
      <c r="K88" s="1386" t="s">
        <v>6777</v>
      </c>
      <c r="L88" s="1351"/>
      <c r="M88" s="1351"/>
      <c r="N88" s="1351"/>
      <c r="O88" s="1351"/>
      <c r="P88" s="1351"/>
    </row>
    <row r="89" spans="2:16" ht="16.5" customHeight="1">
      <c r="B89" s="1294"/>
      <c r="C89" s="1285"/>
      <c r="D89" s="1285"/>
      <c r="E89" s="1295"/>
      <c r="F89" s="1285"/>
      <c r="H89" s="1395"/>
      <c r="I89" s="1351"/>
      <c r="J89" s="1351"/>
      <c r="K89" s="1351"/>
      <c r="L89" s="1351"/>
      <c r="M89" s="1351"/>
      <c r="N89" s="1351"/>
      <c r="O89" s="1351"/>
      <c r="P89" s="1351"/>
    </row>
    <row r="90" spans="2:16" ht="16.5" customHeight="1">
      <c r="B90" s="1294"/>
      <c r="C90" s="1285"/>
      <c r="D90" s="1285"/>
      <c r="E90" s="1295"/>
      <c r="F90" s="1285"/>
    </row>
    <row r="91" spans="2:16" ht="16.5" customHeight="1">
      <c r="B91" s="1294"/>
      <c r="C91" s="1285"/>
      <c r="D91" s="1285"/>
      <c r="E91" s="1295"/>
      <c r="F91" s="1285"/>
    </row>
    <row r="92" spans="2:16" ht="16.5" customHeight="1">
      <c r="B92" s="1294"/>
      <c r="C92" s="1285"/>
      <c r="D92" s="1285"/>
      <c r="E92" s="1295"/>
      <c r="F92" s="1285"/>
    </row>
    <row r="93" spans="2:16" ht="16.5" customHeight="1">
      <c r="B93" s="1294"/>
      <c r="C93" s="1285"/>
      <c r="D93" s="1285"/>
      <c r="E93" s="1295"/>
      <c r="F93" s="1285"/>
    </row>
    <row r="94" spans="2:16" ht="16.5" customHeight="1">
      <c r="B94" s="1294"/>
      <c r="C94" s="1285"/>
      <c r="D94" s="1285"/>
      <c r="E94" s="1295"/>
      <c r="F94" s="1285"/>
    </row>
    <row r="95" spans="2:16" ht="16.5" customHeight="1">
      <c r="B95" s="1294"/>
      <c r="C95" s="1285"/>
      <c r="D95" s="1285"/>
      <c r="E95" s="1295"/>
      <c r="F95" s="1285"/>
    </row>
    <row r="96" spans="2:16" ht="16.5" customHeight="1">
      <c r="B96" s="1294"/>
      <c r="C96" s="1285"/>
      <c r="D96" s="1285"/>
      <c r="E96" s="1295"/>
      <c r="F96" s="1285"/>
    </row>
    <row r="97" spans="2:6" ht="16.5" customHeight="1">
      <c r="B97" s="1294"/>
      <c r="C97" s="1285"/>
      <c r="D97" s="1285"/>
      <c r="E97" s="1295"/>
      <c r="F97" s="1285"/>
    </row>
    <row r="98" spans="2:6" ht="16.5" customHeight="1">
      <c r="B98" s="1294"/>
      <c r="C98" s="1285"/>
      <c r="D98" s="1285"/>
      <c r="E98" s="1295"/>
      <c r="F98" s="1285"/>
    </row>
    <row r="99" spans="2:6" ht="16.5" customHeight="1">
      <c r="B99" s="1294"/>
      <c r="C99" s="1285"/>
      <c r="D99" s="1285"/>
      <c r="E99" s="1295"/>
      <c r="F99" s="1285"/>
    </row>
    <row r="100" spans="2:6" ht="16.5" customHeight="1">
      <c r="B100" s="1294"/>
      <c r="C100" s="1285"/>
      <c r="D100" s="1285"/>
      <c r="E100" s="1295"/>
      <c r="F100" s="1285"/>
    </row>
    <row r="101" spans="2:6" ht="16.5" customHeight="1">
      <c r="B101" s="1294"/>
      <c r="C101" s="1285"/>
      <c r="D101" s="1285"/>
      <c r="E101" s="1295"/>
      <c r="F101" s="1285"/>
    </row>
    <row r="102" spans="2:6" ht="16.5" customHeight="1">
      <c r="B102" s="1294"/>
      <c r="C102" s="1285"/>
      <c r="D102" s="1285"/>
      <c r="E102" s="1295"/>
      <c r="F102" s="1285"/>
    </row>
    <row r="103" spans="2:6" ht="16.5" customHeight="1">
      <c r="B103" s="1294"/>
      <c r="C103" s="1285"/>
      <c r="D103" s="1285"/>
      <c r="E103" s="1295"/>
      <c r="F103" s="1285"/>
    </row>
    <row r="104" spans="2:6" ht="16.5" customHeight="1">
      <c r="B104" s="1294"/>
      <c r="C104" s="1285"/>
      <c r="D104" s="1285"/>
      <c r="E104" s="1295"/>
      <c r="F104" s="1285"/>
    </row>
    <row r="105" spans="2:6" ht="16.5" customHeight="1">
      <c r="B105" s="1294"/>
      <c r="C105" s="1285"/>
      <c r="D105" s="1285"/>
      <c r="E105" s="1295"/>
      <c r="F105" s="1285"/>
    </row>
    <row r="106" spans="2:6" ht="16.5" customHeight="1">
      <c r="B106" s="1294"/>
      <c r="C106" s="1285"/>
      <c r="D106" s="1285"/>
      <c r="E106" s="1295"/>
      <c r="F106" s="1285"/>
    </row>
    <row r="107" spans="2:6" ht="16.5" customHeight="1">
      <c r="B107" s="1294"/>
      <c r="C107" s="1285"/>
      <c r="D107" s="1285"/>
      <c r="E107" s="1295"/>
      <c r="F107" s="1285"/>
    </row>
    <row r="108" spans="2:6" ht="16.5" customHeight="1">
      <c r="B108" s="1294"/>
      <c r="C108" s="1285"/>
      <c r="D108" s="1285"/>
      <c r="E108" s="1295"/>
      <c r="F108" s="1285"/>
    </row>
    <row r="109" spans="2:6" ht="16.5" customHeight="1">
      <c r="B109" s="1294"/>
      <c r="C109" s="1285"/>
      <c r="D109" s="1285"/>
      <c r="E109" s="1295"/>
      <c r="F109" s="1285"/>
    </row>
    <row r="110" spans="2:6" ht="16.5" customHeight="1">
      <c r="B110" s="1294"/>
      <c r="C110" s="1285"/>
      <c r="D110" s="1285"/>
      <c r="E110" s="1295"/>
      <c r="F110" s="1285"/>
    </row>
    <row r="111" spans="2:6" ht="16.5" customHeight="1">
      <c r="B111" s="1294"/>
      <c r="C111" s="1285"/>
      <c r="D111" s="1285"/>
      <c r="E111" s="1295"/>
      <c r="F111" s="1285"/>
    </row>
    <row r="112" spans="2:6" ht="16.5" customHeight="1">
      <c r="B112" s="1294"/>
      <c r="C112" s="1285"/>
      <c r="D112" s="1285"/>
      <c r="E112" s="1295"/>
      <c r="F112" s="1285"/>
    </row>
    <row r="113" spans="2:6" ht="16.5" customHeight="1">
      <c r="B113" s="1294"/>
      <c r="C113" s="1285"/>
      <c r="D113" s="1285"/>
      <c r="E113" s="1295"/>
      <c r="F113" s="1285"/>
    </row>
    <row r="114" spans="2:6" ht="16.5" customHeight="1">
      <c r="B114" s="1294"/>
      <c r="C114" s="1285"/>
      <c r="D114" s="1285"/>
      <c r="E114" s="1295"/>
      <c r="F114" s="1285"/>
    </row>
    <row r="115" spans="2:6" ht="16.5" customHeight="1">
      <c r="B115" s="1294"/>
      <c r="C115" s="1285"/>
      <c r="D115" s="1285"/>
      <c r="E115" s="1295"/>
      <c r="F115" s="1285"/>
    </row>
    <row r="116" spans="2:6" ht="16.5" customHeight="1">
      <c r="B116" s="1294"/>
      <c r="C116" s="1285"/>
      <c r="D116" s="1285"/>
      <c r="E116" s="1295"/>
      <c r="F116" s="1285"/>
    </row>
    <row r="117" spans="2:6" ht="16.5" customHeight="1">
      <c r="B117" s="1294"/>
      <c r="C117" s="1285"/>
      <c r="D117" s="1285"/>
      <c r="E117" s="1295"/>
      <c r="F117" s="1285"/>
    </row>
  </sheetData>
  <sheetProtection algorithmName="SHA-512" hashValue="uMSMaDtsuvDFyF/RkDazmo3Ssv2rPzHKww7tiqHp1a1qqdOXlvIOY8wL/Ry5Fve3TUdMj5TUyNpDs6CO79DG/A==" saltValue="EreF8x0Y6mggalboN936ag==" spinCount="100000" sheet="1" objects="1" scenarios="1"/>
  <mergeCells count="11">
    <mergeCell ref="R33:R34"/>
    <mergeCell ref="S33:S34"/>
    <mergeCell ref="H79:J79"/>
    <mergeCell ref="B1:B2"/>
    <mergeCell ref="H4:H5"/>
    <mergeCell ref="P7:R7"/>
    <mergeCell ref="S9:S10"/>
    <mergeCell ref="H10:L10"/>
    <mergeCell ref="I13:I15"/>
    <mergeCell ref="J13:J14"/>
    <mergeCell ref="K13:K14"/>
  </mergeCells>
  <phoneticPr fontId="4" type="noConversion"/>
  <pageMargins left="0.7" right="0.7" top="0.75" bottom="0.75" header="0.3" footer="0.3"/>
  <headerFooter>
    <oddFooter>&amp;L_x000D_&amp;1#&amp;"Calibri"&amp;8&amp;K000000 jisunan@shinsegae.com, 안지선(파트너) - 모바일마케팅팀, 통합 문서2, 2024-03-04T13:16:12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543C7-8B11-4FC8-B37D-EE26207B5318}">
  <sheetPr>
    <tabColor theme="6" tint="0.39997558519241921"/>
  </sheetPr>
  <dimension ref="A1:R411"/>
  <sheetViews>
    <sheetView showGridLines="0" tabSelected="1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G17" sqref="G17"/>
    </sheetView>
  </sheetViews>
  <sheetFormatPr defaultColWidth="8.75" defaultRowHeight="12" customHeight="1" outlineLevelRow="1"/>
  <cols>
    <col min="1" max="1" width="5.75" style="1109" customWidth="1"/>
    <col min="2" max="2" width="5.875" style="1108" bestFit="1" customWidth="1"/>
    <col min="3" max="3" width="6.75" style="1108" bestFit="1" customWidth="1"/>
    <col min="4" max="4" width="5.75" style="1108" bestFit="1" customWidth="1"/>
    <col min="5" max="5" width="32.5" style="1108" bestFit="1" customWidth="1"/>
    <col min="6" max="6" width="26.25" style="1108" customWidth="1"/>
    <col min="7" max="7" width="9.125" style="1109" customWidth="1"/>
    <col min="8" max="8" width="10.625" style="1109" bestFit="1" customWidth="1"/>
    <col min="9" max="9" width="10" style="1109" bestFit="1" customWidth="1"/>
    <col min="10" max="10" width="9.375" style="1109" bestFit="1" customWidth="1"/>
    <col min="11" max="11" width="11.375" style="1282" customWidth="1"/>
    <col min="12" max="12" width="10.125" style="1282" customWidth="1"/>
    <col min="13" max="13" width="10.75" style="1282" customWidth="1"/>
    <col min="14" max="14" width="62" style="1109" bestFit="1" customWidth="1"/>
    <col min="15" max="15" width="57.625" style="1109" bestFit="1" customWidth="1"/>
    <col min="16" max="16" width="56.25" style="1109" bestFit="1" customWidth="1"/>
    <col min="17" max="17" width="72.25" style="1109" bestFit="1" customWidth="1"/>
    <col min="18" max="18" width="220.375" style="1108" bestFit="1" customWidth="1"/>
    <col min="19" max="16384" width="8.75" style="1108"/>
  </cols>
  <sheetData>
    <row r="1" spans="1:18" s="1086" customFormat="1" ht="19.5">
      <c r="A1" s="1084"/>
      <c r="B1" s="1085"/>
      <c r="E1" s="1087" t="s">
        <v>6088</v>
      </c>
      <c r="F1" s="1087"/>
      <c r="G1" s="1088"/>
      <c r="H1" s="1089"/>
      <c r="I1" s="1084"/>
      <c r="J1" s="1090"/>
      <c r="K1" s="1091"/>
      <c r="L1" s="1091"/>
      <c r="M1" s="1091"/>
      <c r="N1" s="1084"/>
      <c r="O1" s="1084"/>
      <c r="P1" s="1084"/>
      <c r="Q1" s="1084"/>
    </row>
    <row r="2" spans="1:18" s="1086" customFormat="1" ht="19.5">
      <c r="A2" s="1084"/>
      <c r="B2" s="1092"/>
      <c r="E2" s="1093" t="s">
        <v>6089</v>
      </c>
      <c r="F2" s="1093"/>
      <c r="G2" s="1094"/>
      <c r="H2" s="1084"/>
      <c r="I2" s="1084"/>
      <c r="J2" s="1095" t="s">
        <v>3216</v>
      </c>
      <c r="K2" s="1096" t="s">
        <v>6090</v>
      </c>
      <c r="L2" s="1097"/>
      <c r="M2" s="1098"/>
      <c r="N2" s="1099" t="s">
        <v>6091</v>
      </c>
      <c r="O2" s="1084"/>
      <c r="P2" s="1084"/>
      <c r="Q2" s="1099"/>
      <c r="R2" s="1100" t="s">
        <v>6092</v>
      </c>
    </row>
    <row r="3" spans="1:18" ht="42.6" customHeight="1">
      <c r="A3" s="1101" t="s">
        <v>6093</v>
      </c>
      <c r="B3" s="1101" t="s">
        <v>6094</v>
      </c>
      <c r="C3" s="1101" t="s">
        <v>6095</v>
      </c>
      <c r="D3" s="1102" t="s">
        <v>6096</v>
      </c>
      <c r="E3" s="1101" t="s">
        <v>4427</v>
      </c>
      <c r="F3" s="1103" t="s">
        <v>6097</v>
      </c>
      <c r="G3" s="1103" t="s">
        <v>6098</v>
      </c>
      <c r="H3" s="1101" t="s">
        <v>24</v>
      </c>
      <c r="I3" s="1103" t="s">
        <v>6099</v>
      </c>
      <c r="J3" s="1101" t="s">
        <v>3223</v>
      </c>
      <c r="K3" s="1104" t="s">
        <v>6100</v>
      </c>
      <c r="L3" s="1104" t="s">
        <v>6101</v>
      </c>
      <c r="M3" s="1104" t="s">
        <v>6102</v>
      </c>
      <c r="N3" s="1102" t="s">
        <v>6103</v>
      </c>
      <c r="O3" s="1101" t="s">
        <v>6104</v>
      </c>
      <c r="P3" s="1105" t="s">
        <v>6105</v>
      </c>
      <c r="Q3" s="1106" t="s">
        <v>6106</v>
      </c>
      <c r="R3" s="1107" t="s">
        <v>6107</v>
      </c>
    </row>
    <row r="4" spans="1:18" ht="19.149999999999999" customHeight="1" outlineLevel="1">
      <c r="A4" s="1109" t="s">
        <v>6108</v>
      </c>
      <c r="B4" s="1110" t="s">
        <v>6109</v>
      </c>
      <c r="C4" s="1111" t="s">
        <v>6110</v>
      </c>
      <c r="D4" s="1111" t="s">
        <v>6111</v>
      </c>
      <c r="E4" s="1112" t="s">
        <v>4520</v>
      </c>
      <c r="F4" s="1112"/>
      <c r="G4" s="1113">
        <v>400637</v>
      </c>
      <c r="H4" s="1113" t="s">
        <v>1109</v>
      </c>
      <c r="I4" s="1113" t="s">
        <v>3358</v>
      </c>
      <c r="J4" s="1113" t="s">
        <v>6112</v>
      </c>
      <c r="K4" s="1114">
        <v>6077379</v>
      </c>
      <c r="L4" s="1115">
        <v>28861401</v>
      </c>
      <c r="M4" s="1116">
        <v>52260107</v>
      </c>
      <c r="N4" s="1117" t="s">
        <v>6113</v>
      </c>
      <c r="O4" s="1113" t="s">
        <v>5160</v>
      </c>
      <c r="P4" s="1113" t="s">
        <v>6114</v>
      </c>
      <c r="Q4" s="1113" t="s">
        <v>6115</v>
      </c>
      <c r="R4" s="1118" t="s">
        <v>6116</v>
      </c>
    </row>
    <row r="5" spans="1:18" ht="19.149999999999999" customHeight="1" outlineLevel="1">
      <c r="A5" s="1109" t="s">
        <v>6108</v>
      </c>
      <c r="B5" s="1119"/>
      <c r="C5" s="1111" t="s">
        <v>6117</v>
      </c>
      <c r="D5" s="1111" t="s">
        <v>6118</v>
      </c>
      <c r="E5" s="1112" t="s">
        <v>3235</v>
      </c>
      <c r="F5" s="1112"/>
      <c r="G5" s="1113">
        <v>426664</v>
      </c>
      <c r="H5" s="1113" t="s">
        <v>137</v>
      </c>
      <c r="I5" s="1117" t="s">
        <v>3247</v>
      </c>
      <c r="J5" s="1120" t="s">
        <v>6119</v>
      </c>
      <c r="K5" s="1121">
        <v>65860341</v>
      </c>
      <c r="L5" s="1122">
        <v>79508085</v>
      </c>
      <c r="M5" s="1123">
        <v>63835075</v>
      </c>
      <c r="N5" s="1117" t="s">
        <v>6120</v>
      </c>
      <c r="O5" s="1113" t="s">
        <v>6121</v>
      </c>
      <c r="P5" s="1113" t="s">
        <v>6122</v>
      </c>
      <c r="Q5" s="1124" t="s">
        <v>6123</v>
      </c>
      <c r="R5" s="1125" t="s">
        <v>6124</v>
      </c>
    </row>
    <row r="6" spans="1:18" ht="17.45" customHeight="1" outlineLevel="1">
      <c r="A6" s="1109" t="s">
        <v>6108</v>
      </c>
      <c r="B6" s="1119"/>
      <c r="C6" s="1111" t="s">
        <v>6125</v>
      </c>
      <c r="D6" s="1126" t="s">
        <v>6126</v>
      </c>
      <c r="E6" s="1112" t="s">
        <v>3252</v>
      </c>
      <c r="F6" s="1112"/>
      <c r="G6" s="1127">
        <v>400976</v>
      </c>
      <c r="H6" s="1113" t="s">
        <v>264</v>
      </c>
      <c r="I6" s="1117" t="s">
        <v>6127</v>
      </c>
      <c r="J6" s="1113" t="s">
        <v>6128</v>
      </c>
      <c r="K6" s="1128" t="s">
        <v>6129</v>
      </c>
      <c r="L6" s="1129" t="s">
        <v>6129</v>
      </c>
      <c r="M6" s="1123">
        <v>0</v>
      </c>
      <c r="N6" s="1117" t="s">
        <v>6130</v>
      </c>
      <c r="O6" s="1113" t="s">
        <v>6131</v>
      </c>
      <c r="P6" s="1113" t="s">
        <v>6132</v>
      </c>
      <c r="Q6" s="1124" t="s">
        <v>6133</v>
      </c>
      <c r="R6" s="1130" t="s">
        <v>6134</v>
      </c>
    </row>
    <row r="7" spans="1:18" ht="19.149999999999999" customHeight="1" outlineLevel="1">
      <c r="A7" s="1109" t="s">
        <v>6108</v>
      </c>
      <c r="B7" s="1119"/>
      <c r="C7" s="1111" t="s">
        <v>6135</v>
      </c>
      <c r="D7" s="1111" t="s">
        <v>6136</v>
      </c>
      <c r="E7" s="1112" t="s">
        <v>3406</v>
      </c>
      <c r="F7" s="1112"/>
      <c r="G7" s="1113">
        <v>406956</v>
      </c>
      <c r="H7" s="1113" t="s">
        <v>137</v>
      </c>
      <c r="I7" s="1117" t="s">
        <v>3358</v>
      </c>
      <c r="J7" s="1113" t="s">
        <v>6137</v>
      </c>
      <c r="K7" s="1128" t="s">
        <v>6129</v>
      </c>
      <c r="L7" s="1122">
        <v>1365745</v>
      </c>
      <c r="M7" s="1123">
        <v>91972291</v>
      </c>
      <c r="N7" s="1117" t="s">
        <v>6138</v>
      </c>
      <c r="O7" s="1113" t="s">
        <v>6139</v>
      </c>
      <c r="P7" s="1113" t="s">
        <v>6140</v>
      </c>
      <c r="Q7" s="1124" t="s">
        <v>6141</v>
      </c>
      <c r="R7" s="1118" t="s">
        <v>6142</v>
      </c>
    </row>
    <row r="8" spans="1:18" ht="17.45" customHeight="1" outlineLevel="1">
      <c r="A8" s="1109" t="s">
        <v>6108</v>
      </c>
      <c r="B8" s="1119"/>
      <c r="C8" s="1111" t="s">
        <v>6143</v>
      </c>
      <c r="D8" s="1111" t="s">
        <v>6144</v>
      </c>
      <c r="E8" s="1112" t="s">
        <v>4369</v>
      </c>
      <c r="F8" s="1112"/>
      <c r="G8" s="1113">
        <v>402289</v>
      </c>
      <c r="H8" s="1113" t="s">
        <v>264</v>
      </c>
      <c r="I8" s="1117" t="s">
        <v>6127</v>
      </c>
      <c r="J8" s="1113" t="s">
        <v>6128</v>
      </c>
      <c r="K8" s="1121">
        <v>1319071</v>
      </c>
      <c r="L8" s="1122">
        <v>2889448</v>
      </c>
      <c r="M8" s="1123">
        <v>91972291</v>
      </c>
      <c r="N8" s="1117" t="s">
        <v>6145</v>
      </c>
      <c r="O8" s="1113" t="s">
        <v>6146</v>
      </c>
      <c r="P8" s="1113" t="s">
        <v>6147</v>
      </c>
      <c r="Q8" s="1124" t="s">
        <v>6148</v>
      </c>
      <c r="R8" s="1118" t="s">
        <v>6149</v>
      </c>
    </row>
    <row r="9" spans="1:18" ht="17.45" customHeight="1" outlineLevel="1">
      <c r="A9" s="1109" t="s">
        <v>6108</v>
      </c>
      <c r="B9" s="1119"/>
      <c r="C9" s="1111" t="s">
        <v>6150</v>
      </c>
      <c r="D9" s="1126" t="s">
        <v>6151</v>
      </c>
      <c r="E9" s="1131" t="s">
        <v>3413</v>
      </c>
      <c r="F9" s="1131"/>
      <c r="G9" s="1117">
        <v>402008</v>
      </c>
      <c r="H9" s="1117" t="s">
        <v>331</v>
      </c>
      <c r="I9" s="1117" t="s">
        <v>3358</v>
      </c>
      <c r="J9" s="1117" t="s">
        <v>6152</v>
      </c>
      <c r="K9" s="1121">
        <v>2028533</v>
      </c>
      <c r="L9" s="1122">
        <v>4768794</v>
      </c>
      <c r="M9" s="1123">
        <v>7864393</v>
      </c>
      <c r="N9" s="1117" t="s">
        <v>6153</v>
      </c>
      <c r="O9" s="1117" t="s">
        <v>6154</v>
      </c>
      <c r="P9" s="1117" t="s">
        <v>6155</v>
      </c>
      <c r="Q9" s="1132" t="s">
        <v>6156</v>
      </c>
      <c r="R9" s="1130" t="s">
        <v>6157</v>
      </c>
    </row>
    <row r="10" spans="1:18" ht="17.45" customHeight="1" outlineLevel="1">
      <c r="A10" s="1109" t="s">
        <v>6108</v>
      </c>
      <c r="B10" s="1119"/>
      <c r="C10" s="1133" t="s">
        <v>6158</v>
      </c>
      <c r="D10" s="1111" t="s">
        <v>6118</v>
      </c>
      <c r="E10" s="1131" t="s">
        <v>4295</v>
      </c>
      <c r="F10" s="1131"/>
      <c r="G10" s="1117">
        <v>402181</v>
      </c>
      <c r="H10" s="1117" t="s">
        <v>165</v>
      </c>
      <c r="I10" s="1117" t="s">
        <v>3247</v>
      </c>
      <c r="J10" s="1117" t="s">
        <v>6159</v>
      </c>
      <c r="K10" s="1134">
        <v>25535083</v>
      </c>
      <c r="L10" s="1135">
        <v>17745537</v>
      </c>
      <c r="M10" s="1136">
        <v>14825582</v>
      </c>
      <c r="N10" s="1117" t="s">
        <v>6160</v>
      </c>
      <c r="O10" s="1117" t="s">
        <v>6161</v>
      </c>
      <c r="P10" s="1117" t="s">
        <v>6162</v>
      </c>
      <c r="Q10" s="1132" t="s">
        <v>6163</v>
      </c>
      <c r="R10" s="1137" t="s">
        <v>6164</v>
      </c>
    </row>
    <row r="11" spans="1:18" s="1148" customFormat="1" ht="17.45" customHeight="1" outlineLevel="1">
      <c r="A11" s="1138" t="s">
        <v>3358</v>
      </c>
      <c r="B11" s="1139"/>
      <c r="C11" s="1140" t="s">
        <v>6165</v>
      </c>
      <c r="D11" s="1140" t="s">
        <v>6166</v>
      </c>
      <c r="E11" s="1141" t="s">
        <v>3661</v>
      </c>
      <c r="F11" s="1141"/>
      <c r="G11" s="1142"/>
      <c r="H11" s="1142" t="s">
        <v>185</v>
      </c>
      <c r="I11" s="1142" t="s">
        <v>3358</v>
      </c>
      <c r="J11" s="1142" t="s">
        <v>6128</v>
      </c>
      <c r="K11" s="1143" t="s">
        <v>252</v>
      </c>
      <c r="L11" s="1144" t="s">
        <v>252</v>
      </c>
      <c r="M11" s="1145" t="s">
        <v>252</v>
      </c>
      <c r="N11" s="1142" t="s">
        <v>6167</v>
      </c>
      <c r="O11" s="1142" t="s">
        <v>6168</v>
      </c>
      <c r="P11" s="1142" t="s">
        <v>6169</v>
      </c>
      <c r="Q11" s="1146" t="s">
        <v>6170</v>
      </c>
      <c r="R11" s="1147" t="s">
        <v>6171</v>
      </c>
    </row>
    <row r="12" spans="1:18" ht="17.45" customHeight="1" outlineLevel="1">
      <c r="A12" s="1109" t="s">
        <v>6108</v>
      </c>
      <c r="B12" s="1119"/>
      <c r="C12" s="1111" t="s">
        <v>6172</v>
      </c>
      <c r="D12" s="1111" t="s">
        <v>6173</v>
      </c>
      <c r="E12" s="1131" t="s">
        <v>4216</v>
      </c>
      <c r="F12" s="1131"/>
      <c r="G12" s="1117">
        <v>419845</v>
      </c>
      <c r="H12" s="1117" t="s">
        <v>165</v>
      </c>
      <c r="I12" s="1117" t="s">
        <v>3247</v>
      </c>
      <c r="J12" s="1117" t="s">
        <v>6174</v>
      </c>
      <c r="K12" s="1121">
        <v>32872598</v>
      </c>
      <c r="L12" s="1122">
        <v>33938834</v>
      </c>
      <c r="M12" s="1123">
        <v>151439182</v>
      </c>
      <c r="N12" s="1117" t="s">
        <v>6175</v>
      </c>
      <c r="O12" s="1117" t="s">
        <v>6176</v>
      </c>
      <c r="P12" s="1117" t="s">
        <v>6177</v>
      </c>
      <c r="Q12" s="1132" t="s">
        <v>6178</v>
      </c>
      <c r="R12" s="1118" t="s">
        <v>6179</v>
      </c>
    </row>
    <row r="13" spans="1:18" ht="17.45" customHeight="1" outlineLevel="1">
      <c r="A13" s="1109" t="s">
        <v>6108</v>
      </c>
      <c r="B13" s="1119"/>
      <c r="C13" s="1133" t="s">
        <v>6180</v>
      </c>
      <c r="D13" s="1111" t="s">
        <v>6166</v>
      </c>
      <c r="E13" s="1131" t="s">
        <v>4220</v>
      </c>
      <c r="F13" s="1131"/>
      <c r="G13" s="1117">
        <v>414836</v>
      </c>
      <c r="H13" s="1117" t="s">
        <v>165</v>
      </c>
      <c r="I13" s="1117" t="s">
        <v>3247</v>
      </c>
      <c r="J13" s="1117" t="s">
        <v>6181</v>
      </c>
      <c r="K13" s="1149">
        <v>38406829</v>
      </c>
      <c r="L13" s="1135">
        <v>30468319</v>
      </c>
      <c r="M13" s="1136">
        <v>319182476</v>
      </c>
      <c r="N13" s="1117" t="s">
        <v>6160</v>
      </c>
      <c r="O13" s="1117" t="s">
        <v>6182</v>
      </c>
      <c r="P13" s="1117" t="s">
        <v>6183</v>
      </c>
      <c r="Q13" s="1132" t="s">
        <v>6184</v>
      </c>
      <c r="R13" s="1137" t="s">
        <v>6185</v>
      </c>
    </row>
    <row r="14" spans="1:18" s="1148" customFormat="1" ht="17.45" customHeight="1" outlineLevel="1">
      <c r="A14" s="1138" t="s">
        <v>3358</v>
      </c>
      <c r="B14" s="1139"/>
      <c r="C14" s="1140" t="s">
        <v>6186</v>
      </c>
      <c r="D14" s="1140" t="s">
        <v>6118</v>
      </c>
      <c r="E14" s="1141" t="s">
        <v>3352</v>
      </c>
      <c r="F14" s="1141"/>
      <c r="G14" s="1142">
        <v>400561</v>
      </c>
      <c r="H14" s="1142" t="s">
        <v>185</v>
      </c>
      <c r="I14" s="1150" t="s">
        <v>3247</v>
      </c>
      <c r="J14" s="1142" t="s">
        <v>6187</v>
      </c>
      <c r="K14" s="1143" t="s">
        <v>252</v>
      </c>
      <c r="L14" s="1144" t="s">
        <v>252</v>
      </c>
      <c r="M14" s="1145" t="s">
        <v>252</v>
      </c>
      <c r="N14" s="1142" t="s">
        <v>6188</v>
      </c>
      <c r="O14" s="1142" t="s">
        <v>6189</v>
      </c>
      <c r="P14" s="1151" t="s">
        <v>6190</v>
      </c>
      <c r="Q14" s="1146" t="s">
        <v>6191</v>
      </c>
      <c r="R14" s="1152" t="s">
        <v>6192</v>
      </c>
    </row>
    <row r="15" spans="1:18" s="1148" customFormat="1" ht="17.45" customHeight="1" outlineLevel="1">
      <c r="A15" s="1138" t="s">
        <v>6108</v>
      </c>
      <c r="B15" s="1139"/>
      <c r="C15" s="1140" t="s">
        <v>6193</v>
      </c>
      <c r="D15" s="1140" t="s">
        <v>6126</v>
      </c>
      <c r="E15" s="1153" t="s">
        <v>6194</v>
      </c>
      <c r="F15" s="1153"/>
      <c r="G15" s="1142"/>
      <c r="H15" s="1142" t="s">
        <v>331</v>
      </c>
      <c r="I15" s="1142"/>
      <c r="J15" s="1142"/>
      <c r="K15" s="1143" t="s">
        <v>252</v>
      </c>
      <c r="L15" s="1144" t="s">
        <v>252</v>
      </c>
      <c r="M15" s="1145" t="s">
        <v>252</v>
      </c>
      <c r="N15" s="1154" t="s">
        <v>3306</v>
      </c>
      <c r="O15" s="1142"/>
      <c r="P15" s="1142"/>
      <c r="Q15" s="1146"/>
      <c r="R15" s="1147"/>
    </row>
    <row r="16" spans="1:18" ht="17.45" customHeight="1" outlineLevel="1">
      <c r="A16" s="1109" t="s">
        <v>6108</v>
      </c>
      <c r="B16" s="1119"/>
      <c r="C16" s="1111" t="s">
        <v>6195</v>
      </c>
      <c r="D16" s="1111" t="s">
        <v>6136</v>
      </c>
      <c r="E16" s="1131" t="s">
        <v>6196</v>
      </c>
      <c r="F16" s="1131"/>
      <c r="G16" s="1117">
        <v>400362</v>
      </c>
      <c r="H16" s="1117" t="s">
        <v>264</v>
      </c>
      <c r="I16" s="1117" t="s">
        <v>3358</v>
      </c>
      <c r="J16" s="1113" t="s">
        <v>6128</v>
      </c>
      <c r="K16" s="1121">
        <v>-58147</v>
      </c>
      <c r="L16" s="1122">
        <v>1919173</v>
      </c>
      <c r="M16" s="1123">
        <v>6092079</v>
      </c>
      <c r="N16" s="1117" t="s">
        <v>6197</v>
      </c>
      <c r="O16" s="1117" t="s">
        <v>6198</v>
      </c>
      <c r="P16" s="1117" t="s">
        <v>6199</v>
      </c>
      <c r="Q16" s="1132" t="s">
        <v>6200</v>
      </c>
      <c r="R16" s="1130" t="s">
        <v>6201</v>
      </c>
    </row>
    <row r="17" spans="1:18" ht="17.45" customHeight="1" outlineLevel="1">
      <c r="A17" s="1109" t="s">
        <v>6108</v>
      </c>
      <c r="B17" s="1119"/>
      <c r="C17" s="1111" t="s">
        <v>6202</v>
      </c>
      <c r="D17" s="1111" t="s">
        <v>6144</v>
      </c>
      <c r="E17" s="1131" t="s">
        <v>3410</v>
      </c>
      <c r="F17" s="1131"/>
      <c r="G17" s="1117">
        <v>419587</v>
      </c>
      <c r="H17" s="1117" t="s">
        <v>137</v>
      </c>
      <c r="I17" s="1117" t="s">
        <v>3358</v>
      </c>
      <c r="J17" s="1117" t="s">
        <v>6137</v>
      </c>
      <c r="K17" s="1128" t="s">
        <v>6129</v>
      </c>
      <c r="L17" s="1122">
        <v>107710</v>
      </c>
      <c r="M17" s="1123">
        <v>2275720</v>
      </c>
      <c r="N17" s="1117" t="s">
        <v>6203</v>
      </c>
      <c r="O17" s="1117" t="s">
        <v>6204</v>
      </c>
      <c r="P17" s="1117" t="s">
        <v>6205</v>
      </c>
      <c r="Q17" s="1132" t="s">
        <v>6206</v>
      </c>
      <c r="R17" s="1118" t="s">
        <v>6207</v>
      </c>
    </row>
    <row r="18" spans="1:18" s="1148" customFormat="1" ht="17.45" customHeight="1" outlineLevel="1">
      <c r="A18" s="1155" t="s">
        <v>3358</v>
      </c>
      <c r="B18" s="1139"/>
      <c r="C18" s="1140" t="s">
        <v>6208</v>
      </c>
      <c r="D18" s="1140" t="s">
        <v>6151</v>
      </c>
      <c r="E18" s="1141" t="s">
        <v>6209</v>
      </c>
      <c r="F18" s="1141"/>
      <c r="G18" s="1142"/>
      <c r="H18" s="1156" t="s">
        <v>264</v>
      </c>
      <c r="I18" s="1142" t="s">
        <v>3247</v>
      </c>
      <c r="J18" s="1156" t="s">
        <v>6128</v>
      </c>
      <c r="K18" s="1157"/>
      <c r="L18" s="1157"/>
      <c r="M18" s="1157"/>
      <c r="N18" s="1142" t="s">
        <v>6210</v>
      </c>
      <c r="O18" s="1142" t="s">
        <v>6211</v>
      </c>
      <c r="P18" s="1142" t="s">
        <v>6212</v>
      </c>
      <c r="Q18" s="1146" t="s">
        <v>6213</v>
      </c>
    </row>
    <row r="19" spans="1:18" ht="17.45" customHeight="1" outlineLevel="1">
      <c r="A19" s="1109" t="s">
        <v>6108</v>
      </c>
      <c r="B19" s="1119"/>
      <c r="C19" s="1133" t="s">
        <v>6208</v>
      </c>
      <c r="D19" s="1126" t="s">
        <v>6151</v>
      </c>
      <c r="E19" s="1131" t="s">
        <v>3539</v>
      </c>
      <c r="F19" s="1131"/>
      <c r="G19" s="1117">
        <v>400272</v>
      </c>
      <c r="H19" s="1113" t="s">
        <v>795</v>
      </c>
      <c r="I19" s="1158" t="s">
        <v>3247</v>
      </c>
      <c r="J19" s="1159" t="s">
        <v>6187</v>
      </c>
      <c r="K19" s="1160">
        <v>17629109</v>
      </c>
      <c r="L19" s="1160">
        <v>191170995</v>
      </c>
      <c r="M19" s="1160">
        <v>615896896</v>
      </c>
      <c r="N19" s="1117" t="s">
        <v>6214</v>
      </c>
      <c r="O19" s="1161" t="s">
        <v>4835</v>
      </c>
      <c r="P19" s="1162" t="s">
        <v>6215</v>
      </c>
      <c r="Q19" s="1163" t="s">
        <v>6216</v>
      </c>
      <c r="R19" s="1164" t="s">
        <v>6217</v>
      </c>
    </row>
    <row r="20" spans="1:18" ht="17.45" customHeight="1" outlineLevel="1">
      <c r="A20" s="1109" t="s">
        <v>6108</v>
      </c>
      <c r="B20" s="1119"/>
      <c r="C20" s="1111" t="s">
        <v>6218</v>
      </c>
      <c r="D20" s="1111" t="s">
        <v>6166</v>
      </c>
      <c r="E20" s="1131" t="s">
        <v>3663</v>
      </c>
      <c r="F20" s="1131"/>
      <c r="G20" s="1117">
        <v>406840</v>
      </c>
      <c r="H20" s="1117" t="s">
        <v>185</v>
      </c>
      <c r="I20" s="1117" t="s">
        <v>3358</v>
      </c>
      <c r="J20" s="1117" t="s">
        <v>6128</v>
      </c>
      <c r="K20" s="1165">
        <v>1465793</v>
      </c>
      <c r="L20" s="1165">
        <v>28585893</v>
      </c>
      <c r="M20" s="1165">
        <v>152854649</v>
      </c>
      <c r="N20" s="1117" t="s">
        <v>6219</v>
      </c>
      <c r="O20" s="1117" t="s">
        <v>6220</v>
      </c>
      <c r="P20" s="1162" t="s">
        <v>6221</v>
      </c>
      <c r="Q20" s="1109" t="s">
        <v>6222</v>
      </c>
      <c r="R20" s="1164" t="s">
        <v>6223</v>
      </c>
    </row>
    <row r="21" spans="1:18" ht="17.45" customHeight="1" outlineLevel="1">
      <c r="A21" s="1109" t="s">
        <v>6108</v>
      </c>
      <c r="B21" s="1119"/>
      <c r="C21" s="1133" t="s">
        <v>6224</v>
      </c>
      <c r="D21" s="1111" t="s">
        <v>6173</v>
      </c>
      <c r="E21" s="1131" t="s">
        <v>6225</v>
      </c>
      <c r="F21" s="1131"/>
      <c r="G21" s="1117">
        <v>402443</v>
      </c>
      <c r="H21" s="1113" t="s">
        <v>264</v>
      </c>
      <c r="I21" s="1158" t="s">
        <v>3247</v>
      </c>
      <c r="J21" s="1113" t="s">
        <v>6128</v>
      </c>
      <c r="K21" s="1166">
        <v>434248</v>
      </c>
      <c r="L21" s="1166">
        <v>2461349</v>
      </c>
      <c r="M21" s="1166">
        <v>6359019</v>
      </c>
      <c r="N21" s="1117" t="s">
        <v>6226</v>
      </c>
      <c r="O21" s="1117" t="s">
        <v>6227</v>
      </c>
      <c r="P21" s="1117" t="s">
        <v>6228</v>
      </c>
      <c r="Q21" s="1132" t="s">
        <v>6229</v>
      </c>
      <c r="R21" s="1164" t="s">
        <v>6230</v>
      </c>
    </row>
    <row r="22" spans="1:18" s="1148" customFormat="1" ht="17.45" customHeight="1" outlineLevel="1">
      <c r="A22" s="1138" t="s">
        <v>3358</v>
      </c>
      <c r="B22" s="1139"/>
      <c r="C22" s="1140" t="s">
        <v>6224</v>
      </c>
      <c r="D22" s="1140" t="s">
        <v>6173</v>
      </c>
      <c r="E22" s="1141" t="s">
        <v>3534</v>
      </c>
      <c r="F22" s="1141"/>
      <c r="G22" s="1142">
        <v>401980</v>
      </c>
      <c r="H22" s="1142" t="s">
        <v>417</v>
      </c>
      <c r="I22" s="1150"/>
      <c r="J22" s="1142" t="s">
        <v>6128</v>
      </c>
      <c r="K22" s="1167"/>
      <c r="L22" s="1167"/>
      <c r="M22" s="1167"/>
      <c r="N22" s="1142" t="s">
        <v>6231</v>
      </c>
      <c r="O22" s="1142"/>
      <c r="P22" s="1142" t="s">
        <v>6232</v>
      </c>
      <c r="Q22" s="1146"/>
      <c r="R22" s="1168"/>
    </row>
    <row r="23" spans="1:18" ht="17.45" customHeight="1" outlineLevel="1">
      <c r="A23" s="1109" t="s">
        <v>6108</v>
      </c>
      <c r="B23" s="1119"/>
      <c r="C23" s="1133" t="s">
        <v>6233</v>
      </c>
      <c r="D23" s="1111" t="s">
        <v>6118</v>
      </c>
      <c r="E23" s="1131" t="s">
        <v>3553</v>
      </c>
      <c r="F23" s="1131"/>
      <c r="G23" s="1117">
        <v>436826</v>
      </c>
      <c r="H23" s="1117" t="s">
        <v>137</v>
      </c>
      <c r="I23" s="1158" t="s">
        <v>3358</v>
      </c>
      <c r="J23" s="1113" t="s">
        <v>6119</v>
      </c>
      <c r="K23" s="1166">
        <v>416802</v>
      </c>
      <c r="L23" s="1166">
        <v>8111166</v>
      </c>
      <c r="M23" s="1166">
        <v>2461349</v>
      </c>
      <c r="N23" s="1117" t="s">
        <v>6234</v>
      </c>
      <c r="O23" s="1117" t="s">
        <v>6235</v>
      </c>
      <c r="P23" s="1117" t="s">
        <v>6236</v>
      </c>
      <c r="Q23" s="1132" t="s">
        <v>6237</v>
      </c>
      <c r="R23" s="1125" t="s">
        <v>6124</v>
      </c>
    </row>
    <row r="24" spans="1:18" s="1148" customFormat="1" ht="17.45" customHeight="1" outlineLevel="1">
      <c r="A24" s="1138" t="s">
        <v>3358</v>
      </c>
      <c r="B24" s="1139"/>
      <c r="C24" s="1140" t="s">
        <v>6233</v>
      </c>
      <c r="D24" s="1140" t="s">
        <v>6118</v>
      </c>
      <c r="E24" s="1141" t="s">
        <v>3808</v>
      </c>
      <c r="F24" s="1141"/>
      <c r="G24" s="1142"/>
      <c r="H24" s="1142" t="s">
        <v>185</v>
      </c>
      <c r="I24" s="1150" t="s">
        <v>3358</v>
      </c>
      <c r="J24" s="1156" t="s">
        <v>6112</v>
      </c>
      <c r="K24" s="1169"/>
      <c r="L24" s="1169"/>
      <c r="M24" s="1169"/>
      <c r="N24" s="1142" t="s">
        <v>6238</v>
      </c>
      <c r="O24" s="1142" t="s">
        <v>6239</v>
      </c>
      <c r="P24" s="1142" t="s">
        <v>6240</v>
      </c>
      <c r="Q24" s="1146" t="s">
        <v>6241</v>
      </c>
      <c r="R24" s="1152" t="s">
        <v>6242</v>
      </c>
    </row>
    <row r="25" spans="1:18" ht="17.45" customHeight="1" outlineLevel="1">
      <c r="A25" s="1109" t="s">
        <v>6108</v>
      </c>
      <c r="B25" s="1119"/>
      <c r="C25" s="1111" t="s">
        <v>6243</v>
      </c>
      <c r="D25" s="1126" t="s">
        <v>6126</v>
      </c>
      <c r="E25" s="1131" t="s">
        <v>3990</v>
      </c>
      <c r="F25" s="1131"/>
      <c r="G25" s="1117">
        <v>407266</v>
      </c>
      <c r="H25" s="1117" t="s">
        <v>1109</v>
      </c>
      <c r="I25" s="1158"/>
      <c r="J25" s="1158" t="s">
        <v>6112</v>
      </c>
      <c r="K25" s="1170">
        <v>773260</v>
      </c>
      <c r="L25" s="1170">
        <v>6981125</v>
      </c>
      <c r="M25" s="1170">
        <v>33803723</v>
      </c>
      <c r="N25" s="1132" t="s">
        <v>4788</v>
      </c>
      <c r="O25" s="1117" t="s">
        <v>6244</v>
      </c>
      <c r="P25" s="1117" t="s">
        <v>6245</v>
      </c>
      <c r="Q25" s="1117" t="s">
        <v>6244</v>
      </c>
      <c r="R25" s="1171"/>
    </row>
    <row r="26" spans="1:18" ht="17.25" customHeight="1" outlineLevel="1">
      <c r="A26" s="1109" t="s">
        <v>6108</v>
      </c>
      <c r="B26" s="1119"/>
      <c r="C26" s="1111" t="s">
        <v>6246</v>
      </c>
      <c r="D26" s="1111" t="s">
        <v>6136</v>
      </c>
      <c r="E26" s="1131" t="s">
        <v>4414</v>
      </c>
      <c r="F26" s="1131"/>
      <c r="G26" s="1117">
        <v>419897</v>
      </c>
      <c r="H26" s="1117" t="s">
        <v>137</v>
      </c>
      <c r="I26" s="1158" t="s">
        <v>3358</v>
      </c>
      <c r="J26" s="1158" t="s">
        <v>6112</v>
      </c>
      <c r="K26" s="1170">
        <v>331199</v>
      </c>
      <c r="L26" s="1170">
        <v>1683945</v>
      </c>
      <c r="M26" s="1170">
        <v>2827406</v>
      </c>
      <c r="N26" s="1132" t="s">
        <v>6203</v>
      </c>
      <c r="O26" s="1117" t="s">
        <v>6247</v>
      </c>
      <c r="P26" s="1117" t="s">
        <v>6248</v>
      </c>
      <c r="Q26" s="1132" t="s">
        <v>6249</v>
      </c>
      <c r="R26" s="1172" t="s">
        <v>6250</v>
      </c>
    </row>
    <row r="27" spans="1:18" ht="17.45" customHeight="1" outlineLevel="1">
      <c r="A27" s="1109" t="s">
        <v>6108</v>
      </c>
      <c r="B27" s="1119"/>
      <c r="C27" s="1111" t="s">
        <v>6251</v>
      </c>
      <c r="D27" s="1111" t="s">
        <v>6144</v>
      </c>
      <c r="E27" s="1131" t="s">
        <v>3745</v>
      </c>
      <c r="F27" s="1131"/>
      <c r="G27" s="1117">
        <v>426318</v>
      </c>
      <c r="H27" s="1113" t="s">
        <v>264</v>
      </c>
      <c r="I27" s="1158" t="s">
        <v>3358</v>
      </c>
      <c r="J27" s="1173" t="s">
        <v>6128</v>
      </c>
      <c r="K27" s="1170">
        <v>572401</v>
      </c>
      <c r="L27" s="1170">
        <v>1810846</v>
      </c>
      <c r="M27" s="1170">
        <v>9342306</v>
      </c>
      <c r="N27" s="1132" t="s">
        <v>6252</v>
      </c>
      <c r="O27" s="1117" t="s">
        <v>6253</v>
      </c>
      <c r="P27" s="1117" t="s">
        <v>6254</v>
      </c>
      <c r="Q27" s="1132" t="s">
        <v>6255</v>
      </c>
      <c r="R27" s="1130" t="s">
        <v>6256</v>
      </c>
    </row>
    <row r="28" spans="1:18" ht="17.45" customHeight="1" outlineLevel="1">
      <c r="A28" s="1109" t="s">
        <v>6108</v>
      </c>
      <c r="B28" s="1119"/>
      <c r="C28" s="1133" t="s">
        <v>6257</v>
      </c>
      <c r="D28" s="1126" t="s">
        <v>6151</v>
      </c>
      <c r="E28" s="1131" t="s">
        <v>3540</v>
      </c>
      <c r="F28" s="1174"/>
      <c r="G28" s="1158">
        <v>422284</v>
      </c>
      <c r="H28" s="1158" t="s">
        <v>795</v>
      </c>
      <c r="I28" s="1117" t="s">
        <v>3247</v>
      </c>
      <c r="J28" s="1175" t="s">
        <v>6187</v>
      </c>
      <c r="K28" s="1170">
        <v>9359950</v>
      </c>
      <c r="L28" s="1170">
        <v>25582974</v>
      </c>
      <c r="M28" s="1170">
        <v>166500059</v>
      </c>
      <c r="N28" s="1176" t="s">
        <v>6258</v>
      </c>
      <c r="O28" s="1117" t="s">
        <v>6259</v>
      </c>
      <c r="P28" s="1177" t="s">
        <v>6260</v>
      </c>
      <c r="Q28" s="1132" t="s">
        <v>6261</v>
      </c>
      <c r="R28" s="1118" t="s">
        <v>6262</v>
      </c>
    </row>
    <row r="29" spans="1:18" s="1148" customFormat="1" ht="17.45" customHeight="1" outlineLevel="1">
      <c r="A29" s="1138" t="s">
        <v>3358</v>
      </c>
      <c r="B29" s="1139"/>
      <c r="C29" s="1140" t="s">
        <v>6263</v>
      </c>
      <c r="D29" s="1140" t="s">
        <v>6166</v>
      </c>
      <c r="E29" s="1141" t="s">
        <v>6264</v>
      </c>
      <c r="F29" s="1141"/>
      <c r="G29" s="1142">
        <v>426549</v>
      </c>
      <c r="H29" s="1156" t="s">
        <v>264</v>
      </c>
      <c r="I29" s="1150" t="s">
        <v>3358</v>
      </c>
      <c r="J29" s="1178" t="s">
        <v>6128</v>
      </c>
      <c r="K29" s="1179"/>
      <c r="L29" s="1179"/>
      <c r="M29" s="1179"/>
      <c r="N29" s="1180" t="s">
        <v>6226</v>
      </c>
      <c r="O29" s="1142" t="s">
        <v>6265</v>
      </c>
      <c r="P29" s="1181" t="s">
        <v>6266</v>
      </c>
      <c r="Q29" s="1146" t="s">
        <v>6267</v>
      </c>
      <c r="R29" s="1147" t="s">
        <v>6268</v>
      </c>
    </row>
    <row r="30" spans="1:18" ht="17.45" customHeight="1" outlineLevel="1">
      <c r="A30" s="1109" t="s">
        <v>6108</v>
      </c>
      <c r="B30" s="1119"/>
      <c r="C30" s="1133" t="s">
        <v>6263</v>
      </c>
      <c r="D30" s="1111" t="s">
        <v>6166</v>
      </c>
      <c r="E30" s="1131" t="s">
        <v>3352</v>
      </c>
      <c r="F30" s="1131"/>
      <c r="G30" s="1117">
        <v>400561</v>
      </c>
      <c r="H30" s="1117" t="s">
        <v>185</v>
      </c>
      <c r="I30" s="1158" t="s">
        <v>3247</v>
      </c>
      <c r="J30" s="1158" t="s">
        <v>6187</v>
      </c>
      <c r="K30" s="1170">
        <v>21058758</v>
      </c>
      <c r="L30" s="1170">
        <v>37668462</v>
      </c>
      <c r="M30" s="1170">
        <v>341047654</v>
      </c>
      <c r="N30" s="1132" t="s">
        <v>6188</v>
      </c>
      <c r="O30" s="1117" t="s">
        <v>6189</v>
      </c>
      <c r="P30" s="1162" t="s">
        <v>6190</v>
      </c>
      <c r="Q30" s="1132" t="s">
        <v>6191</v>
      </c>
      <c r="R30" s="1164" t="s">
        <v>6192</v>
      </c>
    </row>
    <row r="31" spans="1:18" ht="17.45" customHeight="1" outlineLevel="1">
      <c r="A31" s="1109" t="s">
        <v>6108</v>
      </c>
      <c r="B31" s="1119"/>
      <c r="C31" s="1111" t="s">
        <v>6269</v>
      </c>
      <c r="D31" s="1111" t="s">
        <v>6173</v>
      </c>
      <c r="E31" s="1131" t="s">
        <v>3804</v>
      </c>
      <c r="F31" s="1131"/>
      <c r="G31" s="1117">
        <v>406430</v>
      </c>
      <c r="H31" s="1117" t="s">
        <v>185</v>
      </c>
      <c r="I31" s="1158" t="s">
        <v>5144</v>
      </c>
      <c r="J31" s="1158" t="s">
        <v>6128</v>
      </c>
      <c r="K31" s="1170">
        <v>149525</v>
      </c>
      <c r="L31" s="1170">
        <v>95542659</v>
      </c>
      <c r="M31" s="1170">
        <v>828788614</v>
      </c>
      <c r="N31" s="1132" t="s">
        <v>6270</v>
      </c>
      <c r="O31" s="1117" t="s">
        <v>6271</v>
      </c>
      <c r="P31" s="1117" t="s">
        <v>6272</v>
      </c>
      <c r="Q31" s="1132" t="s">
        <v>6273</v>
      </c>
      <c r="R31" s="1164" t="s">
        <v>6274</v>
      </c>
    </row>
    <row r="32" spans="1:18" ht="17.45" customHeight="1" outlineLevel="1">
      <c r="A32" s="1109" t="s">
        <v>6108</v>
      </c>
      <c r="B32" s="1119"/>
      <c r="C32" s="1111" t="s">
        <v>6275</v>
      </c>
      <c r="D32" s="1111" t="s">
        <v>6118</v>
      </c>
      <c r="E32" s="1182" t="s">
        <v>6276</v>
      </c>
      <c r="F32" s="1182"/>
      <c r="G32" s="1117">
        <v>424643</v>
      </c>
      <c r="H32" s="1117" t="s">
        <v>910</v>
      </c>
      <c r="I32" s="1117" t="s">
        <v>3358</v>
      </c>
      <c r="J32" s="1158" t="s">
        <v>6112</v>
      </c>
      <c r="K32" s="1170">
        <v>316058</v>
      </c>
      <c r="L32" s="1170">
        <v>1819593</v>
      </c>
      <c r="M32" s="1170">
        <v>11743758</v>
      </c>
      <c r="N32" s="1132" t="s">
        <v>6277</v>
      </c>
      <c r="O32" s="1117" t="s">
        <v>6278</v>
      </c>
      <c r="P32" s="1117" t="s">
        <v>6279</v>
      </c>
      <c r="Q32" s="1132" t="s">
        <v>6280</v>
      </c>
      <c r="R32" s="1131"/>
    </row>
    <row r="33" spans="1:18" ht="17.45" customHeight="1" outlineLevel="1">
      <c r="A33" s="1138"/>
      <c r="B33" s="1119"/>
      <c r="C33" s="1111" t="s">
        <v>6281</v>
      </c>
      <c r="D33" s="1126" t="s">
        <v>6126</v>
      </c>
      <c r="E33" s="1141"/>
      <c r="F33" s="1141"/>
      <c r="G33" s="1142"/>
      <c r="H33" s="1142"/>
      <c r="I33" s="1142"/>
      <c r="J33" s="1142"/>
      <c r="K33" s="1183"/>
      <c r="L33" s="1183"/>
      <c r="M33" s="1183"/>
      <c r="N33" s="1142"/>
      <c r="O33" s="1142"/>
      <c r="P33" s="1142"/>
      <c r="Q33" s="1146"/>
      <c r="R33" s="1141"/>
    </row>
    <row r="34" spans="1:18" ht="17.45" customHeight="1" outlineLevel="1">
      <c r="A34" s="1138"/>
      <c r="B34" s="1119"/>
      <c r="C34" s="1111" t="s">
        <v>6282</v>
      </c>
      <c r="D34" s="1111" t="s">
        <v>6136</v>
      </c>
      <c r="E34" s="1141"/>
      <c r="F34" s="1148"/>
      <c r="G34" s="1138"/>
      <c r="H34" s="1138"/>
      <c r="I34" s="1142"/>
      <c r="J34" s="1142"/>
      <c r="K34" s="1157"/>
      <c r="L34" s="1157"/>
      <c r="M34" s="1157"/>
      <c r="N34" s="1142"/>
      <c r="O34" s="1142"/>
      <c r="P34" s="1142"/>
      <c r="Q34" s="1146"/>
      <c r="R34" s="1141"/>
    </row>
    <row r="35" spans="1:18" ht="17.45" customHeight="1" outlineLevel="1">
      <c r="A35" s="1109" t="s">
        <v>6108</v>
      </c>
      <c r="B35" s="1119"/>
      <c r="C35" s="1111" t="s">
        <v>6283</v>
      </c>
      <c r="D35" s="1111" t="s">
        <v>6284</v>
      </c>
      <c r="E35" s="1131" t="s">
        <v>3705</v>
      </c>
      <c r="F35" s="1131"/>
      <c r="G35" s="1117">
        <v>425266</v>
      </c>
      <c r="H35" s="1117" t="s">
        <v>137</v>
      </c>
      <c r="I35" s="1117" t="s">
        <v>3247</v>
      </c>
      <c r="J35" s="1184" t="s">
        <v>6137</v>
      </c>
      <c r="K35" s="1185">
        <v>5787510</v>
      </c>
      <c r="L35" s="1185">
        <v>29505194</v>
      </c>
      <c r="M35" s="1185">
        <v>33635266</v>
      </c>
      <c r="N35" s="1109" t="s">
        <v>6285</v>
      </c>
      <c r="O35" s="1117" t="s">
        <v>6286</v>
      </c>
      <c r="P35" s="1184" t="s">
        <v>6287</v>
      </c>
      <c r="Q35" s="1132" t="s">
        <v>6288</v>
      </c>
      <c r="R35" s="1186" t="s">
        <v>6289</v>
      </c>
    </row>
    <row r="36" spans="1:18" ht="17.45" customHeight="1" outlineLevel="1">
      <c r="A36" s="1138"/>
      <c r="B36" s="1119"/>
      <c r="C36" s="1111" t="s">
        <v>6290</v>
      </c>
      <c r="D36" s="1126" t="s">
        <v>6151</v>
      </c>
      <c r="E36" s="1141"/>
      <c r="F36" s="1141"/>
      <c r="G36" s="1142"/>
      <c r="H36" s="1142"/>
      <c r="I36" s="1142"/>
      <c r="J36" s="1142"/>
      <c r="K36" s="1157"/>
      <c r="L36" s="1157"/>
      <c r="M36" s="1157"/>
      <c r="N36" s="1142"/>
      <c r="O36" s="1142"/>
      <c r="P36" s="1142"/>
      <c r="Q36" s="1146"/>
      <c r="R36" s="1141"/>
    </row>
    <row r="37" spans="1:18" ht="17.45" customHeight="1" outlineLevel="1">
      <c r="A37" s="1109" t="s">
        <v>3247</v>
      </c>
      <c r="B37" s="1119"/>
      <c r="C37" s="1111" t="s">
        <v>6291</v>
      </c>
      <c r="D37" s="1111" t="s">
        <v>6166</v>
      </c>
      <c r="E37" s="1131" t="s">
        <v>3549</v>
      </c>
      <c r="F37" s="1131"/>
      <c r="G37" s="1117">
        <v>406983</v>
      </c>
      <c r="H37" s="1117" t="s">
        <v>137</v>
      </c>
      <c r="I37" s="1158" t="s">
        <v>3247</v>
      </c>
      <c r="J37" s="1187" t="s">
        <v>6119</v>
      </c>
      <c r="K37" s="1188">
        <v>6053898</v>
      </c>
      <c r="L37" s="1188">
        <v>63974362</v>
      </c>
      <c r="M37" s="1188">
        <v>173083483</v>
      </c>
      <c r="N37" s="1117" t="s">
        <v>6292</v>
      </c>
      <c r="O37" s="1189" t="s">
        <v>6293</v>
      </c>
      <c r="P37" s="1177" t="s">
        <v>6294</v>
      </c>
      <c r="Q37" s="1190" t="s">
        <v>6295</v>
      </c>
      <c r="R37" s="1191" t="s">
        <v>6296</v>
      </c>
    </row>
    <row r="38" spans="1:18" ht="17.45" customHeight="1" outlineLevel="1">
      <c r="A38" s="1109" t="s">
        <v>6108</v>
      </c>
      <c r="B38" s="1119"/>
      <c r="C38" s="1111" t="s">
        <v>6297</v>
      </c>
      <c r="D38" s="1192" t="s">
        <v>6173</v>
      </c>
      <c r="E38" s="1131" t="s">
        <v>4577</v>
      </c>
      <c r="F38" s="1131"/>
      <c r="G38" s="1117">
        <v>400071</v>
      </c>
      <c r="H38" s="1117" t="s">
        <v>1109</v>
      </c>
      <c r="I38" s="1117" t="s">
        <v>3358</v>
      </c>
      <c r="J38" s="1117" t="s">
        <v>6112</v>
      </c>
      <c r="K38" s="1165">
        <v>4004741</v>
      </c>
      <c r="L38" s="1165">
        <v>21203724</v>
      </c>
      <c r="M38" s="1165">
        <v>79249523</v>
      </c>
      <c r="N38" s="1117" t="s">
        <v>6298</v>
      </c>
      <c r="O38" s="1117" t="s">
        <v>6299</v>
      </c>
      <c r="P38" s="1117" t="s">
        <v>6300</v>
      </c>
      <c r="Q38" s="1117" t="s">
        <v>6301</v>
      </c>
      <c r="R38" s="1118" t="s">
        <v>6302</v>
      </c>
    </row>
    <row r="39" spans="1:18" ht="17.45" customHeight="1" outlineLevel="1">
      <c r="A39" s="1109" t="s">
        <v>6108</v>
      </c>
      <c r="B39" s="1119"/>
      <c r="C39" s="1111" t="s">
        <v>6303</v>
      </c>
      <c r="D39" s="1192" t="s">
        <v>6118</v>
      </c>
      <c r="E39" s="1131" t="s">
        <v>3843</v>
      </c>
      <c r="F39" s="1131"/>
      <c r="G39" s="1117">
        <v>407219</v>
      </c>
      <c r="H39" s="1117" t="s">
        <v>137</v>
      </c>
      <c r="I39" s="1158" t="s">
        <v>3358</v>
      </c>
      <c r="J39" s="1184" t="s">
        <v>6137</v>
      </c>
      <c r="K39" s="1160">
        <v>2495391</v>
      </c>
      <c r="L39" s="1160">
        <v>6071336</v>
      </c>
      <c r="M39" s="1160">
        <v>139654949</v>
      </c>
      <c r="N39" s="1117" t="s">
        <v>6304</v>
      </c>
      <c r="O39" s="1117" t="s">
        <v>6305</v>
      </c>
      <c r="P39" s="1117" t="s">
        <v>6306</v>
      </c>
      <c r="Q39" s="1132" t="s">
        <v>6307</v>
      </c>
      <c r="R39" s="1118" t="s">
        <v>6308</v>
      </c>
    </row>
    <row r="40" spans="1:18" ht="17.45" customHeight="1" outlineLevel="1" thickBot="1">
      <c r="A40" s="1109" t="s">
        <v>6108</v>
      </c>
      <c r="B40" s="1193"/>
      <c r="C40" s="1194" t="s">
        <v>6309</v>
      </c>
      <c r="D40" s="1195" t="s">
        <v>6126</v>
      </c>
      <c r="E40" s="1196" t="s">
        <v>3806</v>
      </c>
      <c r="F40" s="1196"/>
      <c r="G40" s="1197">
        <v>426643</v>
      </c>
      <c r="H40" s="1197" t="s">
        <v>185</v>
      </c>
      <c r="I40" s="1197" t="s">
        <v>5144</v>
      </c>
      <c r="J40" s="1197" t="s">
        <v>6112</v>
      </c>
      <c r="K40" s="1198">
        <v>82891</v>
      </c>
      <c r="L40" s="1198">
        <v>-3880945</v>
      </c>
      <c r="M40" s="1198">
        <v>10757813</v>
      </c>
      <c r="N40" s="1197" t="s">
        <v>6310</v>
      </c>
      <c r="O40" s="1197" t="s">
        <v>6311</v>
      </c>
      <c r="P40" s="1197" t="s">
        <v>6312</v>
      </c>
      <c r="Q40" s="1199" t="s">
        <v>6313</v>
      </c>
      <c r="R40" s="1200" t="s">
        <v>6314</v>
      </c>
    </row>
    <row r="41" spans="1:18" ht="16.5" outlineLevel="1">
      <c r="A41" s="1109" t="s">
        <v>6108</v>
      </c>
      <c r="B41" s="1416" t="s">
        <v>6315</v>
      </c>
      <c r="C41" s="1201" t="s">
        <v>6110</v>
      </c>
      <c r="D41" s="1201" t="s">
        <v>6136</v>
      </c>
      <c r="E41" s="1202" t="s">
        <v>4384</v>
      </c>
      <c r="F41" s="1202"/>
      <c r="G41" s="1203">
        <v>406994</v>
      </c>
      <c r="H41" s="1203" t="s">
        <v>1109</v>
      </c>
      <c r="I41" s="1204"/>
      <c r="J41" s="1203" t="s">
        <v>6112</v>
      </c>
      <c r="K41" s="1205">
        <v>1398838</v>
      </c>
      <c r="L41" s="1205">
        <v>6165672</v>
      </c>
      <c r="M41" s="1205"/>
      <c r="N41" s="1189" t="s">
        <v>6316</v>
      </c>
      <c r="O41" s="1203"/>
      <c r="P41" s="1203"/>
      <c r="Q41" s="1206"/>
      <c r="R41" s="1207"/>
    </row>
    <row r="42" spans="1:18" ht="16.5" outlineLevel="1">
      <c r="A42" s="1109" t="s">
        <v>3247</v>
      </c>
      <c r="B42" s="1417"/>
      <c r="C42" s="1111" t="s">
        <v>6117</v>
      </c>
      <c r="D42" s="1111" t="s">
        <v>6144</v>
      </c>
      <c r="E42" s="1112" t="s">
        <v>5209</v>
      </c>
      <c r="F42" s="1112"/>
      <c r="G42" s="1113"/>
      <c r="H42" s="1113" t="s">
        <v>264</v>
      </c>
      <c r="I42" s="1117" t="s">
        <v>3358</v>
      </c>
      <c r="J42" s="1113" t="s">
        <v>6112</v>
      </c>
      <c r="K42" s="1165"/>
      <c r="L42" s="1165"/>
      <c r="M42" s="1165"/>
      <c r="N42" s="1117" t="s">
        <v>6317</v>
      </c>
      <c r="O42" s="1113" t="s">
        <v>6318</v>
      </c>
      <c r="P42" s="1113" t="s">
        <v>6319</v>
      </c>
      <c r="Q42" s="1117" t="s">
        <v>6320</v>
      </c>
      <c r="R42" s="1208" t="s">
        <v>6321</v>
      </c>
    </row>
    <row r="43" spans="1:18" s="1148" customFormat="1" ht="16.5" outlineLevel="1">
      <c r="A43" s="1138" t="s">
        <v>3358</v>
      </c>
      <c r="B43" s="1417"/>
      <c r="C43" s="1140" t="s">
        <v>6125</v>
      </c>
      <c r="D43" s="1140" t="s">
        <v>6151</v>
      </c>
      <c r="E43" s="1209" t="s">
        <v>3663</v>
      </c>
      <c r="F43" s="1209"/>
      <c r="G43" s="1156"/>
      <c r="H43" s="1156" t="s">
        <v>185</v>
      </c>
      <c r="I43" s="1142" t="s">
        <v>3358</v>
      </c>
      <c r="J43" s="1156" t="s">
        <v>6128</v>
      </c>
      <c r="K43" s="1157"/>
      <c r="L43" s="1157"/>
      <c r="M43" s="1157"/>
      <c r="N43" s="1142" t="s">
        <v>6322</v>
      </c>
      <c r="O43" s="1156" t="s">
        <v>6323</v>
      </c>
      <c r="P43" s="1156" t="s">
        <v>6324</v>
      </c>
      <c r="Q43" s="1210" t="s">
        <v>6325</v>
      </c>
      <c r="R43" s="1211"/>
    </row>
    <row r="44" spans="1:18" s="1148" customFormat="1" ht="16.5" outlineLevel="1">
      <c r="A44" s="1138" t="s">
        <v>6326</v>
      </c>
      <c r="B44" s="1417"/>
      <c r="C44" s="1140" t="s">
        <v>6125</v>
      </c>
      <c r="D44" s="1140" t="s">
        <v>6151</v>
      </c>
      <c r="E44" s="1209" t="s">
        <v>6327</v>
      </c>
      <c r="F44" s="1209"/>
      <c r="G44" s="1156"/>
      <c r="H44" s="1156" t="s">
        <v>137</v>
      </c>
      <c r="I44" s="1142" t="s">
        <v>3247</v>
      </c>
      <c r="J44" s="1156" t="s">
        <v>6128</v>
      </c>
      <c r="K44" s="1157"/>
      <c r="L44" s="1157"/>
      <c r="M44" s="1157"/>
      <c r="N44" s="1142" t="s">
        <v>6328</v>
      </c>
      <c r="O44" s="1156"/>
      <c r="P44" s="1156" t="s">
        <v>6329</v>
      </c>
      <c r="Q44" s="1210"/>
      <c r="R44" s="1211"/>
    </row>
    <row r="45" spans="1:18" ht="16.5" outlineLevel="1">
      <c r="A45" s="1109" t="s">
        <v>6326</v>
      </c>
      <c r="B45" s="1417"/>
      <c r="C45" s="1133" t="s">
        <v>6330</v>
      </c>
      <c r="D45" s="1111" t="s">
        <v>6151</v>
      </c>
      <c r="E45" s="1112" t="s">
        <v>4216</v>
      </c>
      <c r="F45" s="1112"/>
      <c r="G45" s="1113">
        <v>419845</v>
      </c>
      <c r="H45" s="1113" t="s">
        <v>165</v>
      </c>
      <c r="I45" s="1117" t="s">
        <v>3247</v>
      </c>
      <c r="J45" s="1113" t="s">
        <v>6181</v>
      </c>
      <c r="K45" s="1165">
        <v>75904047</v>
      </c>
      <c r="L45" s="1165">
        <v>51924609</v>
      </c>
      <c r="M45" s="1165"/>
      <c r="N45" s="1117" t="s">
        <v>6331</v>
      </c>
      <c r="O45" s="1113"/>
      <c r="P45" s="1113" t="s">
        <v>6332</v>
      </c>
      <c r="Q45" s="1124" t="s">
        <v>6333</v>
      </c>
      <c r="R45" s="1212"/>
    </row>
    <row r="46" spans="1:18" ht="16.5" outlineLevel="1">
      <c r="A46" s="1109" t="s">
        <v>3247</v>
      </c>
      <c r="B46" s="1417"/>
      <c r="C46" s="1111" t="s">
        <v>6135</v>
      </c>
      <c r="D46" s="1111" t="s">
        <v>6166</v>
      </c>
      <c r="E46" s="1112" t="s">
        <v>6334</v>
      </c>
      <c r="F46" s="1112"/>
      <c r="G46" s="1113"/>
      <c r="H46" s="1113" t="s">
        <v>331</v>
      </c>
      <c r="I46" s="1117" t="s">
        <v>3358</v>
      </c>
      <c r="J46" s="1113" t="s">
        <v>6128</v>
      </c>
      <c r="K46" s="1165"/>
      <c r="L46" s="1165"/>
      <c r="M46" s="1165"/>
      <c r="N46" s="1117" t="s">
        <v>6335</v>
      </c>
      <c r="O46" s="1113" t="s">
        <v>6336</v>
      </c>
      <c r="P46" s="1113"/>
      <c r="Q46" s="1124"/>
      <c r="R46" s="1213"/>
    </row>
    <row r="47" spans="1:18" s="1148" customFormat="1" ht="16.5" outlineLevel="1">
      <c r="A47" s="1138" t="s">
        <v>3358</v>
      </c>
      <c r="B47" s="1417"/>
      <c r="C47" s="1140" t="s">
        <v>6143</v>
      </c>
      <c r="D47" s="1140" t="s">
        <v>6173</v>
      </c>
      <c r="E47" s="1209" t="s">
        <v>1859</v>
      </c>
      <c r="F47" s="1209"/>
      <c r="G47" s="1156"/>
      <c r="H47" s="1156" t="s">
        <v>942</v>
      </c>
      <c r="I47" s="1142" t="s">
        <v>3358</v>
      </c>
      <c r="J47" s="1156" t="s">
        <v>6112</v>
      </c>
      <c r="K47" s="1157"/>
      <c r="L47" s="1157"/>
      <c r="M47" s="1157"/>
      <c r="N47" s="1142" t="s">
        <v>6335</v>
      </c>
      <c r="O47" s="1156" t="s">
        <v>6337</v>
      </c>
      <c r="P47" s="1142" t="s">
        <v>6338</v>
      </c>
      <c r="Q47" s="1210" t="s">
        <v>6339</v>
      </c>
      <c r="R47" s="1214"/>
    </row>
    <row r="48" spans="1:18" ht="16.5" outlineLevel="1">
      <c r="A48" s="1109" t="s">
        <v>6326</v>
      </c>
      <c r="B48" s="1417"/>
      <c r="C48" s="1133" t="s">
        <v>6143</v>
      </c>
      <c r="D48" s="1111" t="s">
        <v>6173</v>
      </c>
      <c r="E48" s="1131" t="s">
        <v>3264</v>
      </c>
      <c r="F48" s="1131"/>
      <c r="G48" s="1117"/>
      <c r="H48" s="1117" t="s">
        <v>264</v>
      </c>
      <c r="I48" s="1117" t="s">
        <v>3247</v>
      </c>
      <c r="J48" s="1117" t="s">
        <v>6128</v>
      </c>
      <c r="K48" s="1165"/>
      <c r="L48" s="1165"/>
      <c r="M48" s="1165"/>
      <c r="N48" s="1117" t="s">
        <v>6340</v>
      </c>
      <c r="O48" s="1117" t="s">
        <v>6341</v>
      </c>
      <c r="P48" s="1117" t="s">
        <v>6342</v>
      </c>
      <c r="Q48" s="1132" t="s">
        <v>6343</v>
      </c>
      <c r="R48" s="1212" t="s">
        <v>6344</v>
      </c>
    </row>
    <row r="49" spans="1:18" ht="16.5" outlineLevel="1">
      <c r="A49" s="1109" t="s">
        <v>6326</v>
      </c>
      <c r="B49" s="1417"/>
      <c r="C49" s="1133" t="s">
        <v>6143</v>
      </c>
      <c r="D49" s="1111" t="s">
        <v>6173</v>
      </c>
      <c r="E49" s="1112" t="s">
        <v>4220</v>
      </c>
      <c r="F49" s="1112"/>
      <c r="G49" s="1113">
        <v>414836</v>
      </c>
      <c r="H49" s="1113" t="s">
        <v>165</v>
      </c>
      <c r="I49" s="1117" t="s">
        <v>3247</v>
      </c>
      <c r="J49" s="1113" t="s">
        <v>6187</v>
      </c>
      <c r="K49" s="1165">
        <v>31778572</v>
      </c>
      <c r="L49" s="1165">
        <v>9873216</v>
      </c>
      <c r="M49" s="1165"/>
      <c r="N49" s="1117" t="s">
        <v>6345</v>
      </c>
      <c r="O49" s="1113"/>
      <c r="P49" s="1117" t="s">
        <v>6346</v>
      </c>
      <c r="Q49" s="1124" t="s">
        <v>6347</v>
      </c>
      <c r="R49" s="1212"/>
    </row>
    <row r="50" spans="1:18" s="1148" customFormat="1" ht="16.5" outlineLevel="1">
      <c r="A50" s="1138" t="s">
        <v>3358</v>
      </c>
      <c r="B50" s="1417"/>
      <c r="C50" s="1140" t="s">
        <v>6150</v>
      </c>
      <c r="D50" s="1140" t="s">
        <v>6118</v>
      </c>
      <c r="E50" s="1209" t="s">
        <v>3352</v>
      </c>
      <c r="F50" s="1209"/>
      <c r="G50" s="1156"/>
      <c r="H50" s="1156" t="s">
        <v>3351</v>
      </c>
      <c r="I50" s="1142" t="s">
        <v>3247</v>
      </c>
      <c r="J50" s="1156" t="s">
        <v>6187</v>
      </c>
      <c r="K50" s="1157"/>
      <c r="L50" s="1157"/>
      <c r="M50" s="1157"/>
      <c r="N50" s="1142" t="s">
        <v>6348</v>
      </c>
      <c r="O50" s="1156" t="s">
        <v>6349</v>
      </c>
      <c r="P50" s="1156" t="s">
        <v>6350</v>
      </c>
      <c r="Q50" s="1210" t="s">
        <v>6351</v>
      </c>
      <c r="R50" s="1211"/>
    </row>
    <row r="51" spans="1:18" ht="16.5" outlineLevel="1">
      <c r="A51" s="1109" t="s">
        <v>3247</v>
      </c>
      <c r="B51" s="1417"/>
      <c r="C51" s="1215" t="s">
        <v>6150</v>
      </c>
      <c r="D51" s="1111" t="s">
        <v>6118</v>
      </c>
      <c r="E51" s="1112" t="s">
        <v>3843</v>
      </c>
      <c r="F51" s="1112"/>
      <c r="G51" s="1113"/>
      <c r="H51" s="1113" t="s">
        <v>137</v>
      </c>
      <c r="I51" s="1117" t="s">
        <v>3247</v>
      </c>
      <c r="J51" s="1113" t="s">
        <v>6352</v>
      </c>
      <c r="K51" s="1165"/>
      <c r="L51" s="1165"/>
      <c r="M51" s="1165"/>
      <c r="N51" s="1117" t="s">
        <v>6353</v>
      </c>
      <c r="O51" s="1113"/>
      <c r="P51" s="1113" t="s">
        <v>6354</v>
      </c>
      <c r="Q51" s="1124"/>
      <c r="R51" s="1212"/>
    </row>
    <row r="52" spans="1:18" ht="16.5" outlineLevel="1">
      <c r="A52" s="1109" t="s">
        <v>3247</v>
      </c>
      <c r="B52" s="1417"/>
      <c r="C52" s="1111" t="s">
        <v>6165</v>
      </c>
      <c r="D52" s="1111" t="s">
        <v>6126</v>
      </c>
      <c r="E52" s="1131" t="s">
        <v>3970</v>
      </c>
      <c r="F52" s="1131"/>
      <c r="G52" s="1117"/>
      <c r="H52" s="1117" t="s">
        <v>942</v>
      </c>
      <c r="I52" s="1117" t="s">
        <v>3358</v>
      </c>
      <c r="J52" s="1117" t="s">
        <v>6355</v>
      </c>
      <c r="K52" s="1165"/>
      <c r="L52" s="1165"/>
      <c r="M52" s="1165"/>
      <c r="N52" s="1117" t="s">
        <v>6356</v>
      </c>
      <c r="O52" s="1117" t="s">
        <v>6357</v>
      </c>
      <c r="P52" s="1117" t="s">
        <v>3972</v>
      </c>
      <c r="Q52" s="1132" t="s">
        <v>6358</v>
      </c>
      <c r="R52" s="1213" t="s">
        <v>6359</v>
      </c>
    </row>
    <row r="53" spans="1:18" ht="16.5" outlineLevel="1">
      <c r="A53" s="1109" t="s">
        <v>3247</v>
      </c>
      <c r="B53" s="1417"/>
      <c r="C53" s="1111" t="s">
        <v>6172</v>
      </c>
      <c r="D53" s="1111" t="s">
        <v>6136</v>
      </c>
      <c r="E53" s="1131" t="s">
        <v>6360</v>
      </c>
      <c r="F53" s="1131"/>
      <c r="G53" s="1117"/>
      <c r="H53" s="1113" t="s">
        <v>264</v>
      </c>
      <c r="I53" s="1117" t="s">
        <v>3358</v>
      </c>
      <c r="J53" s="1117" t="s">
        <v>6128</v>
      </c>
      <c r="K53" s="1165"/>
      <c r="L53" s="1165"/>
      <c r="M53" s="1165"/>
      <c r="N53" s="1117" t="s">
        <v>6361</v>
      </c>
      <c r="O53" s="1117" t="s">
        <v>6362</v>
      </c>
      <c r="P53" s="1117" t="s">
        <v>6363</v>
      </c>
      <c r="Q53" s="1132" t="s">
        <v>6364</v>
      </c>
      <c r="R53" s="1208" t="s">
        <v>6365</v>
      </c>
    </row>
    <row r="54" spans="1:18" ht="16.5" outlineLevel="1">
      <c r="A54" s="1109" t="s">
        <v>3247</v>
      </c>
      <c r="B54" s="1417"/>
      <c r="C54" s="1111" t="s">
        <v>6186</v>
      </c>
      <c r="D54" s="1111" t="s">
        <v>6144</v>
      </c>
      <c r="E54" s="1131" t="s">
        <v>3979</v>
      </c>
      <c r="F54" s="1131"/>
      <c r="G54" s="1117"/>
      <c r="H54" s="1117" t="s">
        <v>942</v>
      </c>
      <c r="I54" s="1117"/>
      <c r="J54" s="1117"/>
      <c r="K54" s="1165"/>
      <c r="L54" s="1165"/>
      <c r="M54" s="1165"/>
      <c r="N54" s="1117" t="s">
        <v>6366</v>
      </c>
      <c r="O54" s="1117"/>
      <c r="P54" s="1117"/>
      <c r="Q54" s="1132"/>
      <c r="R54" s="1213"/>
    </row>
    <row r="55" spans="1:18" ht="16.5" outlineLevel="1">
      <c r="A55" s="1109" t="s">
        <v>3247</v>
      </c>
      <c r="B55" s="1417"/>
      <c r="C55" s="1111" t="s">
        <v>6193</v>
      </c>
      <c r="D55" s="1111" t="s">
        <v>6151</v>
      </c>
      <c r="E55" s="1131" t="s">
        <v>4085</v>
      </c>
      <c r="F55" s="1131"/>
      <c r="G55" s="1117"/>
      <c r="H55" s="1117" t="s">
        <v>942</v>
      </c>
      <c r="I55" s="1117"/>
      <c r="J55" s="1117" t="s">
        <v>6112</v>
      </c>
      <c r="K55" s="1165"/>
      <c r="L55" s="1165"/>
      <c r="M55" s="1165"/>
      <c r="N55" s="1117" t="s">
        <v>6366</v>
      </c>
      <c r="O55" s="1117" t="s">
        <v>6367</v>
      </c>
      <c r="P55" s="1117" t="s">
        <v>6368</v>
      </c>
      <c r="Q55" s="1132" t="s">
        <v>6369</v>
      </c>
      <c r="R55" s="1213" t="s">
        <v>6370</v>
      </c>
    </row>
    <row r="56" spans="1:18" ht="16.5" outlineLevel="1">
      <c r="A56" s="1109" t="s">
        <v>3247</v>
      </c>
      <c r="B56" s="1417"/>
      <c r="C56" s="1133" t="s">
        <v>6195</v>
      </c>
      <c r="D56" s="1111" t="s">
        <v>6166</v>
      </c>
      <c r="E56" s="1131" t="s">
        <v>3598</v>
      </c>
      <c r="F56" s="1131"/>
      <c r="G56" s="1117"/>
      <c r="H56" s="1117" t="s">
        <v>910</v>
      </c>
      <c r="I56" s="1117" t="s">
        <v>3358</v>
      </c>
      <c r="J56" s="1117" t="s">
        <v>6112</v>
      </c>
      <c r="K56" s="1166"/>
      <c r="L56" s="1166"/>
      <c r="M56" s="1166"/>
      <c r="N56" s="1117" t="s">
        <v>6371</v>
      </c>
      <c r="O56" s="1117" t="s">
        <v>6372</v>
      </c>
      <c r="P56" s="1162" t="s">
        <v>6373</v>
      </c>
      <c r="Q56" s="1132" t="s">
        <v>6374</v>
      </c>
      <c r="R56" s="1216"/>
    </row>
    <row r="57" spans="1:18" s="1148" customFormat="1" ht="16.5" outlineLevel="1">
      <c r="A57" s="1138" t="s">
        <v>3358</v>
      </c>
      <c r="B57" s="1417"/>
      <c r="C57" s="1140" t="s">
        <v>6195</v>
      </c>
      <c r="D57" s="1140" t="s">
        <v>6166</v>
      </c>
      <c r="E57" s="1141" t="s">
        <v>3890</v>
      </c>
      <c r="F57" s="1141"/>
      <c r="G57" s="1142"/>
      <c r="H57" s="1142" t="s">
        <v>185</v>
      </c>
      <c r="I57" s="1142" t="s">
        <v>3247</v>
      </c>
      <c r="J57" s="1150" t="s">
        <v>6112</v>
      </c>
      <c r="K57" s="1167"/>
      <c r="L57" s="1167"/>
      <c r="M57" s="1167"/>
      <c r="N57" s="1142" t="s">
        <v>6375</v>
      </c>
      <c r="O57" s="1142" t="s">
        <v>6376</v>
      </c>
      <c r="P57" s="1217" t="s">
        <v>6377</v>
      </c>
      <c r="Q57" s="1146" t="s">
        <v>6378</v>
      </c>
      <c r="R57" s="1218"/>
    </row>
    <row r="58" spans="1:18" s="1148" customFormat="1" ht="16.5" outlineLevel="1">
      <c r="A58" s="1138" t="s">
        <v>3358</v>
      </c>
      <c r="B58" s="1417"/>
      <c r="C58" s="1140" t="s">
        <v>6202</v>
      </c>
      <c r="D58" s="1140" t="s">
        <v>6173</v>
      </c>
      <c r="E58" s="1141" t="s">
        <v>4093</v>
      </c>
      <c r="F58" s="1141"/>
      <c r="G58" s="1142"/>
      <c r="H58" s="1142" t="s">
        <v>942</v>
      </c>
      <c r="I58" s="1142"/>
      <c r="J58" s="1142"/>
      <c r="K58" s="1157"/>
      <c r="L58" s="1157"/>
      <c r="M58" s="1157"/>
      <c r="N58" s="1142" t="s">
        <v>6366</v>
      </c>
      <c r="O58" s="1142"/>
      <c r="P58" s="1181"/>
      <c r="Q58" s="1146"/>
      <c r="R58" s="1147"/>
    </row>
    <row r="59" spans="1:18" s="1148" customFormat="1" ht="16.5" outlineLevel="1">
      <c r="A59" s="1138" t="s">
        <v>3358</v>
      </c>
      <c r="B59" s="1417"/>
      <c r="C59" s="1140" t="s">
        <v>6202</v>
      </c>
      <c r="D59" s="1140" t="s">
        <v>6173</v>
      </c>
      <c r="E59" s="1141" t="s">
        <v>3406</v>
      </c>
      <c r="F59" s="1141"/>
      <c r="G59" s="1142"/>
      <c r="H59" s="1142" t="s">
        <v>137</v>
      </c>
      <c r="I59" s="1142" t="s">
        <v>3247</v>
      </c>
      <c r="J59" s="1142" t="s">
        <v>6128</v>
      </c>
      <c r="K59" s="1157"/>
      <c r="L59" s="1157"/>
      <c r="M59" s="1157"/>
      <c r="N59" s="1142" t="s">
        <v>6379</v>
      </c>
      <c r="O59" s="1156" t="s">
        <v>6139</v>
      </c>
      <c r="P59" s="1181" t="s">
        <v>6380</v>
      </c>
      <c r="Q59" s="1210" t="s">
        <v>6141</v>
      </c>
      <c r="R59" s="1218"/>
    </row>
    <row r="60" spans="1:18" ht="16.5" outlineLevel="1">
      <c r="A60" s="1109" t="s">
        <v>3247</v>
      </c>
      <c r="B60" s="1417"/>
      <c r="C60" s="1215" t="s">
        <v>6202</v>
      </c>
      <c r="D60" s="1111" t="s">
        <v>6173</v>
      </c>
      <c r="E60" s="1131" t="s">
        <v>3804</v>
      </c>
      <c r="F60" s="1131"/>
      <c r="G60" s="1117"/>
      <c r="H60" s="1117" t="s">
        <v>185</v>
      </c>
      <c r="I60" s="1117" t="s">
        <v>3247</v>
      </c>
      <c r="J60" s="1117" t="s">
        <v>6137</v>
      </c>
      <c r="K60" s="1165"/>
      <c r="L60" s="1165"/>
      <c r="M60" s="1165"/>
      <c r="N60" s="1117" t="s">
        <v>6381</v>
      </c>
      <c r="O60" s="1113" t="s">
        <v>6382</v>
      </c>
      <c r="P60" s="1189" t="s">
        <v>6383</v>
      </c>
      <c r="Q60" s="1124" t="s">
        <v>6384</v>
      </c>
      <c r="R60" s="1219"/>
    </row>
    <row r="61" spans="1:18" ht="16.5" outlineLevel="1">
      <c r="A61" s="1109" t="s">
        <v>3247</v>
      </c>
      <c r="B61" s="1417"/>
      <c r="C61" s="1111" t="s">
        <v>6208</v>
      </c>
      <c r="D61" s="1111" t="s">
        <v>6118</v>
      </c>
      <c r="E61" s="1131" t="s">
        <v>3410</v>
      </c>
      <c r="F61" s="1131"/>
      <c r="G61" s="1117"/>
      <c r="H61" s="1117" t="s">
        <v>137</v>
      </c>
      <c r="I61" s="1117" t="s">
        <v>3358</v>
      </c>
      <c r="J61" s="1117" t="s">
        <v>6128</v>
      </c>
      <c r="K61" s="1165"/>
      <c r="L61" s="1165"/>
      <c r="M61" s="1165"/>
      <c r="N61" s="1117" t="s">
        <v>6385</v>
      </c>
      <c r="O61" s="1117" t="s">
        <v>6204</v>
      </c>
      <c r="P61" s="1117" t="s">
        <v>6386</v>
      </c>
      <c r="Q61" s="1132" t="s">
        <v>6206</v>
      </c>
      <c r="R61" s="1212"/>
    </row>
    <row r="62" spans="1:18" s="1148" customFormat="1" ht="16.5" outlineLevel="1">
      <c r="A62" s="1138" t="s">
        <v>3358</v>
      </c>
      <c r="B62" s="1417"/>
      <c r="C62" s="1140" t="s">
        <v>6218</v>
      </c>
      <c r="D62" s="1140" t="s">
        <v>6126</v>
      </c>
      <c r="E62" s="1141" t="s">
        <v>4577</v>
      </c>
      <c r="F62" s="1141"/>
      <c r="G62" s="1142">
        <v>400071</v>
      </c>
      <c r="H62" s="1142" t="s">
        <v>1109</v>
      </c>
      <c r="I62" s="1142" t="s">
        <v>3358</v>
      </c>
      <c r="J62" s="1142" t="s">
        <v>6112</v>
      </c>
      <c r="K62" s="1157"/>
      <c r="L62" s="1157"/>
      <c r="M62" s="1157"/>
      <c r="N62" s="1142" t="s">
        <v>6298</v>
      </c>
      <c r="O62" s="1142" t="s">
        <v>6299</v>
      </c>
      <c r="P62" s="1142" t="s">
        <v>6300</v>
      </c>
      <c r="Q62" s="1142" t="s">
        <v>6301</v>
      </c>
      <c r="R62" s="1220" t="s">
        <v>6302</v>
      </c>
    </row>
    <row r="63" spans="1:18" s="1148" customFormat="1" ht="16.5" outlineLevel="1">
      <c r="A63" s="1138" t="s">
        <v>3358</v>
      </c>
      <c r="B63" s="1417"/>
      <c r="C63" s="1140" t="s">
        <v>6218</v>
      </c>
      <c r="D63" s="1140" t="s">
        <v>6126</v>
      </c>
      <c r="E63" s="1141" t="s">
        <v>6264</v>
      </c>
      <c r="F63" s="1141"/>
      <c r="G63" s="1142"/>
      <c r="H63" s="1142" t="s">
        <v>264</v>
      </c>
      <c r="I63" s="1142" t="s">
        <v>3358</v>
      </c>
      <c r="J63" s="1142" t="s">
        <v>6112</v>
      </c>
      <c r="K63" s="1157"/>
      <c r="L63" s="1157"/>
      <c r="M63" s="1157"/>
      <c r="N63" s="1142" t="s">
        <v>6387</v>
      </c>
      <c r="O63" s="1142" t="s">
        <v>6388</v>
      </c>
      <c r="P63" s="1142" t="s">
        <v>6389</v>
      </c>
      <c r="Q63" s="1142" t="s">
        <v>6390</v>
      </c>
      <c r="R63" s="1220" t="s">
        <v>6391</v>
      </c>
    </row>
    <row r="64" spans="1:18" ht="16.5" outlineLevel="1">
      <c r="A64" s="1109" t="s">
        <v>3247</v>
      </c>
      <c r="B64" s="1417"/>
      <c r="C64" s="1133" t="s">
        <v>6218</v>
      </c>
      <c r="D64" s="1111" t="s">
        <v>6126</v>
      </c>
      <c r="E64" s="1131" t="s">
        <v>6392</v>
      </c>
      <c r="F64" s="1131"/>
      <c r="G64" s="1117"/>
      <c r="H64" s="1117" t="s">
        <v>137</v>
      </c>
      <c r="I64" s="1117" t="s">
        <v>3247</v>
      </c>
      <c r="J64" s="1117" t="s">
        <v>6137</v>
      </c>
      <c r="K64" s="1165"/>
      <c r="L64" s="1165"/>
      <c r="M64" s="1165"/>
      <c r="N64" s="1117" t="s">
        <v>6393</v>
      </c>
      <c r="O64" s="1117" t="s">
        <v>6394</v>
      </c>
      <c r="P64" s="1117" t="s">
        <v>6395</v>
      </c>
      <c r="Q64" s="1221" t="s">
        <v>6396</v>
      </c>
      <c r="R64" s="1222"/>
    </row>
    <row r="65" spans="1:18" ht="16.5" outlineLevel="1">
      <c r="A65" s="1109" t="s">
        <v>3247</v>
      </c>
      <c r="B65" s="1417"/>
      <c r="C65" s="1215" t="s">
        <v>6224</v>
      </c>
      <c r="D65" s="1111" t="s">
        <v>6136</v>
      </c>
      <c r="E65" s="1131" t="s">
        <v>5564</v>
      </c>
      <c r="F65" s="1131"/>
      <c r="G65" s="1117">
        <v>402008</v>
      </c>
      <c r="H65" s="1113" t="s">
        <v>331</v>
      </c>
      <c r="I65" s="1117" t="s">
        <v>3358</v>
      </c>
      <c r="J65" s="1113" t="s">
        <v>6128</v>
      </c>
      <c r="K65" s="1165">
        <v>428481</v>
      </c>
      <c r="L65" s="1165">
        <v>735753</v>
      </c>
      <c r="M65" s="1165"/>
      <c r="N65" s="1117" t="s">
        <v>6397</v>
      </c>
      <c r="O65" s="1117" t="s">
        <v>6398</v>
      </c>
      <c r="P65" s="1117" t="s">
        <v>6399</v>
      </c>
      <c r="Q65" s="1132" t="s">
        <v>6400</v>
      </c>
    </row>
    <row r="66" spans="1:18" s="1148" customFormat="1" ht="16.5" outlineLevel="1">
      <c r="A66" s="1138" t="s">
        <v>3358</v>
      </c>
      <c r="B66" s="1417"/>
      <c r="C66" s="1140" t="s">
        <v>6224</v>
      </c>
      <c r="D66" s="1140" t="s">
        <v>6136</v>
      </c>
      <c r="E66" s="1141" t="s">
        <v>3431</v>
      </c>
      <c r="F66" s="1141"/>
      <c r="G66" s="1142"/>
      <c r="H66" s="1156" t="s">
        <v>264</v>
      </c>
      <c r="I66" s="1142" t="s">
        <v>3358</v>
      </c>
      <c r="J66" s="1156" t="s">
        <v>6112</v>
      </c>
      <c r="K66" s="1157"/>
      <c r="L66" s="1157"/>
      <c r="M66" s="1157"/>
      <c r="N66" s="1142" t="s">
        <v>6401</v>
      </c>
      <c r="O66" s="1142" t="s">
        <v>6402</v>
      </c>
      <c r="P66" s="1142" t="s">
        <v>6403</v>
      </c>
      <c r="Q66" s="1146" t="s">
        <v>6404</v>
      </c>
      <c r="R66" s="1223" t="s">
        <v>6405</v>
      </c>
    </row>
    <row r="67" spans="1:18" s="1148" customFormat="1" ht="16.5" customHeight="1" outlineLevel="1">
      <c r="A67" s="1138" t="s">
        <v>3358</v>
      </c>
      <c r="B67" s="1417"/>
      <c r="C67" s="1140" t="s">
        <v>6406</v>
      </c>
      <c r="D67" s="1224" t="s">
        <v>6284</v>
      </c>
      <c r="E67" s="1141" t="s">
        <v>3990</v>
      </c>
      <c r="F67" s="1141"/>
      <c r="G67" s="1142">
        <v>407266</v>
      </c>
      <c r="H67" s="1142" t="s">
        <v>1109</v>
      </c>
      <c r="I67" s="1142" t="s">
        <v>3358</v>
      </c>
      <c r="J67" s="1142"/>
      <c r="K67" s="1157"/>
      <c r="L67" s="1157"/>
      <c r="M67" s="1157"/>
      <c r="N67" s="1142"/>
      <c r="O67" s="1142"/>
      <c r="P67" s="1142"/>
      <c r="Q67" s="1142"/>
      <c r="R67" s="1220" t="s">
        <v>6302</v>
      </c>
    </row>
    <row r="68" spans="1:18" ht="16.5" customHeight="1" outlineLevel="1">
      <c r="A68" s="1109" t="s">
        <v>3247</v>
      </c>
      <c r="B68" s="1417"/>
      <c r="C68" s="1133" t="s">
        <v>6406</v>
      </c>
      <c r="D68" s="1192" t="s">
        <v>6284</v>
      </c>
      <c r="E68" s="1131" t="s">
        <v>6407</v>
      </c>
      <c r="F68" s="1131"/>
      <c r="G68" s="1117"/>
      <c r="H68" s="1117" t="s">
        <v>264</v>
      </c>
      <c r="I68" s="1117" t="s">
        <v>3358</v>
      </c>
      <c r="J68" s="1117" t="s">
        <v>6128</v>
      </c>
      <c r="K68" s="1165"/>
      <c r="L68" s="1165"/>
      <c r="M68" s="1165"/>
      <c r="N68" s="1117" t="s">
        <v>6408</v>
      </c>
      <c r="O68" s="1117" t="s">
        <v>6409</v>
      </c>
      <c r="P68" s="1117" t="s">
        <v>6410</v>
      </c>
      <c r="Q68" s="1117" t="s">
        <v>6411</v>
      </c>
      <c r="R68" s="1137" t="s">
        <v>6412</v>
      </c>
    </row>
    <row r="69" spans="1:18" ht="16.5" outlineLevel="1">
      <c r="A69" s="1109" t="s">
        <v>3247</v>
      </c>
      <c r="B69" s="1417"/>
      <c r="C69" s="1111" t="s">
        <v>6243</v>
      </c>
      <c r="D69" s="1111" t="s">
        <v>6151</v>
      </c>
      <c r="E69" s="1131" t="s">
        <v>4024</v>
      </c>
      <c r="F69" s="1131"/>
      <c r="G69" s="1117"/>
      <c r="H69" s="1117" t="s">
        <v>185</v>
      </c>
      <c r="I69" s="1117" t="s">
        <v>3358</v>
      </c>
      <c r="J69" s="1187" t="s">
        <v>6112</v>
      </c>
      <c r="K69" s="1188"/>
      <c r="L69" s="1188"/>
      <c r="M69" s="1188"/>
      <c r="N69" s="1117" t="s">
        <v>6413</v>
      </c>
      <c r="O69" s="1189" t="s">
        <v>6414</v>
      </c>
      <c r="P69" s="1177" t="s">
        <v>6415</v>
      </c>
      <c r="Q69" s="1190" t="s">
        <v>6416</v>
      </c>
      <c r="R69" s="1225"/>
    </row>
    <row r="70" spans="1:18" ht="16.5" outlineLevel="1">
      <c r="A70" s="1109" t="s">
        <v>6108</v>
      </c>
      <c r="B70" s="1417"/>
      <c r="C70" s="1133" t="s">
        <v>6246</v>
      </c>
      <c r="D70" s="1111" t="s">
        <v>6166</v>
      </c>
      <c r="E70" s="1112" t="s">
        <v>3352</v>
      </c>
      <c r="F70" s="1112"/>
      <c r="G70" s="1113"/>
      <c r="H70" s="1113" t="s">
        <v>185</v>
      </c>
      <c r="I70" s="1117" t="s">
        <v>3247</v>
      </c>
      <c r="J70" s="1113" t="s">
        <v>6187</v>
      </c>
      <c r="K70" s="1165"/>
      <c r="L70" s="1165"/>
      <c r="M70" s="1165"/>
      <c r="N70" s="1117" t="s">
        <v>6417</v>
      </c>
      <c r="O70" s="1113" t="s">
        <v>6349</v>
      </c>
      <c r="P70" s="1113" t="s">
        <v>6350</v>
      </c>
      <c r="Q70" s="1124" t="s">
        <v>6351</v>
      </c>
      <c r="R70" s="1226"/>
    </row>
    <row r="71" spans="1:18" s="1148" customFormat="1" ht="16.5" outlineLevel="1">
      <c r="A71" s="1138" t="s">
        <v>3358</v>
      </c>
      <c r="B71" s="1417"/>
      <c r="C71" s="1140" t="s">
        <v>6246</v>
      </c>
      <c r="D71" s="1140" t="s">
        <v>6166</v>
      </c>
      <c r="E71" s="1209" t="s">
        <v>4151</v>
      </c>
      <c r="F71" s="1209"/>
      <c r="G71" s="1156"/>
      <c r="H71" s="1156" t="s">
        <v>137</v>
      </c>
      <c r="I71" s="1142" t="s">
        <v>3247</v>
      </c>
      <c r="J71" s="1156" t="s">
        <v>6119</v>
      </c>
      <c r="K71" s="1157"/>
      <c r="L71" s="1157"/>
      <c r="M71" s="1157"/>
      <c r="N71" s="1142"/>
      <c r="O71" s="1156" t="s">
        <v>6418</v>
      </c>
      <c r="P71" s="1156" t="s">
        <v>6419</v>
      </c>
      <c r="Q71" s="1210" t="s">
        <v>6420</v>
      </c>
      <c r="R71" s="1223"/>
    </row>
    <row r="72" spans="1:18" s="1148" customFormat="1" ht="16.5" outlineLevel="1">
      <c r="A72" s="1138" t="s">
        <v>3358</v>
      </c>
      <c r="B72" s="1417"/>
      <c r="C72" s="1140" t="s">
        <v>6251</v>
      </c>
      <c r="D72" s="1140" t="s">
        <v>6173</v>
      </c>
      <c r="E72" s="1141" t="s">
        <v>3279</v>
      </c>
      <c r="F72" s="1141"/>
      <c r="G72" s="1142"/>
      <c r="H72" s="1156" t="s">
        <v>910</v>
      </c>
      <c r="I72" s="1150"/>
      <c r="J72" s="1156" t="s">
        <v>6112</v>
      </c>
      <c r="K72" s="1167"/>
      <c r="L72" s="1167"/>
      <c r="M72" s="1167"/>
      <c r="N72" s="1142" t="s">
        <v>6371</v>
      </c>
      <c r="O72" s="1142" t="s">
        <v>6421</v>
      </c>
      <c r="P72" s="1142" t="s">
        <v>6422</v>
      </c>
      <c r="Q72" s="1146" t="s">
        <v>6423</v>
      </c>
      <c r="R72" s="1152"/>
    </row>
    <row r="73" spans="1:18" ht="16.5" outlineLevel="1">
      <c r="A73" s="1227" t="s">
        <v>3247</v>
      </c>
      <c r="B73" s="1417"/>
      <c r="C73" s="1215" t="s">
        <v>6251</v>
      </c>
      <c r="D73" s="1111" t="s">
        <v>6173</v>
      </c>
      <c r="E73" s="1228" t="s">
        <v>6424</v>
      </c>
      <c r="F73" s="1228"/>
      <c r="G73" s="1229"/>
      <c r="H73" s="1229" t="s">
        <v>6425</v>
      </c>
      <c r="I73" s="1229" t="s">
        <v>3247</v>
      </c>
      <c r="J73" s="1229" t="s">
        <v>6187</v>
      </c>
      <c r="K73" s="1230"/>
      <c r="L73" s="1230"/>
      <c r="M73" s="1230"/>
      <c r="N73" s="1229"/>
      <c r="O73" s="1229"/>
      <c r="P73" s="1229"/>
      <c r="Q73" s="1229"/>
      <c r="R73" s="1182"/>
    </row>
    <row r="74" spans="1:18" s="1148" customFormat="1" ht="16.5" outlineLevel="1">
      <c r="A74" s="1231" t="s">
        <v>3358</v>
      </c>
      <c r="B74" s="1417"/>
      <c r="C74" s="1140" t="s">
        <v>6251</v>
      </c>
      <c r="D74" s="1140" t="s">
        <v>6173</v>
      </c>
      <c r="E74" s="1141" t="s">
        <v>3539</v>
      </c>
      <c r="F74" s="1141"/>
      <c r="G74" s="1142"/>
      <c r="H74" s="1142" t="s">
        <v>795</v>
      </c>
      <c r="I74" s="1150"/>
      <c r="J74" s="1142" t="s">
        <v>6426</v>
      </c>
      <c r="K74" s="1167"/>
      <c r="L74" s="1167"/>
      <c r="M74" s="1167"/>
      <c r="N74" s="1142" t="s">
        <v>6427</v>
      </c>
      <c r="O74" s="1142"/>
      <c r="P74" s="1142" t="s">
        <v>6428</v>
      </c>
      <c r="Q74" s="1146" t="s">
        <v>6429</v>
      </c>
      <c r="R74" s="1168"/>
    </row>
    <row r="75" spans="1:18" ht="16.5" outlineLevel="1">
      <c r="A75" s="1109" t="s">
        <v>3247</v>
      </c>
      <c r="B75" s="1417"/>
      <c r="C75" s="1111" t="s">
        <v>6257</v>
      </c>
      <c r="D75" s="1111" t="s">
        <v>6118</v>
      </c>
      <c r="E75" s="1131" t="s">
        <v>6430</v>
      </c>
      <c r="F75" s="1131"/>
      <c r="G75" s="1117">
        <v>419845</v>
      </c>
      <c r="H75" s="1117" t="s">
        <v>165</v>
      </c>
      <c r="I75" s="1232"/>
      <c r="J75" s="1117" t="s">
        <v>6181</v>
      </c>
      <c r="K75" s="1166"/>
      <c r="L75" s="1166"/>
      <c r="M75" s="1166"/>
      <c r="N75" s="1117" t="s">
        <v>6331</v>
      </c>
      <c r="O75" s="1117"/>
      <c r="P75" s="1113" t="s">
        <v>6332</v>
      </c>
      <c r="Q75" s="1124" t="s">
        <v>6333</v>
      </c>
    </row>
    <row r="76" spans="1:18" s="1148" customFormat="1" ht="16.5" outlineLevel="1">
      <c r="A76" s="1231" t="s">
        <v>3358</v>
      </c>
      <c r="B76" s="1417"/>
      <c r="C76" s="1140" t="s">
        <v>6263</v>
      </c>
      <c r="D76" s="1140" t="s">
        <v>6126</v>
      </c>
      <c r="E76" s="1141" t="s">
        <v>3705</v>
      </c>
      <c r="F76" s="1141"/>
      <c r="G76" s="1142"/>
      <c r="H76" s="1142" t="s">
        <v>137</v>
      </c>
      <c r="I76" s="1142" t="s">
        <v>3247</v>
      </c>
      <c r="J76" s="1156" t="s">
        <v>6137</v>
      </c>
      <c r="K76" s="1157"/>
      <c r="L76" s="1157"/>
      <c r="M76" s="1157"/>
      <c r="N76" s="1146" t="s">
        <v>6431</v>
      </c>
      <c r="O76" s="1142" t="s">
        <v>6286</v>
      </c>
      <c r="P76" s="1142" t="s">
        <v>6432</v>
      </c>
      <c r="Q76" s="1146" t="s">
        <v>6433</v>
      </c>
      <c r="R76" s="1233"/>
    </row>
    <row r="77" spans="1:18" ht="16.5" outlineLevel="1">
      <c r="A77" s="1227" t="s">
        <v>3247</v>
      </c>
      <c r="B77" s="1417"/>
      <c r="C77" s="1111" t="s">
        <v>6263</v>
      </c>
      <c r="D77" s="1111" t="s">
        <v>6126</v>
      </c>
      <c r="E77" s="1131" t="s">
        <v>3540</v>
      </c>
      <c r="F77" s="1131"/>
      <c r="G77" s="1117"/>
      <c r="H77" s="1117" t="s">
        <v>795</v>
      </c>
      <c r="I77" s="1117" t="s">
        <v>3247</v>
      </c>
      <c r="J77" s="1113" t="s">
        <v>6137</v>
      </c>
      <c r="K77" s="1165"/>
      <c r="L77" s="1165"/>
      <c r="M77" s="1165"/>
      <c r="N77" s="1132" t="s">
        <v>6434</v>
      </c>
      <c r="O77" s="1117" t="s">
        <v>6435</v>
      </c>
      <c r="P77" s="1117"/>
      <c r="Q77" s="1132"/>
      <c r="R77" s="1234"/>
    </row>
    <row r="78" spans="1:18" ht="16.5" outlineLevel="1">
      <c r="A78" s="1109" t="s">
        <v>3358</v>
      </c>
      <c r="B78" s="1417"/>
      <c r="C78" s="1133" t="s">
        <v>6269</v>
      </c>
      <c r="D78" s="1111" t="s">
        <v>6136</v>
      </c>
      <c r="E78" s="1131" t="s">
        <v>4089</v>
      </c>
      <c r="F78" s="1131"/>
      <c r="G78" s="1117"/>
      <c r="H78" s="1117" t="s">
        <v>942</v>
      </c>
      <c r="I78" s="1117"/>
      <c r="J78" s="1113"/>
      <c r="K78" s="1165"/>
      <c r="L78" s="1165"/>
      <c r="M78" s="1165"/>
      <c r="N78" s="1132"/>
      <c r="O78" s="1117"/>
      <c r="P78" s="1117"/>
      <c r="Q78" s="1132"/>
      <c r="R78" s="1216"/>
    </row>
    <row r="79" spans="1:18" ht="16.5" outlineLevel="1">
      <c r="A79" s="1109" t="s">
        <v>3247</v>
      </c>
      <c r="B79" s="1417"/>
      <c r="C79" s="1133" t="s">
        <v>6269</v>
      </c>
      <c r="D79" s="1111" t="s">
        <v>6136</v>
      </c>
      <c r="E79" s="1131" t="s">
        <v>3745</v>
      </c>
      <c r="F79" s="1131"/>
      <c r="G79" s="1117"/>
      <c r="H79" s="1117" t="s">
        <v>264</v>
      </c>
      <c r="I79" s="1117" t="s">
        <v>3358</v>
      </c>
      <c r="J79" s="1113" t="s">
        <v>6128</v>
      </c>
      <c r="K79" s="1165"/>
      <c r="L79" s="1165"/>
      <c r="M79" s="1165"/>
      <c r="N79" s="1109" t="s">
        <v>6436</v>
      </c>
      <c r="O79" s="1117" t="s">
        <v>6437</v>
      </c>
      <c r="P79" s="1117" t="s">
        <v>6438</v>
      </c>
      <c r="Q79" s="1132" t="s">
        <v>6439</v>
      </c>
      <c r="R79" s="1235" t="s">
        <v>6440</v>
      </c>
    </row>
    <row r="80" spans="1:18" ht="16.5" outlineLevel="1">
      <c r="A80" s="1109" t="s">
        <v>3247</v>
      </c>
      <c r="B80" s="1417"/>
      <c r="C80" s="1111" t="s">
        <v>6275</v>
      </c>
      <c r="D80" s="1236" t="s">
        <v>6144</v>
      </c>
      <c r="E80" s="1131" t="s">
        <v>4220</v>
      </c>
      <c r="F80" s="1131"/>
      <c r="G80" s="1117">
        <v>414836</v>
      </c>
      <c r="H80" s="1117" t="s">
        <v>165</v>
      </c>
      <c r="I80" s="1117"/>
      <c r="J80" s="1117" t="s">
        <v>6441</v>
      </c>
      <c r="K80" s="1165"/>
      <c r="L80" s="1165"/>
      <c r="M80" s="1165"/>
      <c r="N80" s="1132" t="s">
        <v>6442</v>
      </c>
      <c r="O80" s="1117"/>
      <c r="P80" s="1117" t="s">
        <v>6443</v>
      </c>
      <c r="Q80" s="1132" t="s">
        <v>6333</v>
      </c>
      <c r="R80" s="1237"/>
    </row>
    <row r="81" spans="1:18" s="1148" customFormat="1" ht="16.5" outlineLevel="1">
      <c r="A81" s="1138" t="s">
        <v>3358</v>
      </c>
      <c r="B81" s="1417"/>
      <c r="C81" s="1140" t="s">
        <v>6281</v>
      </c>
      <c r="D81" s="1140" t="s">
        <v>6151</v>
      </c>
      <c r="E81" s="1141" t="s">
        <v>4520</v>
      </c>
      <c r="F81" s="1141"/>
      <c r="G81" s="1142">
        <v>400637</v>
      </c>
      <c r="H81" s="1142" t="s">
        <v>1109</v>
      </c>
      <c r="I81" s="1142"/>
      <c r="J81" s="1142" t="s">
        <v>6112</v>
      </c>
      <c r="K81" s="1157"/>
      <c r="L81" s="1157"/>
      <c r="M81" s="1238"/>
      <c r="N81" s="1146" t="s">
        <v>6444</v>
      </c>
      <c r="O81" s="1142" t="s">
        <v>6445</v>
      </c>
      <c r="P81" s="1142" t="s">
        <v>6114</v>
      </c>
      <c r="Q81" s="1146" t="s">
        <v>6446</v>
      </c>
      <c r="R81" s="1239"/>
    </row>
    <row r="82" spans="1:18" ht="16.5" outlineLevel="1">
      <c r="A82" s="1109" t="s">
        <v>3247</v>
      </c>
      <c r="B82" s="1417"/>
      <c r="C82" s="1133" t="s">
        <v>6281</v>
      </c>
      <c r="D82" s="1111" t="s">
        <v>6151</v>
      </c>
      <c r="E82" s="1131" t="s">
        <v>6447</v>
      </c>
      <c r="F82" s="1131"/>
      <c r="G82" s="1117"/>
      <c r="H82" s="1117" t="s">
        <v>264</v>
      </c>
      <c r="I82" s="1117" t="s">
        <v>3358</v>
      </c>
      <c r="J82" s="1117" t="s">
        <v>6137</v>
      </c>
      <c r="K82" s="1165"/>
      <c r="L82" s="1165"/>
      <c r="M82" s="1240"/>
      <c r="N82" s="1132" t="s">
        <v>6448</v>
      </c>
      <c r="O82" s="1117" t="s">
        <v>6449</v>
      </c>
      <c r="P82" s="1117" t="s">
        <v>6450</v>
      </c>
      <c r="Q82" s="1132" t="s">
        <v>6451</v>
      </c>
      <c r="R82" s="1241" t="s">
        <v>6452</v>
      </c>
    </row>
    <row r="83" spans="1:18" s="1148" customFormat="1" ht="16.5" outlineLevel="1">
      <c r="A83" s="1138" t="s">
        <v>3358</v>
      </c>
      <c r="B83" s="1417"/>
      <c r="C83" s="1140" t="s">
        <v>6282</v>
      </c>
      <c r="D83" s="1140" t="s">
        <v>6166</v>
      </c>
      <c r="E83" s="1141" t="s">
        <v>3668</v>
      </c>
      <c r="F83" s="1141"/>
      <c r="G83" s="1142"/>
      <c r="H83" s="1156" t="s">
        <v>185</v>
      </c>
      <c r="I83" s="1142" t="s">
        <v>3247</v>
      </c>
      <c r="J83" s="1242" t="s">
        <v>6112</v>
      </c>
      <c r="K83" s="1169"/>
      <c r="L83" s="1169"/>
      <c r="M83" s="1243"/>
      <c r="N83" s="1244" t="s">
        <v>6375</v>
      </c>
      <c r="O83" s="1142" t="s">
        <v>6453</v>
      </c>
      <c r="P83" s="1217" t="s">
        <v>6454</v>
      </c>
      <c r="Q83" s="1146" t="s">
        <v>6455</v>
      </c>
      <c r="R83" s="1223"/>
    </row>
    <row r="84" spans="1:18" ht="16.5" outlineLevel="1">
      <c r="A84" s="1109" t="s">
        <v>3247</v>
      </c>
      <c r="B84" s="1417"/>
      <c r="C84" s="1215" t="s">
        <v>6282</v>
      </c>
      <c r="D84" s="1111" t="s">
        <v>6166</v>
      </c>
      <c r="E84" s="1131" t="s">
        <v>4295</v>
      </c>
      <c r="F84" s="1131"/>
      <c r="G84" s="1117">
        <v>414836</v>
      </c>
      <c r="H84" s="1113" t="s">
        <v>165</v>
      </c>
      <c r="I84" s="1158" t="s">
        <v>3247</v>
      </c>
      <c r="J84" s="1245" t="s">
        <v>6456</v>
      </c>
      <c r="K84" s="1170"/>
      <c r="L84" s="1170"/>
      <c r="M84" s="1170"/>
      <c r="N84" s="1176" t="s">
        <v>6457</v>
      </c>
      <c r="O84" s="1132"/>
      <c r="P84" s="1246" t="s">
        <v>6458</v>
      </c>
      <c r="Q84" s="1247" t="s">
        <v>6459</v>
      </c>
      <c r="R84" s="1248"/>
    </row>
    <row r="85" spans="1:18" ht="16.5" outlineLevel="1">
      <c r="A85" s="1109" t="s">
        <v>3247</v>
      </c>
      <c r="B85" s="1417"/>
      <c r="C85" s="1111" t="s">
        <v>6460</v>
      </c>
      <c r="D85" s="1111" t="s">
        <v>6173</v>
      </c>
      <c r="E85" s="1131" t="s">
        <v>4414</v>
      </c>
      <c r="F85" s="1131"/>
      <c r="G85" s="1117"/>
      <c r="H85" s="1117" t="s">
        <v>137</v>
      </c>
      <c r="I85" s="1158" t="s">
        <v>3358</v>
      </c>
      <c r="J85" s="1245" t="s">
        <v>6112</v>
      </c>
      <c r="K85" s="1170"/>
      <c r="L85" s="1170"/>
      <c r="M85" s="1170"/>
      <c r="N85" s="1176" t="s">
        <v>6413</v>
      </c>
      <c r="O85" s="1132" t="s">
        <v>6247</v>
      </c>
      <c r="P85" s="1184" t="s">
        <v>6461</v>
      </c>
      <c r="Q85" s="1132" t="s">
        <v>6462</v>
      </c>
      <c r="R85" s="1249"/>
    </row>
    <row r="86" spans="1:18" s="1148" customFormat="1" ht="16.5" outlineLevel="1">
      <c r="A86" s="1138" t="s">
        <v>3358</v>
      </c>
      <c r="B86" s="1417"/>
      <c r="C86" s="1140" t="s">
        <v>6290</v>
      </c>
      <c r="D86" s="1140" t="s">
        <v>6118</v>
      </c>
      <c r="E86" s="1141" t="s">
        <v>3806</v>
      </c>
      <c r="F86" s="1250"/>
      <c r="G86" s="1150"/>
      <c r="H86" s="1150" t="s">
        <v>185</v>
      </c>
      <c r="I86" s="1150" t="s">
        <v>3358</v>
      </c>
      <c r="J86" s="1217" t="s">
        <v>6112</v>
      </c>
      <c r="K86" s="1179"/>
      <c r="L86" s="1179"/>
      <c r="M86" s="1179"/>
      <c r="N86" s="1251" t="s">
        <v>6413</v>
      </c>
      <c r="O86" s="1146" t="s">
        <v>6463</v>
      </c>
      <c r="P86" s="1252" t="s">
        <v>6464</v>
      </c>
      <c r="Q86" s="1146" t="s">
        <v>6465</v>
      </c>
      <c r="R86" s="1214"/>
    </row>
    <row r="87" spans="1:18" ht="16.5" outlineLevel="1">
      <c r="A87" s="1109" t="s">
        <v>3247</v>
      </c>
      <c r="B87" s="1417"/>
      <c r="C87" s="1133" t="s">
        <v>6290</v>
      </c>
      <c r="D87" s="1111" t="s">
        <v>6118</v>
      </c>
      <c r="E87" s="1131" t="s">
        <v>5703</v>
      </c>
      <c r="F87" s="1174"/>
      <c r="G87" s="1158"/>
      <c r="H87" s="1158" t="s">
        <v>264</v>
      </c>
      <c r="I87" s="1158" t="s">
        <v>3247</v>
      </c>
      <c r="J87" s="1245" t="s">
        <v>6128</v>
      </c>
      <c r="K87" s="1170"/>
      <c r="L87" s="1170"/>
      <c r="M87" s="1170"/>
      <c r="N87" s="1176" t="s">
        <v>6466</v>
      </c>
      <c r="O87" s="1132" t="s">
        <v>6467</v>
      </c>
      <c r="P87" s="1253" t="s">
        <v>6468</v>
      </c>
      <c r="Q87" s="1254" t="s">
        <v>6469</v>
      </c>
      <c r="R87" s="1208" t="s">
        <v>6470</v>
      </c>
    </row>
    <row r="88" spans="1:18" s="1148" customFormat="1" ht="16.5" outlineLevel="1">
      <c r="A88" s="1138" t="s">
        <v>3358</v>
      </c>
      <c r="B88" s="1417"/>
      <c r="C88" s="1140" t="s">
        <v>6290</v>
      </c>
      <c r="D88" s="1140" t="s">
        <v>6118</v>
      </c>
      <c r="E88" s="1141" t="s">
        <v>3808</v>
      </c>
      <c r="F88" s="1250"/>
      <c r="G88" s="1150"/>
      <c r="H88" s="1150" t="s">
        <v>185</v>
      </c>
      <c r="I88" s="1150" t="s">
        <v>3358</v>
      </c>
      <c r="J88" s="1217" t="s">
        <v>6112</v>
      </c>
      <c r="K88" s="1179"/>
      <c r="L88" s="1179"/>
      <c r="M88" s="1179"/>
      <c r="N88" s="1217" t="s">
        <v>6413</v>
      </c>
      <c r="O88" s="1146" t="s">
        <v>6471</v>
      </c>
      <c r="P88" s="1217" t="s">
        <v>6472</v>
      </c>
      <c r="Q88" s="1217" t="s">
        <v>6473</v>
      </c>
      <c r="R88" s="1255"/>
    </row>
    <row r="89" spans="1:18" ht="16.5" outlineLevel="1">
      <c r="A89" s="1109" t="s">
        <v>3247</v>
      </c>
      <c r="B89" s="1417"/>
      <c r="C89" s="1256" t="s">
        <v>6291</v>
      </c>
      <c r="D89" s="1111" t="s">
        <v>6126</v>
      </c>
      <c r="E89" s="1131" t="s">
        <v>3541</v>
      </c>
      <c r="F89" s="1131"/>
      <c r="G89" s="1117"/>
      <c r="H89" s="1113" t="s">
        <v>795</v>
      </c>
      <c r="I89" s="1158"/>
      <c r="J89" s="1257" t="s">
        <v>6112</v>
      </c>
      <c r="K89" s="1170"/>
      <c r="L89" s="1170"/>
      <c r="M89" s="1170"/>
      <c r="N89" s="1245" t="s">
        <v>6474</v>
      </c>
      <c r="O89" s="1132"/>
      <c r="P89" s="1245" t="s">
        <v>6475</v>
      </c>
      <c r="Q89" s="1245" t="s">
        <v>6476</v>
      </c>
      <c r="R89" s="1213"/>
    </row>
    <row r="90" spans="1:18" s="1148" customFormat="1" ht="16.5" outlineLevel="1">
      <c r="A90" s="1258" t="s">
        <v>3358</v>
      </c>
      <c r="B90" s="1418"/>
      <c r="C90" s="1259" t="s">
        <v>6291</v>
      </c>
      <c r="D90" s="1140" t="s">
        <v>6126</v>
      </c>
      <c r="E90" s="1141" t="s">
        <v>6477</v>
      </c>
      <c r="F90" s="1141"/>
      <c r="G90" s="1142"/>
      <c r="H90" s="1156" t="s">
        <v>264</v>
      </c>
      <c r="I90" s="1150" t="s">
        <v>3358</v>
      </c>
      <c r="J90" s="1260" t="s">
        <v>6112</v>
      </c>
      <c r="K90" s="1179"/>
      <c r="L90" s="1179"/>
      <c r="M90" s="1179"/>
      <c r="N90" s="1217" t="s">
        <v>6478</v>
      </c>
      <c r="O90" s="1146" t="s">
        <v>6479</v>
      </c>
      <c r="P90" s="1181" t="s">
        <v>6480</v>
      </c>
      <c r="Q90" s="1180" t="s">
        <v>6481</v>
      </c>
      <c r="R90" s="1255" t="s">
        <v>6482</v>
      </c>
    </row>
    <row r="91" spans="1:18" ht="16.5">
      <c r="B91" s="1110" t="s">
        <v>6483</v>
      </c>
      <c r="C91" s="1111" t="s">
        <v>6484</v>
      </c>
      <c r="D91" s="1111" t="s">
        <v>6136</v>
      </c>
      <c r="E91" s="1261" t="s">
        <v>6485</v>
      </c>
      <c r="F91" s="1261"/>
      <c r="G91" s="1117"/>
      <c r="H91" s="1117"/>
      <c r="I91" s="1187"/>
      <c r="J91" s="1189"/>
      <c r="K91" s="1205"/>
      <c r="L91" s="1205"/>
      <c r="M91" s="1205"/>
      <c r="N91" s="1189"/>
      <c r="O91" s="1132"/>
      <c r="P91" s="1162"/>
      <c r="Q91" s="1132"/>
      <c r="R91" s="1262"/>
    </row>
    <row r="92" spans="1:18" ht="16.5">
      <c r="B92" s="1119"/>
      <c r="C92" s="1111" t="s">
        <v>6117</v>
      </c>
      <c r="D92" s="1111" t="s">
        <v>6144</v>
      </c>
      <c r="E92" s="1261" t="s">
        <v>6485</v>
      </c>
      <c r="F92" s="1261"/>
      <c r="G92" s="1117"/>
      <c r="H92" s="1117"/>
      <c r="I92" s="1158"/>
      <c r="J92" s="1257"/>
      <c r="K92" s="1165"/>
      <c r="L92" s="1165"/>
      <c r="M92" s="1165"/>
      <c r="N92" s="1117"/>
      <c r="O92" s="1132"/>
      <c r="P92" s="1117"/>
      <c r="Q92" s="1132"/>
      <c r="R92" s="1262"/>
    </row>
    <row r="93" spans="1:18" ht="16.5">
      <c r="A93" s="1109" t="s">
        <v>3247</v>
      </c>
      <c r="B93" s="1119"/>
      <c r="C93" s="1111" t="s">
        <v>6125</v>
      </c>
      <c r="D93" s="1111" t="s">
        <v>6151</v>
      </c>
      <c r="E93" s="1131" t="s">
        <v>6486</v>
      </c>
      <c r="F93" s="1131"/>
      <c r="G93" s="1117"/>
      <c r="H93" s="1117" t="s">
        <v>32</v>
      </c>
      <c r="I93" s="1158" t="s">
        <v>3358</v>
      </c>
      <c r="J93" s="1257" t="s">
        <v>6128</v>
      </c>
      <c r="K93" s="1165"/>
      <c r="L93" s="1165"/>
      <c r="M93" s="1165"/>
      <c r="N93" s="1263" t="s">
        <v>6487</v>
      </c>
      <c r="O93" s="1132" t="s">
        <v>6488</v>
      </c>
      <c r="P93" s="1117" t="s">
        <v>6489</v>
      </c>
      <c r="Q93" s="1132"/>
      <c r="R93" s="1131"/>
    </row>
    <row r="94" spans="1:18" ht="16.5">
      <c r="A94" s="1109" t="s">
        <v>6490</v>
      </c>
      <c r="B94" s="1119"/>
      <c r="C94" s="1133" t="s">
        <v>6135</v>
      </c>
      <c r="D94" s="1111" t="s">
        <v>6166</v>
      </c>
      <c r="E94" s="1131" t="s">
        <v>5703</v>
      </c>
      <c r="F94" s="1264"/>
      <c r="G94" s="1184"/>
      <c r="H94" s="1117" t="s">
        <v>137</v>
      </c>
      <c r="I94" s="1158" t="s">
        <v>3358</v>
      </c>
      <c r="J94" s="1257" t="s">
        <v>6128</v>
      </c>
      <c r="K94" s="1165"/>
      <c r="L94" s="1165"/>
      <c r="M94" s="1165"/>
      <c r="N94" s="1117" t="s">
        <v>6491</v>
      </c>
      <c r="O94" s="1132" t="s">
        <v>6492</v>
      </c>
      <c r="P94" s="1117" t="s">
        <v>6493</v>
      </c>
      <c r="Q94" s="1132" t="s">
        <v>6494</v>
      </c>
      <c r="R94" s="1131"/>
    </row>
    <row r="95" spans="1:18" ht="16.5">
      <c r="A95" s="1109" t="s">
        <v>3247</v>
      </c>
      <c r="B95" s="1119"/>
      <c r="C95" s="1133" t="s">
        <v>6135</v>
      </c>
      <c r="D95" s="1111" t="s">
        <v>6166</v>
      </c>
      <c r="E95" s="1174" t="s">
        <v>4391</v>
      </c>
      <c r="G95" s="1245">
        <v>422408</v>
      </c>
      <c r="H95" s="1109" t="s">
        <v>165</v>
      </c>
      <c r="I95" s="1158" t="s">
        <v>3247</v>
      </c>
      <c r="J95" s="1109" t="s">
        <v>6119</v>
      </c>
      <c r="K95" s="1165"/>
      <c r="L95" s="1165"/>
      <c r="M95" s="1165"/>
      <c r="N95" s="1132" t="s">
        <v>6495</v>
      </c>
      <c r="O95" s="1132" t="s">
        <v>6496</v>
      </c>
      <c r="P95" s="1117" t="s">
        <v>6497</v>
      </c>
      <c r="Q95" s="1117" t="s">
        <v>6497</v>
      </c>
      <c r="R95" s="1131"/>
    </row>
    <row r="96" spans="1:18" ht="16.5">
      <c r="A96" s="1109" t="s">
        <v>6490</v>
      </c>
      <c r="B96" s="1119"/>
      <c r="C96" s="1215" t="s">
        <v>6143</v>
      </c>
      <c r="D96" s="1111" t="s">
        <v>6173</v>
      </c>
      <c r="E96" s="1174" t="s">
        <v>4261</v>
      </c>
      <c r="G96" s="1265"/>
      <c r="H96" s="1245" t="s">
        <v>331</v>
      </c>
      <c r="I96" s="1158" t="s">
        <v>3358</v>
      </c>
      <c r="J96" s="1257" t="s">
        <v>6112</v>
      </c>
      <c r="K96" s="1165"/>
      <c r="L96" s="1165"/>
      <c r="M96" s="1165"/>
      <c r="N96" s="1132" t="s">
        <v>6498</v>
      </c>
      <c r="O96" s="1117" t="s">
        <v>6499</v>
      </c>
      <c r="P96" s="1117" t="s">
        <v>6500</v>
      </c>
      <c r="Q96" s="1132"/>
      <c r="R96" s="1131"/>
    </row>
    <row r="97" spans="1:18" ht="16.5">
      <c r="A97" s="1109" t="s">
        <v>3247</v>
      </c>
      <c r="B97" s="1119"/>
      <c r="C97" s="1215" t="s">
        <v>6143</v>
      </c>
      <c r="D97" s="1111" t="s">
        <v>6173</v>
      </c>
      <c r="E97" s="1174" t="s">
        <v>4220</v>
      </c>
      <c r="G97" s="1245">
        <v>414836</v>
      </c>
      <c r="H97" s="1245" t="s">
        <v>165</v>
      </c>
      <c r="I97" s="1158" t="s">
        <v>3247</v>
      </c>
      <c r="J97" s="1257" t="s">
        <v>6187</v>
      </c>
      <c r="K97" s="1165"/>
      <c r="L97" s="1165"/>
      <c r="M97" s="1165"/>
      <c r="N97" s="1132" t="s">
        <v>6501</v>
      </c>
      <c r="O97" s="1117" t="s">
        <v>6502</v>
      </c>
      <c r="P97" s="1221" t="s">
        <v>6503</v>
      </c>
      <c r="Q97" s="1132" t="s">
        <v>6504</v>
      </c>
      <c r="R97" s="1131"/>
    </row>
    <row r="98" spans="1:18" ht="16.5">
      <c r="A98" s="1109" t="s">
        <v>6490</v>
      </c>
      <c r="B98" s="1119"/>
      <c r="C98" s="1133" t="s">
        <v>6150</v>
      </c>
      <c r="D98" s="1111" t="s">
        <v>6118</v>
      </c>
      <c r="E98" s="1131" t="s">
        <v>3445</v>
      </c>
      <c r="F98" s="1266"/>
      <c r="G98" s="1189">
        <v>425814</v>
      </c>
      <c r="H98" s="1189" t="s">
        <v>910</v>
      </c>
      <c r="I98" s="1158" t="s">
        <v>3358</v>
      </c>
      <c r="J98" s="1117" t="s">
        <v>6112</v>
      </c>
      <c r="K98" s="1165"/>
      <c r="L98" s="1165"/>
      <c r="M98" s="1165"/>
      <c r="N98" s="1132" t="s">
        <v>6375</v>
      </c>
      <c r="O98" s="1117"/>
      <c r="P98" s="1117"/>
      <c r="Q98" s="1132"/>
      <c r="R98" s="1131"/>
    </row>
    <row r="99" spans="1:18" ht="16.5">
      <c r="A99" s="1109" t="s">
        <v>6490</v>
      </c>
      <c r="B99" s="1119"/>
      <c r="C99" s="1133" t="s">
        <v>6150</v>
      </c>
      <c r="D99" s="1111" t="s">
        <v>6118</v>
      </c>
      <c r="E99" s="1131" t="s">
        <v>3352</v>
      </c>
      <c r="F99" s="1266"/>
      <c r="G99" s="1189"/>
      <c r="H99" s="1189" t="s">
        <v>185</v>
      </c>
      <c r="I99" s="1158" t="s">
        <v>3247</v>
      </c>
      <c r="J99" s="1117" t="s">
        <v>6137</v>
      </c>
      <c r="K99" s="1165"/>
      <c r="L99" s="1165"/>
      <c r="M99" s="1165"/>
      <c r="N99" s="1132" t="s">
        <v>6505</v>
      </c>
      <c r="O99" s="1117" t="s">
        <v>6506</v>
      </c>
      <c r="P99" s="1117" t="s">
        <v>6507</v>
      </c>
      <c r="Q99" s="1132" t="s">
        <v>6508</v>
      </c>
      <c r="R99" s="1131"/>
    </row>
    <row r="100" spans="1:18" ht="16.5">
      <c r="A100" s="1109" t="s">
        <v>3247</v>
      </c>
      <c r="B100" s="1119"/>
      <c r="C100" s="1133" t="s">
        <v>6150</v>
      </c>
      <c r="D100" s="1111" t="s">
        <v>6118</v>
      </c>
      <c r="E100" s="1131" t="s">
        <v>4336</v>
      </c>
      <c r="F100" s="1266"/>
      <c r="G100" s="1189"/>
      <c r="H100" s="1117" t="s">
        <v>137</v>
      </c>
      <c r="I100" s="1158" t="s">
        <v>3247</v>
      </c>
      <c r="J100" s="1117" t="s">
        <v>6137</v>
      </c>
      <c r="K100" s="1165"/>
      <c r="L100" s="1165"/>
      <c r="M100" s="1165"/>
      <c r="N100" s="1267" t="s">
        <v>6509</v>
      </c>
      <c r="O100" s="1117" t="s">
        <v>6510</v>
      </c>
      <c r="P100" s="1117" t="s">
        <v>6511</v>
      </c>
      <c r="Q100" s="1132" t="s">
        <v>6512</v>
      </c>
      <c r="R100" s="1131"/>
    </row>
    <row r="101" spans="1:18" ht="16.5">
      <c r="A101" s="1109" t="s">
        <v>6108</v>
      </c>
      <c r="B101" s="1119"/>
      <c r="C101" s="1111" t="s">
        <v>6165</v>
      </c>
      <c r="D101" s="1111" t="s">
        <v>6126</v>
      </c>
      <c r="E101" s="1131" t="s">
        <v>4341</v>
      </c>
      <c r="F101" s="1131"/>
      <c r="G101" s="1117"/>
      <c r="H101" s="1117" t="s">
        <v>137</v>
      </c>
      <c r="I101" s="1117" t="s">
        <v>3247</v>
      </c>
      <c r="J101" s="1113" t="s">
        <v>6137</v>
      </c>
      <c r="K101" s="1165"/>
      <c r="L101" s="1165"/>
      <c r="M101" s="1165"/>
      <c r="N101" s="1117" t="s">
        <v>6513</v>
      </c>
      <c r="O101" s="1117" t="s">
        <v>6514</v>
      </c>
      <c r="P101" s="1117" t="s">
        <v>6515</v>
      </c>
      <c r="Q101" s="1132" t="s">
        <v>6516</v>
      </c>
      <c r="R101" s="1131"/>
    </row>
    <row r="102" spans="1:18" ht="16.5">
      <c r="A102" s="1109" t="s">
        <v>6108</v>
      </c>
      <c r="B102" s="1119"/>
      <c r="C102" s="1111" t="s">
        <v>6172</v>
      </c>
      <c r="D102" s="1111" t="s">
        <v>6136</v>
      </c>
      <c r="E102" s="1131" t="s">
        <v>6517</v>
      </c>
      <c r="F102" s="1131"/>
      <c r="G102" s="1117"/>
      <c r="H102" s="1117" t="s">
        <v>942</v>
      </c>
      <c r="I102" s="1184" t="s">
        <v>3358</v>
      </c>
      <c r="J102" s="1184" t="s">
        <v>6112</v>
      </c>
      <c r="K102" s="1165"/>
      <c r="L102" s="1165"/>
      <c r="M102" s="1165"/>
      <c r="N102" s="1117" t="s">
        <v>6518</v>
      </c>
      <c r="O102" s="1117" t="s">
        <v>6519</v>
      </c>
      <c r="P102" s="1117" t="s">
        <v>6520</v>
      </c>
      <c r="Q102" s="1132" t="s">
        <v>6521</v>
      </c>
      <c r="R102" s="1131"/>
    </row>
    <row r="103" spans="1:18" ht="16.5">
      <c r="A103" s="1109" t="s">
        <v>6108</v>
      </c>
      <c r="B103" s="1119"/>
      <c r="C103" s="1111" t="s">
        <v>6186</v>
      </c>
      <c r="D103" s="1111" t="s">
        <v>6144</v>
      </c>
      <c r="E103" s="1131" t="s">
        <v>4520</v>
      </c>
      <c r="F103" s="1131"/>
      <c r="G103" s="1117">
        <v>400637</v>
      </c>
      <c r="H103" s="1158" t="s">
        <v>1109</v>
      </c>
      <c r="I103" s="1245" t="s">
        <v>3358</v>
      </c>
      <c r="J103" s="1245" t="s">
        <v>6112</v>
      </c>
      <c r="K103" s="1268"/>
      <c r="L103" s="1165"/>
      <c r="M103" s="1165"/>
      <c r="N103" s="1117" t="s">
        <v>6522</v>
      </c>
      <c r="O103" s="1117" t="s">
        <v>6523</v>
      </c>
      <c r="P103" s="1117" t="s">
        <v>6114</v>
      </c>
      <c r="Q103" s="1117" t="s">
        <v>6524</v>
      </c>
      <c r="R103" s="1131"/>
    </row>
    <row r="104" spans="1:18" ht="16.5">
      <c r="A104" s="1109" t="s">
        <v>6108</v>
      </c>
      <c r="B104" s="1119"/>
      <c r="C104" s="1111" t="s">
        <v>6193</v>
      </c>
      <c r="D104" s="1111" t="s">
        <v>6151</v>
      </c>
      <c r="E104" s="1131" t="s">
        <v>4414</v>
      </c>
      <c r="F104" s="1131"/>
      <c r="G104" s="1117"/>
      <c r="H104" s="1158" t="s">
        <v>137</v>
      </c>
      <c r="I104" s="1245" t="s">
        <v>3358</v>
      </c>
      <c r="J104" s="1245" t="s">
        <v>6112</v>
      </c>
      <c r="K104" s="1268"/>
      <c r="L104" s="1165"/>
      <c r="M104" s="1165"/>
      <c r="N104" s="1117" t="s">
        <v>6525</v>
      </c>
      <c r="O104" s="1117" t="s">
        <v>6526</v>
      </c>
      <c r="P104" s="1117" t="s">
        <v>6527</v>
      </c>
      <c r="Q104" s="1117" t="s">
        <v>6527</v>
      </c>
      <c r="R104" s="1131"/>
    </row>
    <row r="105" spans="1:18" ht="16.5">
      <c r="A105" s="1109" t="s">
        <v>6490</v>
      </c>
      <c r="B105" s="1119"/>
      <c r="C105" s="1215" t="s">
        <v>6195</v>
      </c>
      <c r="D105" s="1111" t="s">
        <v>6166</v>
      </c>
      <c r="E105" s="1131" t="s">
        <v>6528</v>
      </c>
      <c r="F105" s="1131"/>
      <c r="G105" s="1117"/>
      <c r="H105" s="1158" t="s">
        <v>942</v>
      </c>
      <c r="I105" s="1245" t="s">
        <v>3247</v>
      </c>
      <c r="J105" s="1245" t="s">
        <v>6128</v>
      </c>
      <c r="K105" s="1268"/>
      <c r="L105" s="1165"/>
      <c r="M105" s="1165"/>
      <c r="N105" s="1117" t="s">
        <v>6529</v>
      </c>
      <c r="O105" s="1117" t="s">
        <v>6530</v>
      </c>
      <c r="P105" s="1117" t="s">
        <v>6531</v>
      </c>
      <c r="Q105" s="1132" t="s">
        <v>6532</v>
      </c>
      <c r="R105" s="1131"/>
    </row>
    <row r="106" spans="1:18" ht="16.5">
      <c r="A106" s="1109" t="s">
        <v>6108</v>
      </c>
      <c r="B106" s="1119"/>
      <c r="C106" s="1215" t="s">
        <v>6195</v>
      </c>
      <c r="D106" s="1111" t="s">
        <v>6166</v>
      </c>
      <c r="E106" s="1131" t="s">
        <v>6533</v>
      </c>
      <c r="F106" s="1131"/>
      <c r="G106" s="1117"/>
      <c r="H106" s="1158" t="s">
        <v>417</v>
      </c>
      <c r="I106" s="1245" t="s">
        <v>3247</v>
      </c>
      <c r="J106" s="1257" t="s">
        <v>6137</v>
      </c>
      <c r="K106" s="1268"/>
      <c r="L106" s="1165"/>
      <c r="M106" s="1165"/>
      <c r="N106" s="1117" t="s">
        <v>6534</v>
      </c>
      <c r="O106" s="1117" t="s">
        <v>6535</v>
      </c>
      <c r="P106" s="1117" t="s">
        <v>6536</v>
      </c>
      <c r="Q106" s="1132" t="s">
        <v>6537</v>
      </c>
      <c r="R106" s="1131"/>
    </row>
    <row r="107" spans="1:18" ht="16.5">
      <c r="A107" s="1109" t="s">
        <v>3247</v>
      </c>
      <c r="B107" s="1119"/>
      <c r="C107" s="1133" t="s">
        <v>6202</v>
      </c>
      <c r="D107" s="1111" t="s">
        <v>6166</v>
      </c>
      <c r="E107" s="1131" t="s">
        <v>3455</v>
      </c>
      <c r="F107" s="1131"/>
      <c r="G107" s="1117">
        <v>402255</v>
      </c>
      <c r="H107" s="1158" t="s">
        <v>910</v>
      </c>
      <c r="I107" s="1245" t="s">
        <v>3358</v>
      </c>
      <c r="J107" s="1245" t="s">
        <v>6137</v>
      </c>
      <c r="K107" s="1268"/>
      <c r="L107" s="1165"/>
      <c r="M107" s="1165"/>
      <c r="N107" s="1263" t="s">
        <v>6538</v>
      </c>
      <c r="O107" s="1117" t="s">
        <v>6539</v>
      </c>
      <c r="P107" s="1117" t="s">
        <v>6540</v>
      </c>
      <c r="Q107" s="1132" t="s">
        <v>6541</v>
      </c>
      <c r="R107" s="1131"/>
    </row>
    <row r="108" spans="1:18" ht="16.5">
      <c r="A108" s="1109" t="s">
        <v>6490</v>
      </c>
      <c r="B108" s="1119"/>
      <c r="C108" s="1133" t="s">
        <v>6202</v>
      </c>
      <c r="D108" s="1111" t="s">
        <v>6173</v>
      </c>
      <c r="E108" s="1131" t="s">
        <v>6542</v>
      </c>
      <c r="F108" s="1131"/>
      <c r="G108" s="1117"/>
      <c r="H108" s="1158" t="s">
        <v>331</v>
      </c>
      <c r="I108" s="1245" t="s">
        <v>3247</v>
      </c>
      <c r="J108" s="1257" t="s">
        <v>6112</v>
      </c>
      <c r="K108" s="1268"/>
      <c r="L108" s="1165"/>
      <c r="M108" s="1165"/>
      <c r="N108" s="1117" t="s">
        <v>6543</v>
      </c>
      <c r="O108" s="1117" t="s">
        <v>6544</v>
      </c>
      <c r="P108" s="1117" t="s">
        <v>6545</v>
      </c>
      <c r="Q108" s="1132"/>
      <c r="R108" s="1131"/>
    </row>
    <row r="109" spans="1:18" ht="16.5">
      <c r="A109" s="1109" t="s">
        <v>3247</v>
      </c>
      <c r="B109" s="1119"/>
      <c r="C109" s="1215" t="s">
        <v>6208</v>
      </c>
      <c r="D109" s="1111" t="s">
        <v>6118</v>
      </c>
      <c r="E109" s="1131" t="s">
        <v>4216</v>
      </c>
      <c r="F109" s="1131"/>
      <c r="G109" s="1117">
        <v>419845</v>
      </c>
      <c r="H109" s="1117" t="s">
        <v>165</v>
      </c>
      <c r="I109" s="1189" t="s">
        <v>3247</v>
      </c>
      <c r="J109" s="1189" t="s">
        <v>6181</v>
      </c>
      <c r="K109" s="1165"/>
      <c r="L109" s="1165"/>
      <c r="M109" s="1165"/>
      <c r="N109" s="1117" t="s">
        <v>6546</v>
      </c>
      <c r="O109" s="1117" t="s">
        <v>4714</v>
      </c>
      <c r="P109" s="1117" t="s">
        <v>6547</v>
      </c>
      <c r="Q109" s="1132"/>
      <c r="R109" s="1131"/>
    </row>
    <row r="110" spans="1:18" ht="16.5">
      <c r="A110" s="1109" t="s">
        <v>6490</v>
      </c>
      <c r="B110" s="1119"/>
      <c r="C110" s="1215" t="s">
        <v>6208</v>
      </c>
      <c r="D110" s="1111" t="s">
        <v>6118</v>
      </c>
      <c r="E110" s="1131" t="s">
        <v>3661</v>
      </c>
      <c r="F110" s="1131"/>
      <c r="G110" s="1117"/>
      <c r="H110" s="1117" t="s">
        <v>185</v>
      </c>
      <c r="I110" s="1158" t="s">
        <v>3358</v>
      </c>
      <c r="J110" s="1117" t="s">
        <v>6112</v>
      </c>
      <c r="K110" s="1165"/>
      <c r="L110" s="1165"/>
      <c r="M110" s="1165"/>
      <c r="N110" s="1117" t="s">
        <v>6548</v>
      </c>
      <c r="O110" s="1117" t="s">
        <v>6549</v>
      </c>
      <c r="P110" s="1117" t="s">
        <v>6550</v>
      </c>
      <c r="Q110" s="1132" t="s">
        <v>6551</v>
      </c>
      <c r="R110" s="1131"/>
    </row>
    <row r="111" spans="1:18" ht="16.5">
      <c r="A111" s="1109" t="s">
        <v>6108</v>
      </c>
      <c r="B111" s="1119"/>
      <c r="C111" s="1111" t="s">
        <v>6218</v>
      </c>
      <c r="D111" s="1111" t="s">
        <v>6126</v>
      </c>
      <c r="E111" s="1131" t="s">
        <v>3705</v>
      </c>
      <c r="F111" s="1131"/>
      <c r="G111" s="1117"/>
      <c r="H111" s="1117" t="s">
        <v>137</v>
      </c>
      <c r="I111" s="1117" t="s">
        <v>3247</v>
      </c>
      <c r="J111" s="1113" t="s">
        <v>6137</v>
      </c>
      <c r="K111" s="1165"/>
      <c r="L111" s="1165"/>
      <c r="M111" s="1165"/>
      <c r="N111" s="1117" t="s">
        <v>6552</v>
      </c>
      <c r="O111" s="1117" t="s">
        <v>6553</v>
      </c>
      <c r="P111" s="1117" t="s">
        <v>6554</v>
      </c>
      <c r="Q111" s="1132" t="s">
        <v>6555</v>
      </c>
      <c r="R111" s="1131"/>
    </row>
    <row r="112" spans="1:18" ht="16.5">
      <c r="A112" s="1109" t="s">
        <v>6108</v>
      </c>
      <c r="B112" s="1119"/>
      <c r="C112" s="1111" t="s">
        <v>6224</v>
      </c>
      <c r="D112" s="1111" t="s">
        <v>6136</v>
      </c>
      <c r="E112" s="1131" t="s">
        <v>3808</v>
      </c>
      <c r="F112" s="1131"/>
      <c r="G112" s="1117"/>
      <c r="H112" s="1117" t="s">
        <v>185</v>
      </c>
      <c r="I112" s="1158" t="s">
        <v>3358</v>
      </c>
      <c r="J112" s="1113" t="s">
        <v>6137</v>
      </c>
      <c r="K112" s="1165"/>
      <c r="L112" s="1165"/>
      <c r="M112" s="1165"/>
      <c r="N112" s="1117" t="s">
        <v>6556</v>
      </c>
      <c r="O112" s="1117" t="s">
        <v>6557</v>
      </c>
      <c r="P112" s="1117" t="s">
        <v>6472</v>
      </c>
      <c r="Q112" s="1132" t="s">
        <v>6558</v>
      </c>
      <c r="R112" s="1131"/>
    </row>
    <row r="113" spans="1:18" ht="16.5">
      <c r="A113" s="1109" t="s">
        <v>6108</v>
      </c>
      <c r="B113" s="1119"/>
      <c r="C113" s="1111" t="s">
        <v>6233</v>
      </c>
      <c r="D113" s="1111" t="s">
        <v>6144</v>
      </c>
      <c r="E113" s="1131" t="s">
        <v>4577</v>
      </c>
      <c r="F113" s="1131"/>
      <c r="G113" s="1117">
        <v>400071</v>
      </c>
      <c r="H113" s="1117" t="s">
        <v>1109</v>
      </c>
      <c r="I113" s="1117"/>
      <c r="J113" s="1117" t="s">
        <v>6112</v>
      </c>
      <c r="K113" s="1165"/>
      <c r="L113" s="1165"/>
      <c r="M113" s="1165"/>
      <c r="N113" s="1117" t="s">
        <v>6559</v>
      </c>
      <c r="O113" s="1117" t="s">
        <v>6560</v>
      </c>
      <c r="P113" s="1117" t="s">
        <v>6561</v>
      </c>
      <c r="Q113" s="1132" t="s">
        <v>6562</v>
      </c>
      <c r="R113" s="1131"/>
    </row>
    <row r="114" spans="1:18" ht="16.5">
      <c r="A114" s="1109" t="s">
        <v>6108</v>
      </c>
      <c r="B114" s="1119"/>
      <c r="C114" s="1111" t="s">
        <v>6243</v>
      </c>
      <c r="D114" s="1111" t="s">
        <v>6151</v>
      </c>
      <c r="E114" s="1131" t="s">
        <v>3770</v>
      </c>
      <c r="F114" s="1131"/>
      <c r="G114" s="1117">
        <v>420221</v>
      </c>
      <c r="H114" s="1117" t="s">
        <v>1109</v>
      </c>
      <c r="I114" s="1117"/>
      <c r="J114" s="1117" t="s">
        <v>6112</v>
      </c>
      <c r="K114" s="1165"/>
      <c r="L114" s="1165"/>
      <c r="M114" s="1165"/>
      <c r="N114" s="1117"/>
      <c r="O114" s="1117"/>
      <c r="P114" s="1117"/>
      <c r="Q114" s="1132"/>
      <c r="R114" s="1131"/>
    </row>
    <row r="115" spans="1:18" ht="16.5">
      <c r="A115" s="1109" t="s">
        <v>6108</v>
      </c>
      <c r="B115" s="1119"/>
      <c r="C115" s="1111" t="s">
        <v>6246</v>
      </c>
      <c r="D115" s="1111" t="s">
        <v>6166</v>
      </c>
      <c r="E115" s="1131" t="s">
        <v>4801</v>
      </c>
      <c r="F115" s="1131"/>
      <c r="G115" s="1117">
        <v>419562</v>
      </c>
      <c r="H115" s="1117" t="s">
        <v>165</v>
      </c>
      <c r="I115" s="1117" t="s">
        <v>3247</v>
      </c>
      <c r="J115" s="1117" t="s">
        <v>6137</v>
      </c>
      <c r="K115" s="1165"/>
      <c r="L115" s="1165"/>
      <c r="M115" s="1165"/>
      <c r="N115" s="1117" t="s">
        <v>6563</v>
      </c>
      <c r="O115" s="1117" t="s">
        <v>6564</v>
      </c>
      <c r="P115" s="1117" t="s">
        <v>6565</v>
      </c>
      <c r="Q115" s="1117" t="s">
        <v>6566</v>
      </c>
      <c r="R115" s="1131"/>
    </row>
    <row r="116" spans="1:18" ht="16.5">
      <c r="A116" s="1109" t="s">
        <v>6490</v>
      </c>
      <c r="B116" s="1119"/>
      <c r="C116" s="1133" t="s">
        <v>6251</v>
      </c>
      <c r="D116" s="1111" t="s">
        <v>6173</v>
      </c>
      <c r="E116" s="1131" t="s">
        <v>3279</v>
      </c>
      <c r="F116" s="1131"/>
      <c r="G116" s="1117">
        <v>402290</v>
      </c>
      <c r="H116" s="1117" t="s">
        <v>910</v>
      </c>
      <c r="I116" s="1117" t="s">
        <v>3358</v>
      </c>
      <c r="J116" s="1117" t="s">
        <v>6112</v>
      </c>
      <c r="K116" s="1165"/>
      <c r="L116" s="1165"/>
      <c r="M116" s="1165"/>
      <c r="N116" s="1117" t="s">
        <v>6567</v>
      </c>
      <c r="O116" s="1117" t="s">
        <v>6568</v>
      </c>
      <c r="P116" s="1117" t="s">
        <v>6569</v>
      </c>
      <c r="Q116" s="1117"/>
      <c r="R116" s="1131"/>
    </row>
    <row r="117" spans="1:18" ht="16.5">
      <c r="A117" s="1109" t="s">
        <v>6326</v>
      </c>
      <c r="B117" s="1119"/>
      <c r="C117" s="1133" t="s">
        <v>6251</v>
      </c>
      <c r="D117" s="1111" t="s">
        <v>6173</v>
      </c>
      <c r="E117" s="1131" t="s">
        <v>6570</v>
      </c>
      <c r="F117" s="1131"/>
      <c r="G117" s="1117"/>
      <c r="H117" s="1117" t="s">
        <v>942</v>
      </c>
      <c r="I117" s="1117" t="s">
        <v>3247</v>
      </c>
      <c r="J117" s="1117" t="s">
        <v>1616</v>
      </c>
      <c r="K117" s="1165"/>
      <c r="L117" s="1165"/>
      <c r="M117" s="1165"/>
      <c r="N117" s="1263" t="s">
        <v>6571</v>
      </c>
      <c r="O117" s="1117" t="s">
        <v>6572</v>
      </c>
      <c r="P117" s="1117" t="s">
        <v>6573</v>
      </c>
      <c r="Q117" s="1117" t="s">
        <v>6574</v>
      </c>
      <c r="R117" s="1131"/>
    </row>
    <row r="118" spans="1:18" ht="16.5">
      <c r="A118" s="1109" t="s">
        <v>6326</v>
      </c>
      <c r="B118" s="1119"/>
      <c r="C118" s="1133" t="s">
        <v>6251</v>
      </c>
      <c r="D118" s="1111" t="s">
        <v>6173</v>
      </c>
      <c r="E118" s="1131" t="s">
        <v>3352</v>
      </c>
      <c r="F118" s="1131"/>
      <c r="G118" s="1117"/>
      <c r="H118" s="1117" t="s">
        <v>185</v>
      </c>
      <c r="I118" s="1117" t="s">
        <v>3247</v>
      </c>
      <c r="J118" s="1117" t="s">
        <v>6137</v>
      </c>
      <c r="K118" s="1165"/>
      <c r="L118" s="1165"/>
      <c r="M118" s="1165"/>
      <c r="N118" s="1132" t="s">
        <v>6505</v>
      </c>
      <c r="O118" s="1117" t="s">
        <v>6506</v>
      </c>
      <c r="P118" s="1117" t="s">
        <v>6507</v>
      </c>
      <c r="Q118" s="1132" t="s">
        <v>6508</v>
      </c>
      <c r="R118" s="1131"/>
    </row>
    <row r="119" spans="1:18" ht="16.5">
      <c r="A119" s="1109" t="s">
        <v>3358</v>
      </c>
      <c r="B119" s="1119"/>
      <c r="C119" s="1215" t="s">
        <v>6257</v>
      </c>
      <c r="D119" s="1111" t="s">
        <v>6118</v>
      </c>
      <c r="E119" s="1131" t="s">
        <v>3539</v>
      </c>
      <c r="F119" s="1131"/>
      <c r="G119" s="1117"/>
      <c r="H119" s="1117" t="s">
        <v>795</v>
      </c>
      <c r="I119" s="1117"/>
      <c r="J119" s="1117" t="s">
        <v>6119</v>
      </c>
      <c r="K119" s="1165"/>
      <c r="L119" s="1165"/>
      <c r="M119" s="1165"/>
      <c r="N119" s="1117" t="s">
        <v>6575</v>
      </c>
      <c r="O119" s="1117" t="s">
        <v>6576</v>
      </c>
      <c r="P119" s="1117" t="s">
        <v>6577</v>
      </c>
      <c r="Q119" s="1117"/>
      <c r="R119" s="1131"/>
    </row>
    <row r="120" spans="1:18" ht="16.5">
      <c r="A120" s="1109" t="s">
        <v>3358</v>
      </c>
      <c r="B120" s="1119"/>
      <c r="C120" s="1215" t="s">
        <v>6257</v>
      </c>
      <c r="D120" s="1111" t="s">
        <v>6118</v>
      </c>
      <c r="E120" s="1131" t="s">
        <v>6578</v>
      </c>
      <c r="F120" s="1131"/>
      <c r="G120" s="1117"/>
      <c r="H120" s="1117" t="s">
        <v>910</v>
      </c>
      <c r="I120" s="1117"/>
      <c r="J120" s="1117" t="s">
        <v>6119</v>
      </c>
      <c r="K120" s="1165"/>
      <c r="L120" s="1165"/>
      <c r="M120" s="1165"/>
      <c r="N120" s="1117" t="s">
        <v>6579</v>
      </c>
      <c r="O120" s="1117"/>
      <c r="P120" s="1117"/>
      <c r="Q120" s="1117"/>
      <c r="R120" s="1131"/>
    </row>
    <row r="121" spans="1:18" ht="16.5">
      <c r="A121" s="1419" t="s">
        <v>3247</v>
      </c>
      <c r="B121" s="1119"/>
      <c r="C121" s="1215" t="s">
        <v>6580</v>
      </c>
      <c r="D121" s="1269" t="s">
        <v>6118</v>
      </c>
      <c r="E121" s="1270" t="s">
        <v>6581</v>
      </c>
      <c r="F121" s="1270"/>
      <c r="G121" s="1271">
        <v>426318</v>
      </c>
      <c r="H121" s="1271" t="s">
        <v>6425</v>
      </c>
      <c r="I121" s="1271" t="s">
        <v>3247</v>
      </c>
      <c r="J121" s="1271" t="s">
        <v>6187</v>
      </c>
      <c r="K121" s="1272"/>
      <c r="L121" s="1272"/>
      <c r="M121" s="1272"/>
      <c r="N121" s="1271"/>
      <c r="O121" s="1271"/>
      <c r="P121" s="1271"/>
      <c r="Q121" s="1271"/>
      <c r="R121" s="1273"/>
    </row>
    <row r="122" spans="1:18" ht="16.5">
      <c r="A122" s="1419"/>
      <c r="B122" s="1119"/>
      <c r="C122" s="1133" t="s">
        <v>6582</v>
      </c>
      <c r="D122" s="1269" t="s">
        <v>6583</v>
      </c>
      <c r="E122" s="1270" t="s">
        <v>6581</v>
      </c>
      <c r="F122" s="1270"/>
      <c r="G122" s="1271">
        <v>426318</v>
      </c>
      <c r="H122" s="1271" t="s">
        <v>6425</v>
      </c>
      <c r="I122" s="1271" t="s">
        <v>3247</v>
      </c>
      <c r="J122" s="1271" t="s">
        <v>6187</v>
      </c>
      <c r="K122" s="1272"/>
      <c r="L122" s="1272"/>
      <c r="M122" s="1272"/>
      <c r="N122" s="1271"/>
      <c r="O122" s="1271"/>
      <c r="P122" s="1271"/>
      <c r="Q122" s="1271"/>
      <c r="R122" s="1273"/>
    </row>
    <row r="123" spans="1:18" ht="16.5">
      <c r="A123" s="1109" t="s">
        <v>3358</v>
      </c>
      <c r="B123" s="1119"/>
      <c r="C123" s="1133" t="s">
        <v>6263</v>
      </c>
      <c r="D123" s="1111" t="s">
        <v>6126</v>
      </c>
      <c r="E123" s="1174" t="s">
        <v>6584</v>
      </c>
      <c r="F123" s="1174"/>
      <c r="G123" s="1117"/>
      <c r="H123" s="1132" t="s">
        <v>942</v>
      </c>
      <c r="I123" s="1117" t="s">
        <v>3247</v>
      </c>
      <c r="J123" s="1117" t="s">
        <v>6128</v>
      </c>
      <c r="K123" s="1165"/>
      <c r="L123" s="1165"/>
      <c r="M123" s="1165"/>
      <c r="N123" s="1117" t="s">
        <v>6585</v>
      </c>
      <c r="O123" s="1117" t="s">
        <v>6586</v>
      </c>
      <c r="P123" s="1117" t="s">
        <v>6587</v>
      </c>
      <c r="Q123" s="1117" t="s">
        <v>6588</v>
      </c>
      <c r="R123" s="1131"/>
    </row>
    <row r="124" spans="1:18" ht="16.5">
      <c r="A124" s="1109" t="s">
        <v>6108</v>
      </c>
      <c r="B124" s="1119"/>
      <c r="C124" s="1111" t="s">
        <v>6269</v>
      </c>
      <c r="D124" s="1111" t="s">
        <v>6136</v>
      </c>
      <c r="E124" s="1174" t="s">
        <v>2404</v>
      </c>
      <c r="F124" s="1174"/>
      <c r="G124" s="1117">
        <v>400035</v>
      </c>
      <c r="H124" s="1132" t="s">
        <v>1109</v>
      </c>
      <c r="I124" s="1117"/>
      <c r="J124" s="1117" t="s">
        <v>6112</v>
      </c>
      <c r="K124" s="1165"/>
      <c r="L124" s="1165"/>
      <c r="M124" s="1165"/>
      <c r="N124" s="1117" t="s">
        <v>6589</v>
      </c>
      <c r="O124" s="1117" t="s">
        <v>6590</v>
      </c>
      <c r="P124" s="1117" t="s">
        <v>6591</v>
      </c>
      <c r="Q124" s="1132" t="s">
        <v>6592</v>
      </c>
      <c r="R124" s="1131"/>
    </row>
    <row r="125" spans="1:18" ht="16.5">
      <c r="A125" s="1109" t="s">
        <v>6326</v>
      </c>
      <c r="B125" s="1119"/>
      <c r="C125" s="1215" t="s">
        <v>6275</v>
      </c>
      <c r="D125" s="1111" t="s">
        <v>6144</v>
      </c>
      <c r="E125" s="1174" t="s">
        <v>4220</v>
      </c>
      <c r="F125" s="1174"/>
      <c r="G125" s="1117">
        <v>414836</v>
      </c>
      <c r="H125" s="1176" t="s">
        <v>165</v>
      </c>
      <c r="I125" s="1158" t="s">
        <v>3240</v>
      </c>
      <c r="J125" s="1257" t="s">
        <v>6187</v>
      </c>
      <c r="K125" s="1165"/>
      <c r="L125" s="1165"/>
      <c r="M125" s="1165"/>
      <c r="N125" s="1132" t="s">
        <v>6593</v>
      </c>
      <c r="O125" s="1117" t="s">
        <v>6502</v>
      </c>
      <c r="P125" s="1221" t="s">
        <v>6503</v>
      </c>
      <c r="Q125" s="1132" t="s">
        <v>6504</v>
      </c>
      <c r="R125" s="1131"/>
    </row>
    <row r="126" spans="1:18" ht="16.5">
      <c r="A126" s="1109" t="s">
        <v>6326</v>
      </c>
      <c r="B126" s="1119"/>
      <c r="C126" s="1215" t="s">
        <v>6275</v>
      </c>
      <c r="D126" s="1111" t="s">
        <v>6144</v>
      </c>
      <c r="E126" s="1174" t="s">
        <v>3885</v>
      </c>
      <c r="F126" s="1174"/>
      <c r="G126" s="1117"/>
      <c r="H126" s="1109" t="s">
        <v>185</v>
      </c>
      <c r="I126" s="1158" t="s">
        <v>3240</v>
      </c>
      <c r="J126" s="1117" t="s">
        <v>6112</v>
      </c>
      <c r="K126" s="1165"/>
      <c r="L126" s="1165"/>
      <c r="M126" s="1165"/>
      <c r="N126" s="1263" t="s">
        <v>6594</v>
      </c>
      <c r="O126" s="1158" t="s">
        <v>6595</v>
      </c>
      <c r="P126" s="922" t="s">
        <v>6596</v>
      </c>
      <c r="Q126" s="1132" t="s">
        <v>6597</v>
      </c>
      <c r="R126" s="1131"/>
    </row>
    <row r="127" spans="1:18" ht="16.5">
      <c r="A127" s="1109" t="s">
        <v>6108</v>
      </c>
      <c r="B127" s="1119"/>
      <c r="C127" s="1111" t="s">
        <v>6281</v>
      </c>
      <c r="D127" s="1111" t="s">
        <v>6151</v>
      </c>
      <c r="E127" s="1174" t="s">
        <v>3410</v>
      </c>
      <c r="F127" s="1174"/>
      <c r="G127" s="1117"/>
      <c r="H127" s="1132" t="s">
        <v>137</v>
      </c>
      <c r="I127" s="1117" t="s">
        <v>3247</v>
      </c>
      <c r="J127" s="1113" t="s">
        <v>6137</v>
      </c>
      <c r="K127" s="1165"/>
      <c r="L127" s="1165"/>
      <c r="M127" s="1165"/>
      <c r="N127" s="1117" t="s">
        <v>6598</v>
      </c>
      <c r="O127" s="1117" t="s">
        <v>6599</v>
      </c>
      <c r="P127" s="1189" t="s">
        <v>6600</v>
      </c>
      <c r="Q127" s="1189" t="s">
        <v>6601</v>
      </c>
      <c r="R127" s="1131"/>
    </row>
    <row r="128" spans="1:18" ht="16.5">
      <c r="A128" s="1109" t="s">
        <v>6108</v>
      </c>
      <c r="B128" s="1119"/>
      <c r="C128" s="1111" t="s">
        <v>6282</v>
      </c>
      <c r="D128" s="1111" t="s">
        <v>6166</v>
      </c>
      <c r="E128" s="1174" t="s">
        <v>4295</v>
      </c>
      <c r="F128" s="1174"/>
      <c r="G128" s="1117">
        <v>414836</v>
      </c>
      <c r="H128" s="1132" t="s">
        <v>165</v>
      </c>
      <c r="I128" s="1117" t="s">
        <v>3247</v>
      </c>
      <c r="J128" s="1117" t="s">
        <v>6441</v>
      </c>
      <c r="K128" s="1165"/>
      <c r="L128" s="1165"/>
      <c r="M128" s="1165"/>
      <c r="N128" s="1263" t="s">
        <v>6602</v>
      </c>
      <c r="O128" s="1117" t="s">
        <v>6603</v>
      </c>
      <c r="P128" s="1117" t="s">
        <v>6604</v>
      </c>
      <c r="Q128" s="1117" t="s">
        <v>6605</v>
      </c>
      <c r="R128" s="1131"/>
    </row>
    <row r="129" spans="1:18" ht="16.5">
      <c r="A129" s="1109" t="s">
        <v>3358</v>
      </c>
      <c r="B129" s="1119"/>
      <c r="C129" s="1133" t="s">
        <v>6460</v>
      </c>
      <c r="D129" s="1111" t="s">
        <v>6173</v>
      </c>
      <c r="E129" s="1174" t="s">
        <v>4107</v>
      </c>
      <c r="F129" s="1174"/>
      <c r="G129" s="1117"/>
      <c r="H129" s="1132"/>
      <c r="I129" s="1117"/>
      <c r="J129" s="1117"/>
      <c r="K129" s="1165"/>
      <c r="L129" s="1165"/>
      <c r="M129" s="1165"/>
      <c r="N129" s="1117"/>
      <c r="O129" s="1117"/>
      <c r="P129" s="1117"/>
      <c r="Q129" s="1117"/>
      <c r="R129" s="1131"/>
    </row>
    <row r="130" spans="1:18" ht="16.5">
      <c r="A130" s="1109" t="s">
        <v>6108</v>
      </c>
      <c r="B130" s="1119"/>
      <c r="C130" s="1133" t="s">
        <v>6460</v>
      </c>
      <c r="D130" s="1111" t="s">
        <v>6173</v>
      </c>
      <c r="E130" s="1174" t="s">
        <v>3356</v>
      </c>
      <c r="F130" s="1174"/>
      <c r="G130" s="1117"/>
      <c r="H130" s="1132" t="s">
        <v>185</v>
      </c>
      <c r="I130" s="1117" t="s">
        <v>3358</v>
      </c>
      <c r="J130" s="1117" t="s">
        <v>6112</v>
      </c>
      <c r="K130" s="1165"/>
      <c r="L130" s="1165"/>
      <c r="M130" s="1165"/>
      <c r="N130" s="1117" t="s">
        <v>6548</v>
      </c>
      <c r="O130" s="1117" t="s">
        <v>6606</v>
      </c>
      <c r="P130" s="1117" t="s">
        <v>6607</v>
      </c>
      <c r="Q130" s="1117" t="s">
        <v>6608</v>
      </c>
      <c r="R130" s="1131"/>
    </row>
    <row r="131" spans="1:18" ht="16.5">
      <c r="A131" s="1109" t="s">
        <v>6108</v>
      </c>
      <c r="B131" s="1274"/>
      <c r="C131" s="1111" t="s">
        <v>6290</v>
      </c>
      <c r="D131" s="1111" t="s">
        <v>6151</v>
      </c>
      <c r="E131" s="1131" t="s">
        <v>3990</v>
      </c>
      <c r="F131" s="1131"/>
      <c r="G131" s="1117">
        <v>407266</v>
      </c>
      <c r="H131" s="1117" t="s">
        <v>1109</v>
      </c>
      <c r="I131" s="1117" t="s">
        <v>3358</v>
      </c>
      <c r="J131" s="1117" t="s">
        <v>6112</v>
      </c>
      <c r="K131" s="1165"/>
      <c r="L131" s="1165"/>
      <c r="M131" s="1165"/>
      <c r="N131" s="1117" t="s">
        <v>6609</v>
      </c>
      <c r="O131" s="1117" t="s">
        <v>6610</v>
      </c>
      <c r="P131" s="1117" t="s">
        <v>6611</v>
      </c>
      <c r="Q131" s="1117" t="s">
        <v>6612</v>
      </c>
      <c r="R131" s="1131"/>
    </row>
    <row r="132" spans="1:18" ht="16.5">
      <c r="A132" s="1109" t="s">
        <v>6108</v>
      </c>
      <c r="B132" s="1119"/>
      <c r="C132" s="1111" t="s">
        <v>6291</v>
      </c>
      <c r="D132" s="1111" t="s">
        <v>6126</v>
      </c>
      <c r="E132" s="1131" t="s">
        <v>4384</v>
      </c>
      <c r="F132" s="1131"/>
      <c r="G132" s="1117">
        <v>406994</v>
      </c>
      <c r="H132" s="1117" t="s">
        <v>1109</v>
      </c>
      <c r="I132" s="1117" t="s">
        <v>3358</v>
      </c>
      <c r="J132" s="1117" t="s">
        <v>6112</v>
      </c>
      <c r="K132" s="1165"/>
      <c r="L132" s="1165"/>
      <c r="M132" s="1165"/>
      <c r="N132" s="1117" t="s">
        <v>6613</v>
      </c>
      <c r="O132" s="1117" t="s">
        <v>6614</v>
      </c>
      <c r="P132" s="1117" t="s">
        <v>6615</v>
      </c>
      <c r="Q132" s="1117"/>
      <c r="R132" s="1131"/>
    </row>
    <row r="133" spans="1:18" ht="16.5">
      <c r="A133" s="1109" t="s">
        <v>3358</v>
      </c>
      <c r="B133" s="1119"/>
      <c r="C133" s="1111" t="s">
        <v>6297</v>
      </c>
      <c r="D133" s="1111" t="s">
        <v>6136</v>
      </c>
      <c r="E133" s="1261" t="s">
        <v>6616</v>
      </c>
      <c r="F133" s="1261"/>
      <c r="G133" s="1117"/>
      <c r="H133" s="1117"/>
      <c r="I133" s="1117"/>
      <c r="J133" s="1117"/>
      <c r="K133" s="1165"/>
      <c r="L133" s="1165"/>
      <c r="M133" s="1165"/>
      <c r="N133" s="1117"/>
      <c r="O133" s="1117"/>
      <c r="P133" s="1117"/>
      <c r="Q133" s="1117"/>
      <c r="R133" s="1131"/>
    </row>
    <row r="134" spans="1:18" ht="16.5">
      <c r="A134" s="1109" t="s">
        <v>3358</v>
      </c>
      <c r="B134" s="1119"/>
      <c r="C134" s="1111" t="s">
        <v>6303</v>
      </c>
      <c r="D134" s="1111" t="s">
        <v>6144</v>
      </c>
      <c r="E134" s="1131" t="s">
        <v>6617</v>
      </c>
      <c r="F134" s="1131"/>
      <c r="G134" s="1117"/>
      <c r="H134" s="1117"/>
      <c r="I134" s="1117"/>
      <c r="J134" s="1117"/>
      <c r="K134" s="1165"/>
      <c r="L134" s="1165"/>
      <c r="M134" s="1165"/>
      <c r="N134" s="1117"/>
      <c r="O134" s="1117"/>
      <c r="P134" s="1117"/>
      <c r="Q134" s="1117"/>
      <c r="R134" s="1131"/>
    </row>
    <row r="135" spans="1:18" ht="16.5">
      <c r="A135" s="1109" t="s">
        <v>3358</v>
      </c>
      <c r="B135" s="1119"/>
      <c r="C135" s="1256" t="s">
        <v>6309</v>
      </c>
      <c r="D135" s="1111" t="s">
        <v>6151</v>
      </c>
      <c r="E135" s="1131" t="s">
        <v>3806</v>
      </c>
      <c r="F135" s="1131"/>
      <c r="G135" s="1117"/>
      <c r="H135" s="1117" t="s">
        <v>185</v>
      </c>
      <c r="I135" s="1117" t="s">
        <v>3358</v>
      </c>
      <c r="J135" s="1117" t="s">
        <v>6112</v>
      </c>
      <c r="K135" s="1165"/>
      <c r="L135" s="1165"/>
      <c r="M135" s="1165"/>
      <c r="N135" s="1117" t="s">
        <v>6618</v>
      </c>
      <c r="O135" s="1117" t="s">
        <v>6619</v>
      </c>
      <c r="P135" s="1117" t="s">
        <v>6620</v>
      </c>
      <c r="Q135" s="1117" t="s">
        <v>6621</v>
      </c>
      <c r="R135" s="1131"/>
    </row>
    <row r="136" spans="1:18" ht="16.5">
      <c r="A136" s="1109" t="s">
        <v>6108</v>
      </c>
      <c r="B136" s="1119"/>
      <c r="C136" s="1256" t="s">
        <v>6309</v>
      </c>
      <c r="D136" s="1111" t="s">
        <v>6166</v>
      </c>
      <c r="E136" s="1131" t="s">
        <v>4216</v>
      </c>
      <c r="F136" s="1131"/>
      <c r="G136" s="1117">
        <v>419845</v>
      </c>
      <c r="H136" s="1117" t="s">
        <v>165</v>
      </c>
      <c r="I136" s="1117" t="s">
        <v>3247</v>
      </c>
      <c r="J136" s="1117" t="s">
        <v>6181</v>
      </c>
      <c r="K136" s="1165"/>
      <c r="L136" s="1165"/>
      <c r="M136" s="1165"/>
      <c r="N136" s="1117" t="s">
        <v>6546</v>
      </c>
      <c r="O136" s="1117" t="s">
        <v>6622</v>
      </c>
      <c r="P136" s="1117" t="s">
        <v>6547</v>
      </c>
      <c r="Q136" s="1117" t="s">
        <v>6623</v>
      </c>
      <c r="R136" s="1131"/>
    </row>
    <row r="137" spans="1:18" ht="16.5">
      <c r="B137" s="1110" t="s">
        <v>6624</v>
      </c>
      <c r="C137" s="1111" t="s">
        <v>6484</v>
      </c>
      <c r="D137" s="1111" t="s">
        <v>6166</v>
      </c>
      <c r="E137" s="1261" t="s">
        <v>6485</v>
      </c>
      <c r="F137" s="1261"/>
      <c r="G137" s="1117"/>
      <c r="H137" s="1117"/>
      <c r="I137" s="1117"/>
      <c r="J137" s="1117"/>
      <c r="K137" s="1165"/>
      <c r="L137" s="1165"/>
      <c r="M137" s="1165"/>
      <c r="N137" s="1117"/>
      <c r="O137" s="1117"/>
      <c r="P137" s="1117"/>
      <c r="Q137" s="1117"/>
      <c r="R137" s="1131"/>
    </row>
    <row r="138" spans="1:18" ht="16.5">
      <c r="B138" s="1119"/>
      <c r="C138" s="1111" t="s">
        <v>6117</v>
      </c>
      <c r="D138" s="1111" t="s">
        <v>6173</v>
      </c>
      <c r="E138" s="1131"/>
      <c r="F138" s="1131"/>
      <c r="G138" s="1117"/>
      <c r="H138" s="1117"/>
      <c r="I138" s="1117"/>
      <c r="J138" s="1117"/>
      <c r="K138" s="1165"/>
      <c r="L138" s="1165"/>
      <c r="M138" s="1165"/>
      <c r="N138" s="1117"/>
      <c r="O138" s="1117"/>
      <c r="P138" s="1117"/>
      <c r="Q138" s="1117"/>
      <c r="R138" s="1131"/>
    </row>
    <row r="139" spans="1:18" ht="16.5">
      <c r="B139" s="1119"/>
      <c r="C139" s="1111" t="s">
        <v>6125</v>
      </c>
      <c r="D139" s="1111" t="s">
        <v>6118</v>
      </c>
      <c r="E139" s="1131"/>
      <c r="F139" s="1131"/>
      <c r="G139" s="1117"/>
      <c r="H139" s="1117"/>
      <c r="I139" s="1117"/>
      <c r="J139" s="1117"/>
      <c r="K139" s="1165"/>
      <c r="L139" s="1165"/>
      <c r="M139" s="1165"/>
      <c r="N139" s="1117"/>
      <c r="O139" s="1117"/>
      <c r="P139" s="1117"/>
      <c r="Q139" s="1117"/>
      <c r="R139" s="1131"/>
    </row>
    <row r="140" spans="1:18" ht="16.5">
      <c r="B140" s="1119"/>
      <c r="C140" s="1275" t="s">
        <v>6135</v>
      </c>
      <c r="D140" s="1111" t="s">
        <v>6126</v>
      </c>
      <c r="E140" s="1261" t="s">
        <v>6625</v>
      </c>
      <c r="F140" s="1261"/>
      <c r="G140" s="1117"/>
      <c r="H140" s="1117"/>
      <c r="I140" s="1117"/>
      <c r="J140" s="1117"/>
      <c r="K140" s="1165"/>
      <c r="L140" s="1165"/>
      <c r="M140" s="1165"/>
      <c r="N140" s="1117"/>
      <c r="O140" s="1117"/>
      <c r="P140" s="1117"/>
      <c r="Q140" s="1117"/>
      <c r="R140" s="1131"/>
    </row>
    <row r="141" spans="1:18" ht="16.5">
      <c r="B141" s="1119"/>
      <c r="C141" s="1275" t="s">
        <v>6143</v>
      </c>
      <c r="D141" s="1111" t="s">
        <v>6136</v>
      </c>
      <c r="E141" s="1131"/>
      <c r="F141" s="1131"/>
      <c r="G141" s="1117"/>
      <c r="H141" s="1117"/>
      <c r="I141" s="1117"/>
      <c r="J141" s="1117"/>
      <c r="K141" s="1165"/>
      <c r="L141" s="1165"/>
      <c r="M141" s="1165"/>
      <c r="N141" s="1117"/>
      <c r="O141" s="1117"/>
      <c r="P141" s="1117"/>
      <c r="Q141" s="1117"/>
      <c r="R141" s="1131"/>
    </row>
    <row r="142" spans="1:18" ht="16.5">
      <c r="B142" s="1119"/>
      <c r="C142" s="1275" t="s">
        <v>6150</v>
      </c>
      <c r="D142" s="1111" t="s">
        <v>6144</v>
      </c>
      <c r="E142" s="1131"/>
      <c r="F142" s="1131"/>
      <c r="G142" s="1117"/>
      <c r="H142" s="1117"/>
      <c r="I142" s="1117"/>
      <c r="J142" s="1117"/>
      <c r="K142" s="1165"/>
      <c r="L142" s="1165"/>
      <c r="M142" s="1165"/>
      <c r="N142" s="1117"/>
      <c r="O142" s="1117"/>
      <c r="P142" s="1117"/>
      <c r="Q142" s="1117"/>
      <c r="R142" s="1131"/>
    </row>
    <row r="143" spans="1:18" ht="16.5">
      <c r="B143" s="1119"/>
      <c r="C143" s="1275" t="s">
        <v>6165</v>
      </c>
      <c r="D143" s="1111" t="s">
        <v>6151</v>
      </c>
      <c r="E143" s="1131"/>
      <c r="F143" s="1131"/>
      <c r="G143" s="1117"/>
      <c r="H143" s="1117"/>
      <c r="I143" s="1117"/>
      <c r="J143" s="1117"/>
      <c r="K143" s="1165"/>
      <c r="L143" s="1165"/>
      <c r="M143" s="1165"/>
      <c r="N143" s="1117"/>
      <c r="O143" s="1117"/>
      <c r="P143" s="1117"/>
      <c r="Q143" s="1117"/>
      <c r="R143" s="1131"/>
    </row>
    <row r="144" spans="1:18" ht="16.5">
      <c r="B144" s="1119"/>
      <c r="C144" s="1275" t="s">
        <v>6172</v>
      </c>
      <c r="D144" s="1111" t="s">
        <v>6166</v>
      </c>
      <c r="E144" s="1131"/>
      <c r="F144" s="1131"/>
      <c r="G144" s="1117"/>
      <c r="H144" s="1117"/>
      <c r="I144" s="1117"/>
      <c r="J144" s="1117"/>
      <c r="K144" s="1165"/>
      <c r="L144" s="1165"/>
      <c r="M144" s="1165"/>
      <c r="N144" s="1117"/>
      <c r="O144" s="1117"/>
      <c r="P144" s="1117"/>
      <c r="Q144" s="1117"/>
      <c r="R144" s="1131"/>
    </row>
    <row r="145" spans="2:18" ht="16.5">
      <c r="B145" s="1119"/>
      <c r="C145" s="1275" t="s">
        <v>6186</v>
      </c>
      <c r="D145" s="1111" t="s">
        <v>6173</v>
      </c>
      <c r="E145" s="1131"/>
      <c r="F145" s="1131"/>
      <c r="G145" s="1117"/>
      <c r="H145" s="1117"/>
      <c r="I145" s="1117"/>
      <c r="J145" s="1117"/>
      <c r="K145" s="1165"/>
      <c r="L145" s="1165"/>
      <c r="M145" s="1165"/>
      <c r="N145" s="1117"/>
      <c r="O145" s="1117"/>
      <c r="P145" s="1117"/>
      <c r="Q145" s="1117"/>
      <c r="R145" s="1131"/>
    </row>
    <row r="146" spans="2:18" ht="16.5">
      <c r="B146" s="1119"/>
      <c r="C146" s="1275" t="s">
        <v>6193</v>
      </c>
      <c r="D146" s="1111" t="s">
        <v>6118</v>
      </c>
      <c r="E146" s="1131"/>
      <c r="F146" s="1131"/>
      <c r="G146" s="1117"/>
      <c r="H146" s="1117"/>
      <c r="I146" s="1117"/>
      <c r="J146" s="1117"/>
      <c r="K146" s="1165"/>
      <c r="L146" s="1165"/>
      <c r="M146" s="1165"/>
      <c r="N146" s="1117"/>
      <c r="O146" s="1117"/>
      <c r="P146" s="1117"/>
      <c r="Q146" s="1117"/>
      <c r="R146" s="1131"/>
    </row>
    <row r="147" spans="2:18" ht="16.5">
      <c r="B147" s="1119"/>
      <c r="C147" s="1275" t="s">
        <v>6195</v>
      </c>
      <c r="D147" s="1111" t="s">
        <v>6126</v>
      </c>
      <c r="E147" s="1131"/>
      <c r="F147" s="1131"/>
      <c r="G147" s="1117"/>
      <c r="H147" s="1117"/>
      <c r="I147" s="1117"/>
      <c r="J147" s="1117"/>
      <c r="K147" s="1165"/>
      <c r="L147" s="1165"/>
      <c r="M147" s="1165"/>
      <c r="N147" s="1117"/>
      <c r="O147" s="1117"/>
      <c r="P147" s="1117"/>
      <c r="Q147" s="1117"/>
      <c r="R147" s="1131"/>
    </row>
    <row r="148" spans="2:18" ht="16.5">
      <c r="B148" s="1119"/>
      <c r="C148" s="1275" t="s">
        <v>6202</v>
      </c>
      <c r="D148" s="1111" t="s">
        <v>6136</v>
      </c>
      <c r="E148" s="1131"/>
      <c r="F148" s="1131"/>
      <c r="G148" s="1117"/>
      <c r="H148" s="1117"/>
      <c r="I148" s="1117"/>
      <c r="J148" s="1117"/>
      <c r="K148" s="1165"/>
      <c r="L148" s="1165"/>
      <c r="M148" s="1165"/>
      <c r="N148" s="1117"/>
      <c r="O148" s="1117"/>
      <c r="P148" s="1117"/>
      <c r="Q148" s="1117"/>
      <c r="R148" s="1131"/>
    </row>
    <row r="149" spans="2:18" ht="16.5">
      <c r="B149" s="1119"/>
      <c r="C149" s="1275" t="s">
        <v>6208</v>
      </c>
      <c r="D149" s="1111" t="s">
        <v>6144</v>
      </c>
      <c r="E149" s="1131"/>
      <c r="F149" s="1131"/>
      <c r="G149" s="1117"/>
      <c r="H149" s="1117"/>
      <c r="I149" s="1117"/>
      <c r="J149" s="1117"/>
      <c r="K149" s="1165"/>
      <c r="L149" s="1165"/>
      <c r="M149" s="1165"/>
      <c r="N149" s="1117"/>
      <c r="O149" s="1117"/>
      <c r="P149" s="1117"/>
      <c r="Q149" s="1117"/>
      <c r="R149" s="1131"/>
    </row>
    <row r="150" spans="2:18" ht="16.5">
      <c r="B150" s="1119"/>
      <c r="C150" s="1111" t="s">
        <v>6218</v>
      </c>
      <c r="D150" s="1111" t="s">
        <v>6151</v>
      </c>
      <c r="E150" s="1131"/>
      <c r="F150" s="1131"/>
      <c r="G150" s="1117"/>
      <c r="H150" s="1117"/>
      <c r="I150" s="1117"/>
      <c r="J150" s="1117"/>
      <c r="K150" s="1165"/>
      <c r="L150" s="1165"/>
      <c r="M150" s="1165"/>
      <c r="N150" s="1117"/>
      <c r="O150" s="1117"/>
      <c r="P150" s="1117"/>
      <c r="Q150" s="1117"/>
      <c r="R150" s="1131"/>
    </row>
    <row r="151" spans="2:18" ht="16.5">
      <c r="B151" s="1119"/>
      <c r="C151" s="1111" t="s">
        <v>6224</v>
      </c>
      <c r="D151" s="1111" t="s">
        <v>6166</v>
      </c>
      <c r="E151" s="1131"/>
      <c r="F151" s="1131"/>
      <c r="G151" s="1117"/>
      <c r="H151" s="1117"/>
      <c r="I151" s="1117"/>
      <c r="J151" s="1117"/>
      <c r="K151" s="1165"/>
      <c r="L151" s="1165"/>
      <c r="M151" s="1165"/>
      <c r="N151" s="1117"/>
      <c r="O151" s="1117"/>
      <c r="P151" s="1117"/>
      <c r="Q151" s="1117"/>
      <c r="R151" s="1131"/>
    </row>
    <row r="152" spans="2:18" ht="16.5">
      <c r="B152" s="1119"/>
      <c r="C152" s="1111" t="s">
        <v>6233</v>
      </c>
      <c r="D152" s="1111" t="s">
        <v>6173</v>
      </c>
      <c r="E152" s="1131"/>
      <c r="F152" s="1131"/>
      <c r="G152" s="1117"/>
      <c r="H152" s="1117"/>
      <c r="I152" s="1117"/>
      <c r="J152" s="1117"/>
      <c r="K152" s="1165"/>
      <c r="L152" s="1165"/>
      <c r="M152" s="1165"/>
      <c r="N152" s="1117"/>
      <c r="O152" s="1117"/>
      <c r="P152" s="1117"/>
      <c r="Q152" s="1117"/>
      <c r="R152" s="1131"/>
    </row>
    <row r="153" spans="2:18" ht="16.5">
      <c r="B153" s="1119"/>
      <c r="C153" s="1111" t="s">
        <v>6243</v>
      </c>
      <c r="D153" s="1111" t="s">
        <v>6118</v>
      </c>
      <c r="E153" s="1131"/>
      <c r="F153" s="1131"/>
      <c r="G153" s="1117"/>
      <c r="H153" s="1117"/>
      <c r="I153" s="1117"/>
      <c r="J153" s="1117"/>
      <c r="K153" s="1165"/>
      <c r="L153" s="1165"/>
      <c r="M153" s="1165"/>
      <c r="N153" s="1117"/>
      <c r="O153" s="1117"/>
      <c r="P153" s="1117"/>
      <c r="Q153" s="1117"/>
      <c r="R153" s="1131"/>
    </row>
    <row r="154" spans="2:18" ht="16.5">
      <c r="B154" s="1119"/>
      <c r="C154" s="1111" t="s">
        <v>6246</v>
      </c>
      <c r="D154" s="1111" t="s">
        <v>6126</v>
      </c>
      <c r="E154" s="1131"/>
      <c r="F154" s="1131"/>
      <c r="G154" s="1117"/>
      <c r="H154" s="1117"/>
      <c r="I154" s="1117"/>
      <c r="J154" s="1117"/>
      <c r="K154" s="1165"/>
      <c r="L154" s="1165"/>
      <c r="M154" s="1165"/>
      <c r="N154" s="1117"/>
      <c r="O154" s="1117"/>
      <c r="P154" s="1117"/>
      <c r="Q154" s="1117"/>
      <c r="R154" s="1131"/>
    </row>
    <row r="155" spans="2:18" ht="16.5">
      <c r="B155" s="1119"/>
      <c r="C155" s="1111" t="s">
        <v>6251</v>
      </c>
      <c r="D155" s="1111" t="s">
        <v>6136</v>
      </c>
      <c r="E155" s="1131"/>
      <c r="F155" s="1131"/>
      <c r="G155" s="1117"/>
      <c r="H155" s="1117"/>
      <c r="I155" s="1117"/>
      <c r="J155" s="1117"/>
      <c r="K155" s="1165"/>
      <c r="L155" s="1165"/>
      <c r="M155" s="1165"/>
      <c r="N155" s="1117"/>
      <c r="O155" s="1117"/>
      <c r="P155" s="1117"/>
      <c r="Q155" s="1117"/>
      <c r="R155" s="1131"/>
    </row>
    <row r="156" spans="2:18" ht="16.5">
      <c r="B156" s="1119"/>
      <c r="C156" s="1111" t="s">
        <v>6257</v>
      </c>
      <c r="D156" s="1111" t="s">
        <v>6144</v>
      </c>
      <c r="E156" s="1131"/>
      <c r="F156" s="1131"/>
      <c r="G156" s="1117"/>
      <c r="H156" s="1117"/>
      <c r="I156" s="1117"/>
      <c r="J156" s="1117"/>
      <c r="K156" s="1165"/>
      <c r="L156" s="1165"/>
      <c r="M156" s="1165"/>
      <c r="N156" s="1117"/>
      <c r="O156" s="1117"/>
      <c r="P156" s="1117"/>
      <c r="Q156" s="1117"/>
      <c r="R156" s="1131"/>
    </row>
    <row r="157" spans="2:18" ht="16.5">
      <c r="B157" s="1119"/>
      <c r="C157" s="1111" t="s">
        <v>6263</v>
      </c>
      <c r="D157" s="1111" t="s">
        <v>6151</v>
      </c>
      <c r="E157" s="1131"/>
      <c r="F157" s="1131"/>
      <c r="G157" s="1117"/>
      <c r="H157" s="1117"/>
      <c r="I157" s="1117"/>
      <c r="J157" s="1117"/>
      <c r="K157" s="1165"/>
      <c r="L157" s="1165"/>
      <c r="M157" s="1165"/>
      <c r="N157" s="1117"/>
      <c r="O157" s="1117"/>
      <c r="P157" s="1117"/>
      <c r="Q157" s="1117"/>
      <c r="R157" s="1131"/>
    </row>
    <row r="158" spans="2:18" ht="16.5">
      <c r="B158" s="1119"/>
      <c r="C158" s="1111" t="s">
        <v>6269</v>
      </c>
      <c r="D158" s="1111" t="s">
        <v>6166</v>
      </c>
      <c r="E158" s="1131"/>
      <c r="F158" s="1131"/>
      <c r="G158" s="1117"/>
      <c r="H158" s="1117"/>
      <c r="I158" s="1117"/>
      <c r="J158" s="1117"/>
      <c r="K158" s="1165"/>
      <c r="L158" s="1165"/>
      <c r="M158" s="1165"/>
      <c r="N158" s="1117"/>
      <c r="O158" s="1117"/>
      <c r="P158" s="1117"/>
      <c r="Q158" s="1117"/>
      <c r="R158" s="1131"/>
    </row>
    <row r="159" spans="2:18" ht="16.5">
      <c r="B159" s="1119"/>
      <c r="C159" s="1111" t="s">
        <v>6275</v>
      </c>
      <c r="D159" s="1111" t="s">
        <v>6173</v>
      </c>
      <c r="E159" s="1131"/>
      <c r="F159" s="1131"/>
      <c r="G159" s="1117"/>
      <c r="H159" s="1117"/>
      <c r="I159" s="1117"/>
      <c r="J159" s="1117"/>
      <c r="K159" s="1165"/>
      <c r="L159" s="1165"/>
      <c r="M159" s="1165"/>
      <c r="N159" s="1117"/>
      <c r="O159" s="1117"/>
      <c r="P159" s="1117"/>
      <c r="Q159" s="1117"/>
      <c r="R159" s="1131"/>
    </row>
    <row r="160" spans="2:18" ht="16.5">
      <c r="B160" s="1119"/>
      <c r="C160" s="1111" t="s">
        <v>6281</v>
      </c>
      <c r="D160" s="1111" t="s">
        <v>6118</v>
      </c>
      <c r="E160" s="1131"/>
      <c r="F160" s="1131"/>
      <c r="G160" s="1117"/>
      <c r="H160" s="1117"/>
      <c r="I160" s="1117"/>
      <c r="J160" s="1117"/>
      <c r="K160" s="1165"/>
      <c r="L160" s="1165"/>
      <c r="M160" s="1165"/>
      <c r="N160" s="1117"/>
      <c r="O160" s="1117"/>
      <c r="P160" s="1117"/>
      <c r="Q160" s="1117"/>
      <c r="R160" s="1131"/>
    </row>
    <row r="161" spans="2:18" ht="16.5">
      <c r="B161" s="1119"/>
      <c r="C161" s="1111" t="s">
        <v>6282</v>
      </c>
      <c r="D161" s="1111" t="s">
        <v>6126</v>
      </c>
      <c r="E161" s="1131"/>
      <c r="F161" s="1131"/>
      <c r="G161" s="1117"/>
      <c r="H161" s="1117"/>
      <c r="I161" s="1117"/>
      <c r="J161" s="1117"/>
      <c r="K161" s="1165"/>
      <c r="L161" s="1165"/>
      <c r="M161" s="1165"/>
      <c r="N161" s="1117"/>
      <c r="O161" s="1117"/>
      <c r="P161" s="1117"/>
      <c r="Q161" s="1117"/>
      <c r="R161" s="1131"/>
    </row>
    <row r="162" spans="2:18" ht="16.5">
      <c r="B162" s="1119"/>
      <c r="C162" s="1111" t="s">
        <v>6460</v>
      </c>
      <c r="D162" s="1111" t="s">
        <v>6136</v>
      </c>
      <c r="E162" s="1131"/>
      <c r="F162" s="1131"/>
      <c r="G162" s="1117"/>
      <c r="H162" s="1117"/>
      <c r="I162" s="1117"/>
      <c r="J162" s="1117"/>
      <c r="K162" s="1165"/>
      <c r="L162" s="1165"/>
      <c r="M162" s="1165"/>
      <c r="N162" s="1117"/>
      <c r="O162" s="1117"/>
      <c r="P162" s="1117"/>
      <c r="Q162" s="1117"/>
      <c r="R162" s="1131"/>
    </row>
    <row r="163" spans="2:18" ht="16.5">
      <c r="B163" s="1119"/>
      <c r="C163" s="1111" t="s">
        <v>6290</v>
      </c>
      <c r="D163" s="1111" t="s">
        <v>6144</v>
      </c>
      <c r="E163" s="1131"/>
      <c r="F163" s="1131"/>
      <c r="G163" s="1117"/>
      <c r="H163" s="1117"/>
      <c r="I163" s="1117"/>
      <c r="J163" s="1117"/>
      <c r="K163" s="1165"/>
      <c r="L163" s="1165"/>
      <c r="M163" s="1165"/>
      <c r="N163" s="1117"/>
      <c r="O163" s="1117"/>
      <c r="P163" s="1117"/>
      <c r="Q163" s="1117"/>
      <c r="R163" s="1131"/>
    </row>
    <row r="164" spans="2:18" ht="16.5">
      <c r="B164" s="1119"/>
      <c r="C164" s="1111" t="s">
        <v>6291</v>
      </c>
      <c r="D164" s="1111" t="s">
        <v>6151</v>
      </c>
      <c r="E164" s="1131"/>
      <c r="F164" s="1131"/>
      <c r="G164" s="1117"/>
      <c r="H164" s="1117"/>
      <c r="I164" s="1117"/>
      <c r="J164" s="1117"/>
      <c r="K164" s="1165"/>
      <c r="L164" s="1165"/>
      <c r="M164" s="1165"/>
      <c r="N164" s="1117"/>
      <c r="O164" s="1117"/>
      <c r="P164" s="1117"/>
      <c r="Q164" s="1117"/>
      <c r="R164" s="1131"/>
    </row>
    <row r="165" spans="2:18" ht="16.5">
      <c r="B165" s="1119"/>
      <c r="C165" s="1111" t="s">
        <v>6297</v>
      </c>
      <c r="D165" s="1111" t="s">
        <v>6166</v>
      </c>
      <c r="E165" s="1131"/>
      <c r="F165" s="1131"/>
      <c r="G165" s="1117"/>
      <c r="H165" s="1117"/>
      <c r="I165" s="1117"/>
      <c r="J165" s="1117"/>
      <c r="K165" s="1165"/>
      <c r="L165" s="1165"/>
      <c r="M165" s="1165"/>
      <c r="N165" s="1117"/>
      <c r="O165" s="1117"/>
      <c r="P165" s="1117"/>
      <c r="Q165" s="1117"/>
      <c r="R165" s="1131"/>
    </row>
    <row r="166" spans="2:18" ht="16.5">
      <c r="B166" s="1274"/>
      <c r="C166" s="1276" t="s">
        <v>6303</v>
      </c>
      <c r="D166" s="1111" t="s">
        <v>6173</v>
      </c>
      <c r="E166" s="1131"/>
      <c r="F166" s="1131"/>
      <c r="G166" s="1117"/>
      <c r="H166" s="1117"/>
      <c r="I166" s="1117"/>
      <c r="J166" s="1117"/>
      <c r="K166" s="1165"/>
      <c r="L166" s="1165"/>
      <c r="M166" s="1165"/>
      <c r="N166" s="1117"/>
      <c r="O166" s="1117"/>
      <c r="P166" s="1117"/>
      <c r="Q166" s="1117"/>
      <c r="R166" s="1131"/>
    </row>
    <row r="167" spans="2:18" ht="16.5">
      <c r="B167" s="1110" t="s">
        <v>6626</v>
      </c>
      <c r="C167" s="1111" t="s">
        <v>6484</v>
      </c>
      <c r="D167" s="1277" t="s">
        <v>6118</v>
      </c>
      <c r="E167" s="1261" t="s">
        <v>6485</v>
      </c>
      <c r="F167" s="1261"/>
      <c r="G167" s="1117"/>
      <c r="H167" s="1117"/>
      <c r="I167" s="1117"/>
      <c r="J167" s="1117"/>
      <c r="K167" s="1165"/>
      <c r="L167" s="1165"/>
      <c r="M167" s="1165"/>
      <c r="N167" s="1117"/>
      <c r="O167" s="1117"/>
      <c r="P167" s="1117"/>
      <c r="Q167" s="1117"/>
      <c r="R167" s="1131"/>
    </row>
    <row r="168" spans="2:18" ht="16.5">
      <c r="B168" s="1278"/>
      <c r="C168" s="1111" t="s">
        <v>6117</v>
      </c>
      <c r="D168" s="1277" t="s">
        <v>6126</v>
      </c>
      <c r="E168" s="1131"/>
      <c r="F168" s="1131"/>
      <c r="G168" s="1117"/>
      <c r="H168" s="1117"/>
      <c r="I168" s="1158"/>
      <c r="J168" s="1184"/>
      <c r="K168" s="1160"/>
      <c r="L168" s="1160"/>
      <c r="M168" s="1160"/>
      <c r="N168" s="1117"/>
      <c r="O168" s="1117"/>
      <c r="P168" s="1117"/>
      <c r="Q168" s="1117"/>
      <c r="R168" s="1131"/>
    </row>
    <row r="169" spans="2:18" ht="16.5">
      <c r="B169" s="1278"/>
      <c r="C169" s="1111" t="s">
        <v>6125</v>
      </c>
      <c r="D169" s="1277" t="s">
        <v>6136</v>
      </c>
      <c r="E169" s="1131"/>
      <c r="F169" s="1131"/>
      <c r="G169" s="1117"/>
      <c r="H169" s="1117"/>
      <c r="I169" s="1158"/>
      <c r="J169" s="1184"/>
      <c r="K169" s="1160"/>
      <c r="L169" s="1160"/>
      <c r="M169" s="1160"/>
      <c r="N169" s="1117"/>
      <c r="O169" s="1117"/>
      <c r="P169" s="1117"/>
      <c r="Q169" s="1117"/>
      <c r="R169" s="1131"/>
    </row>
    <row r="170" spans="2:18" ht="16.5">
      <c r="B170" s="1278"/>
      <c r="C170" s="1111" t="s">
        <v>6135</v>
      </c>
      <c r="D170" s="1277" t="s">
        <v>6144</v>
      </c>
      <c r="E170" s="1131"/>
      <c r="F170" s="1131"/>
      <c r="G170" s="1117"/>
      <c r="H170" s="1117"/>
      <c r="I170" s="1158"/>
      <c r="J170" s="1184"/>
      <c r="K170" s="1160"/>
      <c r="L170" s="1160"/>
      <c r="M170" s="1160"/>
      <c r="N170" s="1117"/>
      <c r="O170" s="1117"/>
      <c r="P170" s="1117"/>
      <c r="Q170" s="1117"/>
      <c r="R170" s="1131"/>
    </row>
    <row r="171" spans="2:18" ht="16.5">
      <c r="B171" s="1278"/>
      <c r="C171" s="1111" t="s">
        <v>6143</v>
      </c>
      <c r="D171" s="1277" t="s">
        <v>6151</v>
      </c>
      <c r="E171" s="1131"/>
      <c r="F171" s="1131"/>
      <c r="G171" s="1117"/>
      <c r="H171" s="1117"/>
      <c r="I171" s="1158"/>
      <c r="J171" s="1184"/>
      <c r="K171" s="1160"/>
      <c r="L171" s="1160"/>
      <c r="M171" s="1160"/>
      <c r="N171" s="1117"/>
      <c r="O171" s="1117"/>
      <c r="P171" s="1117"/>
      <c r="Q171" s="1117"/>
      <c r="R171" s="1131"/>
    </row>
    <row r="172" spans="2:18" ht="16.5">
      <c r="B172" s="1278"/>
      <c r="C172" s="1111" t="s">
        <v>6150</v>
      </c>
      <c r="D172" s="1277" t="s">
        <v>6166</v>
      </c>
      <c r="E172" s="1131"/>
      <c r="F172" s="1131"/>
      <c r="G172" s="1117"/>
      <c r="H172" s="1117"/>
      <c r="I172" s="1158"/>
      <c r="J172" s="1184"/>
      <c r="K172" s="1160"/>
      <c r="L172" s="1160"/>
      <c r="M172" s="1160"/>
      <c r="N172" s="1117"/>
      <c r="O172" s="1117"/>
      <c r="P172" s="1117"/>
      <c r="Q172" s="1117"/>
      <c r="R172" s="1131"/>
    </row>
    <row r="173" spans="2:18" ht="16.5">
      <c r="B173" s="1278"/>
      <c r="C173" s="1111" t="s">
        <v>6165</v>
      </c>
      <c r="D173" s="1277" t="s">
        <v>6173</v>
      </c>
      <c r="E173" s="1131"/>
      <c r="F173" s="1131"/>
      <c r="G173" s="1117"/>
      <c r="H173" s="1117"/>
      <c r="I173" s="1158"/>
      <c r="J173" s="1184"/>
      <c r="K173" s="1160"/>
      <c r="L173" s="1160"/>
      <c r="M173" s="1160"/>
      <c r="N173" s="1117"/>
      <c r="O173" s="1117"/>
      <c r="P173" s="1117"/>
      <c r="Q173" s="1117"/>
      <c r="R173" s="1131"/>
    </row>
    <row r="174" spans="2:18" ht="16.5">
      <c r="B174" s="1278"/>
      <c r="C174" s="1111" t="s">
        <v>6172</v>
      </c>
      <c r="D174" s="1277" t="s">
        <v>6118</v>
      </c>
      <c r="E174" s="1131"/>
      <c r="F174" s="1131"/>
      <c r="G174" s="1117"/>
      <c r="H174" s="1117"/>
      <c r="I174" s="1158"/>
      <c r="J174" s="1184"/>
      <c r="K174" s="1160"/>
      <c r="L174" s="1160"/>
      <c r="M174" s="1160"/>
      <c r="N174" s="1117"/>
      <c r="O174" s="1117"/>
      <c r="P174" s="1117"/>
      <c r="Q174" s="1117"/>
      <c r="R174" s="1131"/>
    </row>
    <row r="175" spans="2:18" ht="16.5">
      <c r="B175" s="1278"/>
      <c r="C175" s="1111" t="s">
        <v>6186</v>
      </c>
      <c r="D175" s="1277" t="s">
        <v>6126</v>
      </c>
      <c r="E175" s="1131"/>
      <c r="F175" s="1131"/>
      <c r="G175" s="1117"/>
      <c r="H175" s="1117"/>
      <c r="I175" s="1158"/>
      <c r="J175" s="1184"/>
      <c r="K175" s="1160"/>
      <c r="L175" s="1160"/>
      <c r="M175" s="1160"/>
      <c r="N175" s="1117"/>
      <c r="O175" s="1117"/>
      <c r="P175" s="1117"/>
      <c r="Q175" s="1117"/>
      <c r="R175" s="1131"/>
    </row>
    <row r="176" spans="2:18" ht="16.5">
      <c r="B176" s="1278"/>
      <c r="C176" s="1111" t="s">
        <v>6193</v>
      </c>
      <c r="D176" s="1277" t="s">
        <v>6136</v>
      </c>
      <c r="E176" s="1131"/>
      <c r="F176" s="1131"/>
      <c r="G176" s="1117"/>
      <c r="H176" s="1117"/>
      <c r="I176" s="1158"/>
      <c r="J176" s="1184"/>
      <c r="K176" s="1160"/>
      <c r="L176" s="1160"/>
      <c r="M176" s="1160"/>
      <c r="N176" s="1117"/>
      <c r="O176" s="1117"/>
      <c r="P176" s="1117"/>
      <c r="Q176" s="1117"/>
      <c r="R176" s="1131"/>
    </row>
    <row r="177" spans="2:18" ht="16.5">
      <c r="B177" s="1278"/>
      <c r="C177" s="1111" t="s">
        <v>6195</v>
      </c>
      <c r="D177" s="1277" t="s">
        <v>6144</v>
      </c>
      <c r="E177" s="1131"/>
      <c r="F177" s="1131"/>
      <c r="G177" s="1117"/>
      <c r="H177" s="1117"/>
      <c r="I177" s="1158"/>
      <c r="J177" s="1184"/>
      <c r="K177" s="1160"/>
      <c r="L177" s="1160"/>
      <c r="M177" s="1160"/>
      <c r="N177" s="1117"/>
      <c r="O177" s="1117"/>
      <c r="P177" s="1117"/>
      <c r="Q177" s="1117"/>
      <c r="R177" s="1131"/>
    </row>
    <row r="178" spans="2:18" ht="16.5">
      <c r="B178" s="1278"/>
      <c r="C178" s="1111" t="s">
        <v>6202</v>
      </c>
      <c r="D178" s="1277" t="s">
        <v>6151</v>
      </c>
      <c r="E178" s="1131"/>
      <c r="F178" s="1131"/>
      <c r="G178" s="1117"/>
      <c r="H178" s="1117"/>
      <c r="I178" s="1158"/>
      <c r="J178" s="1184"/>
      <c r="K178" s="1160"/>
      <c r="L178" s="1160"/>
      <c r="M178" s="1160"/>
      <c r="N178" s="1117"/>
      <c r="O178" s="1117"/>
      <c r="P178" s="1117"/>
      <c r="Q178" s="1117"/>
      <c r="R178" s="1131"/>
    </row>
    <row r="179" spans="2:18" ht="16.5">
      <c r="B179" s="1278"/>
      <c r="C179" s="1111" t="s">
        <v>6208</v>
      </c>
      <c r="D179" s="1277" t="s">
        <v>6166</v>
      </c>
      <c r="E179" s="1131"/>
      <c r="F179" s="1131"/>
      <c r="G179" s="1117"/>
      <c r="H179" s="1117"/>
      <c r="I179" s="1158"/>
      <c r="J179" s="1184"/>
      <c r="K179" s="1160"/>
      <c r="L179" s="1160"/>
      <c r="M179" s="1160"/>
      <c r="N179" s="1117"/>
      <c r="O179" s="1117"/>
      <c r="P179" s="1117"/>
      <c r="Q179" s="1117"/>
      <c r="R179" s="1131"/>
    </row>
    <row r="180" spans="2:18" ht="16.5">
      <c r="B180" s="1278"/>
      <c r="C180" s="1111" t="s">
        <v>6218</v>
      </c>
      <c r="D180" s="1277" t="s">
        <v>6173</v>
      </c>
      <c r="E180" s="1131"/>
      <c r="F180" s="1131"/>
      <c r="G180" s="1117"/>
      <c r="H180" s="1117"/>
      <c r="I180" s="1158"/>
      <c r="J180" s="1184"/>
      <c r="K180" s="1160"/>
      <c r="L180" s="1160"/>
      <c r="M180" s="1160"/>
      <c r="N180" s="1117"/>
      <c r="O180" s="1117"/>
      <c r="P180" s="1117"/>
      <c r="Q180" s="1117"/>
      <c r="R180" s="1131"/>
    </row>
    <row r="181" spans="2:18" ht="16.5">
      <c r="B181" s="1278"/>
      <c r="C181" s="1111" t="s">
        <v>6224</v>
      </c>
      <c r="D181" s="1277" t="s">
        <v>6118</v>
      </c>
      <c r="E181" s="1131"/>
      <c r="F181" s="1131"/>
      <c r="G181" s="1117"/>
      <c r="H181" s="1117"/>
      <c r="I181" s="1158"/>
      <c r="J181" s="1184"/>
      <c r="K181" s="1160"/>
      <c r="L181" s="1160"/>
      <c r="M181" s="1160"/>
      <c r="N181" s="1117"/>
      <c r="O181" s="1117"/>
      <c r="P181" s="1117"/>
      <c r="Q181" s="1117"/>
      <c r="R181" s="1131"/>
    </row>
    <row r="182" spans="2:18" ht="16.5">
      <c r="B182" s="1278"/>
      <c r="C182" s="1111" t="s">
        <v>6233</v>
      </c>
      <c r="D182" s="1277" t="s">
        <v>6126</v>
      </c>
      <c r="E182" s="1131"/>
      <c r="F182" s="1131"/>
      <c r="G182" s="1117"/>
      <c r="H182" s="1117"/>
      <c r="I182" s="1158"/>
      <c r="J182" s="1184"/>
      <c r="K182" s="1160"/>
      <c r="L182" s="1160"/>
      <c r="M182" s="1160"/>
      <c r="N182" s="1117"/>
      <c r="O182" s="1117"/>
      <c r="P182" s="1117"/>
      <c r="Q182" s="1117"/>
      <c r="R182" s="1131"/>
    </row>
    <row r="183" spans="2:18" ht="16.5">
      <c r="B183" s="1278"/>
      <c r="C183" s="1111" t="s">
        <v>6243</v>
      </c>
      <c r="D183" s="1277" t="s">
        <v>6136</v>
      </c>
      <c r="E183" s="1131"/>
      <c r="F183" s="1131"/>
      <c r="G183" s="1117"/>
      <c r="H183" s="1117"/>
      <c r="I183" s="1158"/>
      <c r="J183" s="1184"/>
      <c r="K183" s="1160"/>
      <c r="L183" s="1160"/>
      <c r="M183" s="1160"/>
      <c r="N183" s="1117"/>
      <c r="O183" s="1117"/>
      <c r="P183" s="1117"/>
      <c r="Q183" s="1117"/>
      <c r="R183" s="1131"/>
    </row>
    <row r="184" spans="2:18" ht="16.5">
      <c r="B184" s="1278"/>
      <c r="C184" s="1111" t="s">
        <v>6246</v>
      </c>
      <c r="D184" s="1277" t="s">
        <v>6144</v>
      </c>
      <c r="E184" s="1131"/>
      <c r="F184" s="1131"/>
      <c r="G184" s="1117"/>
      <c r="H184" s="1117"/>
      <c r="I184" s="1158"/>
      <c r="J184" s="1184"/>
      <c r="K184" s="1160"/>
      <c r="L184" s="1160"/>
      <c r="M184" s="1160"/>
      <c r="N184" s="1117"/>
      <c r="O184" s="1117"/>
      <c r="P184" s="1117"/>
      <c r="Q184" s="1117"/>
      <c r="R184" s="1131"/>
    </row>
    <row r="185" spans="2:18" ht="16.5">
      <c r="B185" s="1278"/>
      <c r="C185" s="1111" t="s">
        <v>6251</v>
      </c>
      <c r="D185" s="1277" t="s">
        <v>6151</v>
      </c>
      <c r="E185" s="1131"/>
      <c r="F185" s="1131"/>
      <c r="G185" s="1117"/>
      <c r="H185" s="1117"/>
      <c r="I185" s="1158"/>
      <c r="J185" s="1184"/>
      <c r="K185" s="1160"/>
      <c r="L185" s="1160"/>
      <c r="M185" s="1160"/>
      <c r="N185" s="1117"/>
      <c r="O185" s="1117"/>
      <c r="P185" s="1117"/>
      <c r="Q185" s="1117"/>
      <c r="R185" s="1131"/>
    </row>
    <row r="186" spans="2:18" ht="16.5">
      <c r="B186" s="1278"/>
      <c r="C186" s="1111" t="s">
        <v>6257</v>
      </c>
      <c r="D186" s="1277" t="s">
        <v>6166</v>
      </c>
      <c r="E186" s="1131"/>
      <c r="F186" s="1131"/>
      <c r="G186" s="1117"/>
      <c r="H186" s="1117"/>
      <c r="I186" s="1158"/>
      <c r="J186" s="1184"/>
      <c r="K186" s="1160"/>
      <c r="L186" s="1160"/>
      <c r="M186" s="1160"/>
      <c r="N186" s="1117"/>
      <c r="O186" s="1117"/>
      <c r="P186" s="1117"/>
      <c r="Q186" s="1117"/>
      <c r="R186" s="1131"/>
    </row>
    <row r="187" spans="2:18" ht="16.5">
      <c r="B187" s="1278"/>
      <c r="C187" s="1111" t="s">
        <v>6263</v>
      </c>
      <c r="D187" s="1277" t="s">
        <v>6173</v>
      </c>
      <c r="E187" s="1131"/>
      <c r="F187" s="1131"/>
      <c r="G187" s="1117"/>
      <c r="H187" s="1117"/>
      <c r="I187" s="1158"/>
      <c r="J187" s="1184"/>
      <c r="K187" s="1160"/>
      <c r="L187" s="1160"/>
      <c r="M187" s="1160"/>
      <c r="N187" s="1117"/>
      <c r="O187" s="1117"/>
      <c r="P187" s="1117"/>
      <c r="Q187" s="1117"/>
      <c r="R187" s="1131"/>
    </row>
    <row r="188" spans="2:18" ht="16.5">
      <c r="B188" s="1278"/>
      <c r="C188" s="1111" t="s">
        <v>6269</v>
      </c>
      <c r="D188" s="1277" t="s">
        <v>6118</v>
      </c>
      <c r="E188" s="1131"/>
      <c r="F188" s="1131"/>
      <c r="G188" s="1117"/>
      <c r="H188" s="1117"/>
      <c r="I188" s="1158"/>
      <c r="J188" s="1184"/>
      <c r="K188" s="1160"/>
      <c r="L188" s="1160"/>
      <c r="M188" s="1160"/>
      <c r="N188" s="1117"/>
      <c r="O188" s="1117"/>
      <c r="P188" s="1117"/>
      <c r="Q188" s="1117"/>
      <c r="R188" s="1131"/>
    </row>
    <row r="189" spans="2:18" ht="16.5">
      <c r="B189" s="1278"/>
      <c r="C189" s="1111" t="s">
        <v>6275</v>
      </c>
      <c r="D189" s="1277" t="s">
        <v>6126</v>
      </c>
      <c r="E189" s="1131"/>
      <c r="F189" s="1131"/>
      <c r="G189" s="1117"/>
      <c r="H189" s="1117"/>
      <c r="I189" s="1158"/>
      <c r="J189" s="1184"/>
      <c r="K189" s="1160"/>
      <c r="L189" s="1160"/>
      <c r="M189" s="1160"/>
      <c r="N189" s="1117"/>
      <c r="O189" s="1117"/>
      <c r="P189" s="1117"/>
      <c r="Q189" s="1117"/>
      <c r="R189" s="1131"/>
    </row>
    <row r="190" spans="2:18" ht="16.5">
      <c r="B190" s="1278"/>
      <c r="C190" s="1111" t="s">
        <v>6281</v>
      </c>
      <c r="D190" s="1277" t="s">
        <v>6136</v>
      </c>
      <c r="E190" s="1131"/>
      <c r="F190" s="1131"/>
      <c r="G190" s="1117"/>
      <c r="H190" s="1117"/>
      <c r="I190" s="1158"/>
      <c r="J190" s="1184"/>
      <c r="K190" s="1160"/>
      <c r="L190" s="1160"/>
      <c r="M190" s="1160"/>
      <c r="N190" s="1117"/>
      <c r="O190" s="1117"/>
      <c r="P190" s="1117"/>
      <c r="Q190" s="1117"/>
      <c r="R190" s="1131"/>
    </row>
    <row r="191" spans="2:18" ht="16.5">
      <c r="B191" s="1278"/>
      <c r="C191" s="1111" t="s">
        <v>6282</v>
      </c>
      <c r="D191" s="1277" t="s">
        <v>6144</v>
      </c>
      <c r="E191" s="1131"/>
      <c r="F191" s="1131"/>
      <c r="G191" s="1117"/>
      <c r="H191" s="1117"/>
      <c r="I191" s="1158"/>
      <c r="J191" s="1184"/>
      <c r="K191" s="1160"/>
      <c r="L191" s="1160"/>
      <c r="M191" s="1160"/>
      <c r="N191" s="1117"/>
      <c r="O191" s="1117"/>
      <c r="P191" s="1117"/>
      <c r="Q191" s="1117"/>
      <c r="R191" s="1131"/>
    </row>
    <row r="192" spans="2:18" ht="16.5">
      <c r="B192" s="1278"/>
      <c r="C192" s="1111" t="s">
        <v>6460</v>
      </c>
      <c r="D192" s="1277" t="s">
        <v>6151</v>
      </c>
      <c r="E192" s="1131"/>
      <c r="F192" s="1131"/>
      <c r="G192" s="1117"/>
      <c r="H192" s="1117"/>
      <c r="I192" s="1158"/>
      <c r="J192" s="1184"/>
      <c r="K192" s="1160"/>
      <c r="L192" s="1160"/>
      <c r="M192" s="1160"/>
      <c r="N192" s="1117"/>
      <c r="O192" s="1117"/>
      <c r="P192" s="1117"/>
      <c r="Q192" s="1117"/>
      <c r="R192" s="1131"/>
    </row>
    <row r="193" spans="2:18" ht="16.5">
      <c r="B193" s="1278"/>
      <c r="C193" s="1111" t="s">
        <v>6290</v>
      </c>
      <c r="D193" s="1277" t="s">
        <v>6166</v>
      </c>
      <c r="E193" s="1131"/>
      <c r="F193" s="1131"/>
      <c r="G193" s="1117"/>
      <c r="H193" s="1117"/>
      <c r="I193" s="1158"/>
      <c r="J193" s="1184"/>
      <c r="K193" s="1160"/>
      <c r="L193" s="1160"/>
      <c r="M193" s="1160"/>
      <c r="N193" s="1117"/>
      <c r="O193" s="1117"/>
      <c r="P193" s="1117"/>
      <c r="Q193" s="1117"/>
      <c r="R193" s="1131"/>
    </row>
    <row r="194" spans="2:18" ht="16.5">
      <c r="B194" s="1278"/>
      <c r="C194" s="1111" t="s">
        <v>6291</v>
      </c>
      <c r="D194" s="1277" t="s">
        <v>6173</v>
      </c>
      <c r="E194" s="1131"/>
      <c r="F194" s="1131"/>
      <c r="G194" s="1117"/>
      <c r="H194" s="1117"/>
      <c r="I194" s="1158"/>
      <c r="J194" s="1184"/>
      <c r="K194" s="1160"/>
      <c r="L194" s="1160"/>
      <c r="M194" s="1160"/>
      <c r="N194" s="1117"/>
      <c r="O194" s="1117"/>
      <c r="P194" s="1117"/>
      <c r="Q194" s="1117"/>
      <c r="R194" s="1131"/>
    </row>
    <row r="195" spans="2:18" ht="16.5">
      <c r="B195" s="1278"/>
      <c r="C195" s="1111" t="s">
        <v>6297</v>
      </c>
      <c r="D195" s="1277" t="s">
        <v>6118</v>
      </c>
      <c r="E195" s="1131"/>
      <c r="F195" s="1131"/>
      <c r="G195" s="1117"/>
      <c r="H195" s="1117"/>
      <c r="I195" s="1158"/>
      <c r="J195" s="1184"/>
      <c r="K195" s="1160"/>
      <c r="L195" s="1160"/>
      <c r="M195" s="1160"/>
      <c r="N195" s="1117"/>
      <c r="O195" s="1117"/>
      <c r="P195" s="1117"/>
      <c r="Q195" s="1117"/>
      <c r="R195" s="1131"/>
    </row>
    <row r="196" spans="2:18" ht="16.5">
      <c r="B196" s="1278"/>
      <c r="C196" s="1111" t="s">
        <v>6303</v>
      </c>
      <c r="D196" s="1277" t="s">
        <v>6126</v>
      </c>
      <c r="E196" s="1131"/>
      <c r="F196" s="1131"/>
      <c r="G196" s="1117"/>
      <c r="H196" s="1117"/>
      <c r="I196" s="1158"/>
      <c r="J196" s="1184"/>
      <c r="K196" s="1160"/>
      <c r="L196" s="1160"/>
      <c r="M196" s="1160"/>
      <c r="N196" s="1117"/>
      <c r="O196" s="1117"/>
      <c r="P196" s="1117"/>
      <c r="Q196" s="1117"/>
      <c r="R196" s="1131"/>
    </row>
    <row r="197" spans="2:18" ht="16.5">
      <c r="B197" s="1274"/>
      <c r="C197" s="1276" t="s">
        <v>6309</v>
      </c>
      <c r="D197" s="1277" t="s">
        <v>6136</v>
      </c>
      <c r="E197" s="1131"/>
      <c r="F197" s="1131"/>
      <c r="G197" s="1117"/>
      <c r="H197" s="1117"/>
      <c r="I197" s="1158"/>
      <c r="J197" s="1184"/>
      <c r="K197" s="1160"/>
      <c r="L197" s="1160"/>
      <c r="M197" s="1160"/>
      <c r="N197" s="1117"/>
      <c r="O197" s="1117"/>
      <c r="P197" s="1117"/>
      <c r="Q197" s="1117"/>
      <c r="R197" s="1279"/>
    </row>
    <row r="198" spans="2:18" ht="16.5">
      <c r="B198" s="1110" t="s">
        <v>6627</v>
      </c>
      <c r="C198" s="1111" t="s">
        <v>6484</v>
      </c>
      <c r="D198" s="1280" t="s">
        <v>6144</v>
      </c>
      <c r="E198" s="1131"/>
      <c r="F198" s="1131"/>
      <c r="G198" s="1117"/>
      <c r="H198" s="1117"/>
      <c r="I198" s="1117"/>
      <c r="J198" s="1117"/>
      <c r="K198" s="1165"/>
      <c r="L198" s="1165"/>
      <c r="M198" s="1165"/>
      <c r="N198" s="1117"/>
      <c r="O198" s="1117"/>
      <c r="P198" s="1117"/>
      <c r="Q198" s="1117"/>
      <c r="R198" s="1131"/>
    </row>
    <row r="199" spans="2:18" ht="16.5">
      <c r="B199" s="1278"/>
      <c r="C199" s="1111" t="s">
        <v>6117</v>
      </c>
      <c r="D199" s="1280" t="s">
        <v>6151</v>
      </c>
      <c r="E199" s="1131"/>
      <c r="F199" s="1131"/>
      <c r="G199" s="1117"/>
      <c r="H199" s="1117"/>
      <c r="I199" s="1158"/>
      <c r="J199" s="1184"/>
      <c r="K199" s="1160"/>
      <c r="L199" s="1160"/>
      <c r="M199" s="1160"/>
      <c r="N199" s="1117"/>
      <c r="O199" s="1117"/>
      <c r="P199" s="1117"/>
      <c r="Q199" s="1117"/>
      <c r="R199" s="1131"/>
    </row>
    <row r="200" spans="2:18" ht="16.5">
      <c r="B200" s="1278"/>
      <c r="C200" s="1111" t="s">
        <v>6125</v>
      </c>
      <c r="D200" s="1280" t="s">
        <v>6166</v>
      </c>
      <c r="E200" s="1131"/>
      <c r="F200" s="1131"/>
      <c r="G200" s="1117"/>
      <c r="H200" s="1117"/>
      <c r="I200" s="1158"/>
      <c r="J200" s="1184"/>
      <c r="K200" s="1160"/>
      <c r="L200" s="1160"/>
      <c r="M200" s="1160"/>
      <c r="N200" s="1117"/>
      <c r="O200" s="1117"/>
      <c r="P200" s="1117"/>
      <c r="Q200" s="1117"/>
      <c r="R200" s="1131"/>
    </row>
    <row r="201" spans="2:18" ht="16.5">
      <c r="B201" s="1278"/>
      <c r="C201" s="1111" t="s">
        <v>6135</v>
      </c>
      <c r="D201" s="1280" t="s">
        <v>6173</v>
      </c>
      <c r="E201" s="1131"/>
      <c r="F201" s="1131"/>
      <c r="G201" s="1117"/>
      <c r="H201" s="1117"/>
      <c r="I201" s="1158"/>
      <c r="J201" s="1184"/>
      <c r="K201" s="1160"/>
      <c r="L201" s="1160"/>
      <c r="M201" s="1160"/>
      <c r="N201" s="1117"/>
      <c r="O201" s="1117"/>
      <c r="P201" s="1117"/>
      <c r="Q201" s="1117"/>
      <c r="R201" s="1131"/>
    </row>
    <row r="202" spans="2:18" ht="16.5">
      <c r="B202" s="1278"/>
      <c r="C202" s="1111" t="s">
        <v>6143</v>
      </c>
      <c r="D202" s="1280" t="s">
        <v>6118</v>
      </c>
      <c r="E202" s="1131"/>
      <c r="F202" s="1131"/>
      <c r="G202" s="1117"/>
      <c r="H202" s="1117"/>
      <c r="I202" s="1158"/>
      <c r="J202" s="1184"/>
      <c r="K202" s="1160"/>
      <c r="L202" s="1160"/>
      <c r="M202" s="1160"/>
      <c r="N202" s="1117"/>
      <c r="O202" s="1117"/>
      <c r="P202" s="1117"/>
      <c r="Q202" s="1117"/>
      <c r="R202" s="1131"/>
    </row>
    <row r="203" spans="2:18" ht="16.5">
      <c r="B203" s="1278"/>
      <c r="C203" s="1111" t="s">
        <v>6150</v>
      </c>
      <c r="D203" s="1280" t="s">
        <v>6126</v>
      </c>
      <c r="E203" s="1131"/>
      <c r="F203" s="1131"/>
      <c r="G203" s="1117"/>
      <c r="H203" s="1117"/>
      <c r="I203" s="1158"/>
      <c r="J203" s="1184"/>
      <c r="K203" s="1160"/>
      <c r="L203" s="1160"/>
      <c r="M203" s="1160"/>
      <c r="N203" s="1117"/>
      <c r="O203" s="1117"/>
      <c r="P203" s="1117"/>
      <c r="Q203" s="1117"/>
      <c r="R203" s="1131"/>
    </row>
    <row r="204" spans="2:18" ht="16.5">
      <c r="B204" s="1278"/>
      <c r="C204" s="1111" t="s">
        <v>6165</v>
      </c>
      <c r="D204" s="1280" t="s">
        <v>6136</v>
      </c>
      <c r="E204" s="1131"/>
      <c r="F204" s="1131"/>
      <c r="G204" s="1117"/>
      <c r="H204" s="1117"/>
      <c r="I204" s="1158"/>
      <c r="J204" s="1184"/>
      <c r="K204" s="1160"/>
      <c r="L204" s="1160"/>
      <c r="M204" s="1160"/>
      <c r="N204" s="1117"/>
      <c r="O204" s="1117"/>
      <c r="P204" s="1117"/>
      <c r="Q204" s="1117"/>
      <c r="R204" s="1131"/>
    </row>
    <row r="205" spans="2:18" ht="16.5">
      <c r="B205" s="1278"/>
      <c r="C205" s="1111" t="s">
        <v>6172</v>
      </c>
      <c r="D205" s="1280" t="s">
        <v>6144</v>
      </c>
      <c r="E205" s="1131"/>
      <c r="F205" s="1131"/>
      <c r="G205" s="1117"/>
      <c r="H205" s="1117"/>
      <c r="I205" s="1158"/>
      <c r="J205" s="1184"/>
      <c r="K205" s="1160"/>
      <c r="L205" s="1160"/>
      <c r="M205" s="1160"/>
      <c r="N205" s="1117"/>
      <c r="O205" s="1117"/>
      <c r="P205" s="1117"/>
      <c r="Q205" s="1117"/>
      <c r="R205" s="1131"/>
    </row>
    <row r="206" spans="2:18" ht="16.5">
      <c r="B206" s="1278"/>
      <c r="C206" s="1111" t="s">
        <v>6186</v>
      </c>
      <c r="D206" s="1280" t="s">
        <v>6151</v>
      </c>
      <c r="E206" s="1131"/>
      <c r="F206" s="1131"/>
      <c r="G206" s="1117"/>
      <c r="H206" s="1117"/>
      <c r="I206" s="1158"/>
      <c r="J206" s="1184"/>
      <c r="K206" s="1160"/>
      <c r="L206" s="1160"/>
      <c r="M206" s="1160"/>
      <c r="N206" s="1117"/>
      <c r="O206" s="1117"/>
      <c r="P206" s="1117"/>
      <c r="Q206" s="1117"/>
      <c r="R206" s="1131"/>
    </row>
    <row r="207" spans="2:18" ht="16.5">
      <c r="B207" s="1278"/>
      <c r="C207" s="1111" t="s">
        <v>6193</v>
      </c>
      <c r="D207" s="1280" t="s">
        <v>6166</v>
      </c>
      <c r="E207" s="1131"/>
      <c r="F207" s="1131"/>
      <c r="G207" s="1117"/>
      <c r="H207" s="1117"/>
      <c r="I207" s="1158"/>
      <c r="J207" s="1184"/>
      <c r="K207" s="1160"/>
      <c r="L207" s="1160"/>
      <c r="M207" s="1160"/>
      <c r="N207" s="1117"/>
      <c r="O207" s="1117"/>
      <c r="P207" s="1117"/>
      <c r="Q207" s="1117"/>
      <c r="R207" s="1131"/>
    </row>
    <row r="208" spans="2:18" ht="16.5">
      <c r="B208" s="1278"/>
      <c r="C208" s="1111" t="s">
        <v>6195</v>
      </c>
      <c r="D208" s="1280" t="s">
        <v>6173</v>
      </c>
      <c r="E208" s="1131"/>
      <c r="F208" s="1131"/>
      <c r="G208" s="1117"/>
      <c r="H208" s="1117"/>
      <c r="I208" s="1158"/>
      <c r="J208" s="1184"/>
      <c r="K208" s="1160"/>
      <c r="L208" s="1160"/>
      <c r="M208" s="1160"/>
      <c r="N208" s="1117"/>
      <c r="O208" s="1117"/>
      <c r="P208" s="1117"/>
      <c r="Q208" s="1117"/>
      <c r="R208" s="1131"/>
    </row>
    <row r="209" spans="2:18" ht="16.5">
      <c r="B209" s="1278"/>
      <c r="C209" s="1111" t="s">
        <v>6202</v>
      </c>
      <c r="D209" s="1280" t="s">
        <v>6118</v>
      </c>
      <c r="E209" s="1131"/>
      <c r="F209" s="1131"/>
      <c r="G209" s="1117"/>
      <c r="H209" s="1117"/>
      <c r="I209" s="1158"/>
      <c r="J209" s="1184"/>
      <c r="K209" s="1160"/>
      <c r="L209" s="1160"/>
      <c r="M209" s="1160"/>
      <c r="N209" s="1117"/>
      <c r="O209" s="1117"/>
      <c r="P209" s="1117"/>
      <c r="Q209" s="1117"/>
      <c r="R209" s="1131"/>
    </row>
    <row r="210" spans="2:18" ht="16.5">
      <c r="B210" s="1278"/>
      <c r="C210" s="1111" t="s">
        <v>6208</v>
      </c>
      <c r="D210" s="1280" t="s">
        <v>6126</v>
      </c>
      <c r="E210" s="1131"/>
      <c r="F210" s="1131"/>
      <c r="G210" s="1117"/>
      <c r="H210" s="1117"/>
      <c r="I210" s="1158"/>
      <c r="J210" s="1184"/>
      <c r="K210" s="1160"/>
      <c r="L210" s="1160"/>
      <c r="M210" s="1160"/>
      <c r="N210" s="1117"/>
      <c r="O210" s="1117"/>
      <c r="P210" s="1117"/>
      <c r="Q210" s="1117"/>
      <c r="R210" s="1131"/>
    </row>
    <row r="211" spans="2:18" ht="16.5">
      <c r="B211" s="1278"/>
      <c r="C211" s="1111" t="s">
        <v>6218</v>
      </c>
      <c r="D211" s="1280" t="s">
        <v>6136</v>
      </c>
      <c r="E211" s="1131"/>
      <c r="F211" s="1131"/>
      <c r="G211" s="1117"/>
      <c r="H211" s="1117"/>
      <c r="I211" s="1158"/>
      <c r="J211" s="1184"/>
      <c r="K211" s="1160"/>
      <c r="L211" s="1160"/>
      <c r="M211" s="1160"/>
      <c r="N211" s="1117"/>
      <c r="O211" s="1117"/>
      <c r="P211" s="1117"/>
      <c r="Q211" s="1117"/>
      <c r="R211" s="1131"/>
    </row>
    <row r="212" spans="2:18" ht="16.5">
      <c r="B212" s="1278"/>
      <c r="C212" s="1111" t="s">
        <v>6224</v>
      </c>
      <c r="D212" s="1280" t="s">
        <v>6144</v>
      </c>
      <c r="E212" s="1131"/>
      <c r="F212" s="1131"/>
      <c r="G212" s="1117"/>
      <c r="H212" s="1117"/>
      <c r="I212" s="1158"/>
      <c r="J212" s="1184"/>
      <c r="K212" s="1160"/>
      <c r="L212" s="1160"/>
      <c r="M212" s="1160"/>
      <c r="N212" s="1117"/>
      <c r="O212" s="1117"/>
      <c r="P212" s="1117"/>
      <c r="Q212" s="1117"/>
      <c r="R212" s="1131"/>
    </row>
    <row r="213" spans="2:18" ht="16.5">
      <c r="B213" s="1278"/>
      <c r="C213" s="1111" t="s">
        <v>6233</v>
      </c>
      <c r="D213" s="1280" t="s">
        <v>6151</v>
      </c>
      <c r="E213" s="1131"/>
      <c r="F213" s="1131"/>
      <c r="G213" s="1117"/>
      <c r="H213" s="1117"/>
      <c r="I213" s="1158"/>
      <c r="J213" s="1184"/>
      <c r="K213" s="1160"/>
      <c r="L213" s="1160"/>
      <c r="M213" s="1160"/>
      <c r="N213" s="1117"/>
      <c r="O213" s="1117"/>
      <c r="P213" s="1117"/>
      <c r="Q213" s="1117"/>
      <c r="R213" s="1131"/>
    </row>
    <row r="214" spans="2:18" ht="16.5">
      <c r="B214" s="1278"/>
      <c r="C214" s="1111" t="s">
        <v>6243</v>
      </c>
      <c r="D214" s="1280" t="s">
        <v>6166</v>
      </c>
      <c r="E214" s="1131"/>
      <c r="F214" s="1131"/>
      <c r="G214" s="1117"/>
      <c r="H214" s="1117"/>
      <c r="I214" s="1158"/>
      <c r="J214" s="1184"/>
      <c r="K214" s="1160"/>
      <c r="L214" s="1160"/>
      <c r="M214" s="1160"/>
      <c r="N214" s="1117"/>
      <c r="O214" s="1117"/>
      <c r="P214" s="1117"/>
      <c r="Q214" s="1117"/>
      <c r="R214" s="1131"/>
    </row>
    <row r="215" spans="2:18" ht="16.5">
      <c r="B215" s="1278"/>
      <c r="C215" s="1111" t="s">
        <v>6246</v>
      </c>
      <c r="D215" s="1280" t="s">
        <v>6173</v>
      </c>
      <c r="E215" s="1131"/>
      <c r="F215" s="1131"/>
      <c r="G215" s="1117"/>
      <c r="H215" s="1117"/>
      <c r="I215" s="1158"/>
      <c r="J215" s="1184"/>
      <c r="K215" s="1160"/>
      <c r="L215" s="1160"/>
      <c r="M215" s="1160"/>
      <c r="N215" s="1117"/>
      <c r="O215" s="1117"/>
      <c r="P215" s="1117"/>
      <c r="Q215" s="1117"/>
      <c r="R215" s="1131"/>
    </row>
    <row r="216" spans="2:18" ht="16.5">
      <c r="B216" s="1278"/>
      <c r="C216" s="1111" t="s">
        <v>6251</v>
      </c>
      <c r="D216" s="1280" t="s">
        <v>6118</v>
      </c>
      <c r="E216" s="1131"/>
      <c r="F216" s="1131"/>
      <c r="G216" s="1117"/>
      <c r="H216" s="1117"/>
      <c r="I216" s="1158"/>
      <c r="J216" s="1184"/>
      <c r="K216" s="1160"/>
      <c r="L216" s="1160"/>
      <c r="M216" s="1160"/>
      <c r="N216" s="1117"/>
      <c r="O216" s="1117"/>
      <c r="P216" s="1117"/>
      <c r="Q216" s="1117"/>
      <c r="R216" s="1131"/>
    </row>
    <row r="217" spans="2:18" ht="16.5">
      <c r="B217" s="1278"/>
      <c r="C217" s="1111" t="s">
        <v>6257</v>
      </c>
      <c r="D217" s="1280" t="s">
        <v>6126</v>
      </c>
      <c r="E217" s="1131"/>
      <c r="F217" s="1131"/>
      <c r="G217" s="1117"/>
      <c r="H217" s="1117"/>
      <c r="I217" s="1158"/>
      <c r="J217" s="1184"/>
      <c r="K217" s="1160"/>
      <c r="L217" s="1160"/>
      <c r="M217" s="1160"/>
      <c r="N217" s="1117"/>
      <c r="O217" s="1117"/>
      <c r="P217" s="1117"/>
      <c r="Q217" s="1117"/>
      <c r="R217" s="1131"/>
    </row>
    <row r="218" spans="2:18" ht="16.5">
      <c r="B218" s="1278"/>
      <c r="C218" s="1111" t="s">
        <v>6263</v>
      </c>
      <c r="D218" s="1280" t="s">
        <v>6136</v>
      </c>
      <c r="E218" s="1131"/>
      <c r="F218" s="1131"/>
      <c r="G218" s="1117"/>
      <c r="H218" s="1117"/>
      <c r="I218" s="1158"/>
      <c r="J218" s="1184"/>
      <c r="K218" s="1160"/>
      <c r="L218" s="1160"/>
      <c r="M218" s="1160"/>
      <c r="N218" s="1117"/>
      <c r="O218" s="1117"/>
      <c r="P218" s="1117"/>
      <c r="Q218" s="1117"/>
      <c r="R218" s="1131"/>
    </row>
    <row r="219" spans="2:18" ht="16.5">
      <c r="B219" s="1278"/>
      <c r="C219" s="1111" t="s">
        <v>6269</v>
      </c>
      <c r="D219" s="1280" t="s">
        <v>6144</v>
      </c>
      <c r="E219" s="1131"/>
      <c r="F219" s="1131"/>
      <c r="G219" s="1117"/>
      <c r="H219" s="1117"/>
      <c r="I219" s="1158"/>
      <c r="J219" s="1184"/>
      <c r="K219" s="1160"/>
      <c r="L219" s="1160"/>
      <c r="M219" s="1160"/>
      <c r="N219" s="1117"/>
      <c r="O219" s="1117"/>
      <c r="P219" s="1117"/>
      <c r="Q219" s="1117"/>
      <c r="R219" s="1131"/>
    </row>
    <row r="220" spans="2:18" ht="16.5">
      <c r="B220" s="1278"/>
      <c r="C220" s="1111" t="s">
        <v>6275</v>
      </c>
      <c r="D220" s="1280" t="s">
        <v>6151</v>
      </c>
      <c r="E220" s="1131"/>
      <c r="F220" s="1131"/>
      <c r="G220" s="1117"/>
      <c r="H220" s="1117"/>
      <c r="I220" s="1158"/>
      <c r="J220" s="1184"/>
      <c r="K220" s="1160"/>
      <c r="L220" s="1160"/>
      <c r="M220" s="1160"/>
      <c r="N220" s="1117"/>
      <c r="O220" s="1117"/>
      <c r="P220" s="1117"/>
      <c r="Q220" s="1117"/>
      <c r="R220" s="1131"/>
    </row>
    <row r="221" spans="2:18" ht="16.5">
      <c r="B221" s="1278"/>
      <c r="C221" s="1111" t="s">
        <v>6281</v>
      </c>
      <c r="D221" s="1280" t="s">
        <v>6166</v>
      </c>
      <c r="E221" s="1131"/>
      <c r="F221" s="1131"/>
      <c r="G221" s="1117"/>
      <c r="H221" s="1117"/>
      <c r="I221" s="1158"/>
      <c r="J221" s="1184"/>
      <c r="K221" s="1160"/>
      <c r="L221" s="1160"/>
      <c r="M221" s="1160"/>
      <c r="N221" s="1117"/>
      <c r="O221" s="1117"/>
      <c r="P221" s="1117"/>
      <c r="Q221" s="1117"/>
      <c r="R221" s="1131"/>
    </row>
    <row r="222" spans="2:18" ht="16.5">
      <c r="B222" s="1278"/>
      <c r="C222" s="1111" t="s">
        <v>6282</v>
      </c>
      <c r="D222" s="1280" t="s">
        <v>6173</v>
      </c>
      <c r="E222" s="1131"/>
      <c r="F222" s="1131"/>
      <c r="G222" s="1117"/>
      <c r="H222" s="1117"/>
      <c r="I222" s="1158"/>
      <c r="J222" s="1184"/>
      <c r="K222" s="1160"/>
      <c r="L222" s="1160"/>
      <c r="M222" s="1160"/>
      <c r="N222" s="1117"/>
      <c r="O222" s="1117"/>
      <c r="P222" s="1117"/>
      <c r="Q222" s="1117"/>
      <c r="R222" s="1131"/>
    </row>
    <row r="223" spans="2:18" ht="16.5">
      <c r="B223" s="1278"/>
      <c r="C223" s="1111" t="s">
        <v>6460</v>
      </c>
      <c r="D223" s="1280" t="s">
        <v>6118</v>
      </c>
      <c r="E223" s="1131"/>
      <c r="F223" s="1131"/>
      <c r="G223" s="1117"/>
      <c r="H223" s="1117"/>
      <c r="I223" s="1158"/>
      <c r="J223" s="1184"/>
      <c r="K223" s="1160"/>
      <c r="L223" s="1160"/>
      <c r="M223" s="1160"/>
      <c r="N223" s="1117"/>
      <c r="O223" s="1117"/>
      <c r="P223" s="1117"/>
      <c r="Q223" s="1117"/>
      <c r="R223" s="1131"/>
    </row>
    <row r="224" spans="2:18" ht="16.5">
      <c r="B224" s="1278"/>
      <c r="C224" s="1111" t="s">
        <v>6290</v>
      </c>
      <c r="D224" s="1280" t="s">
        <v>6126</v>
      </c>
      <c r="E224" s="1131"/>
      <c r="F224" s="1131"/>
      <c r="G224" s="1117"/>
      <c r="H224" s="1117"/>
      <c r="I224" s="1158"/>
      <c r="J224" s="1184"/>
      <c r="K224" s="1160"/>
      <c r="L224" s="1160"/>
      <c r="M224" s="1160"/>
      <c r="N224" s="1117"/>
      <c r="O224" s="1117"/>
      <c r="P224" s="1117"/>
      <c r="Q224" s="1117"/>
      <c r="R224" s="1131"/>
    </row>
    <row r="225" spans="2:18" ht="16.5">
      <c r="B225" s="1278"/>
      <c r="C225" s="1111" t="s">
        <v>6291</v>
      </c>
      <c r="D225" s="1280" t="s">
        <v>6136</v>
      </c>
      <c r="E225" s="1131"/>
      <c r="F225" s="1131"/>
      <c r="G225" s="1117"/>
      <c r="H225" s="1117"/>
      <c r="I225" s="1158"/>
      <c r="J225" s="1184"/>
      <c r="K225" s="1160"/>
      <c r="L225" s="1160"/>
      <c r="M225" s="1160"/>
      <c r="N225" s="1117"/>
      <c r="O225" s="1117"/>
      <c r="P225" s="1117"/>
      <c r="Q225" s="1117"/>
      <c r="R225" s="1131"/>
    </row>
    <row r="226" spans="2:18" ht="16.5">
      <c r="B226" s="1278"/>
      <c r="C226" s="1111" t="s">
        <v>6297</v>
      </c>
      <c r="D226" s="1280" t="s">
        <v>6144</v>
      </c>
      <c r="E226" s="1131"/>
      <c r="F226" s="1131"/>
      <c r="G226" s="1117"/>
      <c r="H226" s="1117"/>
      <c r="I226" s="1158"/>
      <c r="J226" s="1184"/>
      <c r="K226" s="1160"/>
      <c r="L226" s="1160"/>
      <c r="M226" s="1160"/>
      <c r="N226" s="1117"/>
      <c r="O226" s="1117"/>
      <c r="P226" s="1117"/>
      <c r="Q226" s="1117"/>
      <c r="R226" s="1131"/>
    </row>
    <row r="227" spans="2:18" ht="16.5">
      <c r="B227" s="1278"/>
      <c r="C227" s="1111" t="s">
        <v>6303</v>
      </c>
      <c r="D227" s="1280" t="s">
        <v>6151</v>
      </c>
      <c r="E227" s="1131"/>
      <c r="F227" s="1131"/>
      <c r="G227" s="1117"/>
      <c r="H227" s="1117"/>
      <c r="I227" s="1158"/>
      <c r="J227" s="1184"/>
      <c r="K227" s="1160"/>
      <c r="L227" s="1160"/>
      <c r="M227" s="1160"/>
      <c r="N227" s="1117"/>
      <c r="O227" s="1117"/>
      <c r="P227" s="1117"/>
      <c r="Q227" s="1117"/>
      <c r="R227" s="1131"/>
    </row>
    <row r="228" spans="2:18" ht="16.5">
      <c r="B228" s="1110" t="s">
        <v>6628</v>
      </c>
      <c r="C228" s="1111" t="s">
        <v>6484</v>
      </c>
      <c r="D228" s="1280" t="s">
        <v>6166</v>
      </c>
      <c r="E228" s="1131"/>
      <c r="F228" s="1131"/>
      <c r="G228" s="1117"/>
      <c r="H228" s="1117"/>
      <c r="I228" s="1117"/>
      <c r="J228" s="1117"/>
      <c r="K228" s="1165"/>
      <c r="L228" s="1165"/>
      <c r="M228" s="1165"/>
      <c r="N228" s="1117"/>
      <c r="O228" s="1117"/>
      <c r="P228" s="1117"/>
      <c r="Q228" s="1117"/>
      <c r="R228" s="1131"/>
    </row>
    <row r="229" spans="2:18" ht="16.5">
      <c r="B229" s="1278"/>
      <c r="C229" s="1111" t="s">
        <v>6117</v>
      </c>
      <c r="D229" s="1280" t="s">
        <v>6173</v>
      </c>
      <c r="E229" s="1131"/>
      <c r="F229" s="1131"/>
      <c r="G229" s="1117"/>
      <c r="H229" s="1117"/>
      <c r="I229" s="1158"/>
      <c r="J229" s="1184"/>
      <c r="K229" s="1160"/>
      <c r="L229" s="1160"/>
      <c r="M229" s="1160"/>
      <c r="N229" s="1117"/>
      <c r="O229" s="1117"/>
      <c r="P229" s="1117"/>
      <c r="Q229" s="1117"/>
      <c r="R229" s="1131"/>
    </row>
    <row r="230" spans="2:18" ht="16.5">
      <c r="B230" s="1278"/>
      <c r="C230" s="1111" t="s">
        <v>6125</v>
      </c>
      <c r="D230" s="1280" t="s">
        <v>6118</v>
      </c>
      <c r="E230" s="1131"/>
      <c r="F230" s="1131"/>
      <c r="G230" s="1117"/>
      <c r="H230" s="1117"/>
      <c r="I230" s="1158"/>
      <c r="J230" s="1184"/>
      <c r="K230" s="1160"/>
      <c r="L230" s="1160"/>
      <c r="M230" s="1160"/>
      <c r="N230" s="1117"/>
      <c r="O230" s="1117"/>
      <c r="P230" s="1117"/>
      <c r="Q230" s="1117"/>
      <c r="R230" s="1131"/>
    </row>
    <row r="231" spans="2:18" ht="16.5">
      <c r="B231" s="1278"/>
      <c r="C231" s="1111" t="s">
        <v>6135</v>
      </c>
      <c r="D231" s="1280" t="s">
        <v>6126</v>
      </c>
      <c r="E231" s="1131"/>
      <c r="F231" s="1131"/>
      <c r="G231" s="1117"/>
      <c r="H231" s="1117"/>
      <c r="I231" s="1158"/>
      <c r="J231" s="1184"/>
      <c r="K231" s="1160"/>
      <c r="L231" s="1160"/>
      <c r="M231" s="1160"/>
      <c r="N231" s="1117"/>
      <c r="O231" s="1117"/>
      <c r="P231" s="1117"/>
      <c r="Q231" s="1117"/>
      <c r="R231" s="1131"/>
    </row>
    <row r="232" spans="2:18" ht="16.5">
      <c r="B232" s="1278"/>
      <c r="C232" s="1111" t="s">
        <v>6143</v>
      </c>
      <c r="D232" s="1280" t="s">
        <v>6136</v>
      </c>
      <c r="E232" s="1131"/>
      <c r="F232" s="1131"/>
      <c r="G232" s="1117"/>
      <c r="H232" s="1117"/>
      <c r="I232" s="1158"/>
      <c r="J232" s="1184"/>
      <c r="K232" s="1160"/>
      <c r="L232" s="1160"/>
      <c r="M232" s="1160"/>
      <c r="N232" s="1117"/>
      <c r="O232" s="1117"/>
      <c r="P232" s="1117"/>
      <c r="Q232" s="1117"/>
      <c r="R232" s="1131"/>
    </row>
    <row r="233" spans="2:18" ht="16.5">
      <c r="B233" s="1278"/>
      <c r="C233" s="1111" t="s">
        <v>6150</v>
      </c>
      <c r="D233" s="1280" t="s">
        <v>6144</v>
      </c>
      <c r="E233" s="1131"/>
      <c r="F233" s="1131"/>
      <c r="G233" s="1117"/>
      <c r="H233" s="1117"/>
      <c r="I233" s="1158"/>
      <c r="J233" s="1184"/>
      <c r="K233" s="1160"/>
      <c r="L233" s="1160"/>
      <c r="M233" s="1160"/>
      <c r="N233" s="1117"/>
      <c r="O233" s="1117"/>
      <c r="P233" s="1117"/>
      <c r="Q233" s="1117"/>
      <c r="R233" s="1131"/>
    </row>
    <row r="234" spans="2:18" ht="16.5">
      <c r="B234" s="1278"/>
      <c r="C234" s="1111" t="s">
        <v>6165</v>
      </c>
      <c r="D234" s="1280" t="s">
        <v>6151</v>
      </c>
      <c r="E234" s="1131"/>
      <c r="F234" s="1131"/>
      <c r="G234" s="1117"/>
      <c r="H234" s="1117"/>
      <c r="I234" s="1158"/>
      <c r="J234" s="1184"/>
      <c r="K234" s="1160"/>
      <c r="L234" s="1160"/>
      <c r="M234" s="1160"/>
      <c r="N234" s="1117"/>
      <c r="O234" s="1117"/>
      <c r="P234" s="1117"/>
      <c r="Q234" s="1117"/>
      <c r="R234" s="1131"/>
    </row>
    <row r="235" spans="2:18" ht="16.5">
      <c r="B235" s="1278"/>
      <c r="C235" s="1111" t="s">
        <v>6172</v>
      </c>
      <c r="D235" s="1280" t="s">
        <v>6166</v>
      </c>
      <c r="E235" s="1131"/>
      <c r="F235" s="1131"/>
      <c r="G235" s="1117"/>
      <c r="H235" s="1117"/>
      <c r="I235" s="1158"/>
      <c r="J235" s="1184"/>
      <c r="K235" s="1160"/>
      <c r="L235" s="1160"/>
      <c r="M235" s="1160"/>
      <c r="N235" s="1117"/>
      <c r="O235" s="1117"/>
      <c r="P235" s="1117"/>
      <c r="Q235" s="1117"/>
      <c r="R235" s="1131"/>
    </row>
    <row r="236" spans="2:18" ht="16.5">
      <c r="B236" s="1278"/>
      <c r="C236" s="1111" t="s">
        <v>6186</v>
      </c>
      <c r="D236" s="1280" t="s">
        <v>6173</v>
      </c>
      <c r="E236" s="1131"/>
      <c r="F236" s="1131"/>
      <c r="G236" s="1117"/>
      <c r="H236" s="1117"/>
      <c r="I236" s="1158"/>
      <c r="J236" s="1184"/>
      <c r="K236" s="1160"/>
      <c r="L236" s="1160"/>
      <c r="M236" s="1160"/>
      <c r="N236" s="1117"/>
      <c r="O236" s="1117"/>
      <c r="P236" s="1117"/>
      <c r="Q236" s="1117"/>
      <c r="R236" s="1131"/>
    </row>
    <row r="237" spans="2:18" ht="16.5">
      <c r="B237" s="1278"/>
      <c r="C237" s="1111" t="s">
        <v>6193</v>
      </c>
      <c r="D237" s="1280" t="s">
        <v>6118</v>
      </c>
      <c r="E237" s="1131"/>
      <c r="F237" s="1131"/>
      <c r="G237" s="1117"/>
      <c r="H237" s="1117"/>
      <c r="I237" s="1158"/>
      <c r="J237" s="1184"/>
      <c r="K237" s="1160"/>
      <c r="L237" s="1160"/>
      <c r="M237" s="1160"/>
      <c r="N237" s="1117"/>
      <c r="O237" s="1117"/>
      <c r="P237" s="1117"/>
      <c r="Q237" s="1117"/>
      <c r="R237" s="1131"/>
    </row>
    <row r="238" spans="2:18" ht="16.5">
      <c r="B238" s="1278"/>
      <c r="C238" s="1111" t="s">
        <v>6195</v>
      </c>
      <c r="D238" s="1280" t="s">
        <v>6126</v>
      </c>
      <c r="E238" s="1131"/>
      <c r="F238" s="1131"/>
      <c r="G238" s="1117"/>
      <c r="H238" s="1117"/>
      <c r="I238" s="1158"/>
      <c r="J238" s="1184"/>
      <c r="K238" s="1160"/>
      <c r="L238" s="1160"/>
      <c r="M238" s="1160"/>
      <c r="N238" s="1117"/>
      <c r="O238" s="1117"/>
      <c r="P238" s="1117"/>
      <c r="Q238" s="1117"/>
      <c r="R238" s="1131"/>
    </row>
    <row r="239" spans="2:18" ht="16.5">
      <c r="B239" s="1278"/>
      <c r="C239" s="1111" t="s">
        <v>6202</v>
      </c>
      <c r="D239" s="1280" t="s">
        <v>6136</v>
      </c>
      <c r="E239" s="1131"/>
      <c r="F239" s="1131"/>
      <c r="G239" s="1117"/>
      <c r="H239" s="1117"/>
      <c r="I239" s="1158"/>
      <c r="J239" s="1184"/>
      <c r="K239" s="1160"/>
      <c r="L239" s="1160"/>
      <c r="M239" s="1160"/>
      <c r="N239" s="1117"/>
      <c r="O239" s="1117"/>
      <c r="P239" s="1117"/>
      <c r="Q239" s="1117"/>
      <c r="R239" s="1131"/>
    </row>
    <row r="240" spans="2:18" ht="16.5">
      <c r="B240" s="1278"/>
      <c r="C240" s="1111" t="s">
        <v>6208</v>
      </c>
      <c r="D240" s="1280" t="s">
        <v>6144</v>
      </c>
      <c r="E240" s="1131"/>
      <c r="F240" s="1131"/>
      <c r="G240" s="1117"/>
      <c r="H240" s="1117"/>
      <c r="I240" s="1158"/>
      <c r="J240" s="1184"/>
      <c r="K240" s="1160"/>
      <c r="L240" s="1160"/>
      <c r="M240" s="1160"/>
      <c r="N240" s="1117"/>
      <c r="O240" s="1117"/>
      <c r="P240" s="1117"/>
      <c r="Q240" s="1117"/>
      <c r="R240" s="1131"/>
    </row>
    <row r="241" spans="2:18" ht="16.5">
      <c r="B241" s="1278"/>
      <c r="C241" s="1111" t="s">
        <v>6218</v>
      </c>
      <c r="D241" s="1280" t="s">
        <v>6151</v>
      </c>
      <c r="E241" s="1131"/>
      <c r="F241" s="1131"/>
      <c r="G241" s="1117"/>
      <c r="H241" s="1117"/>
      <c r="I241" s="1158"/>
      <c r="J241" s="1184"/>
      <c r="K241" s="1160"/>
      <c r="L241" s="1160"/>
      <c r="M241" s="1160"/>
      <c r="N241" s="1117"/>
      <c r="O241" s="1117"/>
      <c r="P241" s="1117"/>
      <c r="Q241" s="1117"/>
      <c r="R241" s="1131"/>
    </row>
    <row r="242" spans="2:18" ht="16.5">
      <c r="B242" s="1278"/>
      <c r="C242" s="1111" t="s">
        <v>6224</v>
      </c>
      <c r="D242" s="1280" t="s">
        <v>6166</v>
      </c>
      <c r="E242" s="1131"/>
      <c r="F242" s="1131"/>
      <c r="G242" s="1117"/>
      <c r="H242" s="1117"/>
      <c r="I242" s="1158"/>
      <c r="J242" s="1184"/>
      <c r="K242" s="1160"/>
      <c r="L242" s="1160"/>
      <c r="M242" s="1160"/>
      <c r="N242" s="1117"/>
      <c r="O242" s="1117"/>
      <c r="P242" s="1117"/>
      <c r="Q242" s="1117"/>
      <c r="R242" s="1131"/>
    </row>
    <row r="243" spans="2:18" ht="16.5">
      <c r="B243" s="1278"/>
      <c r="C243" s="1111" t="s">
        <v>6233</v>
      </c>
      <c r="D243" s="1280" t="s">
        <v>6173</v>
      </c>
      <c r="E243" s="1131"/>
      <c r="F243" s="1131"/>
      <c r="G243" s="1117"/>
      <c r="H243" s="1117"/>
      <c r="I243" s="1158"/>
      <c r="J243" s="1184"/>
      <c r="K243" s="1160"/>
      <c r="L243" s="1160"/>
      <c r="M243" s="1160"/>
      <c r="N243" s="1117"/>
      <c r="O243" s="1117"/>
      <c r="P243" s="1117"/>
      <c r="Q243" s="1117"/>
      <c r="R243" s="1131"/>
    </row>
    <row r="244" spans="2:18" ht="16.5">
      <c r="B244" s="1278"/>
      <c r="C244" s="1111" t="s">
        <v>6243</v>
      </c>
      <c r="D244" s="1280" t="s">
        <v>6118</v>
      </c>
      <c r="E244" s="1131"/>
      <c r="F244" s="1131"/>
      <c r="G244" s="1117"/>
      <c r="H244" s="1117"/>
      <c r="I244" s="1158"/>
      <c r="J244" s="1184"/>
      <c r="K244" s="1160"/>
      <c r="L244" s="1160"/>
      <c r="M244" s="1160"/>
      <c r="N244" s="1117"/>
      <c r="O244" s="1117"/>
      <c r="P244" s="1117"/>
      <c r="Q244" s="1117"/>
      <c r="R244" s="1131"/>
    </row>
    <row r="245" spans="2:18" ht="16.5">
      <c r="B245" s="1278"/>
      <c r="C245" s="1111" t="s">
        <v>6246</v>
      </c>
      <c r="D245" s="1280" t="s">
        <v>6126</v>
      </c>
      <c r="E245" s="1131"/>
      <c r="F245" s="1131"/>
      <c r="G245" s="1117"/>
      <c r="H245" s="1117"/>
      <c r="I245" s="1158"/>
      <c r="J245" s="1184"/>
      <c r="K245" s="1160"/>
      <c r="L245" s="1160"/>
      <c r="M245" s="1160"/>
      <c r="N245" s="1117"/>
      <c r="O245" s="1117"/>
      <c r="P245" s="1117"/>
      <c r="Q245" s="1117"/>
      <c r="R245" s="1131"/>
    </row>
    <row r="246" spans="2:18" ht="16.5">
      <c r="B246" s="1278"/>
      <c r="C246" s="1111" t="s">
        <v>6251</v>
      </c>
      <c r="D246" s="1280" t="s">
        <v>6136</v>
      </c>
      <c r="E246" s="1131"/>
      <c r="F246" s="1131"/>
      <c r="G246" s="1117"/>
      <c r="H246" s="1117"/>
      <c r="I246" s="1158"/>
      <c r="J246" s="1184"/>
      <c r="K246" s="1160"/>
      <c r="L246" s="1160"/>
      <c r="M246" s="1160"/>
      <c r="N246" s="1117"/>
      <c r="O246" s="1117"/>
      <c r="P246" s="1117"/>
      <c r="Q246" s="1117"/>
      <c r="R246" s="1131"/>
    </row>
    <row r="247" spans="2:18" ht="16.5">
      <c r="B247" s="1278"/>
      <c r="C247" s="1111" t="s">
        <v>6257</v>
      </c>
      <c r="D247" s="1280" t="s">
        <v>6144</v>
      </c>
      <c r="E247" s="1131"/>
      <c r="F247" s="1131"/>
      <c r="G247" s="1117"/>
      <c r="H247" s="1117"/>
      <c r="I247" s="1158"/>
      <c r="J247" s="1184"/>
      <c r="K247" s="1160"/>
      <c r="L247" s="1160"/>
      <c r="M247" s="1160"/>
      <c r="N247" s="1117"/>
      <c r="O247" s="1117"/>
      <c r="P247" s="1117"/>
      <c r="Q247" s="1117"/>
      <c r="R247" s="1131"/>
    </row>
    <row r="248" spans="2:18" ht="16.5">
      <c r="B248" s="1278"/>
      <c r="C248" s="1111" t="s">
        <v>6263</v>
      </c>
      <c r="D248" s="1280" t="s">
        <v>6151</v>
      </c>
      <c r="E248" s="1131"/>
      <c r="F248" s="1131"/>
      <c r="G248" s="1117"/>
      <c r="H248" s="1117"/>
      <c r="I248" s="1158"/>
      <c r="J248" s="1184"/>
      <c r="K248" s="1160"/>
      <c r="L248" s="1160"/>
      <c r="M248" s="1160"/>
      <c r="N248" s="1117"/>
      <c r="O248" s="1117"/>
      <c r="P248" s="1117"/>
      <c r="Q248" s="1117"/>
      <c r="R248" s="1131"/>
    </row>
    <row r="249" spans="2:18" ht="16.5">
      <c r="B249" s="1278"/>
      <c r="C249" s="1111" t="s">
        <v>6269</v>
      </c>
      <c r="D249" s="1280" t="s">
        <v>6166</v>
      </c>
      <c r="E249" s="1131"/>
      <c r="F249" s="1131"/>
      <c r="G249" s="1117"/>
      <c r="H249" s="1117"/>
      <c r="I249" s="1158"/>
      <c r="J249" s="1184"/>
      <c r="K249" s="1160"/>
      <c r="L249" s="1160"/>
      <c r="M249" s="1160"/>
      <c r="N249" s="1117"/>
      <c r="O249" s="1117"/>
      <c r="P249" s="1117"/>
      <c r="Q249" s="1117"/>
      <c r="R249" s="1131"/>
    </row>
    <row r="250" spans="2:18" ht="16.5">
      <c r="B250" s="1278"/>
      <c r="C250" s="1111" t="s">
        <v>6275</v>
      </c>
      <c r="D250" s="1280" t="s">
        <v>6173</v>
      </c>
      <c r="E250" s="1131"/>
      <c r="F250" s="1131"/>
      <c r="G250" s="1117"/>
      <c r="H250" s="1117"/>
      <c r="I250" s="1158"/>
      <c r="J250" s="1184"/>
      <c r="K250" s="1160"/>
      <c r="L250" s="1160"/>
      <c r="M250" s="1160"/>
      <c r="N250" s="1117"/>
      <c r="O250" s="1117"/>
      <c r="P250" s="1117"/>
      <c r="Q250" s="1117"/>
      <c r="R250" s="1131"/>
    </row>
    <row r="251" spans="2:18" ht="16.5">
      <c r="B251" s="1278"/>
      <c r="C251" s="1111" t="s">
        <v>6281</v>
      </c>
      <c r="D251" s="1280" t="s">
        <v>6118</v>
      </c>
      <c r="E251" s="1131"/>
      <c r="F251" s="1131"/>
      <c r="G251" s="1117"/>
      <c r="H251" s="1117"/>
      <c r="I251" s="1158"/>
      <c r="J251" s="1184"/>
      <c r="K251" s="1160"/>
      <c r="L251" s="1160"/>
      <c r="M251" s="1160"/>
      <c r="N251" s="1117"/>
      <c r="O251" s="1117"/>
      <c r="P251" s="1117"/>
      <c r="Q251" s="1117"/>
      <c r="R251" s="1131"/>
    </row>
    <row r="252" spans="2:18" ht="16.5">
      <c r="B252" s="1278"/>
      <c r="C252" s="1111" t="s">
        <v>6282</v>
      </c>
      <c r="D252" s="1280" t="s">
        <v>6126</v>
      </c>
      <c r="E252" s="1131"/>
      <c r="F252" s="1131"/>
      <c r="G252" s="1117"/>
      <c r="H252" s="1117"/>
      <c r="I252" s="1158"/>
      <c r="J252" s="1184"/>
      <c r="K252" s="1160"/>
      <c r="L252" s="1160"/>
      <c r="M252" s="1160"/>
      <c r="N252" s="1117"/>
      <c r="O252" s="1117"/>
      <c r="P252" s="1117"/>
      <c r="Q252" s="1117"/>
      <c r="R252" s="1131"/>
    </row>
    <row r="253" spans="2:18" ht="16.5">
      <c r="B253" s="1278"/>
      <c r="C253" s="1111" t="s">
        <v>6460</v>
      </c>
      <c r="D253" s="1280" t="s">
        <v>6136</v>
      </c>
      <c r="E253" s="1131"/>
      <c r="F253" s="1131"/>
      <c r="G253" s="1117"/>
      <c r="H253" s="1117"/>
      <c r="I253" s="1158"/>
      <c r="J253" s="1184"/>
      <c r="K253" s="1160"/>
      <c r="L253" s="1160"/>
      <c r="M253" s="1160"/>
      <c r="N253" s="1117"/>
      <c r="O253" s="1117"/>
      <c r="P253" s="1117"/>
      <c r="Q253" s="1117"/>
      <c r="R253" s="1131"/>
    </row>
    <row r="254" spans="2:18" ht="16.5">
      <c r="B254" s="1278"/>
      <c r="C254" s="1111" t="s">
        <v>6290</v>
      </c>
      <c r="D254" s="1280" t="s">
        <v>6144</v>
      </c>
      <c r="E254" s="1131"/>
      <c r="F254" s="1131"/>
      <c r="G254" s="1117"/>
      <c r="H254" s="1117"/>
      <c r="I254" s="1158"/>
      <c r="J254" s="1184"/>
      <c r="K254" s="1160"/>
      <c r="L254" s="1160"/>
      <c r="M254" s="1160"/>
      <c r="N254" s="1117"/>
      <c r="O254" s="1117"/>
      <c r="P254" s="1117"/>
      <c r="Q254" s="1117"/>
      <c r="R254" s="1131"/>
    </row>
    <row r="255" spans="2:18" ht="16.5">
      <c r="B255" s="1278"/>
      <c r="C255" s="1111" t="s">
        <v>6291</v>
      </c>
      <c r="D255" s="1280" t="s">
        <v>6151</v>
      </c>
      <c r="E255" s="1131"/>
      <c r="F255" s="1131"/>
      <c r="G255" s="1117"/>
      <c r="H255" s="1117"/>
      <c r="I255" s="1158"/>
      <c r="J255" s="1184"/>
      <c r="K255" s="1160"/>
      <c r="L255" s="1160"/>
      <c r="M255" s="1160"/>
      <c r="N255" s="1117"/>
      <c r="O255" s="1117"/>
      <c r="P255" s="1117"/>
      <c r="Q255" s="1117"/>
      <c r="R255" s="1131"/>
    </row>
    <row r="256" spans="2:18" ht="16.5">
      <c r="B256" s="1278"/>
      <c r="C256" s="1111" t="s">
        <v>6297</v>
      </c>
      <c r="D256" s="1280" t="s">
        <v>6166</v>
      </c>
      <c r="E256" s="1131"/>
      <c r="F256" s="1131"/>
      <c r="G256" s="1117"/>
      <c r="H256" s="1117"/>
      <c r="I256" s="1158"/>
      <c r="J256" s="1184"/>
      <c r="K256" s="1160"/>
      <c r="L256" s="1160"/>
      <c r="M256" s="1160"/>
      <c r="N256" s="1117"/>
      <c r="O256" s="1117"/>
      <c r="P256" s="1117"/>
      <c r="Q256" s="1117"/>
      <c r="R256" s="1131"/>
    </row>
    <row r="257" spans="2:18" ht="16.5">
      <c r="B257" s="1278"/>
      <c r="C257" s="1111" t="s">
        <v>6303</v>
      </c>
      <c r="D257" s="1280" t="s">
        <v>6173</v>
      </c>
      <c r="E257" s="1131"/>
      <c r="F257" s="1131"/>
      <c r="G257" s="1117"/>
      <c r="H257" s="1117"/>
      <c r="I257" s="1158"/>
      <c r="J257" s="1184"/>
      <c r="K257" s="1160"/>
      <c r="L257" s="1160"/>
      <c r="M257" s="1160"/>
      <c r="N257" s="1117"/>
      <c r="O257" s="1117"/>
      <c r="P257" s="1117"/>
      <c r="Q257" s="1117"/>
      <c r="R257" s="1131"/>
    </row>
    <row r="258" spans="2:18" ht="16.5">
      <c r="B258" s="1274"/>
      <c r="C258" s="1111" t="s">
        <v>6309</v>
      </c>
      <c r="D258" s="1280" t="s">
        <v>6118</v>
      </c>
      <c r="E258" s="1131"/>
      <c r="F258" s="1131"/>
      <c r="G258" s="1117"/>
      <c r="H258" s="1117"/>
      <c r="I258" s="1158"/>
      <c r="J258" s="1184"/>
      <c r="K258" s="1160"/>
      <c r="L258" s="1160"/>
      <c r="M258" s="1160"/>
      <c r="N258" s="1117"/>
      <c r="O258" s="1117"/>
      <c r="P258" s="1117"/>
      <c r="Q258" s="1117"/>
      <c r="R258" s="1118"/>
    </row>
    <row r="259" spans="2:18" ht="16.5">
      <c r="B259" s="1110" t="s">
        <v>6629</v>
      </c>
      <c r="C259" s="1111" t="s">
        <v>6484</v>
      </c>
      <c r="D259" s="1280" t="s">
        <v>6126</v>
      </c>
      <c r="E259" s="1131"/>
      <c r="F259" s="1131"/>
      <c r="G259" s="1117"/>
      <c r="H259" s="1117"/>
      <c r="I259" s="1117"/>
      <c r="J259" s="1117"/>
      <c r="K259" s="1165"/>
      <c r="L259" s="1165"/>
      <c r="M259" s="1165"/>
      <c r="N259" s="1117"/>
      <c r="O259" s="1117"/>
      <c r="P259" s="1117"/>
      <c r="Q259" s="1117"/>
      <c r="R259" s="1131"/>
    </row>
    <row r="260" spans="2:18" ht="16.5">
      <c r="B260" s="1278"/>
      <c r="C260" s="1111" t="s">
        <v>6117</v>
      </c>
      <c r="D260" s="1280" t="s">
        <v>6136</v>
      </c>
      <c r="E260" s="1131"/>
      <c r="F260" s="1131"/>
      <c r="G260" s="1117"/>
      <c r="H260" s="1117"/>
      <c r="I260" s="1158"/>
      <c r="J260" s="1184"/>
      <c r="K260" s="1160"/>
      <c r="L260" s="1160"/>
      <c r="M260" s="1160"/>
      <c r="N260" s="1117"/>
      <c r="O260" s="1117"/>
      <c r="P260" s="1117"/>
      <c r="Q260" s="1117"/>
      <c r="R260" s="1131"/>
    </row>
    <row r="261" spans="2:18" ht="16.5">
      <c r="B261" s="1278"/>
      <c r="C261" s="1111" t="s">
        <v>6125</v>
      </c>
      <c r="D261" s="1280" t="s">
        <v>6144</v>
      </c>
      <c r="E261" s="1131"/>
      <c r="F261" s="1131"/>
      <c r="G261" s="1117"/>
      <c r="H261" s="1117"/>
      <c r="I261" s="1158"/>
      <c r="J261" s="1184"/>
      <c r="K261" s="1160"/>
      <c r="L261" s="1160"/>
      <c r="M261" s="1160"/>
      <c r="N261" s="1117"/>
      <c r="O261" s="1117"/>
      <c r="P261" s="1117"/>
      <c r="Q261" s="1117"/>
      <c r="R261" s="1131"/>
    </row>
    <row r="262" spans="2:18" ht="16.5">
      <c r="B262" s="1278"/>
      <c r="C262" s="1111" t="s">
        <v>6135</v>
      </c>
      <c r="D262" s="1280" t="s">
        <v>6151</v>
      </c>
      <c r="E262" s="1131"/>
      <c r="F262" s="1131"/>
      <c r="G262" s="1117"/>
      <c r="H262" s="1117"/>
      <c r="I262" s="1158"/>
      <c r="J262" s="1184"/>
      <c r="K262" s="1160"/>
      <c r="L262" s="1160"/>
      <c r="M262" s="1160"/>
      <c r="N262" s="1117"/>
      <c r="O262" s="1117"/>
      <c r="P262" s="1117"/>
      <c r="Q262" s="1117"/>
      <c r="R262" s="1131"/>
    </row>
    <row r="263" spans="2:18" ht="16.5">
      <c r="B263" s="1278"/>
      <c r="C263" s="1111" t="s">
        <v>6143</v>
      </c>
      <c r="D263" s="1280" t="s">
        <v>6166</v>
      </c>
      <c r="E263" s="1131"/>
      <c r="F263" s="1131"/>
      <c r="G263" s="1117"/>
      <c r="H263" s="1117"/>
      <c r="I263" s="1158"/>
      <c r="J263" s="1184"/>
      <c r="K263" s="1160"/>
      <c r="L263" s="1160"/>
      <c r="M263" s="1160"/>
      <c r="N263" s="1117"/>
      <c r="O263" s="1117"/>
      <c r="P263" s="1117"/>
      <c r="Q263" s="1117"/>
      <c r="R263" s="1131"/>
    </row>
    <row r="264" spans="2:18" ht="16.5">
      <c r="B264" s="1278"/>
      <c r="C264" s="1111" t="s">
        <v>6150</v>
      </c>
      <c r="D264" s="1280" t="s">
        <v>6173</v>
      </c>
      <c r="E264" s="1131"/>
      <c r="F264" s="1131"/>
      <c r="G264" s="1117"/>
      <c r="H264" s="1117"/>
      <c r="I264" s="1158"/>
      <c r="J264" s="1184"/>
      <c r="K264" s="1160"/>
      <c r="L264" s="1160"/>
      <c r="M264" s="1160"/>
      <c r="N264" s="1117"/>
      <c r="O264" s="1117"/>
      <c r="P264" s="1117"/>
      <c r="Q264" s="1117"/>
      <c r="R264" s="1131"/>
    </row>
    <row r="265" spans="2:18" ht="16.5">
      <c r="B265" s="1278"/>
      <c r="C265" s="1111" t="s">
        <v>6165</v>
      </c>
      <c r="D265" s="1280" t="s">
        <v>6118</v>
      </c>
      <c r="E265" s="1131"/>
      <c r="F265" s="1131"/>
      <c r="G265" s="1117"/>
      <c r="H265" s="1117"/>
      <c r="I265" s="1158"/>
      <c r="J265" s="1184"/>
      <c r="K265" s="1160"/>
      <c r="L265" s="1160"/>
      <c r="M265" s="1160"/>
      <c r="N265" s="1117"/>
      <c r="O265" s="1117"/>
      <c r="P265" s="1117"/>
      <c r="Q265" s="1117"/>
      <c r="R265" s="1131"/>
    </row>
    <row r="266" spans="2:18" ht="16.5">
      <c r="B266" s="1278"/>
      <c r="C266" s="1111" t="s">
        <v>6172</v>
      </c>
      <c r="D266" s="1280" t="s">
        <v>6126</v>
      </c>
      <c r="E266" s="1131"/>
      <c r="F266" s="1131"/>
      <c r="G266" s="1117"/>
      <c r="H266" s="1117"/>
      <c r="I266" s="1158"/>
      <c r="J266" s="1184"/>
      <c r="K266" s="1160"/>
      <c r="L266" s="1160"/>
      <c r="M266" s="1160"/>
      <c r="N266" s="1117"/>
      <c r="O266" s="1117"/>
      <c r="P266" s="1117"/>
      <c r="Q266" s="1117"/>
      <c r="R266" s="1131"/>
    </row>
    <row r="267" spans="2:18" ht="16.5">
      <c r="B267" s="1278"/>
      <c r="C267" s="1111" t="s">
        <v>6186</v>
      </c>
      <c r="D267" s="1280" t="s">
        <v>6136</v>
      </c>
      <c r="E267" s="1131"/>
      <c r="F267" s="1131"/>
      <c r="G267" s="1117"/>
      <c r="H267" s="1117"/>
      <c r="I267" s="1158"/>
      <c r="J267" s="1184"/>
      <c r="K267" s="1160"/>
      <c r="L267" s="1160"/>
      <c r="M267" s="1160"/>
      <c r="N267" s="1117"/>
      <c r="O267" s="1117"/>
      <c r="P267" s="1117"/>
      <c r="Q267" s="1117"/>
      <c r="R267" s="1131"/>
    </row>
    <row r="268" spans="2:18" ht="16.5">
      <c r="B268" s="1278"/>
      <c r="C268" s="1111" t="s">
        <v>6193</v>
      </c>
      <c r="D268" s="1280" t="s">
        <v>6144</v>
      </c>
      <c r="E268" s="1131"/>
      <c r="F268" s="1131"/>
      <c r="G268" s="1117"/>
      <c r="H268" s="1117"/>
      <c r="I268" s="1158"/>
      <c r="J268" s="1184"/>
      <c r="K268" s="1160"/>
      <c r="L268" s="1160"/>
      <c r="M268" s="1160"/>
      <c r="N268" s="1117"/>
      <c r="O268" s="1117"/>
      <c r="P268" s="1117"/>
      <c r="Q268" s="1117"/>
      <c r="R268" s="1131"/>
    </row>
    <row r="269" spans="2:18" ht="16.5">
      <c r="B269" s="1278"/>
      <c r="C269" s="1111" t="s">
        <v>6195</v>
      </c>
      <c r="D269" s="1280" t="s">
        <v>6151</v>
      </c>
      <c r="E269" s="1131"/>
      <c r="F269" s="1131"/>
      <c r="G269" s="1117"/>
      <c r="H269" s="1117"/>
      <c r="I269" s="1158"/>
      <c r="J269" s="1184"/>
      <c r="K269" s="1160"/>
      <c r="L269" s="1160"/>
      <c r="M269" s="1160"/>
      <c r="N269" s="1117"/>
      <c r="O269" s="1117"/>
      <c r="P269" s="1117"/>
      <c r="Q269" s="1117"/>
      <c r="R269" s="1131"/>
    </row>
    <row r="270" spans="2:18" ht="16.5">
      <c r="B270" s="1278"/>
      <c r="C270" s="1111" t="s">
        <v>6202</v>
      </c>
      <c r="D270" s="1280" t="s">
        <v>6166</v>
      </c>
      <c r="E270" s="1131"/>
      <c r="F270" s="1131"/>
      <c r="G270" s="1117"/>
      <c r="H270" s="1117"/>
      <c r="I270" s="1158"/>
      <c r="J270" s="1184"/>
      <c r="K270" s="1160"/>
      <c r="L270" s="1160"/>
      <c r="M270" s="1160"/>
      <c r="N270" s="1117"/>
      <c r="O270" s="1117"/>
      <c r="P270" s="1117"/>
      <c r="Q270" s="1117"/>
      <c r="R270" s="1131"/>
    </row>
    <row r="271" spans="2:18" ht="16.5">
      <c r="B271" s="1278"/>
      <c r="C271" s="1111" t="s">
        <v>6208</v>
      </c>
      <c r="D271" s="1280" t="s">
        <v>6173</v>
      </c>
      <c r="E271" s="1131"/>
      <c r="F271" s="1131"/>
      <c r="G271" s="1117"/>
      <c r="H271" s="1117"/>
      <c r="I271" s="1158"/>
      <c r="J271" s="1184"/>
      <c r="K271" s="1160"/>
      <c r="L271" s="1160"/>
      <c r="M271" s="1160"/>
      <c r="N271" s="1117"/>
      <c r="O271" s="1117"/>
      <c r="P271" s="1117"/>
      <c r="Q271" s="1117"/>
      <c r="R271" s="1131"/>
    </row>
    <row r="272" spans="2:18" ht="16.5">
      <c r="B272" s="1278"/>
      <c r="C272" s="1111" t="s">
        <v>6218</v>
      </c>
      <c r="D272" s="1280" t="s">
        <v>6118</v>
      </c>
      <c r="E272" s="1131"/>
      <c r="F272" s="1131"/>
      <c r="G272" s="1117"/>
      <c r="H272" s="1117"/>
      <c r="I272" s="1158"/>
      <c r="J272" s="1184"/>
      <c r="K272" s="1160"/>
      <c r="L272" s="1160"/>
      <c r="M272" s="1160"/>
      <c r="N272" s="1117"/>
      <c r="O272" s="1117"/>
      <c r="P272" s="1117"/>
      <c r="Q272" s="1117"/>
      <c r="R272" s="1131"/>
    </row>
    <row r="273" spans="2:18" ht="16.5">
      <c r="B273" s="1278"/>
      <c r="C273" s="1111" t="s">
        <v>6224</v>
      </c>
      <c r="D273" s="1280" t="s">
        <v>6126</v>
      </c>
      <c r="E273" s="1131"/>
      <c r="F273" s="1131"/>
      <c r="G273" s="1117"/>
      <c r="H273" s="1117"/>
      <c r="I273" s="1158"/>
      <c r="J273" s="1184"/>
      <c r="K273" s="1160"/>
      <c r="L273" s="1160"/>
      <c r="M273" s="1160"/>
      <c r="N273" s="1117"/>
      <c r="O273" s="1117"/>
      <c r="P273" s="1117"/>
      <c r="Q273" s="1117"/>
      <c r="R273" s="1131"/>
    </row>
    <row r="274" spans="2:18" ht="16.5">
      <c r="B274" s="1278"/>
      <c r="C274" s="1111" t="s">
        <v>6233</v>
      </c>
      <c r="D274" s="1280" t="s">
        <v>6136</v>
      </c>
      <c r="E274" s="1131"/>
      <c r="F274" s="1131"/>
      <c r="G274" s="1117"/>
      <c r="H274" s="1117"/>
      <c r="I274" s="1158"/>
      <c r="J274" s="1184"/>
      <c r="K274" s="1160"/>
      <c r="L274" s="1160"/>
      <c r="M274" s="1160"/>
      <c r="N274" s="1117"/>
      <c r="O274" s="1117"/>
      <c r="P274" s="1117"/>
      <c r="Q274" s="1117"/>
      <c r="R274" s="1131"/>
    </row>
    <row r="275" spans="2:18" ht="16.5">
      <c r="B275" s="1278"/>
      <c r="C275" s="1111" t="s">
        <v>6243</v>
      </c>
      <c r="D275" s="1280" t="s">
        <v>6144</v>
      </c>
      <c r="E275" s="1131"/>
      <c r="F275" s="1131"/>
      <c r="G275" s="1117"/>
      <c r="H275" s="1117"/>
      <c r="I275" s="1158"/>
      <c r="J275" s="1184"/>
      <c r="K275" s="1160"/>
      <c r="L275" s="1160"/>
      <c r="M275" s="1160"/>
      <c r="N275" s="1117"/>
      <c r="O275" s="1117"/>
      <c r="P275" s="1117"/>
      <c r="Q275" s="1117"/>
      <c r="R275" s="1131"/>
    </row>
    <row r="276" spans="2:18" ht="16.5">
      <c r="B276" s="1278"/>
      <c r="C276" s="1111" t="s">
        <v>6246</v>
      </c>
      <c r="D276" s="1280" t="s">
        <v>6151</v>
      </c>
      <c r="E276" s="1131"/>
      <c r="F276" s="1131"/>
      <c r="G276" s="1117"/>
      <c r="H276" s="1117"/>
      <c r="I276" s="1158"/>
      <c r="J276" s="1184"/>
      <c r="K276" s="1160"/>
      <c r="L276" s="1160"/>
      <c r="M276" s="1160"/>
      <c r="N276" s="1117"/>
      <c r="O276" s="1117"/>
      <c r="P276" s="1117"/>
      <c r="Q276" s="1117"/>
      <c r="R276" s="1131"/>
    </row>
    <row r="277" spans="2:18" ht="16.5">
      <c r="B277" s="1278"/>
      <c r="C277" s="1111" t="s">
        <v>6251</v>
      </c>
      <c r="D277" s="1280" t="s">
        <v>6166</v>
      </c>
      <c r="E277" s="1131"/>
      <c r="F277" s="1131"/>
      <c r="G277" s="1117"/>
      <c r="H277" s="1117"/>
      <c r="I277" s="1158"/>
      <c r="J277" s="1184"/>
      <c r="K277" s="1160"/>
      <c r="L277" s="1160"/>
      <c r="M277" s="1160"/>
      <c r="N277" s="1117"/>
      <c r="O277" s="1117"/>
      <c r="P277" s="1117"/>
      <c r="Q277" s="1117"/>
      <c r="R277" s="1131"/>
    </row>
    <row r="278" spans="2:18" ht="16.5">
      <c r="B278" s="1278"/>
      <c r="C278" s="1111" t="s">
        <v>6257</v>
      </c>
      <c r="D278" s="1280" t="s">
        <v>6173</v>
      </c>
      <c r="E278" s="1131"/>
      <c r="F278" s="1131"/>
      <c r="G278" s="1117"/>
      <c r="H278" s="1117"/>
      <c r="I278" s="1158"/>
      <c r="J278" s="1184"/>
      <c r="K278" s="1160"/>
      <c r="L278" s="1160"/>
      <c r="M278" s="1160"/>
      <c r="N278" s="1117"/>
      <c r="O278" s="1117"/>
      <c r="P278" s="1117"/>
      <c r="Q278" s="1117"/>
      <c r="R278" s="1131"/>
    </row>
    <row r="279" spans="2:18" ht="16.5">
      <c r="B279" s="1278"/>
      <c r="C279" s="1111" t="s">
        <v>6263</v>
      </c>
      <c r="D279" s="1280" t="s">
        <v>6118</v>
      </c>
      <c r="E279" s="1131"/>
      <c r="F279" s="1131"/>
      <c r="G279" s="1117"/>
      <c r="H279" s="1117"/>
      <c r="I279" s="1158"/>
      <c r="J279" s="1184"/>
      <c r="K279" s="1160"/>
      <c r="L279" s="1160"/>
      <c r="M279" s="1160"/>
      <c r="N279" s="1117"/>
      <c r="O279" s="1117"/>
      <c r="P279" s="1117"/>
      <c r="Q279" s="1117"/>
      <c r="R279" s="1131"/>
    </row>
    <row r="280" spans="2:18" ht="16.5">
      <c r="B280" s="1278"/>
      <c r="C280" s="1111" t="s">
        <v>6269</v>
      </c>
      <c r="D280" s="1280" t="s">
        <v>6126</v>
      </c>
      <c r="E280" s="1131"/>
      <c r="F280" s="1131"/>
      <c r="G280" s="1117"/>
      <c r="H280" s="1117"/>
      <c r="I280" s="1158"/>
      <c r="J280" s="1184"/>
      <c r="K280" s="1160"/>
      <c r="L280" s="1160"/>
      <c r="M280" s="1160"/>
      <c r="N280" s="1117"/>
      <c r="O280" s="1117"/>
      <c r="P280" s="1117"/>
      <c r="Q280" s="1117"/>
      <c r="R280" s="1131"/>
    </row>
    <row r="281" spans="2:18" ht="16.5">
      <c r="B281" s="1278"/>
      <c r="C281" s="1111" t="s">
        <v>6275</v>
      </c>
      <c r="D281" s="1280" t="s">
        <v>6136</v>
      </c>
      <c r="E281" s="1131"/>
      <c r="F281" s="1131"/>
      <c r="G281" s="1117"/>
      <c r="H281" s="1117"/>
      <c r="I281" s="1158"/>
      <c r="J281" s="1184"/>
      <c r="K281" s="1160"/>
      <c r="L281" s="1160"/>
      <c r="M281" s="1160"/>
      <c r="N281" s="1117"/>
      <c r="O281" s="1117"/>
      <c r="P281" s="1117"/>
      <c r="Q281" s="1117"/>
      <c r="R281" s="1131"/>
    </row>
    <row r="282" spans="2:18" ht="16.5">
      <c r="B282" s="1278"/>
      <c r="C282" s="1111" t="s">
        <v>6281</v>
      </c>
      <c r="D282" s="1280" t="s">
        <v>6144</v>
      </c>
      <c r="E282" s="1131"/>
      <c r="F282" s="1131"/>
      <c r="G282" s="1117"/>
      <c r="H282" s="1117"/>
      <c r="I282" s="1158"/>
      <c r="J282" s="1184"/>
      <c r="K282" s="1160"/>
      <c r="L282" s="1160"/>
      <c r="M282" s="1160"/>
      <c r="N282" s="1117"/>
      <c r="O282" s="1117"/>
      <c r="P282" s="1117"/>
      <c r="Q282" s="1117"/>
      <c r="R282" s="1131"/>
    </row>
    <row r="283" spans="2:18" ht="16.5">
      <c r="B283" s="1278"/>
      <c r="C283" s="1111" t="s">
        <v>6282</v>
      </c>
      <c r="D283" s="1280" t="s">
        <v>6151</v>
      </c>
      <c r="E283" s="1131"/>
      <c r="F283" s="1131"/>
      <c r="G283" s="1117"/>
      <c r="H283" s="1117"/>
      <c r="I283" s="1158"/>
      <c r="J283" s="1184"/>
      <c r="K283" s="1160"/>
      <c r="L283" s="1160"/>
      <c r="M283" s="1160"/>
      <c r="N283" s="1117"/>
      <c r="O283" s="1117"/>
      <c r="P283" s="1117"/>
      <c r="Q283" s="1117"/>
      <c r="R283" s="1131"/>
    </row>
    <row r="284" spans="2:18" ht="16.5">
      <c r="B284" s="1278"/>
      <c r="C284" s="1111" t="s">
        <v>6460</v>
      </c>
      <c r="D284" s="1280" t="s">
        <v>6166</v>
      </c>
      <c r="E284" s="1131"/>
      <c r="F284" s="1131"/>
      <c r="G284" s="1117"/>
      <c r="H284" s="1117"/>
      <c r="I284" s="1158"/>
      <c r="J284" s="1184"/>
      <c r="K284" s="1160"/>
      <c r="L284" s="1160"/>
      <c r="M284" s="1160"/>
      <c r="N284" s="1117"/>
      <c r="O284" s="1117"/>
      <c r="P284" s="1117"/>
      <c r="Q284" s="1117"/>
      <c r="R284" s="1131"/>
    </row>
    <row r="285" spans="2:18" ht="16.5">
      <c r="B285" s="1278"/>
      <c r="C285" s="1111" t="s">
        <v>6290</v>
      </c>
      <c r="D285" s="1280" t="s">
        <v>6173</v>
      </c>
      <c r="E285" s="1131"/>
      <c r="F285" s="1131"/>
      <c r="G285" s="1117"/>
      <c r="H285" s="1117"/>
      <c r="I285" s="1158"/>
      <c r="J285" s="1184"/>
      <c r="K285" s="1160"/>
      <c r="L285" s="1160"/>
      <c r="M285" s="1160"/>
      <c r="N285" s="1117"/>
      <c r="O285" s="1117"/>
      <c r="P285" s="1117"/>
      <c r="Q285" s="1117"/>
      <c r="R285" s="1131"/>
    </row>
    <row r="286" spans="2:18" ht="16.5">
      <c r="B286" s="1278"/>
      <c r="C286" s="1111" t="s">
        <v>6291</v>
      </c>
      <c r="D286" s="1280" t="s">
        <v>6118</v>
      </c>
      <c r="E286" s="1131"/>
      <c r="F286" s="1131"/>
      <c r="G286" s="1117"/>
      <c r="H286" s="1117"/>
      <c r="I286" s="1158"/>
      <c r="J286" s="1184"/>
      <c r="K286" s="1160"/>
      <c r="L286" s="1160"/>
      <c r="M286" s="1160"/>
      <c r="N286" s="1117"/>
      <c r="O286" s="1117"/>
      <c r="P286" s="1117"/>
      <c r="Q286" s="1117"/>
      <c r="R286" s="1131"/>
    </row>
    <row r="287" spans="2:18" ht="16.5">
      <c r="B287" s="1278"/>
      <c r="C287" s="1111" t="s">
        <v>6297</v>
      </c>
      <c r="D287" s="1280" t="s">
        <v>6126</v>
      </c>
      <c r="E287" s="1131"/>
      <c r="F287" s="1131"/>
      <c r="G287" s="1117"/>
      <c r="H287" s="1117"/>
      <c r="I287" s="1158"/>
      <c r="J287" s="1184"/>
      <c r="K287" s="1160"/>
      <c r="L287" s="1160"/>
      <c r="M287" s="1160"/>
      <c r="N287" s="1117"/>
      <c r="O287" s="1117"/>
      <c r="P287" s="1117"/>
      <c r="Q287" s="1117"/>
      <c r="R287" s="1131"/>
    </row>
    <row r="288" spans="2:18" ht="16.5">
      <c r="B288" s="1278"/>
      <c r="C288" s="1111" t="s">
        <v>6303</v>
      </c>
      <c r="D288" s="1280" t="s">
        <v>6136</v>
      </c>
      <c r="E288" s="1131"/>
      <c r="F288" s="1131"/>
      <c r="G288" s="1117"/>
      <c r="H288" s="1117"/>
      <c r="I288" s="1158"/>
      <c r="J288" s="1184"/>
      <c r="K288" s="1160"/>
      <c r="L288" s="1160"/>
      <c r="M288" s="1160"/>
      <c r="N288" s="1117"/>
      <c r="O288" s="1117"/>
      <c r="P288" s="1117"/>
      <c r="Q288" s="1117"/>
      <c r="R288" s="1131"/>
    </row>
    <row r="289" spans="2:18" ht="16.5">
      <c r="B289" s="1274"/>
      <c r="C289" s="1111" t="s">
        <v>6309</v>
      </c>
      <c r="D289" s="1280" t="s">
        <v>6144</v>
      </c>
      <c r="E289" s="1131"/>
      <c r="F289" s="1131"/>
      <c r="G289" s="1117"/>
      <c r="H289" s="1117"/>
      <c r="I289" s="1158"/>
      <c r="J289" s="1184"/>
      <c r="K289" s="1160"/>
      <c r="L289" s="1160"/>
      <c r="M289" s="1160"/>
      <c r="N289" s="1117"/>
      <c r="O289" s="1117"/>
      <c r="P289" s="1117"/>
      <c r="Q289" s="1117"/>
      <c r="R289" s="1118"/>
    </row>
    <row r="290" spans="2:18" ht="16.5">
      <c r="B290" s="1110" t="s">
        <v>6630</v>
      </c>
      <c r="C290" s="1111" t="s">
        <v>6484</v>
      </c>
      <c r="D290" s="1280" t="s">
        <v>6151</v>
      </c>
      <c r="E290" s="1131"/>
      <c r="F290" s="1131"/>
      <c r="G290" s="1117"/>
      <c r="H290" s="1117"/>
      <c r="I290" s="1117"/>
      <c r="J290" s="1117"/>
      <c r="K290" s="1165"/>
      <c r="L290" s="1165"/>
      <c r="M290" s="1165"/>
      <c r="N290" s="1117"/>
      <c r="O290" s="1117"/>
      <c r="P290" s="1117"/>
      <c r="Q290" s="1117"/>
      <c r="R290" s="1131"/>
    </row>
    <row r="291" spans="2:18" ht="16.5">
      <c r="B291" s="1278"/>
      <c r="C291" s="1111" t="s">
        <v>6117</v>
      </c>
      <c r="D291" s="1280" t="s">
        <v>6166</v>
      </c>
      <c r="E291" s="1131"/>
      <c r="F291" s="1131"/>
      <c r="G291" s="1117"/>
      <c r="H291" s="1117"/>
      <c r="I291" s="1158"/>
      <c r="J291" s="1184"/>
      <c r="K291" s="1160"/>
      <c r="L291" s="1160"/>
      <c r="M291" s="1160"/>
      <c r="N291" s="1117"/>
      <c r="O291" s="1117"/>
      <c r="P291" s="1117"/>
      <c r="Q291" s="1117"/>
      <c r="R291" s="1131"/>
    </row>
    <row r="292" spans="2:18" ht="16.5">
      <c r="B292" s="1278"/>
      <c r="C292" s="1111" t="s">
        <v>6125</v>
      </c>
      <c r="D292" s="1280" t="s">
        <v>6173</v>
      </c>
      <c r="E292" s="1131"/>
      <c r="F292" s="1131"/>
      <c r="G292" s="1117"/>
      <c r="H292" s="1117"/>
      <c r="I292" s="1158"/>
      <c r="J292" s="1184"/>
      <c r="K292" s="1160"/>
      <c r="L292" s="1160"/>
      <c r="M292" s="1160"/>
      <c r="N292" s="1117"/>
      <c r="O292" s="1117"/>
      <c r="P292" s="1117"/>
      <c r="Q292" s="1117"/>
      <c r="R292" s="1131"/>
    </row>
    <row r="293" spans="2:18" ht="16.5">
      <c r="B293" s="1278"/>
      <c r="C293" s="1111" t="s">
        <v>6135</v>
      </c>
      <c r="D293" s="1280" t="s">
        <v>6118</v>
      </c>
      <c r="E293" s="1131"/>
      <c r="F293" s="1131"/>
      <c r="G293" s="1117"/>
      <c r="H293" s="1117"/>
      <c r="I293" s="1158"/>
      <c r="J293" s="1184"/>
      <c r="K293" s="1160"/>
      <c r="L293" s="1160"/>
      <c r="M293" s="1160"/>
      <c r="N293" s="1117"/>
      <c r="O293" s="1117"/>
      <c r="P293" s="1117"/>
      <c r="Q293" s="1117"/>
      <c r="R293" s="1131"/>
    </row>
    <row r="294" spans="2:18" ht="16.5">
      <c r="B294" s="1278"/>
      <c r="C294" s="1111" t="s">
        <v>6143</v>
      </c>
      <c r="D294" s="1280" t="s">
        <v>6126</v>
      </c>
      <c r="E294" s="1131"/>
      <c r="F294" s="1131"/>
      <c r="G294" s="1117"/>
      <c r="H294" s="1117"/>
      <c r="I294" s="1158"/>
      <c r="J294" s="1184"/>
      <c r="K294" s="1160"/>
      <c r="L294" s="1160"/>
      <c r="M294" s="1160"/>
      <c r="N294" s="1117"/>
      <c r="O294" s="1117"/>
      <c r="P294" s="1117"/>
      <c r="Q294" s="1117"/>
      <c r="R294" s="1131"/>
    </row>
    <row r="295" spans="2:18" ht="16.5">
      <c r="B295" s="1278"/>
      <c r="C295" s="1111" t="s">
        <v>6150</v>
      </c>
      <c r="D295" s="1280" t="s">
        <v>6136</v>
      </c>
      <c r="E295" s="1131"/>
      <c r="F295" s="1131"/>
      <c r="G295" s="1117"/>
      <c r="H295" s="1117"/>
      <c r="I295" s="1158"/>
      <c r="J295" s="1184"/>
      <c r="K295" s="1160"/>
      <c r="L295" s="1160"/>
      <c r="M295" s="1160"/>
      <c r="N295" s="1117"/>
      <c r="O295" s="1117"/>
      <c r="P295" s="1117"/>
      <c r="Q295" s="1117"/>
      <c r="R295" s="1131"/>
    </row>
    <row r="296" spans="2:18" ht="16.5">
      <c r="B296" s="1278"/>
      <c r="C296" s="1111" t="s">
        <v>6165</v>
      </c>
      <c r="D296" s="1280" t="s">
        <v>6144</v>
      </c>
      <c r="E296" s="1131"/>
      <c r="F296" s="1131"/>
      <c r="G296" s="1117"/>
      <c r="H296" s="1117"/>
      <c r="I296" s="1158"/>
      <c r="J296" s="1184"/>
      <c r="K296" s="1160"/>
      <c r="L296" s="1160"/>
      <c r="M296" s="1160"/>
      <c r="N296" s="1117"/>
      <c r="O296" s="1117"/>
      <c r="P296" s="1117"/>
      <c r="Q296" s="1117"/>
      <c r="R296" s="1131"/>
    </row>
    <row r="297" spans="2:18" ht="16.5">
      <c r="B297" s="1278"/>
      <c r="C297" s="1111" t="s">
        <v>6172</v>
      </c>
      <c r="D297" s="1280" t="s">
        <v>6151</v>
      </c>
      <c r="E297" s="1131"/>
      <c r="F297" s="1131"/>
      <c r="G297" s="1117"/>
      <c r="H297" s="1117"/>
      <c r="I297" s="1158"/>
      <c r="J297" s="1184"/>
      <c r="K297" s="1160"/>
      <c r="L297" s="1160"/>
      <c r="M297" s="1160"/>
      <c r="N297" s="1117"/>
      <c r="O297" s="1117"/>
      <c r="P297" s="1117"/>
      <c r="Q297" s="1117"/>
      <c r="R297" s="1131"/>
    </row>
    <row r="298" spans="2:18" ht="16.5">
      <c r="B298" s="1278"/>
      <c r="C298" s="1111" t="s">
        <v>6186</v>
      </c>
      <c r="D298" s="1280" t="s">
        <v>6166</v>
      </c>
      <c r="E298" s="1131"/>
      <c r="F298" s="1131"/>
      <c r="G298" s="1117"/>
      <c r="H298" s="1117"/>
      <c r="I298" s="1158"/>
      <c r="J298" s="1184"/>
      <c r="K298" s="1160"/>
      <c r="L298" s="1160"/>
      <c r="M298" s="1160"/>
      <c r="N298" s="1117"/>
      <c r="O298" s="1117"/>
      <c r="P298" s="1117"/>
      <c r="Q298" s="1117"/>
      <c r="R298" s="1131"/>
    </row>
    <row r="299" spans="2:18" ht="16.5">
      <c r="B299" s="1278"/>
      <c r="C299" s="1111" t="s">
        <v>6193</v>
      </c>
      <c r="D299" s="1280" t="s">
        <v>6173</v>
      </c>
      <c r="E299" s="1131"/>
      <c r="F299" s="1131"/>
      <c r="G299" s="1117"/>
      <c r="H299" s="1117"/>
      <c r="I299" s="1158"/>
      <c r="J299" s="1184"/>
      <c r="K299" s="1160"/>
      <c r="L299" s="1160"/>
      <c r="M299" s="1160"/>
      <c r="N299" s="1117"/>
      <c r="O299" s="1117"/>
      <c r="P299" s="1117"/>
      <c r="Q299" s="1117"/>
      <c r="R299" s="1131"/>
    </row>
    <row r="300" spans="2:18" ht="16.5">
      <c r="B300" s="1278"/>
      <c r="C300" s="1111" t="s">
        <v>6195</v>
      </c>
      <c r="D300" s="1280" t="s">
        <v>6118</v>
      </c>
      <c r="E300" s="1131"/>
      <c r="F300" s="1131"/>
      <c r="G300" s="1117"/>
      <c r="H300" s="1117"/>
      <c r="I300" s="1158"/>
      <c r="J300" s="1184"/>
      <c r="K300" s="1160"/>
      <c r="L300" s="1160"/>
      <c r="M300" s="1160"/>
      <c r="N300" s="1117"/>
      <c r="O300" s="1117"/>
      <c r="P300" s="1117"/>
      <c r="Q300" s="1117"/>
      <c r="R300" s="1131"/>
    </row>
    <row r="301" spans="2:18" ht="16.5">
      <c r="B301" s="1278"/>
      <c r="C301" s="1111" t="s">
        <v>6202</v>
      </c>
      <c r="D301" s="1280" t="s">
        <v>6126</v>
      </c>
      <c r="E301" s="1131"/>
      <c r="F301" s="1131"/>
      <c r="G301" s="1117"/>
      <c r="H301" s="1117"/>
      <c r="I301" s="1158"/>
      <c r="J301" s="1184"/>
      <c r="K301" s="1160"/>
      <c r="L301" s="1160"/>
      <c r="M301" s="1160"/>
      <c r="N301" s="1117"/>
      <c r="O301" s="1117"/>
      <c r="P301" s="1117"/>
      <c r="Q301" s="1117"/>
      <c r="R301" s="1131"/>
    </row>
    <row r="302" spans="2:18" ht="16.5">
      <c r="B302" s="1278"/>
      <c r="C302" s="1111" t="s">
        <v>6208</v>
      </c>
      <c r="D302" s="1280" t="s">
        <v>6136</v>
      </c>
      <c r="E302" s="1131"/>
      <c r="F302" s="1131"/>
      <c r="G302" s="1117"/>
      <c r="H302" s="1117"/>
      <c r="I302" s="1158"/>
      <c r="J302" s="1184"/>
      <c r="K302" s="1160"/>
      <c r="L302" s="1160"/>
      <c r="M302" s="1160"/>
      <c r="N302" s="1117"/>
      <c r="O302" s="1117"/>
      <c r="P302" s="1117"/>
      <c r="Q302" s="1117"/>
      <c r="R302" s="1131"/>
    </row>
    <row r="303" spans="2:18" ht="16.5">
      <c r="B303" s="1278"/>
      <c r="C303" s="1111" t="s">
        <v>6218</v>
      </c>
      <c r="D303" s="1280" t="s">
        <v>6144</v>
      </c>
      <c r="E303" s="1131"/>
      <c r="F303" s="1131"/>
      <c r="G303" s="1117"/>
      <c r="H303" s="1117"/>
      <c r="I303" s="1158"/>
      <c r="J303" s="1184"/>
      <c r="K303" s="1160"/>
      <c r="L303" s="1160"/>
      <c r="M303" s="1160"/>
      <c r="N303" s="1117"/>
      <c r="O303" s="1117"/>
      <c r="P303" s="1117"/>
      <c r="Q303" s="1117"/>
      <c r="R303" s="1131"/>
    </row>
    <row r="304" spans="2:18" ht="16.5">
      <c r="B304" s="1278"/>
      <c r="C304" s="1111" t="s">
        <v>6224</v>
      </c>
      <c r="D304" s="1280" t="s">
        <v>6151</v>
      </c>
      <c r="E304" s="1131"/>
      <c r="F304" s="1131"/>
      <c r="G304" s="1117"/>
      <c r="H304" s="1117"/>
      <c r="I304" s="1158"/>
      <c r="J304" s="1184"/>
      <c r="K304" s="1160"/>
      <c r="L304" s="1160"/>
      <c r="M304" s="1160"/>
      <c r="N304" s="1117"/>
      <c r="O304" s="1117"/>
      <c r="P304" s="1117"/>
      <c r="Q304" s="1117"/>
      <c r="R304" s="1131"/>
    </row>
    <row r="305" spans="2:18" ht="16.5">
      <c r="B305" s="1278"/>
      <c r="C305" s="1111" t="s">
        <v>6233</v>
      </c>
      <c r="D305" s="1280" t="s">
        <v>6166</v>
      </c>
      <c r="E305" s="1131"/>
      <c r="F305" s="1131"/>
      <c r="G305" s="1117"/>
      <c r="H305" s="1117"/>
      <c r="I305" s="1158"/>
      <c r="J305" s="1184"/>
      <c r="K305" s="1160"/>
      <c r="L305" s="1160"/>
      <c r="M305" s="1160"/>
      <c r="N305" s="1117"/>
      <c r="O305" s="1117"/>
      <c r="P305" s="1117"/>
      <c r="Q305" s="1117"/>
      <c r="R305" s="1131"/>
    </row>
    <row r="306" spans="2:18" ht="16.5">
      <c r="B306" s="1278"/>
      <c r="C306" s="1111" t="s">
        <v>6243</v>
      </c>
      <c r="D306" s="1280" t="s">
        <v>6173</v>
      </c>
      <c r="E306" s="1131"/>
      <c r="F306" s="1131"/>
      <c r="G306" s="1117"/>
      <c r="H306" s="1117"/>
      <c r="I306" s="1158"/>
      <c r="J306" s="1184"/>
      <c r="K306" s="1160"/>
      <c r="L306" s="1160"/>
      <c r="M306" s="1160"/>
      <c r="N306" s="1117"/>
      <c r="O306" s="1117"/>
      <c r="P306" s="1117"/>
      <c r="Q306" s="1117"/>
      <c r="R306" s="1131"/>
    </row>
    <row r="307" spans="2:18" ht="16.5">
      <c r="B307" s="1278"/>
      <c r="C307" s="1111" t="s">
        <v>6246</v>
      </c>
      <c r="D307" s="1280" t="s">
        <v>6118</v>
      </c>
      <c r="E307" s="1131"/>
      <c r="F307" s="1131"/>
      <c r="G307" s="1117"/>
      <c r="H307" s="1117"/>
      <c r="I307" s="1158"/>
      <c r="J307" s="1184"/>
      <c r="K307" s="1160"/>
      <c r="L307" s="1160"/>
      <c r="M307" s="1160"/>
      <c r="N307" s="1117"/>
      <c r="O307" s="1117"/>
      <c r="P307" s="1117"/>
      <c r="Q307" s="1117"/>
      <c r="R307" s="1131"/>
    </row>
    <row r="308" spans="2:18" ht="16.5">
      <c r="B308" s="1278"/>
      <c r="C308" s="1111" t="s">
        <v>6251</v>
      </c>
      <c r="D308" s="1280" t="s">
        <v>6126</v>
      </c>
      <c r="E308" s="1131"/>
      <c r="F308" s="1131"/>
      <c r="G308" s="1117"/>
      <c r="H308" s="1117"/>
      <c r="I308" s="1158"/>
      <c r="J308" s="1184"/>
      <c r="K308" s="1160"/>
      <c r="L308" s="1160"/>
      <c r="M308" s="1160"/>
      <c r="N308" s="1117"/>
      <c r="O308" s="1117"/>
      <c r="P308" s="1117"/>
      <c r="Q308" s="1117"/>
      <c r="R308" s="1131"/>
    </row>
    <row r="309" spans="2:18" ht="16.5">
      <c r="B309" s="1278"/>
      <c r="C309" s="1111" t="s">
        <v>6257</v>
      </c>
      <c r="D309" s="1280" t="s">
        <v>6136</v>
      </c>
      <c r="E309" s="1131"/>
      <c r="F309" s="1131"/>
      <c r="G309" s="1117"/>
      <c r="H309" s="1117"/>
      <c r="I309" s="1158"/>
      <c r="J309" s="1184"/>
      <c r="K309" s="1160"/>
      <c r="L309" s="1160"/>
      <c r="M309" s="1160"/>
      <c r="N309" s="1117"/>
      <c r="O309" s="1117"/>
      <c r="P309" s="1117"/>
      <c r="Q309" s="1117"/>
      <c r="R309" s="1131"/>
    </row>
    <row r="310" spans="2:18" ht="16.5">
      <c r="B310" s="1278"/>
      <c r="C310" s="1111" t="s">
        <v>6263</v>
      </c>
      <c r="D310" s="1280" t="s">
        <v>6144</v>
      </c>
      <c r="E310" s="1131"/>
      <c r="F310" s="1131"/>
      <c r="G310" s="1117"/>
      <c r="H310" s="1117"/>
      <c r="I310" s="1158"/>
      <c r="J310" s="1184"/>
      <c r="K310" s="1160"/>
      <c r="L310" s="1160"/>
      <c r="M310" s="1160"/>
      <c r="N310" s="1117"/>
      <c r="O310" s="1117"/>
      <c r="P310" s="1117"/>
      <c r="Q310" s="1117"/>
      <c r="R310" s="1131"/>
    </row>
    <row r="311" spans="2:18" ht="16.5">
      <c r="B311" s="1278"/>
      <c r="C311" s="1111" t="s">
        <v>6269</v>
      </c>
      <c r="D311" s="1280" t="s">
        <v>6151</v>
      </c>
      <c r="E311" s="1131"/>
      <c r="F311" s="1131"/>
      <c r="G311" s="1117"/>
      <c r="H311" s="1117"/>
      <c r="I311" s="1158"/>
      <c r="J311" s="1184"/>
      <c r="K311" s="1160"/>
      <c r="L311" s="1160"/>
      <c r="M311" s="1160"/>
      <c r="N311" s="1117"/>
      <c r="O311" s="1117"/>
      <c r="P311" s="1117"/>
      <c r="Q311" s="1117"/>
      <c r="R311" s="1131"/>
    </row>
    <row r="312" spans="2:18" ht="16.5">
      <c r="B312" s="1278"/>
      <c r="C312" s="1111" t="s">
        <v>6275</v>
      </c>
      <c r="D312" s="1280" t="s">
        <v>6166</v>
      </c>
      <c r="E312" s="1131"/>
      <c r="F312" s="1131"/>
      <c r="G312" s="1117"/>
      <c r="H312" s="1117"/>
      <c r="I312" s="1158"/>
      <c r="J312" s="1184"/>
      <c r="K312" s="1160"/>
      <c r="L312" s="1160"/>
      <c r="M312" s="1160"/>
      <c r="N312" s="1117"/>
      <c r="O312" s="1117"/>
      <c r="P312" s="1117"/>
      <c r="Q312" s="1117"/>
      <c r="R312" s="1131"/>
    </row>
    <row r="313" spans="2:18" ht="16.5">
      <c r="B313" s="1278"/>
      <c r="C313" s="1111" t="s">
        <v>6281</v>
      </c>
      <c r="D313" s="1280" t="s">
        <v>6173</v>
      </c>
      <c r="E313" s="1131"/>
      <c r="F313" s="1131"/>
      <c r="G313" s="1117"/>
      <c r="H313" s="1117"/>
      <c r="I313" s="1158"/>
      <c r="J313" s="1184"/>
      <c r="K313" s="1160"/>
      <c r="L313" s="1160"/>
      <c r="M313" s="1160"/>
      <c r="N313" s="1117"/>
      <c r="O313" s="1117"/>
      <c r="P313" s="1117"/>
      <c r="Q313" s="1117"/>
      <c r="R313" s="1131"/>
    </row>
    <row r="314" spans="2:18" ht="16.5">
      <c r="B314" s="1278"/>
      <c r="C314" s="1111" t="s">
        <v>6282</v>
      </c>
      <c r="D314" s="1280" t="s">
        <v>6118</v>
      </c>
      <c r="E314" s="1131"/>
      <c r="F314" s="1131"/>
      <c r="G314" s="1117"/>
      <c r="H314" s="1117"/>
      <c r="I314" s="1158"/>
      <c r="J314" s="1184"/>
      <c r="K314" s="1160"/>
      <c r="L314" s="1160"/>
      <c r="M314" s="1160"/>
      <c r="N314" s="1117"/>
      <c r="O314" s="1117"/>
      <c r="P314" s="1117"/>
      <c r="Q314" s="1117"/>
      <c r="R314" s="1131"/>
    </row>
    <row r="315" spans="2:18" ht="16.5">
      <c r="B315" s="1278"/>
      <c r="C315" s="1111" t="s">
        <v>6460</v>
      </c>
      <c r="D315" s="1280" t="s">
        <v>6126</v>
      </c>
      <c r="E315" s="1131"/>
      <c r="F315" s="1131"/>
      <c r="G315" s="1117"/>
      <c r="H315" s="1117"/>
      <c r="I315" s="1158"/>
      <c r="J315" s="1184"/>
      <c r="K315" s="1160"/>
      <c r="L315" s="1160"/>
      <c r="M315" s="1160"/>
      <c r="N315" s="1117"/>
      <c r="O315" s="1117"/>
      <c r="P315" s="1117"/>
      <c r="Q315" s="1117"/>
      <c r="R315" s="1131"/>
    </row>
    <row r="316" spans="2:18" ht="16.5">
      <c r="B316" s="1278"/>
      <c r="C316" s="1111" t="s">
        <v>6290</v>
      </c>
      <c r="D316" s="1280" t="s">
        <v>6136</v>
      </c>
      <c r="E316" s="1131"/>
      <c r="F316" s="1131"/>
      <c r="G316" s="1117"/>
      <c r="H316" s="1117"/>
      <c r="I316" s="1158"/>
      <c r="J316" s="1184"/>
      <c r="K316" s="1160"/>
      <c r="L316" s="1160"/>
      <c r="M316" s="1160"/>
      <c r="N316" s="1117"/>
      <c r="O316" s="1117"/>
      <c r="P316" s="1117"/>
      <c r="Q316" s="1117"/>
      <c r="R316" s="1131"/>
    </row>
    <row r="317" spans="2:18" ht="16.5">
      <c r="B317" s="1278"/>
      <c r="C317" s="1111" t="s">
        <v>6291</v>
      </c>
      <c r="D317" s="1280" t="s">
        <v>6144</v>
      </c>
      <c r="E317" s="1131"/>
      <c r="F317" s="1131"/>
      <c r="G317" s="1117"/>
      <c r="H317" s="1117"/>
      <c r="I317" s="1158"/>
      <c r="J317" s="1184"/>
      <c r="K317" s="1160"/>
      <c r="L317" s="1160"/>
      <c r="M317" s="1160"/>
      <c r="N317" s="1117"/>
      <c r="O317" s="1117"/>
      <c r="P317" s="1117"/>
      <c r="Q317" s="1117"/>
      <c r="R317" s="1131"/>
    </row>
    <row r="318" spans="2:18" ht="16.5">
      <c r="B318" s="1278"/>
      <c r="C318" s="1111" t="s">
        <v>6297</v>
      </c>
      <c r="D318" s="1280" t="s">
        <v>6151</v>
      </c>
      <c r="E318" s="1131"/>
      <c r="F318" s="1131"/>
      <c r="G318" s="1117"/>
      <c r="H318" s="1117"/>
      <c r="I318" s="1158"/>
      <c r="J318" s="1184"/>
      <c r="K318" s="1160"/>
      <c r="L318" s="1160"/>
      <c r="M318" s="1160"/>
      <c r="N318" s="1117"/>
      <c r="O318" s="1117"/>
      <c r="P318" s="1117"/>
      <c r="Q318" s="1117"/>
      <c r="R318" s="1131"/>
    </row>
    <row r="319" spans="2:18" ht="16.5">
      <c r="B319" s="1281"/>
      <c r="C319" s="1276" t="s">
        <v>6303</v>
      </c>
      <c r="D319" s="1280" t="s">
        <v>6166</v>
      </c>
      <c r="E319" s="1131"/>
      <c r="F319" s="1131"/>
      <c r="G319" s="1117"/>
      <c r="H319" s="1117"/>
      <c r="I319" s="1158"/>
      <c r="J319" s="1184"/>
      <c r="K319" s="1160"/>
      <c r="L319" s="1160"/>
      <c r="M319" s="1160"/>
      <c r="N319" s="1117"/>
      <c r="O319" s="1117"/>
      <c r="P319" s="1117"/>
      <c r="Q319" s="1117"/>
      <c r="R319" s="1131"/>
    </row>
    <row r="320" spans="2:18" ht="16.5">
      <c r="B320" s="1110" t="s">
        <v>6631</v>
      </c>
      <c r="C320" s="1111" t="s">
        <v>6484</v>
      </c>
      <c r="D320" s="1280" t="s">
        <v>6173</v>
      </c>
      <c r="E320" s="1131"/>
      <c r="F320" s="1131"/>
      <c r="G320" s="1117"/>
      <c r="H320" s="1117"/>
      <c r="I320" s="1117"/>
      <c r="J320" s="1117"/>
      <c r="K320" s="1165"/>
      <c r="L320" s="1165"/>
      <c r="M320" s="1165"/>
      <c r="N320" s="1117"/>
      <c r="O320" s="1117"/>
      <c r="P320" s="1117"/>
      <c r="Q320" s="1117"/>
      <c r="R320" s="1131"/>
    </row>
    <row r="321" spans="2:18" ht="16.5">
      <c r="B321" s="1278"/>
      <c r="C321" s="1111" t="s">
        <v>6117</v>
      </c>
      <c r="D321" s="1280" t="s">
        <v>6118</v>
      </c>
      <c r="E321" s="1131"/>
      <c r="F321" s="1131"/>
      <c r="G321" s="1117"/>
      <c r="H321" s="1117"/>
      <c r="I321" s="1158"/>
      <c r="J321" s="1184"/>
      <c r="K321" s="1160"/>
      <c r="L321" s="1160"/>
      <c r="M321" s="1160"/>
      <c r="N321" s="1117"/>
      <c r="O321" s="1117"/>
      <c r="P321" s="1117"/>
      <c r="Q321" s="1117"/>
      <c r="R321" s="1131"/>
    </row>
    <row r="322" spans="2:18" ht="16.5">
      <c r="B322" s="1278"/>
      <c r="C322" s="1111" t="s">
        <v>6125</v>
      </c>
      <c r="D322" s="1280" t="s">
        <v>6126</v>
      </c>
      <c r="E322" s="1131"/>
      <c r="F322" s="1131"/>
      <c r="G322" s="1117"/>
      <c r="H322" s="1117"/>
      <c r="I322" s="1158"/>
      <c r="J322" s="1184"/>
      <c r="K322" s="1160"/>
      <c r="L322" s="1160"/>
      <c r="M322" s="1160"/>
      <c r="N322" s="1117"/>
      <c r="O322" s="1117"/>
      <c r="P322" s="1117"/>
      <c r="Q322" s="1117"/>
      <c r="R322" s="1131"/>
    </row>
    <row r="323" spans="2:18" ht="16.5">
      <c r="B323" s="1278"/>
      <c r="C323" s="1111" t="s">
        <v>6135</v>
      </c>
      <c r="D323" s="1280" t="s">
        <v>6136</v>
      </c>
      <c r="E323" s="1131"/>
      <c r="F323" s="1131"/>
      <c r="G323" s="1117"/>
      <c r="H323" s="1117"/>
      <c r="I323" s="1158"/>
      <c r="J323" s="1184"/>
      <c r="K323" s="1160"/>
      <c r="L323" s="1160"/>
      <c r="M323" s="1160"/>
      <c r="N323" s="1117"/>
      <c r="O323" s="1117"/>
      <c r="P323" s="1117"/>
      <c r="Q323" s="1117"/>
      <c r="R323" s="1131"/>
    </row>
    <row r="324" spans="2:18" ht="16.5">
      <c r="B324" s="1278"/>
      <c r="C324" s="1111" t="s">
        <v>6143</v>
      </c>
      <c r="D324" s="1280" t="s">
        <v>6144</v>
      </c>
      <c r="E324" s="1131"/>
      <c r="F324" s="1131"/>
      <c r="G324" s="1117"/>
      <c r="H324" s="1117"/>
      <c r="I324" s="1158"/>
      <c r="J324" s="1184"/>
      <c r="K324" s="1160"/>
      <c r="L324" s="1160"/>
      <c r="M324" s="1160"/>
      <c r="N324" s="1117"/>
      <c r="O324" s="1117"/>
      <c r="P324" s="1117"/>
      <c r="Q324" s="1117"/>
      <c r="R324" s="1131"/>
    </row>
    <row r="325" spans="2:18" ht="16.5">
      <c r="B325" s="1278"/>
      <c r="C325" s="1111" t="s">
        <v>6150</v>
      </c>
      <c r="D325" s="1280" t="s">
        <v>6151</v>
      </c>
      <c r="E325" s="1131"/>
      <c r="F325" s="1131"/>
      <c r="G325" s="1117"/>
      <c r="H325" s="1117"/>
      <c r="I325" s="1158"/>
      <c r="J325" s="1184"/>
      <c r="K325" s="1160"/>
      <c r="L325" s="1160"/>
      <c r="M325" s="1160"/>
      <c r="N325" s="1117"/>
      <c r="O325" s="1117"/>
      <c r="P325" s="1117"/>
      <c r="Q325" s="1117"/>
      <c r="R325" s="1131"/>
    </row>
    <row r="326" spans="2:18" ht="16.5">
      <c r="B326" s="1278"/>
      <c r="C326" s="1111" t="s">
        <v>6165</v>
      </c>
      <c r="D326" s="1280" t="s">
        <v>6166</v>
      </c>
      <c r="E326" s="1131"/>
      <c r="F326" s="1131"/>
      <c r="G326" s="1117"/>
      <c r="H326" s="1117"/>
      <c r="I326" s="1158"/>
      <c r="J326" s="1184"/>
      <c r="K326" s="1160"/>
      <c r="L326" s="1160"/>
      <c r="M326" s="1160"/>
      <c r="N326" s="1117"/>
      <c r="O326" s="1117"/>
      <c r="P326" s="1117"/>
      <c r="Q326" s="1117"/>
      <c r="R326" s="1131"/>
    </row>
    <row r="327" spans="2:18" ht="16.5">
      <c r="B327" s="1278"/>
      <c r="C327" s="1111" t="s">
        <v>6172</v>
      </c>
      <c r="D327" s="1280" t="s">
        <v>6173</v>
      </c>
      <c r="E327" s="1131"/>
      <c r="F327" s="1131"/>
      <c r="G327" s="1117"/>
      <c r="H327" s="1117"/>
      <c r="I327" s="1158"/>
      <c r="J327" s="1184"/>
      <c r="K327" s="1160"/>
      <c r="L327" s="1160"/>
      <c r="M327" s="1160"/>
      <c r="N327" s="1117"/>
      <c r="O327" s="1117"/>
      <c r="P327" s="1117"/>
      <c r="Q327" s="1117"/>
      <c r="R327" s="1131"/>
    </row>
    <row r="328" spans="2:18" ht="16.5">
      <c r="B328" s="1278"/>
      <c r="C328" s="1111" t="s">
        <v>6186</v>
      </c>
      <c r="D328" s="1280" t="s">
        <v>6118</v>
      </c>
      <c r="E328" s="1131"/>
      <c r="F328" s="1131"/>
      <c r="G328" s="1117"/>
      <c r="H328" s="1117"/>
      <c r="I328" s="1158"/>
      <c r="J328" s="1184"/>
      <c r="K328" s="1160"/>
      <c r="L328" s="1160"/>
      <c r="M328" s="1160"/>
      <c r="N328" s="1117"/>
      <c r="O328" s="1117"/>
      <c r="P328" s="1117"/>
      <c r="Q328" s="1117"/>
      <c r="R328" s="1131"/>
    </row>
    <row r="329" spans="2:18" ht="16.5">
      <c r="B329" s="1278"/>
      <c r="C329" s="1111" t="s">
        <v>6193</v>
      </c>
      <c r="D329" s="1280" t="s">
        <v>6126</v>
      </c>
      <c r="E329" s="1131"/>
      <c r="F329" s="1131"/>
      <c r="G329" s="1117"/>
      <c r="H329" s="1117"/>
      <c r="I329" s="1158"/>
      <c r="J329" s="1184"/>
      <c r="K329" s="1160"/>
      <c r="L329" s="1160"/>
      <c r="M329" s="1160"/>
      <c r="N329" s="1117"/>
      <c r="O329" s="1117"/>
      <c r="P329" s="1117"/>
      <c r="Q329" s="1117"/>
      <c r="R329" s="1131"/>
    </row>
    <row r="330" spans="2:18" ht="16.5">
      <c r="B330" s="1278"/>
      <c r="C330" s="1111" t="s">
        <v>6195</v>
      </c>
      <c r="D330" s="1280" t="s">
        <v>6136</v>
      </c>
      <c r="E330" s="1131"/>
      <c r="F330" s="1131"/>
      <c r="G330" s="1117"/>
      <c r="H330" s="1117"/>
      <c r="I330" s="1158"/>
      <c r="J330" s="1184"/>
      <c r="K330" s="1160"/>
      <c r="L330" s="1160"/>
      <c r="M330" s="1160"/>
      <c r="N330" s="1117"/>
      <c r="O330" s="1117"/>
      <c r="P330" s="1117"/>
      <c r="Q330" s="1117"/>
      <c r="R330" s="1131"/>
    </row>
    <row r="331" spans="2:18" ht="16.5">
      <c r="B331" s="1278"/>
      <c r="C331" s="1111" t="s">
        <v>6202</v>
      </c>
      <c r="D331" s="1280" t="s">
        <v>6144</v>
      </c>
      <c r="E331" s="1131"/>
      <c r="F331" s="1131"/>
      <c r="G331" s="1117"/>
      <c r="H331" s="1117"/>
      <c r="I331" s="1158"/>
      <c r="J331" s="1184"/>
      <c r="K331" s="1160"/>
      <c r="L331" s="1160"/>
      <c r="M331" s="1160"/>
      <c r="N331" s="1117"/>
      <c r="O331" s="1117"/>
      <c r="P331" s="1117"/>
      <c r="Q331" s="1117"/>
      <c r="R331" s="1131"/>
    </row>
    <row r="332" spans="2:18" ht="16.5">
      <c r="B332" s="1278"/>
      <c r="C332" s="1111" t="s">
        <v>6208</v>
      </c>
      <c r="D332" s="1280" t="s">
        <v>6151</v>
      </c>
      <c r="E332" s="1131"/>
      <c r="F332" s="1131"/>
      <c r="G332" s="1117"/>
      <c r="H332" s="1117"/>
      <c r="I332" s="1158"/>
      <c r="J332" s="1184"/>
      <c r="K332" s="1160"/>
      <c r="L332" s="1160"/>
      <c r="M332" s="1160"/>
      <c r="N332" s="1117"/>
      <c r="O332" s="1117"/>
      <c r="P332" s="1117"/>
      <c r="Q332" s="1117"/>
      <c r="R332" s="1131"/>
    </row>
    <row r="333" spans="2:18" ht="16.5">
      <c r="B333" s="1278"/>
      <c r="C333" s="1111" t="s">
        <v>6218</v>
      </c>
      <c r="D333" s="1280" t="s">
        <v>6166</v>
      </c>
      <c r="E333" s="1131"/>
      <c r="F333" s="1131"/>
      <c r="G333" s="1117"/>
      <c r="H333" s="1117"/>
      <c r="I333" s="1158"/>
      <c r="J333" s="1184"/>
      <c r="K333" s="1160"/>
      <c r="L333" s="1160"/>
      <c r="M333" s="1160"/>
      <c r="N333" s="1117"/>
      <c r="O333" s="1117"/>
      <c r="P333" s="1117"/>
      <c r="Q333" s="1117"/>
      <c r="R333" s="1131"/>
    </row>
    <row r="334" spans="2:18" ht="16.5">
      <c r="B334" s="1278"/>
      <c r="C334" s="1111" t="s">
        <v>6224</v>
      </c>
      <c r="D334" s="1280" t="s">
        <v>6173</v>
      </c>
      <c r="E334" s="1131"/>
      <c r="F334" s="1131"/>
      <c r="G334" s="1117"/>
      <c r="H334" s="1117"/>
      <c r="I334" s="1158"/>
      <c r="J334" s="1184"/>
      <c r="K334" s="1160"/>
      <c r="L334" s="1160"/>
      <c r="M334" s="1160"/>
      <c r="N334" s="1117"/>
      <c r="O334" s="1117"/>
      <c r="P334" s="1117"/>
      <c r="Q334" s="1117"/>
      <c r="R334" s="1131"/>
    </row>
    <row r="335" spans="2:18" ht="16.5">
      <c r="B335" s="1278"/>
      <c r="C335" s="1111" t="s">
        <v>6233</v>
      </c>
      <c r="D335" s="1280" t="s">
        <v>6118</v>
      </c>
      <c r="E335" s="1131"/>
      <c r="F335" s="1131"/>
      <c r="G335" s="1117"/>
      <c r="H335" s="1117"/>
      <c r="I335" s="1158"/>
      <c r="J335" s="1184"/>
      <c r="K335" s="1160"/>
      <c r="L335" s="1160"/>
      <c r="M335" s="1160"/>
      <c r="N335" s="1117"/>
      <c r="O335" s="1117"/>
      <c r="P335" s="1117"/>
      <c r="Q335" s="1117"/>
      <c r="R335" s="1131"/>
    </row>
    <row r="336" spans="2:18" ht="16.5">
      <c r="B336" s="1278"/>
      <c r="C336" s="1111" t="s">
        <v>6243</v>
      </c>
      <c r="D336" s="1280" t="s">
        <v>6126</v>
      </c>
      <c r="E336" s="1131"/>
      <c r="F336" s="1131"/>
      <c r="G336" s="1117"/>
      <c r="H336" s="1117"/>
      <c r="I336" s="1158"/>
      <c r="J336" s="1184"/>
      <c r="K336" s="1160"/>
      <c r="L336" s="1160"/>
      <c r="M336" s="1160"/>
      <c r="N336" s="1117"/>
      <c r="O336" s="1117"/>
      <c r="P336" s="1117"/>
      <c r="Q336" s="1117"/>
      <c r="R336" s="1131"/>
    </row>
    <row r="337" spans="2:18" ht="16.5">
      <c r="B337" s="1278"/>
      <c r="C337" s="1111" t="s">
        <v>6246</v>
      </c>
      <c r="D337" s="1280" t="s">
        <v>6136</v>
      </c>
      <c r="E337" s="1131"/>
      <c r="F337" s="1131"/>
      <c r="G337" s="1117"/>
      <c r="H337" s="1117"/>
      <c r="I337" s="1158"/>
      <c r="J337" s="1184"/>
      <c r="K337" s="1160"/>
      <c r="L337" s="1160"/>
      <c r="M337" s="1160"/>
      <c r="N337" s="1117"/>
      <c r="O337" s="1117"/>
      <c r="P337" s="1117"/>
      <c r="Q337" s="1117"/>
      <c r="R337" s="1131"/>
    </row>
    <row r="338" spans="2:18" ht="16.5">
      <c r="B338" s="1278"/>
      <c r="C338" s="1111" t="s">
        <v>6251</v>
      </c>
      <c r="D338" s="1280" t="s">
        <v>6144</v>
      </c>
      <c r="E338" s="1131"/>
      <c r="F338" s="1131"/>
      <c r="G338" s="1117"/>
      <c r="H338" s="1117"/>
      <c r="I338" s="1158"/>
      <c r="J338" s="1184"/>
      <c r="K338" s="1160"/>
      <c r="L338" s="1160"/>
      <c r="M338" s="1160"/>
      <c r="N338" s="1117"/>
      <c r="O338" s="1117"/>
      <c r="P338" s="1117"/>
      <c r="Q338" s="1117"/>
      <c r="R338" s="1131"/>
    </row>
    <row r="339" spans="2:18" ht="16.5">
      <c r="B339" s="1278"/>
      <c r="C339" s="1111" t="s">
        <v>6257</v>
      </c>
      <c r="D339" s="1280" t="s">
        <v>6151</v>
      </c>
      <c r="E339" s="1131"/>
      <c r="F339" s="1131"/>
      <c r="G339" s="1117"/>
      <c r="H339" s="1117"/>
      <c r="I339" s="1158"/>
      <c r="J339" s="1184"/>
      <c r="K339" s="1160"/>
      <c r="L339" s="1160"/>
      <c r="M339" s="1160"/>
      <c r="N339" s="1117"/>
      <c r="O339" s="1117"/>
      <c r="P339" s="1117"/>
      <c r="Q339" s="1117"/>
      <c r="R339" s="1131"/>
    </row>
    <row r="340" spans="2:18" ht="16.5">
      <c r="B340" s="1278"/>
      <c r="C340" s="1111" t="s">
        <v>6263</v>
      </c>
      <c r="D340" s="1280" t="s">
        <v>6166</v>
      </c>
      <c r="E340" s="1131"/>
      <c r="F340" s="1131"/>
      <c r="G340" s="1117"/>
      <c r="H340" s="1117"/>
      <c r="I340" s="1158"/>
      <c r="J340" s="1184"/>
      <c r="K340" s="1160"/>
      <c r="L340" s="1160"/>
      <c r="M340" s="1160"/>
      <c r="N340" s="1117"/>
      <c r="O340" s="1117"/>
      <c r="P340" s="1117"/>
      <c r="Q340" s="1117"/>
      <c r="R340" s="1131"/>
    </row>
    <row r="341" spans="2:18" ht="16.5">
      <c r="B341" s="1278"/>
      <c r="C341" s="1111" t="s">
        <v>6269</v>
      </c>
      <c r="D341" s="1280" t="s">
        <v>6173</v>
      </c>
      <c r="E341" s="1131"/>
      <c r="F341" s="1131"/>
      <c r="G341" s="1117"/>
      <c r="H341" s="1117"/>
      <c r="I341" s="1158"/>
      <c r="J341" s="1184"/>
      <c r="K341" s="1160"/>
      <c r="L341" s="1160"/>
      <c r="M341" s="1160"/>
      <c r="N341" s="1117"/>
      <c r="O341" s="1117"/>
      <c r="P341" s="1117"/>
      <c r="Q341" s="1117"/>
      <c r="R341" s="1131"/>
    </row>
    <row r="342" spans="2:18" ht="16.5">
      <c r="B342" s="1278"/>
      <c r="C342" s="1111" t="s">
        <v>6275</v>
      </c>
      <c r="D342" s="1280" t="s">
        <v>6118</v>
      </c>
      <c r="E342" s="1131"/>
      <c r="F342" s="1131"/>
      <c r="G342" s="1117"/>
      <c r="H342" s="1117"/>
      <c r="I342" s="1158"/>
      <c r="J342" s="1184"/>
      <c r="K342" s="1160"/>
      <c r="L342" s="1160"/>
      <c r="M342" s="1160"/>
      <c r="N342" s="1117"/>
      <c r="O342" s="1117"/>
      <c r="P342" s="1117"/>
      <c r="Q342" s="1117"/>
      <c r="R342" s="1131"/>
    </row>
    <row r="343" spans="2:18" ht="16.5">
      <c r="B343" s="1278"/>
      <c r="C343" s="1111" t="s">
        <v>6281</v>
      </c>
      <c r="D343" s="1280" t="s">
        <v>6126</v>
      </c>
      <c r="E343" s="1131"/>
      <c r="F343" s="1131"/>
      <c r="G343" s="1117"/>
      <c r="H343" s="1117"/>
      <c r="I343" s="1158"/>
      <c r="J343" s="1184"/>
      <c r="K343" s="1160"/>
      <c r="L343" s="1160"/>
      <c r="M343" s="1160"/>
      <c r="N343" s="1117"/>
      <c r="O343" s="1117"/>
      <c r="P343" s="1117"/>
      <c r="Q343" s="1117"/>
      <c r="R343" s="1131"/>
    </row>
    <row r="344" spans="2:18" ht="16.5">
      <c r="B344" s="1278"/>
      <c r="C344" s="1111" t="s">
        <v>6282</v>
      </c>
      <c r="D344" s="1280" t="s">
        <v>6136</v>
      </c>
      <c r="E344" s="1131"/>
      <c r="F344" s="1131"/>
      <c r="G344" s="1117"/>
      <c r="H344" s="1117"/>
      <c r="I344" s="1158"/>
      <c r="J344" s="1184"/>
      <c r="K344" s="1160"/>
      <c r="L344" s="1160"/>
      <c r="M344" s="1160"/>
      <c r="N344" s="1117"/>
      <c r="O344" s="1117"/>
      <c r="P344" s="1117"/>
      <c r="Q344" s="1117"/>
      <c r="R344" s="1131"/>
    </row>
    <row r="345" spans="2:18" ht="16.5">
      <c r="B345" s="1278"/>
      <c r="C345" s="1111" t="s">
        <v>6460</v>
      </c>
      <c r="D345" s="1280" t="s">
        <v>6144</v>
      </c>
      <c r="E345" s="1131"/>
      <c r="F345" s="1131"/>
      <c r="G345" s="1117"/>
      <c r="H345" s="1117"/>
      <c r="I345" s="1158"/>
      <c r="J345" s="1184"/>
      <c r="K345" s="1160"/>
      <c r="L345" s="1160"/>
      <c r="M345" s="1160"/>
      <c r="N345" s="1117"/>
      <c r="O345" s="1117"/>
      <c r="P345" s="1117"/>
      <c r="Q345" s="1117"/>
      <c r="R345" s="1131"/>
    </row>
    <row r="346" spans="2:18" ht="16.5">
      <c r="B346" s="1278"/>
      <c r="C346" s="1111" t="s">
        <v>6290</v>
      </c>
      <c r="D346" s="1280" t="s">
        <v>6151</v>
      </c>
      <c r="E346" s="1131"/>
      <c r="F346" s="1131"/>
      <c r="G346" s="1117"/>
      <c r="H346" s="1117"/>
      <c r="I346" s="1158"/>
      <c r="J346" s="1184"/>
      <c r="K346" s="1160"/>
      <c r="L346" s="1160"/>
      <c r="M346" s="1160"/>
      <c r="N346" s="1117"/>
      <c r="O346" s="1117"/>
      <c r="P346" s="1117"/>
      <c r="Q346" s="1117"/>
      <c r="R346" s="1131"/>
    </row>
    <row r="347" spans="2:18" ht="16.5">
      <c r="B347" s="1278"/>
      <c r="C347" s="1111" t="s">
        <v>6291</v>
      </c>
      <c r="D347" s="1280" t="s">
        <v>6166</v>
      </c>
      <c r="E347" s="1131"/>
      <c r="F347" s="1131"/>
      <c r="G347" s="1117"/>
      <c r="H347" s="1117"/>
      <c r="I347" s="1158"/>
      <c r="J347" s="1184"/>
      <c r="K347" s="1160"/>
      <c r="L347" s="1160"/>
      <c r="M347" s="1160"/>
      <c r="N347" s="1117"/>
      <c r="O347" s="1117"/>
      <c r="P347" s="1117"/>
      <c r="Q347" s="1117"/>
      <c r="R347" s="1131"/>
    </row>
    <row r="348" spans="2:18" ht="16.5">
      <c r="B348" s="1278"/>
      <c r="C348" s="1111" t="s">
        <v>6297</v>
      </c>
      <c r="D348" s="1280" t="s">
        <v>6173</v>
      </c>
      <c r="E348" s="1131"/>
      <c r="F348" s="1131"/>
      <c r="G348" s="1117"/>
      <c r="H348" s="1117"/>
      <c r="I348" s="1158"/>
      <c r="J348" s="1184"/>
      <c r="K348" s="1160"/>
      <c r="L348" s="1160"/>
      <c r="M348" s="1160"/>
      <c r="N348" s="1117"/>
      <c r="O348" s="1117"/>
      <c r="P348" s="1117"/>
      <c r="Q348" s="1117"/>
      <c r="R348" s="1131"/>
    </row>
    <row r="349" spans="2:18" ht="16.5">
      <c r="B349" s="1278"/>
      <c r="C349" s="1111" t="s">
        <v>6303</v>
      </c>
      <c r="D349" s="1280" t="s">
        <v>6118</v>
      </c>
      <c r="E349" s="1131"/>
      <c r="F349" s="1131"/>
      <c r="G349" s="1117"/>
      <c r="H349" s="1117"/>
      <c r="I349" s="1158"/>
      <c r="J349" s="1184"/>
      <c r="K349" s="1160"/>
      <c r="L349" s="1160"/>
      <c r="M349" s="1160"/>
      <c r="N349" s="1117"/>
      <c r="O349" s="1117"/>
      <c r="P349" s="1117"/>
      <c r="Q349" s="1117"/>
      <c r="R349" s="1131"/>
    </row>
    <row r="350" spans="2:18" ht="16.5">
      <c r="B350" s="1274"/>
      <c r="C350" s="1111" t="s">
        <v>6309</v>
      </c>
      <c r="D350" s="1280" t="s">
        <v>6126</v>
      </c>
      <c r="E350" s="1131"/>
      <c r="F350" s="1131"/>
      <c r="G350" s="1117"/>
      <c r="H350" s="1117"/>
      <c r="I350" s="1158"/>
      <c r="J350" s="1184"/>
      <c r="K350" s="1160"/>
      <c r="L350" s="1160"/>
      <c r="M350" s="1160"/>
      <c r="N350" s="1117"/>
      <c r="O350" s="1117"/>
      <c r="P350" s="1117"/>
      <c r="Q350" s="1117"/>
      <c r="R350" s="1118"/>
    </row>
    <row r="351" spans="2:18" ht="16.5">
      <c r="B351" s="1110" t="s">
        <v>6632</v>
      </c>
      <c r="C351" s="1111" t="s">
        <v>6484</v>
      </c>
      <c r="D351" s="1280" t="s">
        <v>6136</v>
      </c>
      <c r="E351" s="1131"/>
      <c r="F351" s="1131"/>
      <c r="G351" s="1117"/>
      <c r="H351" s="1117"/>
      <c r="I351" s="1117"/>
      <c r="J351" s="1117"/>
      <c r="K351" s="1165"/>
      <c r="L351" s="1165"/>
      <c r="M351" s="1165"/>
      <c r="N351" s="1117"/>
      <c r="O351" s="1117"/>
      <c r="P351" s="1117"/>
      <c r="Q351" s="1117"/>
      <c r="R351" s="1131"/>
    </row>
    <row r="352" spans="2:18" ht="16.5">
      <c r="B352" s="1278"/>
      <c r="C352" s="1111" t="s">
        <v>6117</v>
      </c>
      <c r="D352" s="1280" t="s">
        <v>6144</v>
      </c>
      <c r="E352" s="1131"/>
      <c r="F352" s="1131"/>
      <c r="G352" s="1117"/>
      <c r="H352" s="1117"/>
      <c r="I352" s="1158"/>
      <c r="J352" s="1184"/>
      <c r="K352" s="1160"/>
      <c r="L352" s="1160"/>
      <c r="M352" s="1160"/>
      <c r="N352" s="1117"/>
      <c r="O352" s="1117"/>
      <c r="P352" s="1117"/>
      <c r="Q352" s="1117"/>
      <c r="R352" s="1131"/>
    </row>
    <row r="353" spans="2:18" ht="16.5">
      <c r="B353" s="1278"/>
      <c r="C353" s="1111" t="s">
        <v>6125</v>
      </c>
      <c r="D353" s="1280" t="s">
        <v>6151</v>
      </c>
      <c r="E353" s="1131"/>
      <c r="F353" s="1131"/>
      <c r="G353" s="1117"/>
      <c r="H353" s="1117"/>
      <c r="I353" s="1158"/>
      <c r="J353" s="1184"/>
      <c r="K353" s="1160"/>
      <c r="L353" s="1160"/>
      <c r="M353" s="1160"/>
      <c r="N353" s="1117"/>
      <c r="O353" s="1117"/>
      <c r="P353" s="1117"/>
      <c r="Q353" s="1117"/>
      <c r="R353" s="1131"/>
    </row>
    <row r="354" spans="2:18" ht="16.5">
      <c r="B354" s="1278"/>
      <c r="C354" s="1111" t="s">
        <v>6135</v>
      </c>
      <c r="D354" s="1280" t="s">
        <v>6166</v>
      </c>
      <c r="E354" s="1131"/>
      <c r="F354" s="1131"/>
      <c r="G354" s="1117"/>
      <c r="H354" s="1117"/>
      <c r="I354" s="1158"/>
      <c r="J354" s="1184"/>
      <c r="K354" s="1160"/>
      <c r="L354" s="1160"/>
      <c r="M354" s="1160"/>
      <c r="N354" s="1117"/>
      <c r="O354" s="1117"/>
      <c r="P354" s="1117"/>
      <c r="Q354" s="1117"/>
      <c r="R354" s="1131"/>
    </row>
    <row r="355" spans="2:18" ht="16.5">
      <c r="B355" s="1278"/>
      <c r="C355" s="1111" t="s">
        <v>6143</v>
      </c>
      <c r="D355" s="1280" t="s">
        <v>6173</v>
      </c>
      <c r="E355" s="1131"/>
      <c r="F355" s="1131"/>
      <c r="G355" s="1117"/>
      <c r="H355" s="1117"/>
      <c r="I355" s="1158"/>
      <c r="J355" s="1184"/>
      <c r="K355" s="1160"/>
      <c r="L355" s="1160"/>
      <c r="M355" s="1160"/>
      <c r="N355" s="1117"/>
      <c r="O355" s="1117"/>
      <c r="P355" s="1117"/>
      <c r="Q355" s="1117"/>
      <c r="R355" s="1131"/>
    </row>
    <row r="356" spans="2:18" ht="16.5">
      <c r="B356" s="1278"/>
      <c r="C356" s="1111" t="s">
        <v>6150</v>
      </c>
      <c r="D356" s="1280" t="s">
        <v>6118</v>
      </c>
      <c r="E356" s="1131"/>
      <c r="F356" s="1131"/>
      <c r="G356" s="1117"/>
      <c r="H356" s="1117"/>
      <c r="I356" s="1158"/>
      <c r="J356" s="1184"/>
      <c r="K356" s="1160"/>
      <c r="L356" s="1160"/>
      <c r="M356" s="1160"/>
      <c r="N356" s="1117"/>
      <c r="O356" s="1117"/>
      <c r="P356" s="1117"/>
      <c r="Q356" s="1117"/>
      <c r="R356" s="1131"/>
    </row>
    <row r="357" spans="2:18" ht="16.5">
      <c r="B357" s="1278"/>
      <c r="C357" s="1111" t="s">
        <v>6165</v>
      </c>
      <c r="D357" s="1280" t="s">
        <v>6126</v>
      </c>
      <c r="E357" s="1131"/>
      <c r="F357" s="1131"/>
      <c r="G357" s="1117"/>
      <c r="H357" s="1117"/>
      <c r="I357" s="1158"/>
      <c r="J357" s="1184"/>
      <c r="K357" s="1160"/>
      <c r="L357" s="1160"/>
      <c r="M357" s="1160"/>
      <c r="N357" s="1117"/>
      <c r="O357" s="1117"/>
      <c r="P357" s="1117"/>
      <c r="Q357" s="1117"/>
      <c r="R357" s="1131"/>
    </row>
    <row r="358" spans="2:18" ht="16.5">
      <c r="B358" s="1278"/>
      <c r="C358" s="1111" t="s">
        <v>6172</v>
      </c>
      <c r="D358" s="1280" t="s">
        <v>6136</v>
      </c>
      <c r="E358" s="1131"/>
      <c r="F358" s="1131"/>
      <c r="G358" s="1117"/>
      <c r="H358" s="1117"/>
      <c r="I358" s="1158"/>
      <c r="J358" s="1184"/>
      <c r="K358" s="1160"/>
      <c r="L358" s="1160"/>
      <c r="M358" s="1160"/>
      <c r="N358" s="1117"/>
      <c r="O358" s="1117"/>
      <c r="P358" s="1117"/>
      <c r="Q358" s="1117"/>
      <c r="R358" s="1131"/>
    </row>
    <row r="359" spans="2:18" ht="16.5">
      <c r="B359" s="1278"/>
      <c r="C359" s="1111" t="s">
        <v>6186</v>
      </c>
      <c r="D359" s="1280" t="s">
        <v>6144</v>
      </c>
      <c r="E359" s="1131"/>
      <c r="F359" s="1131"/>
      <c r="G359" s="1117"/>
      <c r="H359" s="1117"/>
      <c r="I359" s="1158"/>
      <c r="J359" s="1184"/>
      <c r="K359" s="1160"/>
      <c r="L359" s="1160"/>
      <c r="M359" s="1160"/>
      <c r="N359" s="1117"/>
      <c r="O359" s="1117"/>
      <c r="P359" s="1117"/>
      <c r="Q359" s="1117"/>
      <c r="R359" s="1131"/>
    </row>
    <row r="360" spans="2:18" ht="16.5">
      <c r="B360" s="1278"/>
      <c r="C360" s="1111" t="s">
        <v>6193</v>
      </c>
      <c r="D360" s="1280" t="s">
        <v>6151</v>
      </c>
      <c r="E360" s="1131"/>
      <c r="F360" s="1131"/>
      <c r="G360" s="1117"/>
      <c r="H360" s="1117"/>
      <c r="I360" s="1158"/>
      <c r="J360" s="1184"/>
      <c r="K360" s="1160"/>
      <c r="L360" s="1160"/>
      <c r="M360" s="1160"/>
      <c r="N360" s="1117"/>
      <c r="O360" s="1117"/>
      <c r="P360" s="1117"/>
      <c r="Q360" s="1117"/>
      <c r="R360" s="1131"/>
    </row>
    <row r="361" spans="2:18" ht="16.5">
      <c r="B361" s="1278"/>
      <c r="C361" s="1111" t="s">
        <v>6195</v>
      </c>
      <c r="D361" s="1280" t="s">
        <v>6166</v>
      </c>
      <c r="E361" s="1131"/>
      <c r="F361" s="1131"/>
      <c r="G361" s="1117"/>
      <c r="H361" s="1117"/>
      <c r="I361" s="1158"/>
      <c r="J361" s="1184"/>
      <c r="K361" s="1160"/>
      <c r="L361" s="1160"/>
      <c r="M361" s="1160"/>
      <c r="N361" s="1117"/>
      <c r="O361" s="1117"/>
      <c r="P361" s="1117"/>
      <c r="Q361" s="1117"/>
      <c r="R361" s="1131"/>
    </row>
    <row r="362" spans="2:18" ht="16.5">
      <c r="B362" s="1278"/>
      <c r="C362" s="1111" t="s">
        <v>6202</v>
      </c>
      <c r="D362" s="1280" t="s">
        <v>6173</v>
      </c>
      <c r="E362" s="1131"/>
      <c r="F362" s="1131"/>
      <c r="G362" s="1117"/>
      <c r="H362" s="1117"/>
      <c r="I362" s="1158"/>
      <c r="J362" s="1184"/>
      <c r="K362" s="1160"/>
      <c r="L362" s="1160"/>
      <c r="M362" s="1160"/>
      <c r="N362" s="1117"/>
      <c r="O362" s="1117"/>
      <c r="P362" s="1117"/>
      <c r="Q362" s="1117"/>
      <c r="R362" s="1131"/>
    </row>
    <row r="363" spans="2:18" ht="16.5">
      <c r="B363" s="1278"/>
      <c r="C363" s="1111" t="s">
        <v>6208</v>
      </c>
      <c r="D363" s="1280" t="s">
        <v>6118</v>
      </c>
      <c r="E363" s="1131"/>
      <c r="F363" s="1131"/>
      <c r="G363" s="1117"/>
      <c r="H363" s="1117"/>
      <c r="I363" s="1158"/>
      <c r="J363" s="1184"/>
      <c r="K363" s="1160"/>
      <c r="L363" s="1160"/>
      <c r="M363" s="1160"/>
      <c r="N363" s="1117"/>
      <c r="O363" s="1117"/>
      <c r="P363" s="1117"/>
      <c r="Q363" s="1117"/>
      <c r="R363" s="1131"/>
    </row>
    <row r="364" spans="2:18" ht="16.5">
      <c r="B364" s="1278"/>
      <c r="C364" s="1111" t="s">
        <v>6218</v>
      </c>
      <c r="D364" s="1280" t="s">
        <v>6126</v>
      </c>
      <c r="E364" s="1131"/>
      <c r="F364" s="1131"/>
      <c r="G364" s="1117"/>
      <c r="H364" s="1117"/>
      <c r="I364" s="1158"/>
      <c r="J364" s="1184"/>
      <c r="K364" s="1160"/>
      <c r="L364" s="1160"/>
      <c r="M364" s="1160"/>
      <c r="N364" s="1117"/>
      <c r="O364" s="1117"/>
      <c r="P364" s="1117"/>
      <c r="Q364" s="1117"/>
      <c r="R364" s="1131"/>
    </row>
    <row r="365" spans="2:18" ht="16.5">
      <c r="B365" s="1278"/>
      <c r="C365" s="1111" t="s">
        <v>6224</v>
      </c>
      <c r="D365" s="1280" t="s">
        <v>6136</v>
      </c>
      <c r="E365" s="1131"/>
      <c r="F365" s="1131"/>
      <c r="G365" s="1117"/>
      <c r="H365" s="1117"/>
      <c r="I365" s="1158"/>
      <c r="J365" s="1184"/>
      <c r="K365" s="1160"/>
      <c r="L365" s="1160"/>
      <c r="M365" s="1160"/>
      <c r="N365" s="1117"/>
      <c r="O365" s="1117"/>
      <c r="P365" s="1117"/>
      <c r="Q365" s="1117"/>
      <c r="R365" s="1131"/>
    </row>
    <row r="366" spans="2:18" ht="16.5">
      <c r="B366" s="1278"/>
      <c r="C366" s="1111" t="s">
        <v>6233</v>
      </c>
      <c r="D366" s="1280" t="s">
        <v>6144</v>
      </c>
      <c r="E366" s="1131"/>
      <c r="F366" s="1131"/>
      <c r="G366" s="1117"/>
      <c r="H366" s="1117"/>
      <c r="I366" s="1158"/>
      <c r="J366" s="1184"/>
      <c r="K366" s="1160"/>
      <c r="L366" s="1160"/>
      <c r="M366" s="1160"/>
      <c r="N366" s="1117"/>
      <c r="O366" s="1117"/>
      <c r="P366" s="1117"/>
      <c r="Q366" s="1117"/>
      <c r="R366" s="1131"/>
    </row>
    <row r="367" spans="2:18" ht="16.5">
      <c r="B367" s="1278"/>
      <c r="C367" s="1111" t="s">
        <v>6243</v>
      </c>
      <c r="D367" s="1280" t="s">
        <v>6151</v>
      </c>
      <c r="E367" s="1131"/>
      <c r="F367" s="1131"/>
      <c r="G367" s="1117"/>
      <c r="H367" s="1117"/>
      <c r="I367" s="1158"/>
      <c r="J367" s="1184"/>
      <c r="K367" s="1160"/>
      <c r="L367" s="1160"/>
      <c r="M367" s="1160"/>
      <c r="N367" s="1117"/>
      <c r="O367" s="1117"/>
      <c r="P367" s="1117"/>
      <c r="Q367" s="1117"/>
      <c r="R367" s="1131"/>
    </row>
    <row r="368" spans="2:18" ht="16.5">
      <c r="B368" s="1278"/>
      <c r="C368" s="1111" t="s">
        <v>6246</v>
      </c>
      <c r="D368" s="1280" t="s">
        <v>6166</v>
      </c>
      <c r="E368" s="1131"/>
      <c r="F368" s="1131"/>
      <c r="G368" s="1117"/>
      <c r="H368" s="1117"/>
      <c r="I368" s="1158"/>
      <c r="J368" s="1184"/>
      <c r="K368" s="1160"/>
      <c r="L368" s="1160"/>
      <c r="M368" s="1160"/>
      <c r="N368" s="1117"/>
      <c r="O368" s="1117"/>
      <c r="P368" s="1117"/>
      <c r="Q368" s="1117"/>
      <c r="R368" s="1131"/>
    </row>
    <row r="369" spans="2:18" ht="16.5">
      <c r="B369" s="1278"/>
      <c r="C369" s="1111" t="s">
        <v>6251</v>
      </c>
      <c r="D369" s="1280" t="s">
        <v>6173</v>
      </c>
      <c r="E369" s="1131"/>
      <c r="F369" s="1131"/>
      <c r="G369" s="1117"/>
      <c r="H369" s="1117"/>
      <c r="I369" s="1158"/>
      <c r="J369" s="1184"/>
      <c r="K369" s="1160"/>
      <c r="L369" s="1160"/>
      <c r="M369" s="1160"/>
      <c r="N369" s="1117"/>
      <c r="O369" s="1117"/>
      <c r="P369" s="1117"/>
      <c r="Q369" s="1117"/>
      <c r="R369" s="1131"/>
    </row>
    <row r="370" spans="2:18" ht="16.5">
      <c r="B370" s="1278"/>
      <c r="C370" s="1111" t="s">
        <v>6257</v>
      </c>
      <c r="D370" s="1280" t="s">
        <v>6118</v>
      </c>
      <c r="E370" s="1131"/>
      <c r="F370" s="1131"/>
      <c r="G370" s="1117"/>
      <c r="H370" s="1117"/>
      <c r="I370" s="1158"/>
      <c r="J370" s="1184"/>
      <c r="K370" s="1160"/>
      <c r="L370" s="1160"/>
      <c r="M370" s="1160"/>
      <c r="N370" s="1117"/>
      <c r="O370" s="1117"/>
      <c r="P370" s="1117"/>
      <c r="Q370" s="1117"/>
      <c r="R370" s="1131"/>
    </row>
    <row r="371" spans="2:18" ht="16.5">
      <c r="B371" s="1278"/>
      <c r="C371" s="1111" t="s">
        <v>6263</v>
      </c>
      <c r="D371" s="1280" t="s">
        <v>6126</v>
      </c>
      <c r="E371" s="1131"/>
      <c r="F371" s="1131"/>
      <c r="G371" s="1117"/>
      <c r="H371" s="1117"/>
      <c r="I371" s="1158"/>
      <c r="J371" s="1184"/>
      <c r="K371" s="1160"/>
      <c r="L371" s="1160"/>
      <c r="M371" s="1160"/>
      <c r="N371" s="1117"/>
      <c r="O371" s="1117"/>
      <c r="P371" s="1117"/>
      <c r="Q371" s="1117"/>
      <c r="R371" s="1131"/>
    </row>
    <row r="372" spans="2:18" ht="16.5">
      <c r="B372" s="1278"/>
      <c r="C372" s="1111" t="s">
        <v>6269</v>
      </c>
      <c r="D372" s="1280" t="s">
        <v>6136</v>
      </c>
      <c r="E372" s="1131"/>
      <c r="F372" s="1131"/>
      <c r="G372" s="1117"/>
      <c r="H372" s="1117"/>
      <c r="I372" s="1158"/>
      <c r="J372" s="1184"/>
      <c r="K372" s="1160"/>
      <c r="L372" s="1160"/>
      <c r="M372" s="1160"/>
      <c r="N372" s="1117"/>
      <c r="O372" s="1117"/>
      <c r="P372" s="1117"/>
      <c r="Q372" s="1117"/>
      <c r="R372" s="1131"/>
    </row>
    <row r="373" spans="2:18" ht="16.5">
      <c r="B373" s="1278"/>
      <c r="C373" s="1111" t="s">
        <v>6275</v>
      </c>
      <c r="D373" s="1280" t="s">
        <v>6144</v>
      </c>
      <c r="E373" s="1131"/>
      <c r="F373" s="1131"/>
      <c r="G373" s="1117"/>
      <c r="H373" s="1117"/>
      <c r="I373" s="1158"/>
      <c r="J373" s="1184"/>
      <c r="K373" s="1160"/>
      <c r="L373" s="1160"/>
      <c r="M373" s="1160"/>
      <c r="N373" s="1117"/>
      <c r="O373" s="1117"/>
      <c r="P373" s="1117"/>
      <c r="Q373" s="1117"/>
      <c r="R373" s="1131"/>
    </row>
    <row r="374" spans="2:18" ht="16.5">
      <c r="B374" s="1278"/>
      <c r="C374" s="1111" t="s">
        <v>6281</v>
      </c>
      <c r="D374" s="1280" t="s">
        <v>6151</v>
      </c>
      <c r="E374" s="1131"/>
      <c r="F374" s="1131"/>
      <c r="G374" s="1117"/>
      <c r="H374" s="1117"/>
      <c r="I374" s="1158"/>
      <c r="J374" s="1184"/>
      <c r="K374" s="1160"/>
      <c r="L374" s="1160"/>
      <c r="M374" s="1160"/>
      <c r="N374" s="1117"/>
      <c r="O374" s="1117"/>
      <c r="P374" s="1117"/>
      <c r="Q374" s="1117"/>
      <c r="R374" s="1131"/>
    </row>
    <row r="375" spans="2:18" ht="16.5">
      <c r="B375" s="1278"/>
      <c r="C375" s="1111" t="s">
        <v>6282</v>
      </c>
      <c r="D375" s="1280" t="s">
        <v>6166</v>
      </c>
      <c r="E375" s="1131"/>
      <c r="F375" s="1131"/>
      <c r="G375" s="1117"/>
      <c r="H375" s="1117"/>
      <c r="I375" s="1158"/>
      <c r="J375" s="1184"/>
      <c r="K375" s="1160"/>
      <c r="L375" s="1160"/>
      <c r="M375" s="1160"/>
      <c r="N375" s="1117"/>
      <c r="O375" s="1117"/>
      <c r="P375" s="1117"/>
      <c r="Q375" s="1117"/>
      <c r="R375" s="1131"/>
    </row>
    <row r="376" spans="2:18" ht="16.5">
      <c r="B376" s="1278"/>
      <c r="C376" s="1111" t="s">
        <v>6460</v>
      </c>
      <c r="D376" s="1280" t="s">
        <v>6173</v>
      </c>
      <c r="E376" s="1131"/>
      <c r="F376" s="1131"/>
      <c r="G376" s="1117"/>
      <c r="H376" s="1117"/>
      <c r="I376" s="1158"/>
      <c r="J376" s="1184"/>
      <c r="K376" s="1160"/>
      <c r="L376" s="1160"/>
      <c r="M376" s="1160"/>
      <c r="N376" s="1117"/>
      <c r="O376" s="1117"/>
      <c r="P376" s="1117"/>
      <c r="Q376" s="1117"/>
      <c r="R376" s="1131"/>
    </row>
    <row r="377" spans="2:18" ht="16.5">
      <c r="B377" s="1278"/>
      <c r="C377" s="1111" t="s">
        <v>6290</v>
      </c>
      <c r="D377" s="1280" t="s">
        <v>6118</v>
      </c>
      <c r="E377" s="1131"/>
      <c r="F377" s="1131"/>
      <c r="G377" s="1117"/>
      <c r="H377" s="1117"/>
      <c r="I377" s="1158"/>
      <c r="J377" s="1184"/>
      <c r="K377" s="1160"/>
      <c r="L377" s="1160"/>
      <c r="M377" s="1160"/>
      <c r="N377" s="1117"/>
      <c r="O377" s="1117"/>
      <c r="P377" s="1117"/>
      <c r="Q377" s="1117"/>
      <c r="R377" s="1131"/>
    </row>
    <row r="378" spans="2:18" ht="16.5">
      <c r="B378" s="1278"/>
      <c r="C378" s="1111" t="s">
        <v>6291</v>
      </c>
      <c r="D378" s="1280" t="s">
        <v>6126</v>
      </c>
      <c r="E378" s="1131"/>
      <c r="F378" s="1131"/>
      <c r="G378" s="1117"/>
      <c r="H378" s="1117"/>
      <c r="I378" s="1158"/>
      <c r="J378" s="1184"/>
      <c r="K378" s="1160"/>
      <c r="L378" s="1160"/>
      <c r="M378" s="1160"/>
      <c r="N378" s="1117"/>
      <c r="O378" s="1117"/>
      <c r="P378" s="1117"/>
      <c r="Q378" s="1117"/>
      <c r="R378" s="1131"/>
    </row>
    <row r="379" spans="2:18" ht="16.5">
      <c r="B379" s="1278"/>
      <c r="C379" s="1111" t="s">
        <v>6297</v>
      </c>
      <c r="D379" s="1280" t="s">
        <v>6136</v>
      </c>
      <c r="E379" s="1131"/>
      <c r="F379" s="1131"/>
      <c r="G379" s="1117"/>
      <c r="H379" s="1117"/>
      <c r="I379" s="1158"/>
      <c r="J379" s="1184"/>
      <c r="K379" s="1160"/>
      <c r="L379" s="1160"/>
      <c r="M379" s="1160"/>
      <c r="N379" s="1117"/>
      <c r="O379" s="1117"/>
      <c r="P379" s="1117"/>
      <c r="Q379" s="1117"/>
      <c r="R379" s="1131"/>
    </row>
    <row r="380" spans="2:18" ht="16.5">
      <c r="B380" s="1281"/>
      <c r="C380" s="1111" t="s">
        <v>6303</v>
      </c>
      <c r="D380" s="1280" t="s">
        <v>6144</v>
      </c>
      <c r="E380" s="1131"/>
      <c r="F380" s="1131"/>
      <c r="G380" s="1117"/>
      <c r="H380" s="1117"/>
      <c r="I380" s="1158"/>
      <c r="J380" s="1184"/>
      <c r="K380" s="1160"/>
      <c r="L380" s="1160"/>
      <c r="M380" s="1160"/>
      <c r="N380" s="1117"/>
      <c r="O380" s="1117"/>
      <c r="P380" s="1117"/>
      <c r="Q380" s="1117"/>
      <c r="R380" s="1131"/>
    </row>
    <row r="381" spans="2:18" ht="16.5">
      <c r="B381" s="1110" t="s">
        <v>6633</v>
      </c>
      <c r="C381" s="1111" t="s">
        <v>6484</v>
      </c>
      <c r="D381" s="1280" t="s">
        <v>6151</v>
      </c>
      <c r="E381" s="1131"/>
      <c r="F381" s="1131"/>
      <c r="G381" s="1117"/>
      <c r="H381" s="1117"/>
      <c r="I381" s="1117"/>
      <c r="J381" s="1117"/>
      <c r="K381" s="1165"/>
      <c r="L381" s="1165"/>
      <c r="M381" s="1165"/>
      <c r="N381" s="1117"/>
      <c r="O381" s="1117"/>
      <c r="P381" s="1117"/>
      <c r="Q381" s="1117"/>
      <c r="R381" s="1131"/>
    </row>
    <row r="382" spans="2:18" ht="16.5">
      <c r="B382" s="1278"/>
      <c r="C382" s="1111" t="s">
        <v>6117</v>
      </c>
      <c r="D382" s="1280" t="s">
        <v>6166</v>
      </c>
      <c r="E382" s="1131"/>
      <c r="F382" s="1131"/>
      <c r="G382" s="1117"/>
      <c r="H382" s="1117"/>
      <c r="I382" s="1158"/>
      <c r="J382" s="1184"/>
      <c r="K382" s="1160"/>
      <c r="L382" s="1160"/>
      <c r="M382" s="1160"/>
      <c r="N382" s="1117"/>
      <c r="O382" s="1117"/>
      <c r="P382" s="1117"/>
      <c r="Q382" s="1117"/>
      <c r="R382" s="1131"/>
    </row>
    <row r="383" spans="2:18" ht="16.5">
      <c r="B383" s="1278"/>
      <c r="C383" s="1111" t="s">
        <v>6125</v>
      </c>
      <c r="D383" s="1280" t="s">
        <v>6173</v>
      </c>
      <c r="E383" s="1131"/>
      <c r="F383" s="1131"/>
      <c r="G383" s="1117"/>
      <c r="H383" s="1117"/>
      <c r="I383" s="1158"/>
      <c r="J383" s="1184"/>
      <c r="K383" s="1160"/>
      <c r="L383" s="1160"/>
      <c r="M383" s="1160"/>
      <c r="N383" s="1117"/>
      <c r="O383" s="1117"/>
      <c r="P383" s="1117"/>
      <c r="Q383" s="1117"/>
      <c r="R383" s="1131"/>
    </row>
    <row r="384" spans="2:18" ht="16.5">
      <c r="B384" s="1278"/>
      <c r="C384" s="1111" t="s">
        <v>6135</v>
      </c>
      <c r="D384" s="1280" t="s">
        <v>6118</v>
      </c>
      <c r="E384" s="1131"/>
      <c r="F384" s="1131"/>
      <c r="G384" s="1117"/>
      <c r="H384" s="1117"/>
      <c r="I384" s="1158"/>
      <c r="J384" s="1184"/>
      <c r="K384" s="1160"/>
      <c r="L384" s="1160"/>
      <c r="M384" s="1160"/>
      <c r="N384" s="1117"/>
      <c r="O384" s="1117"/>
      <c r="P384" s="1117"/>
      <c r="Q384" s="1117"/>
      <c r="R384" s="1131"/>
    </row>
    <row r="385" spans="2:18" ht="16.5">
      <c r="B385" s="1278"/>
      <c r="C385" s="1111" t="s">
        <v>6143</v>
      </c>
      <c r="D385" s="1280" t="s">
        <v>6126</v>
      </c>
      <c r="E385" s="1131"/>
      <c r="F385" s="1131"/>
      <c r="G385" s="1117"/>
      <c r="H385" s="1117"/>
      <c r="I385" s="1158"/>
      <c r="J385" s="1184"/>
      <c r="K385" s="1160"/>
      <c r="L385" s="1160"/>
      <c r="M385" s="1160"/>
      <c r="N385" s="1117"/>
      <c r="O385" s="1117"/>
      <c r="P385" s="1117"/>
      <c r="Q385" s="1117"/>
      <c r="R385" s="1131"/>
    </row>
    <row r="386" spans="2:18" ht="16.5">
      <c r="B386" s="1278"/>
      <c r="C386" s="1111" t="s">
        <v>6150</v>
      </c>
      <c r="D386" s="1280" t="s">
        <v>6136</v>
      </c>
      <c r="E386" s="1131"/>
      <c r="F386" s="1131"/>
      <c r="G386" s="1117"/>
      <c r="H386" s="1117"/>
      <c r="I386" s="1158"/>
      <c r="J386" s="1184"/>
      <c r="K386" s="1160"/>
      <c r="L386" s="1160"/>
      <c r="M386" s="1160"/>
      <c r="N386" s="1117"/>
      <c r="O386" s="1117"/>
      <c r="P386" s="1117"/>
      <c r="Q386" s="1117"/>
      <c r="R386" s="1131"/>
    </row>
    <row r="387" spans="2:18" ht="16.5">
      <c r="B387" s="1278"/>
      <c r="C387" s="1111" t="s">
        <v>6165</v>
      </c>
      <c r="D387" s="1280" t="s">
        <v>6144</v>
      </c>
      <c r="E387" s="1131"/>
      <c r="F387" s="1131"/>
      <c r="G387" s="1117"/>
      <c r="H387" s="1117"/>
      <c r="I387" s="1158"/>
      <c r="J387" s="1184"/>
      <c r="K387" s="1160"/>
      <c r="L387" s="1160"/>
      <c r="M387" s="1160"/>
      <c r="N387" s="1117"/>
      <c r="O387" s="1117"/>
      <c r="P387" s="1117"/>
      <c r="Q387" s="1117"/>
      <c r="R387" s="1131"/>
    </row>
    <row r="388" spans="2:18" ht="16.5">
      <c r="B388" s="1278"/>
      <c r="C388" s="1111" t="s">
        <v>6172</v>
      </c>
      <c r="D388" s="1280" t="s">
        <v>6151</v>
      </c>
      <c r="E388" s="1131"/>
      <c r="F388" s="1131"/>
      <c r="G388" s="1117"/>
      <c r="H388" s="1117"/>
      <c r="I388" s="1158"/>
      <c r="J388" s="1184"/>
      <c r="K388" s="1160"/>
      <c r="L388" s="1160"/>
      <c r="M388" s="1160"/>
      <c r="N388" s="1117"/>
      <c r="O388" s="1117"/>
      <c r="P388" s="1117"/>
      <c r="Q388" s="1117"/>
      <c r="R388" s="1131"/>
    </row>
    <row r="389" spans="2:18" ht="16.5">
      <c r="B389" s="1278"/>
      <c r="C389" s="1111" t="s">
        <v>6186</v>
      </c>
      <c r="D389" s="1280" t="s">
        <v>6166</v>
      </c>
      <c r="E389" s="1131"/>
      <c r="F389" s="1131"/>
      <c r="G389" s="1117"/>
      <c r="H389" s="1117"/>
      <c r="I389" s="1158"/>
      <c r="J389" s="1184"/>
      <c r="K389" s="1160"/>
      <c r="L389" s="1160"/>
      <c r="M389" s="1160"/>
      <c r="N389" s="1117"/>
      <c r="O389" s="1117"/>
      <c r="P389" s="1117"/>
      <c r="Q389" s="1117"/>
      <c r="R389" s="1131"/>
    </row>
    <row r="390" spans="2:18" ht="16.5">
      <c r="B390" s="1278"/>
      <c r="C390" s="1111" t="s">
        <v>6193</v>
      </c>
      <c r="D390" s="1280" t="s">
        <v>6173</v>
      </c>
      <c r="E390" s="1131"/>
      <c r="F390" s="1131"/>
      <c r="G390" s="1117"/>
      <c r="H390" s="1117"/>
      <c r="I390" s="1158"/>
      <c r="J390" s="1184"/>
      <c r="K390" s="1160"/>
      <c r="L390" s="1160"/>
      <c r="M390" s="1160"/>
      <c r="N390" s="1117"/>
      <c r="O390" s="1117"/>
      <c r="P390" s="1117"/>
      <c r="Q390" s="1117"/>
      <c r="R390" s="1131"/>
    </row>
    <row r="391" spans="2:18" ht="16.5">
      <c r="B391" s="1278"/>
      <c r="C391" s="1111" t="s">
        <v>6195</v>
      </c>
      <c r="D391" s="1280" t="s">
        <v>6118</v>
      </c>
      <c r="E391" s="1131"/>
      <c r="F391" s="1131"/>
      <c r="G391" s="1117"/>
      <c r="H391" s="1117"/>
      <c r="I391" s="1158"/>
      <c r="J391" s="1184"/>
      <c r="K391" s="1160"/>
      <c r="L391" s="1160"/>
      <c r="M391" s="1160"/>
      <c r="N391" s="1117"/>
      <c r="O391" s="1117"/>
      <c r="P391" s="1117"/>
      <c r="Q391" s="1117"/>
      <c r="R391" s="1131"/>
    </row>
    <row r="392" spans="2:18" ht="16.5">
      <c r="B392" s="1278"/>
      <c r="C392" s="1111" t="s">
        <v>6202</v>
      </c>
      <c r="D392" s="1280" t="s">
        <v>6126</v>
      </c>
      <c r="E392" s="1131"/>
      <c r="F392" s="1131"/>
      <c r="G392" s="1117"/>
      <c r="H392" s="1117"/>
      <c r="I392" s="1158"/>
      <c r="J392" s="1184"/>
      <c r="K392" s="1160"/>
      <c r="L392" s="1160"/>
      <c r="M392" s="1160"/>
      <c r="N392" s="1117"/>
      <c r="O392" s="1117"/>
      <c r="P392" s="1117"/>
      <c r="Q392" s="1117"/>
      <c r="R392" s="1131"/>
    </row>
    <row r="393" spans="2:18" ht="16.5">
      <c r="B393" s="1278"/>
      <c r="C393" s="1111" t="s">
        <v>6208</v>
      </c>
      <c r="D393" s="1280" t="s">
        <v>6136</v>
      </c>
      <c r="E393" s="1131"/>
      <c r="F393" s="1131"/>
      <c r="G393" s="1117"/>
      <c r="H393" s="1117"/>
      <c r="I393" s="1158"/>
      <c r="J393" s="1184"/>
      <c r="K393" s="1160"/>
      <c r="L393" s="1160"/>
      <c r="M393" s="1160"/>
      <c r="N393" s="1117"/>
      <c r="O393" s="1117"/>
      <c r="P393" s="1117"/>
      <c r="Q393" s="1117"/>
      <c r="R393" s="1131"/>
    </row>
    <row r="394" spans="2:18" ht="16.5">
      <c r="B394" s="1278"/>
      <c r="C394" s="1111" t="s">
        <v>6218</v>
      </c>
      <c r="D394" s="1280" t="s">
        <v>6144</v>
      </c>
      <c r="E394" s="1131"/>
      <c r="F394" s="1131"/>
      <c r="G394" s="1117"/>
      <c r="H394" s="1117"/>
      <c r="I394" s="1158"/>
      <c r="J394" s="1184"/>
      <c r="K394" s="1160"/>
      <c r="L394" s="1160"/>
      <c r="M394" s="1160"/>
      <c r="N394" s="1117"/>
      <c r="O394" s="1117"/>
      <c r="P394" s="1117"/>
      <c r="Q394" s="1117"/>
      <c r="R394" s="1131"/>
    </row>
    <row r="395" spans="2:18" ht="16.5">
      <c r="B395" s="1278"/>
      <c r="C395" s="1111" t="s">
        <v>6224</v>
      </c>
      <c r="D395" s="1280" t="s">
        <v>6151</v>
      </c>
      <c r="E395" s="1131"/>
      <c r="F395" s="1131"/>
      <c r="G395" s="1117"/>
      <c r="H395" s="1117"/>
      <c r="I395" s="1158"/>
      <c r="J395" s="1184"/>
      <c r="K395" s="1160"/>
      <c r="L395" s="1160"/>
      <c r="M395" s="1160"/>
      <c r="N395" s="1117"/>
      <c r="O395" s="1117"/>
      <c r="P395" s="1117"/>
      <c r="Q395" s="1117"/>
      <c r="R395" s="1131"/>
    </row>
    <row r="396" spans="2:18" ht="16.5">
      <c r="B396" s="1278"/>
      <c r="C396" s="1111" t="s">
        <v>6233</v>
      </c>
      <c r="D396" s="1280" t="s">
        <v>6166</v>
      </c>
      <c r="E396" s="1131"/>
      <c r="F396" s="1131"/>
      <c r="G396" s="1117"/>
      <c r="H396" s="1117"/>
      <c r="I396" s="1158"/>
      <c r="J396" s="1184"/>
      <c r="K396" s="1160"/>
      <c r="L396" s="1160"/>
      <c r="M396" s="1160"/>
      <c r="N396" s="1117"/>
      <c r="O396" s="1117"/>
      <c r="P396" s="1117"/>
      <c r="Q396" s="1117"/>
      <c r="R396" s="1131"/>
    </row>
    <row r="397" spans="2:18" ht="16.5">
      <c r="B397" s="1278"/>
      <c r="C397" s="1111" t="s">
        <v>6243</v>
      </c>
      <c r="D397" s="1280" t="s">
        <v>6173</v>
      </c>
      <c r="E397" s="1131"/>
      <c r="F397" s="1131"/>
      <c r="G397" s="1117"/>
      <c r="H397" s="1117"/>
      <c r="I397" s="1158"/>
      <c r="J397" s="1184"/>
      <c r="K397" s="1160"/>
      <c r="L397" s="1160"/>
      <c r="M397" s="1160"/>
      <c r="N397" s="1117"/>
      <c r="O397" s="1117"/>
      <c r="P397" s="1117"/>
      <c r="Q397" s="1117"/>
      <c r="R397" s="1131"/>
    </row>
    <row r="398" spans="2:18" ht="16.5">
      <c r="B398" s="1278"/>
      <c r="C398" s="1111" t="s">
        <v>6246</v>
      </c>
      <c r="D398" s="1280" t="s">
        <v>6118</v>
      </c>
      <c r="E398" s="1131"/>
      <c r="F398" s="1131"/>
      <c r="G398" s="1117"/>
      <c r="H398" s="1117"/>
      <c r="I398" s="1158"/>
      <c r="J398" s="1184"/>
      <c r="K398" s="1160"/>
      <c r="L398" s="1160"/>
      <c r="M398" s="1160"/>
      <c r="N398" s="1117"/>
      <c r="O398" s="1117"/>
      <c r="P398" s="1117"/>
      <c r="Q398" s="1117"/>
      <c r="R398" s="1131"/>
    </row>
    <row r="399" spans="2:18" ht="16.5">
      <c r="B399" s="1278"/>
      <c r="C399" s="1111" t="s">
        <v>6251</v>
      </c>
      <c r="D399" s="1280" t="s">
        <v>6126</v>
      </c>
      <c r="E399" s="1131"/>
      <c r="F399" s="1131"/>
      <c r="G399" s="1117"/>
      <c r="H399" s="1117"/>
      <c r="I399" s="1158"/>
      <c r="J399" s="1184"/>
      <c r="K399" s="1160"/>
      <c r="L399" s="1160"/>
      <c r="M399" s="1160"/>
      <c r="N399" s="1117"/>
      <c r="O399" s="1117"/>
      <c r="P399" s="1117"/>
      <c r="Q399" s="1117"/>
      <c r="R399" s="1131"/>
    </row>
    <row r="400" spans="2:18" ht="16.5">
      <c r="B400" s="1278"/>
      <c r="C400" s="1111" t="s">
        <v>6257</v>
      </c>
      <c r="D400" s="1280" t="s">
        <v>6136</v>
      </c>
      <c r="E400" s="1131"/>
      <c r="F400" s="1131"/>
      <c r="G400" s="1117"/>
      <c r="H400" s="1117"/>
      <c r="I400" s="1158"/>
      <c r="J400" s="1184"/>
      <c r="K400" s="1160"/>
      <c r="L400" s="1160"/>
      <c r="M400" s="1160"/>
      <c r="N400" s="1117"/>
      <c r="O400" s="1117"/>
      <c r="P400" s="1117"/>
      <c r="Q400" s="1117"/>
      <c r="R400" s="1131"/>
    </row>
    <row r="401" spans="2:18" ht="16.5">
      <c r="B401" s="1278"/>
      <c r="C401" s="1111" t="s">
        <v>6263</v>
      </c>
      <c r="D401" s="1280" t="s">
        <v>6144</v>
      </c>
      <c r="E401" s="1131"/>
      <c r="F401" s="1131"/>
      <c r="G401" s="1117"/>
      <c r="H401" s="1117"/>
      <c r="I401" s="1158"/>
      <c r="J401" s="1184"/>
      <c r="K401" s="1160"/>
      <c r="L401" s="1160"/>
      <c r="M401" s="1160"/>
      <c r="N401" s="1117"/>
      <c r="O401" s="1117"/>
      <c r="P401" s="1117"/>
      <c r="Q401" s="1117"/>
      <c r="R401" s="1131"/>
    </row>
    <row r="402" spans="2:18" ht="16.5">
      <c r="B402" s="1278"/>
      <c r="C402" s="1111" t="s">
        <v>6269</v>
      </c>
      <c r="D402" s="1280" t="s">
        <v>6151</v>
      </c>
      <c r="E402" s="1131"/>
      <c r="F402" s="1131"/>
      <c r="G402" s="1117"/>
      <c r="H402" s="1117"/>
      <c r="I402" s="1158"/>
      <c r="J402" s="1184"/>
      <c r="K402" s="1160"/>
      <c r="L402" s="1160"/>
      <c r="M402" s="1160"/>
      <c r="N402" s="1117"/>
      <c r="O402" s="1117"/>
      <c r="P402" s="1117"/>
      <c r="Q402" s="1117"/>
      <c r="R402" s="1131"/>
    </row>
    <row r="403" spans="2:18" ht="16.5">
      <c r="B403" s="1278"/>
      <c r="C403" s="1111" t="s">
        <v>6275</v>
      </c>
      <c r="D403" s="1280" t="s">
        <v>6166</v>
      </c>
      <c r="E403" s="1131"/>
      <c r="F403" s="1131"/>
      <c r="G403" s="1117"/>
      <c r="H403" s="1117"/>
      <c r="I403" s="1158"/>
      <c r="J403" s="1184"/>
      <c r="K403" s="1160"/>
      <c r="L403" s="1160"/>
      <c r="M403" s="1160"/>
      <c r="N403" s="1117"/>
      <c r="O403" s="1117"/>
      <c r="P403" s="1117"/>
      <c r="Q403" s="1117"/>
      <c r="R403" s="1131"/>
    </row>
    <row r="404" spans="2:18" ht="16.5">
      <c r="B404" s="1278"/>
      <c r="C404" s="1111" t="s">
        <v>6281</v>
      </c>
      <c r="D404" s="1280" t="s">
        <v>6173</v>
      </c>
      <c r="E404" s="1131"/>
      <c r="F404" s="1131"/>
      <c r="G404" s="1117"/>
      <c r="H404" s="1117"/>
      <c r="I404" s="1158"/>
      <c r="J404" s="1184"/>
      <c r="K404" s="1160"/>
      <c r="L404" s="1160"/>
      <c r="M404" s="1160"/>
      <c r="N404" s="1117"/>
      <c r="O404" s="1117"/>
      <c r="P404" s="1117"/>
      <c r="Q404" s="1117"/>
      <c r="R404" s="1131"/>
    </row>
    <row r="405" spans="2:18" ht="16.5">
      <c r="B405" s="1278"/>
      <c r="C405" s="1111" t="s">
        <v>6282</v>
      </c>
      <c r="D405" s="1280" t="s">
        <v>6118</v>
      </c>
      <c r="E405" s="1131"/>
      <c r="F405" s="1131"/>
      <c r="G405" s="1117"/>
      <c r="H405" s="1117"/>
      <c r="I405" s="1158"/>
      <c r="J405" s="1184"/>
      <c r="K405" s="1160"/>
      <c r="L405" s="1160"/>
      <c r="M405" s="1160"/>
      <c r="N405" s="1117"/>
      <c r="O405" s="1117"/>
      <c r="P405" s="1117"/>
      <c r="Q405" s="1117"/>
      <c r="R405" s="1131"/>
    </row>
    <row r="406" spans="2:18" ht="16.5">
      <c r="B406" s="1278"/>
      <c r="C406" s="1111" t="s">
        <v>6460</v>
      </c>
      <c r="D406" s="1280" t="s">
        <v>6126</v>
      </c>
      <c r="E406" s="1131"/>
      <c r="F406" s="1131"/>
      <c r="G406" s="1117"/>
      <c r="H406" s="1117"/>
      <c r="I406" s="1158"/>
      <c r="J406" s="1184"/>
      <c r="K406" s="1160"/>
      <c r="L406" s="1160"/>
      <c r="M406" s="1160"/>
      <c r="N406" s="1117"/>
      <c r="O406" s="1117"/>
      <c r="P406" s="1117"/>
      <c r="Q406" s="1117"/>
      <c r="R406" s="1131"/>
    </row>
    <row r="407" spans="2:18" ht="16.5">
      <c r="B407" s="1278"/>
      <c r="C407" s="1111" t="s">
        <v>6290</v>
      </c>
      <c r="D407" s="1280" t="s">
        <v>6136</v>
      </c>
      <c r="E407" s="1131"/>
      <c r="F407" s="1131"/>
      <c r="G407" s="1117"/>
      <c r="H407" s="1117"/>
      <c r="I407" s="1158"/>
      <c r="J407" s="1184"/>
      <c r="K407" s="1160"/>
      <c r="L407" s="1160"/>
      <c r="M407" s="1160"/>
      <c r="N407" s="1117"/>
      <c r="O407" s="1117"/>
      <c r="P407" s="1117"/>
      <c r="Q407" s="1117"/>
      <c r="R407" s="1131"/>
    </row>
    <row r="408" spans="2:18" ht="16.5">
      <c r="B408" s="1278"/>
      <c r="C408" s="1111" t="s">
        <v>6291</v>
      </c>
      <c r="D408" s="1280" t="s">
        <v>6144</v>
      </c>
      <c r="E408" s="1131"/>
      <c r="F408" s="1131"/>
      <c r="G408" s="1117"/>
      <c r="H408" s="1117"/>
      <c r="I408" s="1158"/>
      <c r="J408" s="1184"/>
      <c r="K408" s="1160"/>
      <c r="L408" s="1160"/>
      <c r="M408" s="1160"/>
      <c r="N408" s="1117"/>
      <c r="O408" s="1117"/>
      <c r="P408" s="1117"/>
      <c r="Q408" s="1117"/>
      <c r="R408" s="1131"/>
    </row>
    <row r="409" spans="2:18" ht="16.5">
      <c r="B409" s="1278"/>
      <c r="C409" s="1111" t="s">
        <v>6297</v>
      </c>
      <c r="D409" s="1280" t="s">
        <v>6151</v>
      </c>
      <c r="E409" s="1131"/>
      <c r="F409" s="1131"/>
      <c r="G409" s="1117"/>
      <c r="H409" s="1117"/>
      <c r="I409" s="1158"/>
      <c r="J409" s="1184"/>
      <c r="K409" s="1160"/>
      <c r="L409" s="1160"/>
      <c r="M409" s="1160"/>
      <c r="N409" s="1117"/>
      <c r="O409" s="1117"/>
      <c r="P409" s="1117"/>
      <c r="Q409" s="1117"/>
      <c r="R409" s="1131"/>
    </row>
    <row r="410" spans="2:18" ht="16.5">
      <c r="B410" s="1278"/>
      <c r="C410" s="1111" t="s">
        <v>6303</v>
      </c>
      <c r="D410" s="1280" t="s">
        <v>6166</v>
      </c>
      <c r="E410" s="1131"/>
      <c r="F410" s="1131"/>
      <c r="G410" s="1117"/>
      <c r="H410" s="1117"/>
      <c r="I410" s="1158"/>
      <c r="J410" s="1184"/>
      <c r="K410" s="1160"/>
      <c r="L410" s="1160"/>
      <c r="M410" s="1160"/>
      <c r="N410" s="1117"/>
      <c r="O410" s="1117"/>
      <c r="P410" s="1117"/>
      <c r="Q410" s="1117"/>
      <c r="R410" s="1131"/>
    </row>
    <row r="411" spans="2:18" ht="16.5">
      <c r="B411" s="1274"/>
      <c r="C411" s="1111" t="s">
        <v>6309</v>
      </c>
      <c r="D411" s="1280" t="s">
        <v>6173</v>
      </c>
      <c r="E411" s="1131"/>
      <c r="F411" s="1131"/>
      <c r="G411" s="1117"/>
      <c r="H411" s="1117"/>
      <c r="I411" s="1158"/>
      <c r="J411" s="1184"/>
      <c r="K411" s="1160"/>
      <c r="L411" s="1160"/>
      <c r="M411" s="1160"/>
      <c r="N411" s="1117"/>
      <c r="O411" s="1117"/>
      <c r="P411" s="1117"/>
      <c r="Q411" s="1117"/>
      <c r="R411" s="1118"/>
    </row>
  </sheetData>
  <autoFilter ref="A3:R3" xr:uid="{504F15EA-56EF-49F1-880A-6AE6D18DD7B4}"/>
  <mergeCells count="2">
    <mergeCell ref="B41:B90"/>
    <mergeCell ref="A121:A122"/>
  </mergeCells>
  <phoneticPr fontId="4" type="noConversion"/>
  <conditionalFormatting sqref="D4:D1048576">
    <cfRule type="containsText" dxfId="214" priority="1" operator="containsText" text="일">
      <formula>NOT(ISERROR(SEARCH("일",D4)))</formula>
    </cfRule>
    <cfRule type="containsText" dxfId="213" priority="2" operator="containsText" text="토">
      <formula>NOT(ISERROR(SEARCH("토",D4)))</formula>
    </cfRule>
  </conditionalFormatting>
  <hyperlinks>
    <hyperlink ref="R12" r:id="rId1" xr:uid="{2EE3A7BA-F17A-4C55-BE4A-825C1212045F}"/>
    <hyperlink ref="R9" r:id="rId2" xr:uid="{0873EB43-1FAB-4634-A15C-A80B299DFB52}"/>
    <hyperlink ref="R6" r:id="rId3" xr:uid="{D67DB65B-7AAC-477A-80D1-E001768AEAE1}"/>
    <hyperlink ref="R8" r:id="rId4" xr:uid="{45BF4583-60F7-4560-ACB2-4031B6504C2B}"/>
    <hyperlink ref="R16" r:id="rId5" xr:uid="{4840B3AF-F293-4583-970A-1F4DC2A0131C}"/>
    <hyperlink ref="R21" r:id="rId6" xr:uid="{FE8052CD-37B2-4B08-B661-98EE54A65629}"/>
    <hyperlink ref="R27" r:id="rId7" xr:uid="{836175F8-2347-441B-82DC-BC8ADF6BAA93}"/>
    <hyperlink ref="R29" r:id="rId8" xr:uid="{C6924F13-F643-4AF5-9546-A86D184C54B5}"/>
    <hyperlink ref="R14" r:id="rId9" xr:uid="{0F2631DD-5BFE-40F9-B466-2DB24864D46C}"/>
    <hyperlink ref="R30" r:id="rId10" xr:uid="{E6119CDF-7AD4-471B-AB8E-5039F6583474}"/>
    <hyperlink ref="R20" r:id="rId11" xr:uid="{6285AF86-930B-493A-82C0-D0C2838FBFEC}"/>
    <hyperlink ref="R11" r:id="rId12" xr:uid="{E1FD2D08-A715-412A-8DB7-30A600BE334B}"/>
    <hyperlink ref="R24" r:id="rId13" xr:uid="{30596A63-55CF-4167-BBB8-7D282B3FF849}"/>
    <hyperlink ref="R28" r:id="rId14" xr:uid="{1649CC66-77FA-46C0-9ECA-337261F32E4F}"/>
    <hyperlink ref="R31" r:id="rId15" xr:uid="{C372F034-D5EE-48B9-8E7E-2CB0155A4907}"/>
    <hyperlink ref="R40" r:id="rId16" xr:uid="{D07B95C8-1606-454F-A041-C83282C4C291}"/>
    <hyperlink ref="R19" r:id="rId17" xr:uid="{DDFC36EF-C3CD-42D3-927A-F44FBF3AE331}"/>
    <hyperlink ref="R17" r:id="rId18" xr:uid="{AE7EF39F-A093-4425-BA50-876F9441417E}"/>
    <hyperlink ref="R37" r:id="rId19" xr:uid="{708B2EA7-2CDA-4C1E-A231-3606C8E246C5}"/>
    <hyperlink ref="R26" r:id="rId20" display="https://m.shinsegaetvshopping.com/plan/detail/" xr:uid="{2F42A4AC-20CB-4E84-A723-25F7D49B7914}"/>
    <hyperlink ref="R39" r:id="rId21" xr:uid="{8E56549A-438E-4619-95FE-FC52AF451808}"/>
    <hyperlink ref="R7" r:id="rId22" xr:uid="{115FB48D-6CE0-4BC9-AE8A-4CCC5A9E556E}"/>
    <hyperlink ref="R38" r:id="rId23" xr:uid="{762672DA-0EDF-4994-A7B5-4B4C1A72B09B}"/>
    <hyperlink ref="R4" r:id="rId24" xr:uid="{6301E5F9-5598-485F-A573-EF683C0E2136}"/>
    <hyperlink ref="R67" r:id="rId25" xr:uid="{E235E5E4-9432-49AB-AE3E-966803FE7BC7}"/>
    <hyperlink ref="R35" r:id="rId26" display="https://www.shinsegaetvshopping.com/deal/detail/202311024280" xr:uid="{A759B276-84A1-4D1A-BE54-1660EC7A60CC}"/>
    <hyperlink ref="R62" r:id="rId27" xr:uid="{F47EB621-5312-4BAC-8584-8EA04A7E9D9D}"/>
    <hyperlink ref="R42" r:id="rId28" location="currpage=1" xr:uid="{16EC6854-14B7-4FD2-88BD-35E3C6F8C871}"/>
    <hyperlink ref="R48" r:id="rId29" xr:uid="{CCD20268-3EBA-4248-90B7-C22593E655B1}"/>
    <hyperlink ref="R53" r:id="rId30" xr:uid="{03B349F4-5E23-4129-8CA3-AA467111777A}"/>
    <hyperlink ref="R63" r:id="rId31" xr:uid="{E797558C-8A13-438C-A36D-14611B7BC18E}"/>
    <hyperlink ref="R66" r:id="rId32" xr:uid="{A42DFA59-1E24-40CC-9967-7794A75B4A23}"/>
    <hyperlink ref="R68" r:id="rId33" xr:uid="{F10A6639-8B18-4C60-8F3C-A3046EA97697}"/>
    <hyperlink ref="R79" r:id="rId34" xr:uid="{EEF81AA4-7650-425B-A457-4D2E44BBD742}"/>
    <hyperlink ref="R82" r:id="rId35" xr:uid="{3F0D7EB2-8510-4ED2-886E-E19923E279FF}"/>
    <hyperlink ref="R87" r:id="rId36" xr:uid="{E1E78F9A-1E0A-4D3A-AB3D-F3CB5A5CF2ED}"/>
    <hyperlink ref="R90" r:id="rId37" xr:uid="{C6C9DAB3-1894-40DD-8E25-5C60861177E0}"/>
    <hyperlink ref="R10" r:id="rId38" xr:uid="{6B232E88-C8A1-450F-ACD1-C71A6A76EC3B}"/>
    <hyperlink ref="R13" r:id="rId39" xr:uid="{7872BC45-C84A-45F7-B14D-73A4B77025E5}"/>
    <hyperlink ref="R52" r:id="rId40" xr:uid="{0391CC27-7058-4719-8C74-A9BBFF999924}"/>
    <hyperlink ref="R55" r:id="rId41" xr:uid="{0C15DA73-98AE-49E6-A7A8-774DF2A0FC24}"/>
  </hyperlinks>
  <pageMargins left="0.7" right="0.7" top="0.75" bottom="0.75" header="0.3" footer="0.3"/>
  <headerFooter>
    <oddFooter>&amp;L_x000D_&amp;1#&amp;"Calibri"&amp;8&amp;K000000 jisunan@shinsegae.com, 안지선(파트너) - 모바일마케팅팀, 통합 문서1, 2024-11-29T15:21:49</oddFooter>
  </headerFooter>
  <legacyDrawing r:id="rId4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8185F-6C8A-48B8-8DB2-CCD60C71D688}">
  <sheetPr>
    <tabColor theme="7" tint="0.39997558519241921"/>
  </sheetPr>
  <dimension ref="A1:U1999"/>
  <sheetViews>
    <sheetView showGridLines="0" zoomScale="85" zoomScaleNormal="85" workbookViewId="0">
      <pane xSplit="10" ySplit="3" topLeftCell="K347" activePane="bottomRight" state="frozen"/>
      <selection pane="topRight" activeCell="H1" sqref="H1"/>
      <selection pane="bottomLeft" activeCell="A4" sqref="A4"/>
      <selection pane="bottomRight" activeCell="B343" sqref="B343:B352"/>
    </sheetView>
  </sheetViews>
  <sheetFormatPr defaultColWidth="9" defaultRowHeight="13.5" outlineLevelRow="1"/>
  <cols>
    <col min="1" max="1" width="3.625" style="741" customWidth="1"/>
    <col min="2" max="2" width="11.75" style="744" customWidth="1"/>
    <col min="3" max="3" width="7.625" style="1082" customWidth="1"/>
    <col min="4" max="4" width="11.375" style="1083" customWidth="1"/>
    <col min="5" max="5" width="9.125" style="741" bestFit="1" customWidth="1"/>
    <col min="6" max="6" width="9.875" style="741" bestFit="1" customWidth="1"/>
    <col min="7" max="7" width="19.75" style="738" bestFit="1" customWidth="1"/>
    <col min="8" max="8" width="16.75" style="951" customWidth="1"/>
    <col min="9" max="9" width="13.625" style="738" customWidth="1"/>
    <col min="10" max="10" width="48.625" style="741" customWidth="1"/>
    <col min="11" max="11" width="11.875" style="1028" bestFit="1" customWidth="1"/>
    <col min="12" max="12" width="20.5" style="1028" bestFit="1" customWidth="1"/>
    <col min="13" max="13" width="11.875" style="1028" bestFit="1" customWidth="1"/>
    <col min="14" max="14" width="8.75" style="742" bestFit="1" customWidth="1"/>
    <col min="15" max="15" width="6.5" style="742" bestFit="1" customWidth="1"/>
    <col min="16" max="16" width="10.625" style="738" bestFit="1" customWidth="1"/>
    <col min="17" max="17" width="34.75" style="772" customWidth="1"/>
    <col min="18" max="18" width="67.625" style="741" customWidth="1"/>
    <col min="19" max="19" width="18" style="741" bestFit="1" customWidth="1"/>
    <col min="20" max="20" width="12.75" style="741" bestFit="1" customWidth="1"/>
    <col min="21" max="16384" width="9" style="741"/>
  </cols>
  <sheetData>
    <row r="1" spans="1:20">
      <c r="A1" s="733" t="s">
        <v>4418</v>
      </c>
      <c r="B1" s="734"/>
      <c r="C1" s="735"/>
      <c r="D1" s="736"/>
      <c r="E1" s="737"/>
      <c r="F1" s="737"/>
      <c r="H1" s="739"/>
      <c r="J1" s="740"/>
      <c r="K1" s="741"/>
      <c r="L1" s="741"/>
      <c r="M1" s="738"/>
      <c r="Q1" s="741"/>
    </row>
    <row r="2" spans="1:20">
      <c r="A2" s="743" t="s">
        <v>4419</v>
      </c>
      <c r="C2" s="745"/>
      <c r="D2" s="746"/>
      <c r="H2" s="747" t="s">
        <v>4420</v>
      </c>
      <c r="K2" s="741"/>
      <c r="L2" s="748" t="s">
        <v>4421</v>
      </c>
      <c r="M2" s="738"/>
      <c r="Q2" s="741"/>
      <c r="R2" s="749"/>
      <c r="S2" s="748" t="s">
        <v>4422</v>
      </c>
      <c r="T2" s="748" t="s">
        <v>4422</v>
      </c>
    </row>
    <row r="3" spans="1:20" ht="34.5" customHeight="1">
      <c r="B3" s="750" t="s">
        <v>4423</v>
      </c>
      <c r="C3" s="751" t="s">
        <v>4424</v>
      </c>
      <c r="D3" s="752" t="s">
        <v>4425</v>
      </c>
      <c r="E3" s="750" t="s">
        <v>24</v>
      </c>
      <c r="F3" s="750" t="s">
        <v>4426</v>
      </c>
      <c r="G3" s="750" t="s">
        <v>4427</v>
      </c>
      <c r="H3" s="753" t="s">
        <v>4428</v>
      </c>
      <c r="I3" s="750" t="s">
        <v>9</v>
      </c>
      <c r="J3" s="750" t="s">
        <v>10</v>
      </c>
      <c r="K3" s="754" t="s">
        <v>4429</v>
      </c>
      <c r="L3" s="755" t="s">
        <v>4430</v>
      </c>
      <c r="M3" s="756" t="s">
        <v>4431</v>
      </c>
      <c r="N3" s="757" t="s">
        <v>4432</v>
      </c>
      <c r="O3" s="758" t="s">
        <v>4433</v>
      </c>
      <c r="P3" s="751" t="s">
        <v>4434</v>
      </c>
      <c r="Q3" s="750" t="s">
        <v>4435</v>
      </c>
      <c r="R3" s="759" t="s">
        <v>4436</v>
      </c>
      <c r="S3" s="760" t="s">
        <v>4437</v>
      </c>
      <c r="T3" s="760" t="s">
        <v>4438</v>
      </c>
    </row>
    <row r="4" spans="1:20" ht="13.5" customHeight="1" outlineLevel="1">
      <c r="B4" s="1438" t="s">
        <v>4439</v>
      </c>
      <c r="C4" s="1438"/>
      <c r="D4" s="1438"/>
      <c r="E4" s="1438"/>
      <c r="F4" s="1438"/>
      <c r="G4" s="1438"/>
      <c r="H4" s="1438"/>
      <c r="I4" s="1438"/>
      <c r="J4" s="1438"/>
      <c r="K4" s="1438"/>
      <c r="L4" s="1438"/>
      <c r="M4" s="1438"/>
      <c r="N4" s="1438"/>
      <c r="O4" s="1438"/>
      <c r="P4" s="1438"/>
      <c r="Q4" s="1438"/>
      <c r="R4" s="1438"/>
      <c r="S4" s="761" t="s">
        <v>4440</v>
      </c>
      <c r="T4" s="761" t="s">
        <v>4441</v>
      </c>
    </row>
    <row r="5" spans="1:20" outlineLevel="1">
      <c r="B5" s="1439" t="s">
        <v>4442</v>
      </c>
      <c r="C5" s="762" t="s">
        <v>4443</v>
      </c>
      <c r="D5" s="763" t="s">
        <v>4444</v>
      </c>
      <c r="E5" s="764" t="s">
        <v>137</v>
      </c>
      <c r="F5" s="764" t="s">
        <v>4445</v>
      </c>
      <c r="G5" s="765" t="s">
        <v>4446</v>
      </c>
      <c r="H5" s="766">
        <v>202405028072</v>
      </c>
      <c r="I5" s="767" t="s">
        <v>4447</v>
      </c>
      <c r="J5" s="768" t="s">
        <v>4448</v>
      </c>
      <c r="K5" s="769">
        <v>39800</v>
      </c>
      <c r="L5" s="769">
        <v>34020</v>
      </c>
      <c r="M5" s="769"/>
      <c r="N5" s="770">
        <v>0.15</v>
      </c>
      <c r="O5" s="770">
        <v>0.15</v>
      </c>
      <c r="P5" s="771" t="s">
        <v>4449</v>
      </c>
      <c r="Q5" s="772" t="s">
        <v>4450</v>
      </c>
      <c r="R5" s="773" t="s">
        <v>4451</v>
      </c>
      <c r="S5" s="773" t="s">
        <v>4452</v>
      </c>
      <c r="T5" s="773"/>
    </row>
    <row r="6" spans="1:20" ht="16.5" customHeight="1" outlineLevel="1">
      <c r="B6" s="1439"/>
      <c r="C6" s="774" t="s">
        <v>3247</v>
      </c>
      <c r="D6" s="775" t="s">
        <v>4453</v>
      </c>
      <c r="E6" s="776" t="s">
        <v>910</v>
      </c>
      <c r="F6" s="776" t="s">
        <v>4454</v>
      </c>
      <c r="G6" s="777" t="s">
        <v>3279</v>
      </c>
      <c r="H6" s="778">
        <v>202207072978</v>
      </c>
      <c r="I6" s="777">
        <v>61344771</v>
      </c>
      <c r="J6" s="776" t="s">
        <v>4455</v>
      </c>
      <c r="K6" s="779">
        <v>38000</v>
      </c>
      <c r="L6" s="779">
        <v>16200</v>
      </c>
      <c r="M6" s="779"/>
      <c r="N6" s="780">
        <v>0.1</v>
      </c>
      <c r="O6" s="780">
        <v>0.18</v>
      </c>
      <c r="P6" s="777" t="s">
        <v>4449</v>
      </c>
      <c r="Q6" s="781" t="s">
        <v>4456</v>
      </c>
      <c r="R6" s="782" t="s">
        <v>4457</v>
      </c>
      <c r="S6" s="782" t="s">
        <v>4458</v>
      </c>
      <c r="T6" s="782"/>
    </row>
    <row r="7" spans="1:20" ht="16.5" customHeight="1" outlineLevel="1">
      <c r="B7" s="1439"/>
      <c r="C7" s="774" t="s">
        <v>4459</v>
      </c>
      <c r="D7" s="775" t="s">
        <v>4460</v>
      </c>
      <c r="E7" s="776" t="s">
        <v>795</v>
      </c>
      <c r="F7" s="776" t="s">
        <v>4461</v>
      </c>
      <c r="G7" s="777" t="s">
        <v>4462</v>
      </c>
      <c r="H7" s="783">
        <v>202412261773</v>
      </c>
      <c r="I7" s="777">
        <v>61893890</v>
      </c>
      <c r="J7" s="776" t="s">
        <v>4463</v>
      </c>
      <c r="K7" s="779">
        <v>13700</v>
      </c>
      <c r="L7" s="779">
        <f>K7*0.9</f>
        <v>12330</v>
      </c>
      <c r="M7" s="779">
        <v>14900</v>
      </c>
      <c r="N7" s="780">
        <v>0.1</v>
      </c>
      <c r="O7" s="780">
        <v>0.15</v>
      </c>
      <c r="P7" s="777" t="s">
        <v>4464</v>
      </c>
      <c r="Q7" s="784" t="s">
        <v>4465</v>
      </c>
      <c r="R7" s="776" t="s">
        <v>4466</v>
      </c>
      <c r="S7" s="776" t="s">
        <v>4467</v>
      </c>
      <c r="T7" s="776"/>
    </row>
    <row r="8" spans="1:20" ht="16.5" customHeight="1" outlineLevel="1">
      <c r="B8" s="1439"/>
      <c r="C8" s="774" t="s">
        <v>4468</v>
      </c>
      <c r="D8" s="775" t="s">
        <v>4469</v>
      </c>
      <c r="E8" s="776" t="s">
        <v>3294</v>
      </c>
      <c r="F8" s="776" t="s">
        <v>3276</v>
      </c>
      <c r="G8" s="777" t="s">
        <v>3766</v>
      </c>
      <c r="H8" s="778">
        <v>202403147125</v>
      </c>
      <c r="I8" s="777">
        <v>30168170</v>
      </c>
      <c r="J8" s="776" t="s">
        <v>4470</v>
      </c>
      <c r="K8" s="779">
        <v>5900</v>
      </c>
      <c r="L8" s="779">
        <v>5610</v>
      </c>
      <c r="M8" s="779"/>
      <c r="N8" s="780">
        <f>(K8-L8)/K8</f>
        <v>4.9152542372881358E-2</v>
      </c>
      <c r="O8" s="780">
        <v>0.15</v>
      </c>
      <c r="P8" s="777" t="s">
        <v>4464</v>
      </c>
      <c r="Q8" s="781" t="s">
        <v>4471</v>
      </c>
      <c r="R8" s="782" t="s">
        <v>4472</v>
      </c>
      <c r="S8" s="782" t="s">
        <v>4473</v>
      </c>
      <c r="T8" s="782"/>
    </row>
    <row r="9" spans="1:20" ht="16.5" customHeight="1" outlineLevel="1">
      <c r="B9" s="1439"/>
      <c r="C9" s="774"/>
      <c r="D9" s="775" t="s">
        <v>4474</v>
      </c>
      <c r="E9" s="776" t="s">
        <v>417</v>
      </c>
      <c r="F9" s="776" t="s">
        <v>4475</v>
      </c>
      <c r="G9" s="777" t="s">
        <v>4476</v>
      </c>
      <c r="H9" s="783">
        <v>202412261754</v>
      </c>
      <c r="I9" s="777">
        <v>30211735</v>
      </c>
      <c r="J9" s="776" t="s">
        <v>4477</v>
      </c>
      <c r="K9" s="779">
        <v>8900</v>
      </c>
      <c r="L9" s="779">
        <v>7900</v>
      </c>
      <c r="M9" s="779">
        <v>10600</v>
      </c>
      <c r="N9" s="780">
        <v>0.25</v>
      </c>
      <c r="O9" s="780">
        <v>0.15</v>
      </c>
      <c r="P9" s="777" t="s">
        <v>4464</v>
      </c>
      <c r="Q9" s="781" t="s">
        <v>4478</v>
      </c>
      <c r="R9" s="782"/>
      <c r="S9" s="782"/>
      <c r="T9" s="782"/>
    </row>
    <row r="10" spans="1:20" ht="16.5" customHeight="1" outlineLevel="1">
      <c r="B10" s="1439"/>
      <c r="C10" s="774" t="s">
        <v>4479</v>
      </c>
      <c r="D10" s="775"/>
      <c r="E10" s="776" t="s">
        <v>264</v>
      </c>
      <c r="F10" s="776" t="s">
        <v>4480</v>
      </c>
      <c r="G10" s="777" t="s">
        <v>4481</v>
      </c>
      <c r="H10" s="783">
        <v>202411251150</v>
      </c>
      <c r="I10" s="777">
        <v>71807164</v>
      </c>
      <c r="J10" s="776" t="s">
        <v>4482</v>
      </c>
      <c r="K10" s="779">
        <v>238000</v>
      </c>
      <c r="L10" s="779">
        <v>48300</v>
      </c>
      <c r="M10" s="779"/>
      <c r="N10" s="780">
        <f>(K10-L10)/K10</f>
        <v>0.79705882352941182</v>
      </c>
      <c r="O10" s="780">
        <v>0.18</v>
      </c>
      <c r="P10" s="777" t="s">
        <v>4449</v>
      </c>
      <c r="Q10" s="781" t="s">
        <v>4483</v>
      </c>
      <c r="R10" s="782" t="s">
        <v>4484</v>
      </c>
      <c r="S10" s="782" t="s">
        <v>4485</v>
      </c>
      <c r="T10" s="782"/>
    </row>
    <row r="11" spans="1:20" outlineLevel="1">
      <c r="B11" s="1440" t="s">
        <v>4486</v>
      </c>
      <c r="C11" s="785" t="s">
        <v>4443</v>
      </c>
      <c r="D11" s="786" t="s">
        <v>4444</v>
      </c>
      <c r="E11" s="787" t="s">
        <v>137</v>
      </c>
      <c r="F11" s="787" t="s">
        <v>4445</v>
      </c>
      <c r="G11" s="788" t="s">
        <v>4414</v>
      </c>
      <c r="H11" s="789">
        <v>202403257405</v>
      </c>
      <c r="I11" s="788">
        <v>57778243</v>
      </c>
      <c r="J11" s="787" t="s">
        <v>4487</v>
      </c>
      <c r="K11" s="790">
        <v>32000</v>
      </c>
      <c r="L11" s="790">
        <v>22500</v>
      </c>
      <c r="M11" s="790"/>
      <c r="N11" s="791">
        <f>(K11-L11)/K11</f>
        <v>0.296875</v>
      </c>
      <c r="O11" s="791">
        <v>0.1</v>
      </c>
      <c r="P11" s="771" t="s">
        <v>4449</v>
      </c>
      <c r="Q11" s="792" t="s">
        <v>4488</v>
      </c>
      <c r="R11" s="793" t="s">
        <v>4489</v>
      </c>
      <c r="S11" s="793" t="s">
        <v>4490</v>
      </c>
      <c r="T11" s="793"/>
    </row>
    <row r="12" spans="1:20" ht="16.5" customHeight="1" outlineLevel="1">
      <c r="B12" s="1440"/>
      <c r="C12" s="774" t="s">
        <v>4468</v>
      </c>
      <c r="D12" s="775" t="s">
        <v>4491</v>
      </c>
      <c r="E12" s="776" t="s">
        <v>910</v>
      </c>
      <c r="F12" s="776" t="s">
        <v>4454</v>
      </c>
      <c r="G12" s="777" t="s">
        <v>3449</v>
      </c>
      <c r="H12" s="778">
        <v>202412261749</v>
      </c>
      <c r="I12" s="777">
        <v>30211443</v>
      </c>
      <c r="J12" s="776" t="s">
        <v>4492</v>
      </c>
      <c r="K12" s="779">
        <v>90000</v>
      </c>
      <c r="L12" s="779">
        <v>72000</v>
      </c>
      <c r="M12" s="779"/>
      <c r="N12" s="780">
        <v>0.2</v>
      </c>
      <c r="O12" s="780">
        <v>0.4</v>
      </c>
      <c r="P12" s="777" t="s">
        <v>4449</v>
      </c>
      <c r="Q12" s="781" t="s">
        <v>4493</v>
      </c>
      <c r="R12" s="782" t="s">
        <v>4494</v>
      </c>
      <c r="S12" s="782" t="s">
        <v>4495</v>
      </c>
      <c r="T12" s="782"/>
    </row>
    <row r="13" spans="1:20" ht="16.5" customHeight="1" outlineLevel="1">
      <c r="B13" s="1440"/>
      <c r="C13" s="774"/>
      <c r="D13" s="775" t="s">
        <v>4474</v>
      </c>
      <c r="E13" s="776" t="s">
        <v>795</v>
      </c>
      <c r="F13" s="776" t="s">
        <v>4461</v>
      </c>
      <c r="G13" s="777" t="s">
        <v>4496</v>
      </c>
      <c r="H13" s="783">
        <v>202408149863</v>
      </c>
      <c r="I13" s="777">
        <v>68260817</v>
      </c>
      <c r="J13" s="776" t="s">
        <v>4497</v>
      </c>
      <c r="K13" s="779">
        <v>10900</v>
      </c>
      <c r="L13" s="779">
        <f>K13*0.9</f>
        <v>9810</v>
      </c>
      <c r="M13" s="779"/>
      <c r="N13" s="780">
        <v>0.1</v>
      </c>
      <c r="O13" s="780">
        <v>0.15</v>
      </c>
      <c r="P13" s="777" t="s">
        <v>4449</v>
      </c>
      <c r="Q13" s="781" t="s">
        <v>4498</v>
      </c>
      <c r="R13" s="782" t="s">
        <v>4499</v>
      </c>
      <c r="S13" s="782"/>
      <c r="T13" s="782"/>
    </row>
    <row r="14" spans="1:20" ht="16.5" customHeight="1" outlineLevel="1">
      <c r="B14" s="1440"/>
      <c r="C14" s="774"/>
      <c r="D14" s="775" t="s">
        <v>4460</v>
      </c>
      <c r="E14" s="776" t="s">
        <v>3294</v>
      </c>
      <c r="F14" s="776" t="s">
        <v>4500</v>
      </c>
      <c r="G14" s="777" t="s">
        <v>4501</v>
      </c>
      <c r="H14" s="783">
        <v>202302158470</v>
      </c>
      <c r="I14" s="777">
        <v>10187211</v>
      </c>
      <c r="J14" s="776" t="s">
        <v>4502</v>
      </c>
      <c r="K14" s="779">
        <v>53900</v>
      </c>
      <c r="L14" s="779">
        <v>51210</v>
      </c>
      <c r="M14" s="779"/>
      <c r="N14" s="780">
        <f>(K14-L14)/K14</f>
        <v>4.9907235621521336E-2</v>
      </c>
      <c r="O14" s="780">
        <v>0.15</v>
      </c>
      <c r="P14" s="777" t="s">
        <v>4449</v>
      </c>
      <c r="Q14" s="781" t="s">
        <v>4503</v>
      </c>
      <c r="R14" s="782" t="s">
        <v>4504</v>
      </c>
      <c r="S14" s="782"/>
      <c r="T14" s="782"/>
    </row>
    <row r="15" spans="1:20" ht="16.5" customHeight="1" outlineLevel="1">
      <c r="B15" s="1440"/>
      <c r="C15" s="774"/>
      <c r="D15" s="775"/>
      <c r="E15" s="776" t="s">
        <v>3294</v>
      </c>
      <c r="F15" s="776" t="s">
        <v>3276</v>
      </c>
      <c r="G15" s="777" t="s">
        <v>4505</v>
      </c>
      <c r="H15" s="778">
        <v>202206212437</v>
      </c>
      <c r="I15" s="777">
        <v>30208685</v>
      </c>
      <c r="J15" s="776" t="s">
        <v>4506</v>
      </c>
      <c r="K15" s="779">
        <v>14800</v>
      </c>
      <c r="L15" s="779">
        <v>13900</v>
      </c>
      <c r="M15" s="779"/>
      <c r="N15" s="780">
        <f>(K15-L15)/K15</f>
        <v>6.0810810810810814E-2</v>
      </c>
      <c r="O15" s="780">
        <v>0.15</v>
      </c>
      <c r="P15" s="777" t="s">
        <v>4449</v>
      </c>
      <c r="Q15" s="781" t="s">
        <v>4507</v>
      </c>
      <c r="R15" s="782" t="s">
        <v>4508</v>
      </c>
      <c r="S15" s="782"/>
      <c r="T15" s="782"/>
    </row>
    <row r="16" spans="1:20" ht="16.5" customHeight="1" outlineLevel="1">
      <c r="B16" s="1440"/>
      <c r="C16" s="774" t="s">
        <v>4459</v>
      </c>
      <c r="D16" s="775" t="s">
        <v>4509</v>
      </c>
      <c r="E16" s="776" t="s">
        <v>417</v>
      </c>
      <c r="F16" s="776" t="s">
        <v>4475</v>
      </c>
      <c r="G16" s="777" t="s">
        <v>4510</v>
      </c>
      <c r="H16" s="783">
        <v>202412261753</v>
      </c>
      <c r="I16" s="777">
        <v>30208659</v>
      </c>
      <c r="J16" s="776" t="s">
        <v>4511</v>
      </c>
      <c r="K16" s="779">
        <v>21000</v>
      </c>
      <c r="L16" s="779">
        <v>13440</v>
      </c>
      <c r="M16" s="779"/>
      <c r="N16" s="780">
        <f>(K16-L16)/K16</f>
        <v>0.36</v>
      </c>
      <c r="O16" s="780">
        <v>0.25</v>
      </c>
      <c r="P16" s="777" t="s">
        <v>4449</v>
      </c>
      <c r="Q16" s="781" t="s">
        <v>4512</v>
      </c>
      <c r="R16" s="782"/>
      <c r="S16" s="782" t="s">
        <v>4513</v>
      </c>
      <c r="T16" s="782"/>
    </row>
    <row r="17" spans="2:20" ht="16.5" customHeight="1" outlineLevel="1">
      <c r="B17" s="1440"/>
      <c r="C17" s="794" t="s">
        <v>4479</v>
      </c>
      <c r="D17" s="795" t="s">
        <v>4469</v>
      </c>
      <c r="E17" s="776" t="s">
        <v>264</v>
      </c>
      <c r="F17" s="776" t="s">
        <v>4480</v>
      </c>
      <c r="G17" s="777" t="s">
        <v>3256</v>
      </c>
      <c r="H17" s="778">
        <v>202404097662</v>
      </c>
      <c r="I17" s="777">
        <v>71007587</v>
      </c>
      <c r="J17" s="776" t="s">
        <v>4514</v>
      </c>
      <c r="K17" s="779">
        <v>529000</v>
      </c>
      <c r="L17" s="779">
        <v>149900</v>
      </c>
      <c r="M17" s="779"/>
      <c r="N17" s="780">
        <f>(K17-L17)/K17</f>
        <v>0.71663516068052935</v>
      </c>
      <c r="O17" s="780">
        <v>0.15</v>
      </c>
      <c r="P17" s="777" t="s">
        <v>4449</v>
      </c>
      <c r="Q17" s="781" t="s">
        <v>4515</v>
      </c>
      <c r="R17" s="782" t="s">
        <v>4516</v>
      </c>
      <c r="S17" s="782" t="s">
        <v>4517</v>
      </c>
      <c r="T17" s="782"/>
    </row>
    <row r="18" spans="2:20" outlineLevel="1">
      <c r="B18" s="1440" t="s">
        <v>4518</v>
      </c>
      <c r="C18" s="762"/>
      <c r="D18" s="786" t="s">
        <v>4453</v>
      </c>
      <c r="E18" s="776" t="s">
        <v>1109</v>
      </c>
      <c r="F18" s="776" t="s">
        <v>4519</v>
      </c>
      <c r="G18" s="777" t="s">
        <v>4520</v>
      </c>
      <c r="H18" s="783">
        <v>202412261775</v>
      </c>
      <c r="I18" s="777" t="s">
        <v>4521</v>
      </c>
      <c r="J18" s="776" t="s">
        <v>4522</v>
      </c>
      <c r="K18" s="779">
        <v>39900</v>
      </c>
      <c r="L18" s="779">
        <v>36310</v>
      </c>
      <c r="M18" s="779"/>
      <c r="N18" s="780">
        <f>(K18-L18)/K18</f>
        <v>8.9974937343358402E-2</v>
      </c>
      <c r="O18" s="780">
        <v>0.15</v>
      </c>
      <c r="P18" s="777" t="s">
        <v>4449</v>
      </c>
      <c r="Q18" s="781" t="s">
        <v>4523</v>
      </c>
      <c r="R18" s="782" t="s">
        <v>4524</v>
      </c>
      <c r="S18" s="782"/>
      <c r="T18" s="782"/>
    </row>
    <row r="19" spans="2:20" ht="16.5" customHeight="1" outlineLevel="1">
      <c r="B19" s="1440"/>
      <c r="C19" s="774" t="s">
        <v>4468</v>
      </c>
      <c r="D19" s="775" t="s">
        <v>4474</v>
      </c>
      <c r="E19" s="776" t="s">
        <v>910</v>
      </c>
      <c r="F19" s="776" t="s">
        <v>4454</v>
      </c>
      <c r="G19" s="777" t="s">
        <v>3445</v>
      </c>
      <c r="H19" s="778">
        <v>202308032684</v>
      </c>
      <c r="I19" s="777">
        <v>30204593</v>
      </c>
      <c r="J19" s="776" t="s">
        <v>4525</v>
      </c>
      <c r="K19" s="779">
        <v>74000</v>
      </c>
      <c r="L19" s="779">
        <v>62900</v>
      </c>
      <c r="M19" s="779"/>
      <c r="N19" s="780">
        <v>0.15</v>
      </c>
      <c r="O19" s="780">
        <v>0.3</v>
      </c>
      <c r="P19" s="777" t="s">
        <v>4449</v>
      </c>
      <c r="Q19" s="781" t="s">
        <v>4526</v>
      </c>
      <c r="R19" s="782" t="s">
        <v>4527</v>
      </c>
      <c r="S19" s="782" t="s">
        <v>4528</v>
      </c>
      <c r="T19" s="782"/>
    </row>
    <row r="20" spans="2:20" ht="16.5" customHeight="1" outlineLevel="1">
      <c r="B20" s="1440"/>
      <c r="C20" s="774" t="s">
        <v>4529</v>
      </c>
      <c r="D20" s="775"/>
      <c r="E20" s="776" t="s">
        <v>3294</v>
      </c>
      <c r="F20" s="776" t="s">
        <v>3276</v>
      </c>
      <c r="G20" s="777" t="s">
        <v>4097</v>
      </c>
      <c r="H20" s="778">
        <v>202412051331</v>
      </c>
      <c r="I20" s="777">
        <v>45090131</v>
      </c>
      <c r="J20" s="776" t="s">
        <v>4530</v>
      </c>
      <c r="K20" s="796">
        <v>32900</v>
      </c>
      <c r="L20" s="796">
        <v>27970</v>
      </c>
      <c r="M20" s="779"/>
      <c r="N20" s="791">
        <f>(K20-L20)/K20</f>
        <v>0.14984802431610941</v>
      </c>
      <c r="O20" s="780">
        <v>0.15</v>
      </c>
      <c r="P20" s="777" t="s">
        <v>4449</v>
      </c>
      <c r="Q20" s="781" t="s">
        <v>4531</v>
      </c>
      <c r="R20" s="782" t="s">
        <v>4532</v>
      </c>
      <c r="S20" s="782" t="s">
        <v>4533</v>
      </c>
      <c r="T20" s="782"/>
    </row>
    <row r="21" spans="2:20" ht="16.5" customHeight="1" outlineLevel="1">
      <c r="B21" s="1440"/>
      <c r="C21" s="774"/>
      <c r="D21" s="775" t="s">
        <v>4444</v>
      </c>
      <c r="E21" s="776" t="s">
        <v>417</v>
      </c>
      <c r="F21" s="776" t="s">
        <v>4475</v>
      </c>
      <c r="G21" s="777" t="s">
        <v>4534</v>
      </c>
      <c r="H21" s="783">
        <v>202412261755</v>
      </c>
      <c r="I21" s="777">
        <v>30209289</v>
      </c>
      <c r="J21" s="776" t="s">
        <v>4535</v>
      </c>
      <c r="K21" s="779">
        <v>24900</v>
      </c>
      <c r="L21" s="779">
        <v>18700</v>
      </c>
      <c r="M21" s="779">
        <v>18810</v>
      </c>
      <c r="N21" s="780">
        <v>0.25</v>
      </c>
      <c r="O21" s="780">
        <v>0.15</v>
      </c>
      <c r="P21" s="777" t="s">
        <v>4536</v>
      </c>
      <c r="Q21" s="781" t="s">
        <v>4537</v>
      </c>
      <c r="R21" s="782"/>
      <c r="S21" s="782"/>
      <c r="T21" s="782"/>
    </row>
    <row r="22" spans="2:20" ht="16.5" customHeight="1" outlineLevel="1">
      <c r="B22" s="1440"/>
      <c r="C22" s="774" t="s">
        <v>4459</v>
      </c>
      <c r="D22" s="775" t="s">
        <v>4460</v>
      </c>
      <c r="E22" s="776" t="s">
        <v>795</v>
      </c>
      <c r="F22" s="776" t="s">
        <v>4475</v>
      </c>
      <c r="G22" s="777" t="s">
        <v>3540</v>
      </c>
      <c r="H22" s="783">
        <v>202412061365</v>
      </c>
      <c r="I22" s="777">
        <v>72261061</v>
      </c>
      <c r="J22" s="776" t="s">
        <v>4538</v>
      </c>
      <c r="K22" s="779">
        <v>25900</v>
      </c>
      <c r="L22" s="779">
        <v>23300</v>
      </c>
      <c r="M22" s="779"/>
      <c r="N22" s="780">
        <v>0.1</v>
      </c>
      <c r="O22" s="780">
        <v>0.15</v>
      </c>
      <c r="P22" s="777" t="s">
        <v>4449</v>
      </c>
      <c r="Q22" s="781" t="s">
        <v>4539</v>
      </c>
      <c r="R22" s="782"/>
      <c r="S22" s="782" t="s">
        <v>4540</v>
      </c>
      <c r="T22" s="782"/>
    </row>
    <row r="23" spans="2:20" ht="16.5" customHeight="1" outlineLevel="1">
      <c r="B23" s="1440"/>
      <c r="C23" s="794" t="s">
        <v>4479</v>
      </c>
      <c r="D23" s="775" t="s">
        <v>4469</v>
      </c>
      <c r="E23" s="776" t="s">
        <v>264</v>
      </c>
      <c r="F23" s="776" t="s">
        <v>4480</v>
      </c>
      <c r="G23" s="777" t="s">
        <v>4541</v>
      </c>
      <c r="H23" s="671">
        <v>202412021263</v>
      </c>
      <c r="I23" s="777">
        <v>56460930</v>
      </c>
      <c r="J23" s="776" t="s">
        <v>4542</v>
      </c>
      <c r="K23" s="779">
        <v>1990000</v>
      </c>
      <c r="L23" s="779">
        <v>499000</v>
      </c>
      <c r="M23" s="779"/>
      <c r="N23" s="780">
        <f>(K23-L23)/K23</f>
        <v>0.74924623115577893</v>
      </c>
      <c r="O23" s="780">
        <v>0.15</v>
      </c>
      <c r="P23" s="777" t="s">
        <v>4449</v>
      </c>
      <c r="Q23" s="781" t="s">
        <v>4543</v>
      </c>
      <c r="R23" s="782" t="s">
        <v>4544</v>
      </c>
      <c r="S23" s="782" t="s">
        <v>4545</v>
      </c>
      <c r="T23" s="782"/>
    </row>
    <row r="24" spans="2:20" outlineLevel="1">
      <c r="B24" s="1436" t="s">
        <v>4546</v>
      </c>
      <c r="C24" s="785" t="s">
        <v>4443</v>
      </c>
      <c r="D24" s="786" t="s">
        <v>4453</v>
      </c>
      <c r="E24" s="787" t="s">
        <v>137</v>
      </c>
      <c r="F24" s="787" t="s">
        <v>4445</v>
      </c>
      <c r="G24" s="788" t="s">
        <v>3235</v>
      </c>
      <c r="H24" s="797">
        <v>202412261771</v>
      </c>
      <c r="I24" s="788">
        <v>72889066</v>
      </c>
      <c r="J24" s="787" t="s">
        <v>4547</v>
      </c>
      <c r="K24" s="790">
        <v>178000</v>
      </c>
      <c r="L24" s="790">
        <v>71200</v>
      </c>
      <c r="M24" s="790"/>
      <c r="N24" s="791">
        <v>0.6</v>
      </c>
      <c r="O24" s="791">
        <v>0.2</v>
      </c>
      <c r="P24" s="788" t="s">
        <v>4449</v>
      </c>
      <c r="Q24" s="792" t="s">
        <v>4548</v>
      </c>
      <c r="R24" s="793" t="s">
        <v>4549</v>
      </c>
      <c r="S24" s="793" t="s">
        <v>4550</v>
      </c>
      <c r="T24" s="793"/>
    </row>
    <row r="25" spans="2:20" ht="16.5" customHeight="1" outlineLevel="1">
      <c r="B25" s="1436"/>
      <c r="C25" s="774" t="s">
        <v>4529</v>
      </c>
      <c r="D25" s="775" t="s">
        <v>4474</v>
      </c>
      <c r="E25" s="776" t="s">
        <v>1109</v>
      </c>
      <c r="F25" s="776" t="s">
        <v>4551</v>
      </c>
      <c r="G25" s="777" t="s">
        <v>3990</v>
      </c>
      <c r="H25" s="798">
        <v>202412111444</v>
      </c>
      <c r="I25" s="777">
        <v>57853679</v>
      </c>
      <c r="J25" s="776" t="s">
        <v>4552</v>
      </c>
      <c r="K25" s="779">
        <v>11580</v>
      </c>
      <c r="L25" s="779">
        <v>10430</v>
      </c>
      <c r="M25" s="779">
        <v>10430</v>
      </c>
      <c r="N25" s="780">
        <f>(K25-L25)/K25</f>
        <v>9.9309153713298792E-2</v>
      </c>
      <c r="O25" s="780">
        <v>0.15</v>
      </c>
      <c r="P25" s="777" t="s">
        <v>4449</v>
      </c>
      <c r="Q25" s="781" t="s">
        <v>4553</v>
      </c>
      <c r="R25" s="782" t="s">
        <v>4554</v>
      </c>
      <c r="S25" s="782" t="s">
        <v>3459</v>
      </c>
      <c r="T25" s="782"/>
    </row>
    <row r="26" spans="2:20" ht="16.5" customHeight="1" outlineLevel="1">
      <c r="B26" s="1436"/>
      <c r="C26" s="774" t="s">
        <v>4468</v>
      </c>
      <c r="D26" s="775"/>
      <c r="E26" s="776" t="s">
        <v>910</v>
      </c>
      <c r="F26" s="776" t="s">
        <v>4454</v>
      </c>
      <c r="G26" s="777" t="s">
        <v>3283</v>
      </c>
      <c r="H26" s="799">
        <v>202308022656</v>
      </c>
      <c r="I26" s="777">
        <v>30207614</v>
      </c>
      <c r="J26" s="776" t="s">
        <v>4555</v>
      </c>
      <c r="K26" s="779">
        <v>49000</v>
      </c>
      <c r="L26" s="779">
        <v>36750</v>
      </c>
      <c r="M26" s="779"/>
      <c r="N26" s="780">
        <v>0.25</v>
      </c>
      <c r="O26" s="780">
        <v>0.35</v>
      </c>
      <c r="P26" s="777" t="s">
        <v>4449</v>
      </c>
      <c r="Q26" s="781" t="s">
        <v>4556</v>
      </c>
      <c r="R26" s="782" t="s">
        <v>4557</v>
      </c>
      <c r="S26" s="782" t="s">
        <v>4558</v>
      </c>
      <c r="T26" s="782"/>
    </row>
    <row r="27" spans="2:20" ht="16.5" customHeight="1" outlineLevel="1">
      <c r="B27" s="1436"/>
      <c r="C27" s="774" t="s">
        <v>4559</v>
      </c>
      <c r="D27" s="775" t="s">
        <v>4460</v>
      </c>
      <c r="E27" s="776" t="s">
        <v>165</v>
      </c>
      <c r="F27" s="776" t="s">
        <v>4560</v>
      </c>
      <c r="G27" s="777" t="s">
        <v>3346</v>
      </c>
      <c r="H27" s="783">
        <v>202412241711</v>
      </c>
      <c r="I27" s="777"/>
      <c r="J27" s="776"/>
      <c r="K27" s="779"/>
      <c r="L27" s="779"/>
      <c r="M27" s="779"/>
      <c r="N27" s="780"/>
      <c r="O27" s="780"/>
      <c r="P27" s="777"/>
      <c r="Q27" s="781" t="s">
        <v>4561</v>
      </c>
      <c r="R27" s="782" t="s">
        <v>4562</v>
      </c>
      <c r="S27" s="782"/>
      <c r="T27" s="782"/>
    </row>
    <row r="28" spans="2:20" ht="16.5" customHeight="1" outlineLevel="1">
      <c r="B28" s="1436"/>
      <c r="C28" s="774"/>
      <c r="D28" s="775" t="s">
        <v>4469</v>
      </c>
      <c r="E28" s="776" t="s">
        <v>3294</v>
      </c>
      <c r="F28" s="776" t="s">
        <v>4563</v>
      </c>
      <c r="G28" s="777" t="s">
        <v>4404</v>
      </c>
      <c r="H28" s="783">
        <v>202210125349</v>
      </c>
      <c r="I28" s="777">
        <v>30205706</v>
      </c>
      <c r="J28" s="776" t="s">
        <v>4564</v>
      </c>
      <c r="K28" s="779">
        <v>55900</v>
      </c>
      <c r="L28" s="779">
        <v>47410</v>
      </c>
      <c r="M28" s="779">
        <v>54790</v>
      </c>
      <c r="N28" s="780">
        <f>1-(L28/K28)</f>
        <v>0.15187835420393558</v>
      </c>
      <c r="O28" s="780">
        <v>0.15</v>
      </c>
      <c r="P28" s="777" t="s">
        <v>4449</v>
      </c>
      <c r="Q28" s="781" t="s">
        <v>4565</v>
      </c>
      <c r="R28" s="782" t="s">
        <v>4566</v>
      </c>
      <c r="S28" s="782" t="s">
        <v>4567</v>
      </c>
      <c r="T28" s="782"/>
    </row>
    <row r="29" spans="2:20" ht="16.5" customHeight="1" outlineLevel="1">
      <c r="B29" s="1436"/>
      <c r="C29" s="774" t="s">
        <v>4459</v>
      </c>
      <c r="D29" s="775" t="s">
        <v>4444</v>
      </c>
      <c r="E29" s="776" t="s">
        <v>795</v>
      </c>
      <c r="F29" s="776" t="s">
        <v>4461</v>
      </c>
      <c r="G29" s="777" t="s">
        <v>3542</v>
      </c>
      <c r="H29" s="783">
        <v>202411281233</v>
      </c>
      <c r="I29" s="777">
        <v>72686661</v>
      </c>
      <c r="J29" s="776" t="s">
        <v>4568</v>
      </c>
      <c r="K29" s="779"/>
      <c r="L29" s="779">
        <v>14900</v>
      </c>
      <c r="M29" s="779"/>
      <c r="N29" s="780"/>
      <c r="O29" s="780">
        <v>0.15</v>
      </c>
      <c r="P29" s="777" t="s">
        <v>4449</v>
      </c>
      <c r="Q29" s="781" t="s">
        <v>4569</v>
      </c>
      <c r="R29" s="782" t="s">
        <v>4570</v>
      </c>
      <c r="S29" s="782" t="s">
        <v>4571</v>
      </c>
      <c r="T29" s="782"/>
    </row>
    <row r="30" spans="2:20" ht="16.5" customHeight="1" outlineLevel="1">
      <c r="B30" s="1436"/>
      <c r="C30" s="794" t="s">
        <v>4479</v>
      </c>
      <c r="D30" s="775"/>
      <c r="E30" s="776" t="s">
        <v>264</v>
      </c>
      <c r="F30" s="776" t="s">
        <v>4480</v>
      </c>
      <c r="G30" s="777" t="s">
        <v>3264</v>
      </c>
      <c r="H30" s="783">
        <v>202412051354</v>
      </c>
      <c r="I30" s="777">
        <v>72435899</v>
      </c>
      <c r="J30" s="776" t="s">
        <v>4572</v>
      </c>
      <c r="K30" s="779">
        <v>299000</v>
      </c>
      <c r="L30" s="779">
        <v>39900</v>
      </c>
      <c r="M30" s="779"/>
      <c r="N30" s="780">
        <f>(K30-L30)/K30</f>
        <v>0.86655518394648834</v>
      </c>
      <c r="O30" s="780">
        <v>0.16</v>
      </c>
      <c r="P30" s="777" t="s">
        <v>4449</v>
      </c>
      <c r="Q30" s="781" t="s">
        <v>4573</v>
      </c>
      <c r="R30" s="782" t="s">
        <v>4574</v>
      </c>
      <c r="S30" s="782" t="s">
        <v>4575</v>
      </c>
      <c r="T30" s="782"/>
    </row>
    <row r="31" spans="2:20" outlineLevel="1">
      <c r="B31" s="1436" t="s">
        <v>4576</v>
      </c>
      <c r="C31" s="785" t="s">
        <v>4529</v>
      </c>
      <c r="D31" s="786" t="s">
        <v>4474</v>
      </c>
      <c r="E31" s="787" t="s">
        <v>1109</v>
      </c>
      <c r="F31" s="787" t="s">
        <v>4551</v>
      </c>
      <c r="G31" s="788" t="s">
        <v>4577</v>
      </c>
      <c r="H31" s="797">
        <v>202404247943</v>
      </c>
      <c r="I31" s="788">
        <v>44702727</v>
      </c>
      <c r="J31" s="787" t="s">
        <v>4578</v>
      </c>
      <c r="K31" s="790">
        <v>72000</v>
      </c>
      <c r="L31" s="790">
        <v>59900</v>
      </c>
      <c r="M31" s="790">
        <v>59900</v>
      </c>
      <c r="N31" s="791">
        <f>(K31-L31)/K31</f>
        <v>0.16805555555555557</v>
      </c>
      <c r="O31" s="791">
        <v>0.15</v>
      </c>
      <c r="P31" s="788" t="s">
        <v>4579</v>
      </c>
      <c r="Q31" s="792" t="s">
        <v>4580</v>
      </c>
      <c r="R31" s="793" t="s">
        <v>4581</v>
      </c>
      <c r="S31" s="793" t="s">
        <v>4582</v>
      </c>
      <c r="T31" s="793"/>
    </row>
    <row r="32" spans="2:20" ht="16.5" customHeight="1" outlineLevel="1">
      <c r="B32" s="1436"/>
      <c r="C32" s="774" t="s">
        <v>4468</v>
      </c>
      <c r="D32" s="775" t="s">
        <v>4469</v>
      </c>
      <c r="E32" s="776" t="s">
        <v>910</v>
      </c>
      <c r="F32" s="776" t="s">
        <v>4454</v>
      </c>
      <c r="G32" s="777" t="s">
        <v>4583</v>
      </c>
      <c r="H32" s="778" t="s">
        <v>4584</v>
      </c>
      <c r="I32" s="777">
        <v>30173665</v>
      </c>
      <c r="J32" s="776" t="s">
        <v>4585</v>
      </c>
      <c r="K32" s="779">
        <v>22700</v>
      </c>
      <c r="L32" s="779">
        <v>13900</v>
      </c>
      <c r="M32" s="779"/>
      <c r="N32" s="780">
        <f>1-(L32/K32)</f>
        <v>0.38766519823788548</v>
      </c>
      <c r="O32" s="780">
        <v>0.44</v>
      </c>
      <c r="P32" s="777" t="s">
        <v>4579</v>
      </c>
      <c r="Q32" s="781" t="s">
        <v>4586</v>
      </c>
      <c r="R32" s="782" t="s">
        <v>4587</v>
      </c>
      <c r="S32" s="782" t="s">
        <v>4588</v>
      </c>
      <c r="T32" s="782"/>
    </row>
    <row r="33" spans="2:20" ht="16.5" customHeight="1" outlineLevel="1">
      <c r="B33" s="1436"/>
      <c r="C33" s="774"/>
      <c r="D33" s="800" t="s">
        <v>4444</v>
      </c>
      <c r="E33" s="801" t="s">
        <v>3294</v>
      </c>
      <c r="F33" s="801" t="s">
        <v>4563</v>
      </c>
      <c r="G33" s="802" t="s">
        <v>4589</v>
      </c>
      <c r="H33" s="803">
        <v>202412271789</v>
      </c>
      <c r="I33" s="802">
        <v>67569449</v>
      </c>
      <c r="J33" s="776" t="s">
        <v>4590</v>
      </c>
      <c r="K33" s="779"/>
      <c r="L33" s="779">
        <v>7900</v>
      </c>
      <c r="M33" s="779"/>
      <c r="N33" s="780"/>
      <c r="O33" s="780">
        <v>0.15</v>
      </c>
      <c r="P33" s="777"/>
      <c r="Q33" s="781"/>
      <c r="R33" s="782" t="s">
        <v>4591</v>
      </c>
      <c r="S33" s="782"/>
      <c r="T33" s="782"/>
    </row>
    <row r="34" spans="2:20" ht="17.25" customHeight="1" outlineLevel="1">
      <c r="B34" s="1436"/>
      <c r="C34" s="774" t="s">
        <v>4459</v>
      </c>
      <c r="D34" s="775" t="s">
        <v>4460</v>
      </c>
      <c r="E34" s="776" t="s">
        <v>795</v>
      </c>
      <c r="F34" s="776" t="s">
        <v>4461</v>
      </c>
      <c r="G34" s="777" t="s">
        <v>4592</v>
      </c>
      <c r="H34" s="783">
        <v>202403217353</v>
      </c>
      <c r="I34" s="777">
        <v>57433480</v>
      </c>
      <c r="J34" s="776" t="s">
        <v>4593</v>
      </c>
      <c r="K34" s="804">
        <v>19900</v>
      </c>
      <c r="L34" s="804">
        <f>K34*0.9</f>
        <v>17910</v>
      </c>
      <c r="M34" s="779"/>
      <c r="N34" s="780">
        <f>1-(L34/K34)</f>
        <v>9.9999999999999978E-2</v>
      </c>
      <c r="O34" s="780">
        <v>0.15</v>
      </c>
      <c r="P34" s="777" t="s">
        <v>4579</v>
      </c>
      <c r="Q34" s="781" t="s">
        <v>4594</v>
      </c>
      <c r="R34" s="782" t="s">
        <v>4595</v>
      </c>
      <c r="S34" s="782" t="s">
        <v>4596</v>
      </c>
      <c r="T34" s="782"/>
    </row>
    <row r="35" spans="2:20" ht="16.5" customHeight="1" outlineLevel="1">
      <c r="B35" s="1436"/>
      <c r="C35" s="794" t="s">
        <v>4479</v>
      </c>
      <c r="D35" s="775" t="s">
        <v>4453</v>
      </c>
      <c r="E35" s="776" t="s">
        <v>264</v>
      </c>
      <c r="F35" s="776" t="s">
        <v>4480</v>
      </c>
      <c r="G35" s="777" t="s">
        <v>4597</v>
      </c>
      <c r="H35" s="805">
        <v>202408079749</v>
      </c>
      <c r="I35" s="777">
        <v>68355772</v>
      </c>
      <c r="J35" s="776" t="s">
        <v>4598</v>
      </c>
      <c r="K35" s="779">
        <v>598000</v>
      </c>
      <c r="L35" s="779">
        <v>168500</v>
      </c>
      <c r="M35" s="779"/>
      <c r="N35" s="780">
        <f>(K35-L35)/K35</f>
        <v>0.7182274247491639</v>
      </c>
      <c r="O35" s="780">
        <v>0.15</v>
      </c>
      <c r="P35" s="777" t="s">
        <v>4449</v>
      </c>
      <c r="Q35" s="781" t="s">
        <v>4599</v>
      </c>
      <c r="R35" s="782" t="s">
        <v>4600</v>
      </c>
      <c r="S35" s="782" t="s">
        <v>4601</v>
      </c>
      <c r="T35" s="782"/>
    </row>
    <row r="36" spans="2:20" outlineLevel="1">
      <c r="B36" s="1436" t="s">
        <v>4602</v>
      </c>
      <c r="C36" s="785" t="s">
        <v>4443</v>
      </c>
      <c r="D36" s="786" t="s">
        <v>4453</v>
      </c>
      <c r="E36" s="787" t="s">
        <v>137</v>
      </c>
      <c r="F36" s="787" t="s">
        <v>4603</v>
      </c>
      <c r="G36" s="788" t="s">
        <v>4151</v>
      </c>
      <c r="H36" s="789">
        <v>202301047516</v>
      </c>
      <c r="I36" s="788">
        <v>30207673</v>
      </c>
      <c r="J36" s="787" t="s">
        <v>4604</v>
      </c>
      <c r="K36" s="790">
        <v>54900</v>
      </c>
      <c r="L36" s="790"/>
      <c r="M36" s="790"/>
      <c r="N36" s="791"/>
      <c r="O36" s="791">
        <v>0.15</v>
      </c>
      <c r="P36" s="788" t="s">
        <v>4449</v>
      </c>
      <c r="Q36" s="792"/>
      <c r="R36" s="793"/>
      <c r="S36" s="793" t="s">
        <v>4605</v>
      </c>
      <c r="T36" s="793"/>
    </row>
    <row r="37" spans="2:20" ht="16.5" customHeight="1" outlineLevel="1">
      <c r="B37" s="1436"/>
      <c r="C37" s="774" t="s">
        <v>4529</v>
      </c>
      <c r="D37" s="775" t="s">
        <v>4460</v>
      </c>
      <c r="E37" s="776" t="s">
        <v>1109</v>
      </c>
      <c r="F37" s="776" t="s">
        <v>4551</v>
      </c>
      <c r="G37" s="777" t="s">
        <v>4384</v>
      </c>
      <c r="H37" s="783">
        <v>202409030155</v>
      </c>
      <c r="I37" s="777">
        <v>30177045</v>
      </c>
      <c r="J37" s="776" t="s">
        <v>4606</v>
      </c>
      <c r="K37" s="779"/>
      <c r="L37" s="779">
        <v>13800</v>
      </c>
      <c r="M37" s="779"/>
      <c r="N37" s="780"/>
      <c r="O37" s="780">
        <v>0.4</v>
      </c>
      <c r="P37" s="777" t="s">
        <v>4449</v>
      </c>
      <c r="Q37" s="781" t="s">
        <v>4607</v>
      </c>
      <c r="R37" s="782" t="s">
        <v>4608</v>
      </c>
      <c r="S37" s="782" t="s">
        <v>4609</v>
      </c>
      <c r="T37" s="782"/>
    </row>
    <row r="38" spans="2:20" ht="16.5" customHeight="1" outlineLevel="1">
      <c r="B38" s="1436"/>
      <c r="C38" s="774" t="s">
        <v>4468</v>
      </c>
      <c r="D38" s="775" t="s">
        <v>4474</v>
      </c>
      <c r="E38" s="776" t="s">
        <v>910</v>
      </c>
      <c r="F38" s="776" t="s">
        <v>4454</v>
      </c>
      <c r="G38" s="777" t="s">
        <v>915</v>
      </c>
      <c r="H38" s="806">
        <v>202403086998</v>
      </c>
      <c r="I38" s="777">
        <v>10043453</v>
      </c>
      <c r="J38" s="776" t="s">
        <v>4610</v>
      </c>
      <c r="K38" s="779">
        <v>13500</v>
      </c>
      <c r="L38" s="779">
        <v>9450</v>
      </c>
      <c r="M38" s="779"/>
      <c r="N38" s="780">
        <f>1-(L38/K38)</f>
        <v>0.30000000000000004</v>
      </c>
      <c r="O38" s="780">
        <v>0.17</v>
      </c>
      <c r="P38" s="777" t="s">
        <v>4611</v>
      </c>
      <c r="Q38" s="781" t="s">
        <v>4612</v>
      </c>
      <c r="R38" s="782" t="s">
        <v>4613</v>
      </c>
      <c r="S38" s="782" t="s">
        <v>4614</v>
      </c>
      <c r="T38" s="782"/>
    </row>
    <row r="39" spans="2:20" ht="16.5" customHeight="1" outlineLevel="1">
      <c r="B39" s="1436"/>
      <c r="C39" s="774" t="s">
        <v>4459</v>
      </c>
      <c r="D39" s="775" t="s">
        <v>4469</v>
      </c>
      <c r="E39" s="776" t="s">
        <v>795</v>
      </c>
      <c r="F39" s="776" t="s">
        <v>4461</v>
      </c>
      <c r="G39" s="777" t="s">
        <v>1237</v>
      </c>
      <c r="H39" s="783">
        <v>202410110512</v>
      </c>
      <c r="I39" s="777">
        <v>73987038</v>
      </c>
      <c r="J39" s="776" t="s">
        <v>4615</v>
      </c>
      <c r="K39" s="779">
        <v>19900</v>
      </c>
      <c r="L39" s="779">
        <v>16900</v>
      </c>
      <c r="M39" s="779"/>
      <c r="N39" s="780">
        <f>1-(L39/K39)</f>
        <v>0.15075376884422109</v>
      </c>
      <c r="O39" s="780">
        <v>0.15</v>
      </c>
      <c r="P39" s="777" t="s">
        <v>4449</v>
      </c>
      <c r="Q39" s="781"/>
      <c r="R39" s="782" t="s">
        <v>4616</v>
      </c>
      <c r="S39" s="782" t="s">
        <v>4617</v>
      </c>
      <c r="T39" s="782"/>
    </row>
    <row r="40" spans="2:20" ht="16.5" customHeight="1" outlineLevel="1">
      <c r="B40" s="1436"/>
      <c r="C40" s="794" t="s">
        <v>4479</v>
      </c>
      <c r="D40" s="775" t="s">
        <v>4444</v>
      </c>
      <c r="E40" s="776" t="s">
        <v>264</v>
      </c>
      <c r="F40" s="776" t="s">
        <v>4480</v>
      </c>
      <c r="G40" s="777" t="s">
        <v>4618</v>
      </c>
      <c r="H40" s="783">
        <v>202410230667</v>
      </c>
      <c r="I40" s="777">
        <v>71572710</v>
      </c>
      <c r="J40" s="776" t="s">
        <v>4619</v>
      </c>
      <c r="K40" s="779"/>
      <c r="L40" s="779">
        <v>89000</v>
      </c>
      <c r="M40" s="779"/>
      <c r="N40" s="780" t="e">
        <f>(K40-L40)/K40</f>
        <v>#DIV/0!</v>
      </c>
      <c r="O40" s="780">
        <v>0.15</v>
      </c>
      <c r="P40" s="777" t="s">
        <v>4449</v>
      </c>
      <c r="Q40" s="781" t="s">
        <v>4620</v>
      </c>
      <c r="R40" s="782" t="s">
        <v>4621</v>
      </c>
      <c r="S40" s="782" t="s">
        <v>4622</v>
      </c>
      <c r="T40" s="782"/>
    </row>
    <row r="41" spans="2:20" outlineLevel="1">
      <c r="B41" s="1436" t="s">
        <v>4623</v>
      </c>
      <c r="C41" s="785" t="s">
        <v>4443</v>
      </c>
      <c r="D41" s="786" t="s">
        <v>4474</v>
      </c>
      <c r="E41" s="787" t="s">
        <v>137</v>
      </c>
      <c r="F41" s="787" t="s">
        <v>4624</v>
      </c>
      <c r="G41" s="788" t="s">
        <v>4625</v>
      </c>
      <c r="H41" s="797">
        <v>202412261772</v>
      </c>
      <c r="I41" s="788">
        <v>71218486</v>
      </c>
      <c r="J41" s="787" t="s">
        <v>4626</v>
      </c>
      <c r="K41" s="790">
        <v>680000</v>
      </c>
      <c r="L41" s="790">
        <v>480000</v>
      </c>
      <c r="M41" s="790"/>
      <c r="N41" s="791">
        <v>0.28999999999999998</v>
      </c>
      <c r="O41" s="791">
        <v>0.15</v>
      </c>
      <c r="P41" s="788" t="s">
        <v>4449</v>
      </c>
      <c r="Q41" s="792" t="s">
        <v>4627</v>
      </c>
      <c r="R41" s="793"/>
      <c r="S41" s="793" t="s">
        <v>4628</v>
      </c>
      <c r="T41" s="793"/>
    </row>
    <row r="42" spans="2:20" ht="16.5" customHeight="1" outlineLevel="1">
      <c r="B42" s="1436"/>
      <c r="C42" s="774" t="s">
        <v>4529</v>
      </c>
      <c r="D42" s="775" t="s">
        <v>4469</v>
      </c>
      <c r="E42" s="776" t="s">
        <v>1109</v>
      </c>
      <c r="F42" s="776" t="s">
        <v>4551</v>
      </c>
      <c r="G42" s="777" t="s">
        <v>4100</v>
      </c>
      <c r="H42" s="783">
        <v>202407239486</v>
      </c>
      <c r="I42" s="777">
        <v>30107003</v>
      </c>
      <c r="J42" s="776" t="s">
        <v>4629</v>
      </c>
      <c r="K42" s="779">
        <v>305000</v>
      </c>
      <c r="L42" s="779">
        <v>199290</v>
      </c>
      <c r="M42" s="779">
        <v>199290</v>
      </c>
      <c r="N42" s="780">
        <f>1-(L42/K42)</f>
        <v>0.34659016393442621</v>
      </c>
      <c r="O42" s="780">
        <v>0.15</v>
      </c>
      <c r="P42" s="777" t="s">
        <v>4449</v>
      </c>
      <c r="Q42" s="781" t="s">
        <v>4630</v>
      </c>
      <c r="R42" s="782" t="s">
        <v>4631</v>
      </c>
      <c r="S42" s="782" t="s">
        <v>4632</v>
      </c>
      <c r="T42" s="782"/>
    </row>
    <row r="43" spans="2:20" ht="16.5" customHeight="1" outlineLevel="1">
      <c r="B43" s="1436"/>
      <c r="C43" s="774" t="s">
        <v>4468</v>
      </c>
      <c r="D43" s="775" t="s">
        <v>4444</v>
      </c>
      <c r="E43" s="776" t="s">
        <v>910</v>
      </c>
      <c r="F43" s="776" t="s">
        <v>4454</v>
      </c>
      <c r="G43" s="777" t="s">
        <v>3852</v>
      </c>
      <c r="H43" s="778">
        <v>202406038694</v>
      </c>
      <c r="I43" s="777">
        <v>10204333</v>
      </c>
      <c r="J43" s="776" t="s">
        <v>4633</v>
      </c>
      <c r="K43" s="779">
        <v>19500</v>
      </c>
      <c r="L43" s="779">
        <v>17550</v>
      </c>
      <c r="M43" s="779"/>
      <c r="N43" s="780">
        <v>0.1</v>
      </c>
      <c r="O43" s="780">
        <v>0.2</v>
      </c>
      <c r="P43" s="777" t="s">
        <v>4449</v>
      </c>
      <c r="Q43" s="781" t="s">
        <v>4634</v>
      </c>
      <c r="R43" s="782" t="s">
        <v>4635</v>
      </c>
      <c r="S43" s="782" t="s">
        <v>4636</v>
      </c>
      <c r="T43" s="782"/>
    </row>
    <row r="44" spans="2:20" ht="16.5" customHeight="1" outlineLevel="1">
      <c r="B44" s="1436"/>
      <c r="C44" s="774" t="s">
        <v>4459</v>
      </c>
      <c r="D44" s="775" t="s">
        <v>4460</v>
      </c>
      <c r="E44" s="776" t="s">
        <v>795</v>
      </c>
      <c r="F44" s="776" t="s">
        <v>4461</v>
      </c>
      <c r="G44" s="777" t="s">
        <v>3539</v>
      </c>
      <c r="H44" s="783">
        <v>202411211077</v>
      </c>
      <c r="I44" s="777">
        <v>30164932</v>
      </c>
      <c r="J44" s="776" t="s">
        <v>4637</v>
      </c>
      <c r="K44" s="779"/>
      <c r="L44" s="779">
        <v>229000</v>
      </c>
      <c r="M44" s="779"/>
      <c r="N44" s="780"/>
      <c r="O44" s="780"/>
      <c r="P44" s="777" t="s">
        <v>4449</v>
      </c>
      <c r="Q44" s="781" t="s">
        <v>4638</v>
      </c>
      <c r="R44" s="782" t="s">
        <v>4639</v>
      </c>
      <c r="S44" s="782" t="s">
        <v>4640</v>
      </c>
      <c r="T44" s="782"/>
    </row>
    <row r="45" spans="2:20" ht="16.5" customHeight="1" outlineLevel="1">
      <c r="B45" s="1436"/>
      <c r="C45" s="794" t="s">
        <v>4479</v>
      </c>
      <c r="D45" s="775" t="s">
        <v>4453</v>
      </c>
      <c r="E45" s="776" t="s">
        <v>264</v>
      </c>
      <c r="F45" s="776" t="s">
        <v>4480</v>
      </c>
      <c r="G45" s="777" t="s">
        <v>4641</v>
      </c>
      <c r="H45" s="783">
        <v>202412171564</v>
      </c>
      <c r="I45" s="777">
        <v>73965012</v>
      </c>
      <c r="J45" s="776" t="s">
        <v>4642</v>
      </c>
      <c r="K45" s="779">
        <v>998000</v>
      </c>
      <c r="L45" s="779">
        <v>99900</v>
      </c>
      <c r="M45" s="779"/>
      <c r="N45" s="780">
        <f>(K45-L45)/K45</f>
        <v>0.89989979959919841</v>
      </c>
      <c r="O45" s="780">
        <v>0.18</v>
      </c>
      <c r="P45" s="777" t="s">
        <v>4449</v>
      </c>
      <c r="Q45" s="781" t="s">
        <v>4643</v>
      </c>
      <c r="R45" s="782" t="s">
        <v>4644</v>
      </c>
      <c r="S45" s="782" t="s">
        <v>4645</v>
      </c>
      <c r="T45" s="782"/>
    </row>
    <row r="46" spans="2:20" ht="13.5" customHeight="1">
      <c r="B46" s="1437" t="s">
        <v>4646</v>
      </c>
      <c r="C46" s="1437"/>
      <c r="D46" s="1437"/>
      <c r="E46" s="1437"/>
      <c r="F46" s="1437"/>
      <c r="G46" s="1437"/>
      <c r="H46" s="1437"/>
      <c r="I46" s="1437"/>
      <c r="J46" s="1437"/>
      <c r="K46" s="1437"/>
      <c r="L46" s="1437"/>
      <c r="M46" s="1437"/>
      <c r="N46" s="1437"/>
      <c r="O46" s="1437"/>
      <c r="P46" s="1437"/>
      <c r="Q46" s="1437"/>
      <c r="R46" s="1437"/>
      <c r="S46" s="807"/>
      <c r="T46" s="807"/>
    </row>
    <row r="47" spans="2:20" ht="16.5">
      <c r="B47" s="1433" t="s">
        <v>4647</v>
      </c>
      <c r="C47" s="785" t="s">
        <v>3247</v>
      </c>
      <c r="D47" s="786" t="s">
        <v>4453</v>
      </c>
      <c r="E47" s="787" t="s">
        <v>3244</v>
      </c>
      <c r="F47" s="787" t="s">
        <v>4648</v>
      </c>
      <c r="G47" s="788" t="s">
        <v>4649</v>
      </c>
      <c r="H47" s="671">
        <v>202403197208</v>
      </c>
      <c r="I47" s="788">
        <v>68253396</v>
      </c>
      <c r="J47" s="787" t="s">
        <v>4650</v>
      </c>
      <c r="K47" s="790">
        <v>339000</v>
      </c>
      <c r="L47" s="790" t="s">
        <v>4651</v>
      </c>
      <c r="M47" s="790"/>
      <c r="N47" s="780" t="e">
        <f>(K47-L47)/K47</f>
        <v>#VALUE!</v>
      </c>
      <c r="O47" s="791">
        <v>0.15</v>
      </c>
      <c r="P47" s="777" t="s">
        <v>4449</v>
      </c>
      <c r="Q47" s="792" t="s">
        <v>4548</v>
      </c>
      <c r="R47" s="793" t="s">
        <v>4652</v>
      </c>
      <c r="S47" s="793" t="s">
        <v>4653</v>
      </c>
      <c r="T47" s="793"/>
    </row>
    <row r="48" spans="2:20" ht="16.5" customHeight="1">
      <c r="B48" s="1433"/>
      <c r="C48" s="774" t="s">
        <v>4443</v>
      </c>
      <c r="D48" s="775" t="s">
        <v>4654</v>
      </c>
      <c r="E48" s="776" t="s">
        <v>137</v>
      </c>
      <c r="F48" s="776" t="s">
        <v>4445</v>
      </c>
      <c r="G48" s="777" t="s">
        <v>4655</v>
      </c>
      <c r="H48" s="808">
        <v>202405308618</v>
      </c>
      <c r="I48" s="777">
        <v>72930284</v>
      </c>
      <c r="J48" s="776" t="s">
        <v>4656</v>
      </c>
      <c r="K48" s="779">
        <v>13900</v>
      </c>
      <c r="L48" s="779">
        <v>9900</v>
      </c>
      <c r="M48" s="779"/>
      <c r="N48" s="780">
        <f>(K48-L48)/K48</f>
        <v>0.28776978417266186</v>
      </c>
      <c r="O48" s="780">
        <v>0.15</v>
      </c>
      <c r="P48" s="777" t="s">
        <v>4449</v>
      </c>
      <c r="Q48" s="781"/>
      <c r="R48" s="782" t="s">
        <v>4657</v>
      </c>
      <c r="S48" s="782"/>
      <c r="T48" s="782"/>
    </row>
    <row r="49" spans="2:20" ht="16.5" customHeight="1">
      <c r="B49" s="1433"/>
      <c r="C49" s="774" t="s">
        <v>3247</v>
      </c>
      <c r="D49" s="775" t="s">
        <v>4658</v>
      </c>
      <c r="E49" s="776" t="s">
        <v>32</v>
      </c>
      <c r="F49" s="776" t="s">
        <v>4084</v>
      </c>
      <c r="G49" s="777" t="s">
        <v>4659</v>
      </c>
      <c r="H49" s="808">
        <v>202411010821</v>
      </c>
      <c r="I49" s="777"/>
      <c r="J49" s="776" t="s">
        <v>4660</v>
      </c>
      <c r="K49" s="779"/>
      <c r="L49" s="779"/>
      <c r="M49" s="779"/>
      <c r="N49" s="780"/>
      <c r="O49" s="780">
        <v>7.0000000000000007E-2</v>
      </c>
      <c r="P49" s="777" t="s">
        <v>4449</v>
      </c>
      <c r="Q49" s="781" t="s">
        <v>4661</v>
      </c>
      <c r="R49" s="782" t="s">
        <v>4662</v>
      </c>
      <c r="S49" s="782"/>
      <c r="T49" s="782"/>
    </row>
    <row r="50" spans="2:20" ht="16.5" customHeight="1">
      <c r="B50" s="1433"/>
      <c r="C50" s="774" t="s">
        <v>4529</v>
      </c>
      <c r="D50" s="775" t="s">
        <v>4663</v>
      </c>
      <c r="E50" s="776" t="s">
        <v>1109</v>
      </c>
      <c r="F50" s="776" t="s">
        <v>4519</v>
      </c>
      <c r="G50" s="777" t="s">
        <v>4664</v>
      </c>
      <c r="H50" s="783">
        <v>202412111444</v>
      </c>
      <c r="I50" s="777">
        <v>57853679</v>
      </c>
      <c r="J50" s="776" t="s">
        <v>4552</v>
      </c>
      <c r="K50" s="779">
        <v>11580</v>
      </c>
      <c r="L50" s="779">
        <v>10430</v>
      </c>
      <c r="M50" s="779">
        <v>10430</v>
      </c>
      <c r="N50" s="780">
        <f>(K50-L50)/K50</f>
        <v>9.9309153713298792E-2</v>
      </c>
      <c r="O50" s="780">
        <v>0.15</v>
      </c>
      <c r="P50" s="777" t="s">
        <v>4449</v>
      </c>
      <c r="Q50" s="781" t="s">
        <v>4553</v>
      </c>
      <c r="R50" s="782" t="s">
        <v>4554</v>
      </c>
      <c r="S50" s="782" t="s">
        <v>4665</v>
      </c>
      <c r="T50" s="782"/>
    </row>
    <row r="51" spans="2:20" ht="16.5" customHeight="1">
      <c r="B51" s="1433"/>
      <c r="C51" s="774" t="s">
        <v>4468</v>
      </c>
      <c r="D51" s="775"/>
      <c r="E51" s="776" t="s">
        <v>910</v>
      </c>
      <c r="F51" s="776" t="s">
        <v>4454</v>
      </c>
      <c r="G51" s="777" t="s">
        <v>3445</v>
      </c>
      <c r="H51" s="778">
        <v>202404298038</v>
      </c>
      <c r="I51" s="777">
        <v>30195112</v>
      </c>
      <c r="J51" s="776" t="s">
        <v>4666</v>
      </c>
      <c r="K51" s="779">
        <v>88000</v>
      </c>
      <c r="L51" s="779">
        <v>69000</v>
      </c>
      <c r="M51" s="779"/>
      <c r="N51" s="780">
        <f>1-(L51/K51)</f>
        <v>0.21590909090909094</v>
      </c>
      <c r="O51" s="780">
        <v>0.3</v>
      </c>
      <c r="P51" s="777" t="s">
        <v>4449</v>
      </c>
      <c r="Q51" s="781" t="s">
        <v>4667</v>
      </c>
      <c r="R51" s="782" t="s">
        <v>4668</v>
      </c>
      <c r="S51" s="782" t="s">
        <v>4669</v>
      </c>
      <c r="T51" s="782"/>
    </row>
    <row r="52" spans="2:20" ht="16.5" customHeight="1">
      <c r="B52" s="1433"/>
      <c r="C52" s="774"/>
      <c r="D52" s="775" t="s">
        <v>4670</v>
      </c>
      <c r="E52" s="809" t="s">
        <v>221</v>
      </c>
      <c r="F52" s="809" t="s">
        <v>4671</v>
      </c>
      <c r="G52" s="810" t="s">
        <v>231</v>
      </c>
      <c r="H52" s="811">
        <v>202412061376</v>
      </c>
      <c r="I52" s="810" t="s">
        <v>4672</v>
      </c>
      <c r="J52" s="809" t="s">
        <v>4673</v>
      </c>
      <c r="K52" s="804">
        <v>43900</v>
      </c>
      <c r="L52" s="804">
        <v>39900</v>
      </c>
      <c r="M52" s="804"/>
      <c r="N52" s="812">
        <v>0.13667425968109337</v>
      </c>
      <c r="O52" s="812">
        <v>0.17</v>
      </c>
      <c r="P52" s="810" t="s">
        <v>4449</v>
      </c>
      <c r="Q52" s="813" t="s">
        <v>4674</v>
      </c>
      <c r="R52" s="782"/>
      <c r="S52" s="782" t="s">
        <v>4675</v>
      </c>
      <c r="T52" s="782"/>
    </row>
    <row r="53" spans="2:20" ht="16.5" customHeight="1">
      <c r="B53" s="1433"/>
      <c r="C53" s="774" t="s">
        <v>4479</v>
      </c>
      <c r="D53" s="775"/>
      <c r="E53" s="776" t="s">
        <v>264</v>
      </c>
      <c r="F53" s="776" t="s">
        <v>4480</v>
      </c>
      <c r="G53" s="777" t="s">
        <v>4676</v>
      </c>
      <c r="H53" s="805">
        <v>202405148329</v>
      </c>
      <c r="I53" s="777">
        <v>71195200</v>
      </c>
      <c r="J53" s="776" t="s">
        <v>4677</v>
      </c>
      <c r="K53" s="779">
        <v>799000</v>
      </c>
      <c r="L53" s="779">
        <v>152700</v>
      </c>
      <c r="M53" s="779"/>
      <c r="N53" s="780">
        <f>(K53-L53)/K53</f>
        <v>0.80888610763454316</v>
      </c>
      <c r="O53" s="780">
        <v>0.16</v>
      </c>
      <c r="P53" s="777" t="s">
        <v>4449</v>
      </c>
      <c r="Q53" s="781" t="s">
        <v>4678</v>
      </c>
      <c r="R53" s="782" t="s">
        <v>4679</v>
      </c>
      <c r="S53" s="782" t="s">
        <v>4680</v>
      </c>
      <c r="T53" s="782"/>
    </row>
    <row r="54" spans="2:20" ht="16.5" customHeight="1">
      <c r="B54" s="1433"/>
      <c r="C54" s="774" t="s">
        <v>4459</v>
      </c>
      <c r="D54" s="775"/>
      <c r="E54" s="776" t="s">
        <v>795</v>
      </c>
      <c r="F54" s="776" t="s">
        <v>4461</v>
      </c>
      <c r="G54" s="777" t="s">
        <v>3540</v>
      </c>
      <c r="H54" s="783">
        <v>202411191034</v>
      </c>
      <c r="I54" s="777">
        <v>48631898</v>
      </c>
      <c r="J54" s="776" t="s">
        <v>4681</v>
      </c>
      <c r="K54" s="779">
        <v>37900</v>
      </c>
      <c r="L54" s="779">
        <v>32800</v>
      </c>
      <c r="M54" s="779"/>
      <c r="N54" s="780">
        <f>(K54-L54)/K54</f>
        <v>0.13456464379947231</v>
      </c>
      <c r="O54" s="780">
        <v>0.25</v>
      </c>
      <c r="P54" s="777" t="s">
        <v>4682</v>
      </c>
      <c r="Q54" s="781" t="s">
        <v>4683</v>
      </c>
      <c r="R54" s="782" t="s">
        <v>4684</v>
      </c>
      <c r="S54" s="782" t="s">
        <v>4685</v>
      </c>
      <c r="T54" s="782"/>
    </row>
    <row r="55" spans="2:20" ht="16.5">
      <c r="B55" s="1433" t="s">
        <v>4686</v>
      </c>
      <c r="C55" s="795" t="s">
        <v>4443</v>
      </c>
      <c r="D55" s="786" t="s">
        <v>4658</v>
      </c>
      <c r="E55" s="787" t="s">
        <v>3244</v>
      </c>
      <c r="F55" s="787" t="s">
        <v>3232</v>
      </c>
      <c r="G55" s="788" t="s">
        <v>4687</v>
      </c>
      <c r="H55" s="814">
        <v>202412301795</v>
      </c>
      <c r="I55" s="788">
        <v>73405644</v>
      </c>
      <c r="J55" s="815" t="s">
        <v>4688</v>
      </c>
      <c r="K55" s="790">
        <v>109000</v>
      </c>
      <c r="L55" s="790">
        <v>20300</v>
      </c>
      <c r="M55" s="790"/>
      <c r="N55" s="791">
        <v>0.81</v>
      </c>
      <c r="O55" s="791">
        <v>0.16</v>
      </c>
      <c r="P55" s="777" t="s">
        <v>4449</v>
      </c>
      <c r="Q55" s="792" t="s">
        <v>4689</v>
      </c>
      <c r="R55" s="793" t="s">
        <v>4690</v>
      </c>
      <c r="S55" s="793" t="s">
        <v>4691</v>
      </c>
      <c r="T55" s="793"/>
    </row>
    <row r="56" spans="2:20">
      <c r="B56" s="1433"/>
      <c r="C56" s="774"/>
      <c r="D56" s="775" t="s">
        <v>4453</v>
      </c>
      <c r="E56" s="776" t="s">
        <v>165</v>
      </c>
      <c r="F56" s="776" t="s">
        <v>4560</v>
      </c>
      <c r="G56" s="777" t="s">
        <v>4692</v>
      </c>
      <c r="H56" s="783">
        <v>202412271782</v>
      </c>
      <c r="I56" s="777"/>
      <c r="J56" s="776"/>
      <c r="K56" s="779"/>
      <c r="L56" s="779"/>
      <c r="M56" s="779"/>
      <c r="N56" s="780"/>
      <c r="O56" s="780"/>
      <c r="P56" s="777"/>
      <c r="Q56" s="781" t="s">
        <v>4693</v>
      </c>
      <c r="R56" s="782" t="s">
        <v>4694</v>
      </c>
      <c r="S56" s="782"/>
      <c r="T56" s="782"/>
    </row>
    <row r="57" spans="2:20">
      <c r="B57" s="1433"/>
      <c r="C57" s="774" t="s">
        <v>4468</v>
      </c>
      <c r="D57" s="775" t="s">
        <v>4654</v>
      </c>
      <c r="E57" s="776" t="s">
        <v>910</v>
      </c>
      <c r="F57" s="776" t="s">
        <v>4454</v>
      </c>
      <c r="G57" s="777" t="s">
        <v>3452</v>
      </c>
      <c r="H57" s="778">
        <v>202407049230</v>
      </c>
      <c r="I57" s="777">
        <v>30190708</v>
      </c>
      <c r="J57" s="776" t="s">
        <v>4695</v>
      </c>
      <c r="K57" s="779">
        <v>16000</v>
      </c>
      <c r="L57" s="779">
        <v>12000</v>
      </c>
      <c r="M57" s="779"/>
      <c r="N57" s="780">
        <f>1-(L57/K57)</f>
        <v>0.25</v>
      </c>
      <c r="O57" s="780">
        <v>0.2</v>
      </c>
      <c r="P57" s="777" t="s">
        <v>4696</v>
      </c>
      <c r="Q57" s="781" t="s">
        <v>4697</v>
      </c>
      <c r="R57" s="782" t="s">
        <v>4698</v>
      </c>
      <c r="S57" s="782" t="s">
        <v>4699</v>
      </c>
      <c r="T57" s="782"/>
    </row>
    <row r="58" spans="2:20" ht="16.5">
      <c r="B58" s="1433"/>
      <c r="C58" s="774"/>
      <c r="D58" s="775"/>
      <c r="E58" s="776" t="s">
        <v>221</v>
      </c>
      <c r="F58" s="776" t="s">
        <v>4454</v>
      </c>
      <c r="G58" s="777" t="s">
        <v>4700</v>
      </c>
      <c r="H58" s="778">
        <v>202412051335</v>
      </c>
      <c r="I58" s="777">
        <v>10955086</v>
      </c>
      <c r="J58" s="776" t="s">
        <v>4701</v>
      </c>
      <c r="K58" s="779">
        <v>35000</v>
      </c>
      <c r="L58" s="779">
        <v>33250</v>
      </c>
      <c r="M58" s="779"/>
      <c r="N58" s="780">
        <v>5.0000000000000044E-2</v>
      </c>
      <c r="O58" s="780">
        <v>0.15</v>
      </c>
      <c r="P58" s="777" t="s">
        <v>4449</v>
      </c>
      <c r="Q58" s="781" t="s">
        <v>4702</v>
      </c>
      <c r="R58" s="782"/>
      <c r="S58" t="s">
        <v>4703</v>
      </c>
      <c r="T58" s="782"/>
    </row>
    <row r="59" spans="2:20" ht="13.5" customHeight="1">
      <c r="B59" s="1433"/>
      <c r="C59" s="774" t="s">
        <v>4479</v>
      </c>
      <c r="D59" s="775"/>
      <c r="E59" s="776" t="s">
        <v>264</v>
      </c>
      <c r="F59" s="776" t="s">
        <v>4480</v>
      </c>
      <c r="G59" s="777" t="s">
        <v>4704</v>
      </c>
      <c r="H59" s="671">
        <v>202412271788</v>
      </c>
      <c r="I59" s="777">
        <v>73893778</v>
      </c>
      <c r="J59" s="776" t="s">
        <v>4705</v>
      </c>
      <c r="K59" s="779">
        <v>39900</v>
      </c>
      <c r="L59" s="779">
        <v>35900</v>
      </c>
      <c r="M59" s="779"/>
      <c r="N59" s="780">
        <f>(K59-L59)/K59</f>
        <v>0.10025062656641603</v>
      </c>
      <c r="O59" s="780">
        <v>0.2</v>
      </c>
      <c r="P59" s="777" t="s">
        <v>4449</v>
      </c>
      <c r="Q59" s="781" t="s">
        <v>4706</v>
      </c>
      <c r="R59" s="782" t="s">
        <v>4707</v>
      </c>
      <c r="S59" s="782" t="s">
        <v>4708</v>
      </c>
      <c r="T59" s="782"/>
    </row>
    <row r="60" spans="2:20">
      <c r="B60" s="1433"/>
      <c r="C60" s="774" t="s">
        <v>4529</v>
      </c>
      <c r="D60" s="775" t="s">
        <v>4670</v>
      </c>
      <c r="E60" s="776" t="s">
        <v>1109</v>
      </c>
      <c r="F60" s="776" t="s">
        <v>4519</v>
      </c>
      <c r="G60" s="777" t="s">
        <v>4709</v>
      </c>
      <c r="H60" s="783">
        <v>202411211057</v>
      </c>
      <c r="I60" s="777">
        <v>46484179</v>
      </c>
      <c r="J60" s="776" t="s">
        <v>4710</v>
      </c>
      <c r="K60" s="779">
        <v>33900</v>
      </c>
      <c r="L60" s="779">
        <v>30900</v>
      </c>
      <c r="M60" s="779"/>
      <c r="N60" s="780">
        <f>(K60-L60)/K60</f>
        <v>8.8495575221238937E-2</v>
      </c>
      <c r="O60" s="780">
        <v>0.15</v>
      </c>
      <c r="P60" s="777" t="s">
        <v>4449</v>
      </c>
      <c r="Q60" s="781"/>
      <c r="R60" s="782"/>
      <c r="S60" s="782"/>
      <c r="T60" s="782"/>
    </row>
    <row r="61" spans="2:20">
      <c r="B61" s="1433"/>
      <c r="C61" s="774" t="s">
        <v>4459</v>
      </c>
      <c r="D61" s="775" t="s">
        <v>4663</v>
      </c>
      <c r="E61" s="776" t="s">
        <v>795</v>
      </c>
      <c r="F61" s="776" t="s">
        <v>4461</v>
      </c>
      <c r="G61" s="777" t="s">
        <v>4711</v>
      </c>
      <c r="H61" s="816">
        <v>202408149850</v>
      </c>
      <c r="I61" s="777">
        <v>69071583</v>
      </c>
      <c r="J61" s="776" t="s">
        <v>1221</v>
      </c>
      <c r="K61" s="779"/>
      <c r="L61" s="779">
        <v>33000</v>
      </c>
      <c r="M61" s="779"/>
      <c r="N61" s="780"/>
      <c r="O61" s="780">
        <v>0.15</v>
      </c>
      <c r="P61" s="777" t="s">
        <v>4449</v>
      </c>
      <c r="Q61" s="781" t="s">
        <v>4712</v>
      </c>
      <c r="R61" s="782"/>
      <c r="S61" s="782"/>
      <c r="T61" s="782"/>
    </row>
    <row r="62" spans="2:20" s="825" customFormat="1">
      <c r="B62" s="1433" t="s">
        <v>4713</v>
      </c>
      <c r="C62" s="817"/>
      <c r="D62" s="786"/>
      <c r="E62" s="818"/>
      <c r="F62" s="818" t="s">
        <v>4714</v>
      </c>
      <c r="G62" s="819" t="s">
        <v>4714</v>
      </c>
      <c r="H62" s="820"/>
      <c r="I62" s="819"/>
      <c r="J62" s="818"/>
      <c r="K62" s="821"/>
      <c r="L62" s="821"/>
      <c r="M62" s="821"/>
      <c r="N62" s="822"/>
      <c r="O62" s="822"/>
      <c r="P62" s="819"/>
      <c r="Q62" s="823"/>
      <c r="R62" s="824"/>
      <c r="S62" s="824"/>
      <c r="T62" s="824"/>
    </row>
    <row r="63" spans="2:20">
      <c r="B63" s="1433"/>
      <c r="C63" s="774"/>
      <c r="D63" s="775" t="s">
        <v>4453</v>
      </c>
      <c r="E63" s="776" t="s">
        <v>165</v>
      </c>
      <c r="F63" s="776" t="s">
        <v>4560</v>
      </c>
      <c r="G63" s="777" t="s">
        <v>4715</v>
      </c>
      <c r="H63" s="783">
        <v>202412271781</v>
      </c>
      <c r="I63" s="777"/>
      <c r="J63" s="776"/>
      <c r="K63" s="779"/>
      <c r="L63" s="779"/>
      <c r="M63" s="779"/>
      <c r="N63" s="780"/>
      <c r="O63" s="780"/>
      <c r="P63" s="777"/>
      <c r="Q63" s="781" t="s">
        <v>4716</v>
      </c>
      <c r="R63" s="782" t="s">
        <v>4717</v>
      </c>
      <c r="S63" s="782"/>
      <c r="T63" s="782"/>
    </row>
    <row r="64" spans="2:20">
      <c r="B64" s="1433"/>
      <c r="C64" s="774" t="s">
        <v>4468</v>
      </c>
      <c r="D64" s="775" t="s">
        <v>4670</v>
      </c>
      <c r="E64" s="776" t="s">
        <v>910</v>
      </c>
      <c r="F64" s="776" t="s">
        <v>4454</v>
      </c>
      <c r="G64" s="777" t="s">
        <v>3455</v>
      </c>
      <c r="H64" s="778">
        <v>202209164646</v>
      </c>
      <c r="I64" s="777">
        <v>40210546</v>
      </c>
      <c r="J64" s="776" t="s">
        <v>4718</v>
      </c>
      <c r="K64" s="779">
        <v>19000</v>
      </c>
      <c r="L64" s="779">
        <v>7900</v>
      </c>
      <c r="M64" s="779"/>
      <c r="N64" s="780">
        <f>1-(L64/K64)</f>
        <v>0.58421052631578951</v>
      </c>
      <c r="O64" s="780">
        <v>0.15</v>
      </c>
      <c r="P64" s="777" t="s">
        <v>4696</v>
      </c>
      <c r="Q64" s="781" t="s">
        <v>4719</v>
      </c>
      <c r="R64" s="782" t="s">
        <v>4720</v>
      </c>
      <c r="S64" s="782" t="s">
        <v>4721</v>
      </c>
      <c r="T64" s="782"/>
    </row>
    <row r="65" spans="2:20">
      <c r="B65" s="1433"/>
      <c r="C65" s="774" t="s">
        <v>4459</v>
      </c>
      <c r="D65" s="775" t="s">
        <v>4654</v>
      </c>
      <c r="E65" s="809" t="s">
        <v>221</v>
      </c>
      <c r="F65" s="809" t="s">
        <v>4671</v>
      </c>
      <c r="G65" s="810" t="s">
        <v>222</v>
      </c>
      <c r="H65" s="811">
        <v>202210125349</v>
      </c>
      <c r="I65" s="810">
        <v>30107302</v>
      </c>
      <c r="J65" s="809" t="s">
        <v>4722</v>
      </c>
      <c r="K65" s="804">
        <v>72900</v>
      </c>
      <c r="L65" s="804">
        <v>39900</v>
      </c>
      <c r="M65" s="804"/>
      <c r="N65" s="812">
        <v>0.45267489711934161</v>
      </c>
      <c r="O65" s="812">
        <v>0.1</v>
      </c>
      <c r="P65" s="810" t="s">
        <v>4449</v>
      </c>
      <c r="Q65" s="813" t="s">
        <v>4723</v>
      </c>
      <c r="R65" s="782"/>
      <c r="S65" s="782" t="s">
        <v>4724</v>
      </c>
      <c r="T65" s="782"/>
    </row>
    <row r="66" spans="2:20">
      <c r="B66" s="1433"/>
      <c r="C66" s="774" t="s">
        <v>4479</v>
      </c>
      <c r="D66" s="775" t="s">
        <v>4658</v>
      </c>
      <c r="E66" s="776" t="s">
        <v>264</v>
      </c>
      <c r="F66" s="776" t="s">
        <v>4480</v>
      </c>
      <c r="G66" s="777" t="s">
        <v>3431</v>
      </c>
      <c r="H66" s="783">
        <v>202412301796</v>
      </c>
      <c r="I66" s="777">
        <v>75288838</v>
      </c>
      <c r="J66" s="776" t="s">
        <v>4725</v>
      </c>
      <c r="K66" s="779">
        <v>69900</v>
      </c>
      <c r="L66" s="779">
        <v>29900</v>
      </c>
      <c r="M66" s="779"/>
      <c r="N66" s="780">
        <f>(K66-L66)/K66</f>
        <v>0.57224606580829762</v>
      </c>
      <c r="O66" s="780">
        <v>0.16</v>
      </c>
      <c r="P66" s="777" t="s">
        <v>4449</v>
      </c>
      <c r="Q66" s="781" t="s">
        <v>4726</v>
      </c>
      <c r="R66" s="782" t="s">
        <v>4727</v>
      </c>
      <c r="S66" s="782" t="s">
        <v>4728</v>
      </c>
      <c r="T66" s="782"/>
    </row>
    <row r="67" spans="2:20" ht="16.5">
      <c r="B67" s="1433"/>
      <c r="C67" s="774"/>
      <c r="D67" s="775" t="s">
        <v>4663</v>
      </c>
      <c r="E67" s="776" t="s">
        <v>795</v>
      </c>
      <c r="F67" s="776" t="s">
        <v>4461</v>
      </c>
      <c r="G67" s="777" t="s">
        <v>3544</v>
      </c>
      <c r="H67" s="816">
        <v>202412121474</v>
      </c>
      <c r="I67" s="826">
        <v>30210364</v>
      </c>
      <c r="J67" s="776" t="s">
        <v>4729</v>
      </c>
      <c r="K67" s="779"/>
      <c r="L67" s="779">
        <f>20500*0.9</f>
        <v>18450</v>
      </c>
      <c r="M67" s="779"/>
      <c r="N67" s="780"/>
      <c r="O67" s="780">
        <v>0.15</v>
      </c>
      <c r="P67" s="810" t="s">
        <v>4449</v>
      </c>
      <c r="Q67" s="781" t="s">
        <v>4730</v>
      </c>
      <c r="R67" s="782"/>
      <c r="S67" s="782"/>
      <c r="T67" s="782"/>
    </row>
    <row r="68" spans="2:20">
      <c r="B68" s="1433" t="s">
        <v>4731</v>
      </c>
      <c r="C68" s="785"/>
      <c r="D68" s="786" t="s">
        <v>4453</v>
      </c>
      <c r="E68" s="776" t="s">
        <v>165</v>
      </c>
      <c r="F68" s="776" t="s">
        <v>4560</v>
      </c>
      <c r="G68" s="777" t="s">
        <v>4732</v>
      </c>
      <c r="H68" s="783">
        <v>202412271780</v>
      </c>
      <c r="I68" s="777"/>
      <c r="J68" s="776"/>
      <c r="K68" s="779"/>
      <c r="L68" s="779"/>
      <c r="M68" s="779"/>
      <c r="N68" s="780"/>
      <c r="O68" s="780"/>
      <c r="P68" s="777"/>
      <c r="Q68" s="781" t="s">
        <v>4733</v>
      </c>
      <c r="R68" s="782" t="s">
        <v>4734</v>
      </c>
      <c r="S68" s="793"/>
      <c r="T68" s="793"/>
    </row>
    <row r="69" spans="2:20">
      <c r="B69" s="1433"/>
      <c r="C69" s="774"/>
      <c r="D69" s="775"/>
      <c r="E69" s="776" t="s">
        <v>221</v>
      </c>
      <c r="F69" s="776" t="s">
        <v>4454</v>
      </c>
      <c r="G69" s="777" t="s">
        <v>4735</v>
      </c>
      <c r="H69" s="778">
        <v>202412051341</v>
      </c>
      <c r="I69" s="777">
        <v>10133571</v>
      </c>
      <c r="J69" s="776" t="s">
        <v>4736</v>
      </c>
      <c r="K69" s="779">
        <v>32000</v>
      </c>
      <c r="L69" s="779">
        <v>8900</v>
      </c>
      <c r="M69" s="779"/>
      <c r="N69" s="780">
        <v>0.72187500000000004</v>
      </c>
      <c r="O69" s="780">
        <v>0.12</v>
      </c>
      <c r="P69" s="777" t="s">
        <v>4449</v>
      </c>
      <c r="Q69" s="781" t="s">
        <v>4737</v>
      </c>
      <c r="R69" s="782"/>
      <c r="S69" s="782" t="s">
        <v>4738</v>
      </c>
      <c r="T69" s="782"/>
    </row>
    <row r="70" spans="2:20">
      <c r="B70" s="1433"/>
      <c r="C70" s="774" t="s">
        <v>4468</v>
      </c>
      <c r="D70" s="775" t="s">
        <v>4658</v>
      </c>
      <c r="E70" s="776" t="s">
        <v>910</v>
      </c>
      <c r="F70" s="776" t="s">
        <v>4454</v>
      </c>
      <c r="G70" s="777" t="s">
        <v>3449</v>
      </c>
      <c r="H70" s="778">
        <v>202308042687</v>
      </c>
      <c r="I70" s="777">
        <v>30210893</v>
      </c>
      <c r="J70" s="776" t="s">
        <v>4739</v>
      </c>
      <c r="K70" s="779">
        <v>139000</v>
      </c>
      <c r="L70" s="779">
        <v>104250</v>
      </c>
      <c r="M70" s="779"/>
      <c r="N70" s="780">
        <v>0.25</v>
      </c>
      <c r="O70" s="780">
        <v>0.4</v>
      </c>
      <c r="P70" s="777" t="s">
        <v>4449</v>
      </c>
      <c r="Q70" s="781" t="s">
        <v>4740</v>
      </c>
      <c r="R70" s="782" t="s">
        <v>4741</v>
      </c>
      <c r="S70" s="782" t="s">
        <v>4742</v>
      </c>
      <c r="T70" s="782"/>
    </row>
    <row r="71" spans="2:20" ht="16.5" customHeight="1">
      <c r="B71" s="1433"/>
      <c r="C71" s="774" t="s">
        <v>4479</v>
      </c>
      <c r="D71" s="775" t="s">
        <v>4663</v>
      </c>
      <c r="E71" s="776" t="s">
        <v>264</v>
      </c>
      <c r="F71" s="776" t="s">
        <v>4480</v>
      </c>
      <c r="G71" s="777" t="s">
        <v>4743</v>
      </c>
      <c r="H71" s="811">
        <v>202409300450</v>
      </c>
      <c r="I71" s="777">
        <v>71045684</v>
      </c>
      <c r="J71" s="776" t="s">
        <v>4744</v>
      </c>
      <c r="K71" s="779">
        <v>490000</v>
      </c>
      <c r="L71" s="779">
        <v>89000</v>
      </c>
      <c r="M71" s="779"/>
      <c r="N71" s="780">
        <f>(K71-L71)/K71</f>
        <v>0.81836734693877555</v>
      </c>
      <c r="O71" s="780">
        <v>0.16</v>
      </c>
      <c r="P71" s="777" t="s">
        <v>4449</v>
      </c>
      <c r="Q71" s="781" t="s">
        <v>4745</v>
      </c>
      <c r="R71" s="782" t="s">
        <v>4746</v>
      </c>
      <c r="S71" s="782" t="s">
        <v>4747</v>
      </c>
      <c r="T71" s="782"/>
    </row>
    <row r="72" spans="2:20">
      <c r="B72" s="1433"/>
      <c r="C72" s="774" t="s">
        <v>4529</v>
      </c>
      <c r="D72" s="775" t="s">
        <v>4670</v>
      </c>
      <c r="E72" s="776" t="s">
        <v>1109</v>
      </c>
      <c r="F72" s="776" t="s">
        <v>4519</v>
      </c>
      <c r="G72" s="777" t="s">
        <v>4748</v>
      </c>
      <c r="H72" s="783">
        <v>202404247965</v>
      </c>
      <c r="I72" s="777">
        <v>30120897</v>
      </c>
      <c r="J72" s="776" t="s">
        <v>4749</v>
      </c>
      <c r="K72" s="779">
        <v>69900</v>
      </c>
      <c r="L72" s="779">
        <v>62010</v>
      </c>
      <c r="M72" s="779"/>
      <c r="N72" s="780">
        <f>(K72-L72)/K72</f>
        <v>0.1128755364806867</v>
      </c>
      <c r="O72" s="780">
        <v>0.15</v>
      </c>
      <c r="P72" s="777" t="s">
        <v>4449</v>
      </c>
      <c r="Q72" s="781" t="s">
        <v>4750</v>
      </c>
      <c r="R72" s="782" t="s">
        <v>4751</v>
      </c>
      <c r="S72" s="782" t="s">
        <v>4752</v>
      </c>
      <c r="T72" s="782"/>
    </row>
    <row r="73" spans="2:20">
      <c r="B73" s="1433"/>
      <c r="C73" s="827" t="s">
        <v>4459</v>
      </c>
      <c r="D73" s="828" t="s">
        <v>4654</v>
      </c>
      <c r="E73" s="829" t="s">
        <v>795</v>
      </c>
      <c r="F73" s="829" t="s">
        <v>4461</v>
      </c>
      <c r="G73" s="830" t="s">
        <v>1237</v>
      </c>
      <c r="H73" s="816">
        <v>202411080902</v>
      </c>
      <c r="I73" s="830">
        <v>75165384</v>
      </c>
      <c r="J73" s="829" t="s">
        <v>4753</v>
      </c>
      <c r="K73" s="831"/>
      <c r="L73" s="831">
        <v>9900</v>
      </c>
      <c r="M73" s="831"/>
      <c r="N73" s="832"/>
      <c r="O73" s="832">
        <v>0.15</v>
      </c>
      <c r="P73" s="833" t="s">
        <v>4449</v>
      </c>
      <c r="Q73" s="834" t="s">
        <v>4754</v>
      </c>
      <c r="R73" s="835"/>
      <c r="S73" s="835" t="s">
        <v>4755</v>
      </c>
      <c r="T73" s="835"/>
    </row>
    <row r="74" spans="2:20" s="825" customFormat="1">
      <c r="B74" s="1433" t="s">
        <v>4756</v>
      </c>
      <c r="C74" s="836"/>
      <c r="D74" s="837"/>
      <c r="E74" s="837" t="s">
        <v>331</v>
      </c>
      <c r="F74" s="837"/>
      <c r="G74" s="837" t="s">
        <v>4350</v>
      </c>
      <c r="H74" s="838"/>
      <c r="I74" s="839"/>
      <c r="J74" s="840" t="s">
        <v>3306</v>
      </c>
      <c r="K74" s="837"/>
      <c r="L74" s="837"/>
      <c r="M74" s="837"/>
      <c r="N74" s="837"/>
      <c r="O74" s="837"/>
      <c r="P74" s="837"/>
      <c r="Q74" s="841"/>
      <c r="R74" s="839"/>
      <c r="S74" s="839"/>
      <c r="T74" s="841"/>
    </row>
    <row r="75" spans="2:20">
      <c r="B75" s="1433"/>
      <c r="C75" s="842" t="s">
        <v>4443</v>
      </c>
      <c r="D75" s="775" t="s">
        <v>4491</v>
      </c>
      <c r="E75" s="776" t="s">
        <v>137</v>
      </c>
      <c r="F75" s="776" t="s">
        <v>4757</v>
      </c>
      <c r="G75" s="777" t="s">
        <v>3406</v>
      </c>
      <c r="H75" s="808">
        <v>202409100239</v>
      </c>
      <c r="I75" s="777">
        <v>41988479</v>
      </c>
      <c r="J75" s="776" t="s">
        <v>4758</v>
      </c>
      <c r="K75" s="779">
        <v>2176000</v>
      </c>
      <c r="L75" s="779" t="s">
        <v>4759</v>
      </c>
      <c r="M75" s="779"/>
      <c r="N75" s="780">
        <v>0.1</v>
      </c>
      <c r="O75" s="780">
        <v>0.17</v>
      </c>
      <c r="P75" s="777" t="s">
        <v>4449</v>
      </c>
      <c r="Q75" s="781"/>
      <c r="R75" s="782" t="s">
        <v>4760</v>
      </c>
      <c r="S75" s="782"/>
      <c r="T75" s="782"/>
    </row>
    <row r="76" spans="2:20">
      <c r="B76" s="1433"/>
      <c r="C76" s="774" t="s">
        <v>4459</v>
      </c>
      <c r="D76" s="775" t="s">
        <v>4670</v>
      </c>
      <c r="E76" s="776" t="s">
        <v>221</v>
      </c>
      <c r="F76" s="776" t="s">
        <v>4671</v>
      </c>
      <c r="G76" s="777" t="s">
        <v>3512</v>
      </c>
      <c r="H76" s="811">
        <v>202412101401</v>
      </c>
      <c r="I76" s="777">
        <v>58866381</v>
      </c>
      <c r="J76" s="776" t="s">
        <v>4761</v>
      </c>
      <c r="K76" s="779">
        <v>118000</v>
      </c>
      <c r="L76" s="779">
        <v>27900</v>
      </c>
      <c r="M76" s="779"/>
      <c r="N76" s="780">
        <v>0.76355932203389831</v>
      </c>
      <c r="O76" s="780">
        <v>0.2</v>
      </c>
      <c r="P76" s="777" t="s">
        <v>4449</v>
      </c>
      <c r="Q76" s="781" t="s">
        <v>4762</v>
      </c>
      <c r="R76" s="782"/>
      <c r="S76" s="782" t="s">
        <v>4763</v>
      </c>
      <c r="T76" s="843">
        <v>0</v>
      </c>
    </row>
    <row r="77" spans="2:20">
      <c r="B77" s="1433"/>
      <c r="C77" s="774" t="s">
        <v>4529</v>
      </c>
      <c r="D77" s="775" t="s">
        <v>4663</v>
      </c>
      <c r="E77" s="776" t="s">
        <v>910</v>
      </c>
      <c r="F77" s="776" t="s">
        <v>4454</v>
      </c>
      <c r="G77" s="777" t="s">
        <v>919</v>
      </c>
      <c r="H77" s="811">
        <v>202207072928</v>
      </c>
      <c r="I77" s="777">
        <v>74053693</v>
      </c>
      <c r="J77" s="776" t="s">
        <v>4764</v>
      </c>
      <c r="K77" s="779">
        <v>11500</v>
      </c>
      <c r="L77" s="779">
        <v>10350</v>
      </c>
      <c r="M77" s="779"/>
      <c r="N77" s="780">
        <v>0.1</v>
      </c>
      <c r="O77" s="780">
        <v>0.15</v>
      </c>
      <c r="P77" s="777" t="s">
        <v>4696</v>
      </c>
      <c r="Q77" s="781" t="s">
        <v>4765</v>
      </c>
      <c r="R77" s="782" t="s">
        <v>4766</v>
      </c>
      <c r="S77" s="782" t="s">
        <v>4767</v>
      </c>
      <c r="T77" s="782"/>
    </row>
    <row r="78" spans="2:20" ht="16.5" customHeight="1">
      <c r="B78" s="1433"/>
      <c r="C78" s="774" t="s">
        <v>4479</v>
      </c>
      <c r="D78" s="775" t="s">
        <v>4509</v>
      </c>
      <c r="E78" s="776" t="s">
        <v>264</v>
      </c>
      <c r="F78" s="776" t="s">
        <v>4480</v>
      </c>
      <c r="G78" s="777" t="s">
        <v>4768</v>
      </c>
      <c r="H78" s="811">
        <v>202307212435</v>
      </c>
      <c r="I78" s="777">
        <v>71319292</v>
      </c>
      <c r="J78" s="776" t="s">
        <v>4769</v>
      </c>
      <c r="K78" s="779">
        <v>259000</v>
      </c>
      <c r="L78" s="779">
        <v>25900</v>
      </c>
      <c r="M78" s="779"/>
      <c r="N78" s="780">
        <f>(K78-L78)/K78</f>
        <v>0.9</v>
      </c>
      <c r="O78" s="780">
        <v>0.15</v>
      </c>
      <c r="P78" s="777" t="s">
        <v>4449</v>
      </c>
      <c r="Q78" s="781" t="s">
        <v>4770</v>
      </c>
      <c r="R78" s="782" t="s">
        <v>4771</v>
      </c>
      <c r="S78" s="782" t="s">
        <v>4772</v>
      </c>
      <c r="T78" s="782"/>
    </row>
    <row r="79" spans="2:20">
      <c r="B79" s="1433"/>
      <c r="C79" s="774" t="s">
        <v>4468</v>
      </c>
      <c r="D79" s="775" t="s">
        <v>4654</v>
      </c>
      <c r="E79" s="776" t="s">
        <v>3294</v>
      </c>
      <c r="F79" s="776" t="s">
        <v>3276</v>
      </c>
      <c r="G79" s="777" t="s">
        <v>4505</v>
      </c>
      <c r="H79" s="778">
        <v>202206212437</v>
      </c>
      <c r="I79" s="777">
        <v>30208685</v>
      </c>
      <c r="J79" s="776" t="s">
        <v>4506</v>
      </c>
      <c r="K79" s="779">
        <v>14800</v>
      </c>
      <c r="L79" s="779">
        <v>13900</v>
      </c>
      <c r="M79" s="779"/>
      <c r="N79" s="780">
        <f>1-(L79/K79)</f>
        <v>6.0810810810810856E-2</v>
      </c>
      <c r="O79" s="780">
        <v>0.15</v>
      </c>
      <c r="P79" s="777" t="s">
        <v>4449</v>
      </c>
      <c r="Q79" s="781" t="s">
        <v>4773</v>
      </c>
      <c r="R79" s="844"/>
      <c r="S79" s="782"/>
      <c r="T79" s="782"/>
    </row>
    <row r="80" spans="2:20" ht="16.5">
      <c r="B80" s="1433"/>
      <c r="C80" s="774" t="s">
        <v>4774</v>
      </c>
      <c r="D80" s="775" t="s">
        <v>4658</v>
      </c>
      <c r="E80" s="776" t="s">
        <v>795</v>
      </c>
      <c r="F80" s="776" t="s">
        <v>4461</v>
      </c>
      <c r="G80" s="777" t="s">
        <v>3539</v>
      </c>
      <c r="H80" s="845">
        <v>202501071870</v>
      </c>
      <c r="I80" s="846">
        <v>46542001</v>
      </c>
      <c r="J80" s="847" t="s">
        <v>4775</v>
      </c>
      <c r="K80" s="779"/>
      <c r="L80" s="804"/>
      <c r="M80" s="779"/>
      <c r="N80" s="780"/>
      <c r="O80" s="780">
        <v>0.15</v>
      </c>
      <c r="P80" s="777" t="s">
        <v>4449</v>
      </c>
      <c r="Q80" s="781" t="s">
        <v>4776</v>
      </c>
      <c r="R80" s="782" t="s">
        <v>4777</v>
      </c>
      <c r="S80" s="782" t="s">
        <v>4640</v>
      </c>
      <c r="T80" s="782">
        <v>100</v>
      </c>
    </row>
    <row r="81" spans="2:20">
      <c r="B81" s="1433" t="s">
        <v>4778</v>
      </c>
      <c r="C81" s="795" t="s">
        <v>4459</v>
      </c>
      <c r="D81" s="786" t="s">
        <v>4658</v>
      </c>
      <c r="E81" s="787" t="s">
        <v>795</v>
      </c>
      <c r="F81" s="787" t="s">
        <v>4461</v>
      </c>
      <c r="G81" s="788" t="s">
        <v>4779</v>
      </c>
      <c r="H81" s="816">
        <v>202501021834</v>
      </c>
      <c r="I81" s="788">
        <v>72639204</v>
      </c>
      <c r="J81" s="815" t="s">
        <v>4780</v>
      </c>
      <c r="K81" s="790">
        <v>16900</v>
      </c>
      <c r="L81" s="790">
        <v>16000</v>
      </c>
      <c r="M81" s="790"/>
      <c r="N81" s="812">
        <f>(K81-L81)/K81</f>
        <v>5.3254437869822487E-2</v>
      </c>
      <c r="O81" s="791">
        <v>0.15</v>
      </c>
      <c r="P81" s="777" t="s">
        <v>4449</v>
      </c>
      <c r="Q81" s="792" t="s">
        <v>4781</v>
      </c>
      <c r="R81" s="793"/>
      <c r="S81" s="793" t="s">
        <v>4782</v>
      </c>
      <c r="T81" s="793"/>
    </row>
    <row r="82" spans="2:20">
      <c r="B82" s="1433"/>
      <c r="C82" s="774" t="s">
        <v>4468</v>
      </c>
      <c r="D82" s="775" t="s">
        <v>4654</v>
      </c>
      <c r="E82" s="776" t="s">
        <v>221</v>
      </c>
      <c r="F82" s="776" t="s">
        <v>4454</v>
      </c>
      <c r="G82" s="777" t="s">
        <v>4783</v>
      </c>
      <c r="H82" s="778">
        <v>202412191629</v>
      </c>
      <c r="I82" s="777">
        <v>30019641</v>
      </c>
      <c r="J82" s="776" t="s">
        <v>4784</v>
      </c>
      <c r="K82" s="779">
        <v>6900</v>
      </c>
      <c r="L82" s="779">
        <v>6560</v>
      </c>
      <c r="M82" s="779"/>
      <c r="N82" s="780">
        <v>4.9275362318840554E-2</v>
      </c>
      <c r="O82" s="780">
        <v>0.15</v>
      </c>
      <c r="P82" s="777" t="s">
        <v>4449</v>
      </c>
      <c r="Q82" s="781" t="s">
        <v>4785</v>
      </c>
      <c r="R82" s="782"/>
      <c r="S82" s="782" t="s">
        <v>4786</v>
      </c>
      <c r="T82" s="782"/>
    </row>
    <row r="83" spans="2:20">
      <c r="B83" s="1433"/>
      <c r="C83" s="774"/>
      <c r="D83" s="775" t="s">
        <v>4663</v>
      </c>
      <c r="E83" s="776" t="s">
        <v>910</v>
      </c>
      <c r="F83" s="776" t="s">
        <v>4454</v>
      </c>
      <c r="G83" s="777" t="s">
        <v>3596</v>
      </c>
      <c r="H83" s="778">
        <v>202308032683</v>
      </c>
      <c r="I83" s="777">
        <v>30186292</v>
      </c>
      <c r="J83" s="776" t="s">
        <v>4787</v>
      </c>
      <c r="K83" s="779">
        <v>75000</v>
      </c>
      <c r="L83" s="779">
        <v>56250</v>
      </c>
      <c r="M83" s="779"/>
      <c r="N83" s="780">
        <v>0.25</v>
      </c>
      <c r="O83" s="780">
        <v>0.4</v>
      </c>
      <c r="P83" s="777" t="s">
        <v>4449</v>
      </c>
      <c r="Q83" s="781" t="s">
        <v>4788</v>
      </c>
      <c r="R83" s="782" t="s">
        <v>4789</v>
      </c>
      <c r="S83" s="782" t="s">
        <v>4790</v>
      </c>
      <c r="T83" s="782"/>
    </row>
    <row r="84" spans="2:20" ht="16.5" customHeight="1">
      <c r="B84" s="1433"/>
      <c r="C84" s="774" t="s">
        <v>4479</v>
      </c>
      <c r="D84" s="775" t="s">
        <v>4453</v>
      </c>
      <c r="E84" s="776" t="s">
        <v>264</v>
      </c>
      <c r="F84" s="776" t="s">
        <v>4480</v>
      </c>
      <c r="G84" s="777" t="s">
        <v>4362</v>
      </c>
      <c r="H84" s="811">
        <v>202404097646</v>
      </c>
      <c r="I84" s="777">
        <v>69056398</v>
      </c>
      <c r="J84" s="776" t="s">
        <v>4791</v>
      </c>
      <c r="K84" s="779">
        <v>119800</v>
      </c>
      <c r="L84" s="779">
        <v>23500</v>
      </c>
      <c r="M84" s="779"/>
      <c r="N84" s="780">
        <f>(K84-L84)/K84</f>
        <v>0.80383973288814692</v>
      </c>
      <c r="O84" s="780">
        <v>0.17</v>
      </c>
      <c r="P84" s="777" t="s">
        <v>4449</v>
      </c>
      <c r="Q84" s="781" t="s">
        <v>4792</v>
      </c>
      <c r="R84" s="782" t="s">
        <v>4793</v>
      </c>
      <c r="S84" s="782" t="s">
        <v>4794</v>
      </c>
      <c r="T84" s="782"/>
    </row>
    <row r="85" spans="2:20">
      <c r="B85" s="1433"/>
      <c r="C85" s="795" t="s">
        <v>4529</v>
      </c>
      <c r="D85" s="828" t="s">
        <v>4670</v>
      </c>
      <c r="E85" s="829" t="s">
        <v>1109</v>
      </c>
      <c r="F85" s="829" t="s">
        <v>4519</v>
      </c>
      <c r="G85" s="830" t="s">
        <v>4795</v>
      </c>
      <c r="H85" s="811">
        <v>202406188929</v>
      </c>
      <c r="I85" s="848">
        <v>57815988</v>
      </c>
      <c r="J85" s="849" t="s">
        <v>4796</v>
      </c>
      <c r="K85" s="831"/>
      <c r="L85" s="831"/>
      <c r="M85" s="831"/>
      <c r="N85" s="850"/>
      <c r="O85" s="850"/>
      <c r="P85" s="830" t="s">
        <v>4449</v>
      </c>
      <c r="Q85" s="851" t="s">
        <v>4797</v>
      </c>
      <c r="R85" s="852"/>
      <c r="S85" s="852"/>
      <c r="T85" s="852"/>
    </row>
    <row r="86" spans="2:20">
      <c r="B86" s="1434" t="s">
        <v>4798</v>
      </c>
      <c r="C86" s="762" t="s">
        <v>4443</v>
      </c>
      <c r="D86" s="763" t="s">
        <v>4453</v>
      </c>
      <c r="E86" s="764" t="s">
        <v>137</v>
      </c>
      <c r="F86" s="764" t="s">
        <v>4445</v>
      </c>
      <c r="G86" s="771" t="s">
        <v>3410</v>
      </c>
      <c r="H86" s="808">
        <v>202403087005</v>
      </c>
      <c r="I86" s="771">
        <v>72546655</v>
      </c>
      <c r="J86" s="764" t="s">
        <v>4799</v>
      </c>
      <c r="K86" s="769">
        <v>1050000</v>
      </c>
      <c r="L86" s="769">
        <v>945000</v>
      </c>
      <c r="M86" s="769"/>
      <c r="N86" s="770">
        <v>0.1</v>
      </c>
      <c r="O86" s="770">
        <v>0.2</v>
      </c>
      <c r="P86" s="771" t="s">
        <v>4449</v>
      </c>
      <c r="Q86" s="853" t="s">
        <v>4548</v>
      </c>
      <c r="R86" s="854" t="s">
        <v>4800</v>
      </c>
      <c r="S86" s="854"/>
      <c r="T86" s="854"/>
    </row>
    <row r="87" spans="2:20">
      <c r="B87" s="1434"/>
      <c r="C87" s="774" t="s">
        <v>4559</v>
      </c>
      <c r="D87" s="775" t="s">
        <v>4658</v>
      </c>
      <c r="E87" s="776" t="s">
        <v>165</v>
      </c>
      <c r="F87" s="776" t="s">
        <v>4560</v>
      </c>
      <c r="G87" s="777" t="s">
        <v>4801</v>
      </c>
      <c r="H87" s="811">
        <v>202412301794</v>
      </c>
      <c r="I87" s="777">
        <v>46260880</v>
      </c>
      <c r="J87" s="776" t="s">
        <v>4802</v>
      </c>
      <c r="K87" s="779">
        <v>679000</v>
      </c>
      <c r="L87" s="779">
        <v>539000</v>
      </c>
      <c r="M87" s="779"/>
      <c r="N87" s="780">
        <v>0.21</v>
      </c>
      <c r="O87" s="780">
        <v>0.15</v>
      </c>
      <c r="P87" s="777" t="s">
        <v>4449</v>
      </c>
      <c r="Q87" s="781" t="s">
        <v>4803</v>
      </c>
      <c r="R87" s="782" t="s">
        <v>4804</v>
      </c>
      <c r="S87" s="782"/>
      <c r="T87" s="782"/>
    </row>
    <row r="88" spans="2:20" s="863" customFormat="1">
      <c r="B88" s="1434"/>
      <c r="C88" s="855"/>
      <c r="D88" s="800"/>
      <c r="E88" s="856" t="s">
        <v>221</v>
      </c>
      <c r="F88" s="856" t="s">
        <v>4563</v>
      </c>
      <c r="G88" s="857" t="s">
        <v>257</v>
      </c>
      <c r="H88" s="858">
        <v>202302158470</v>
      </c>
      <c r="I88" s="857">
        <v>30195393</v>
      </c>
      <c r="J88" s="856" t="s">
        <v>4805</v>
      </c>
      <c r="K88" s="859">
        <v>30900</v>
      </c>
      <c r="L88" s="859">
        <v>29360</v>
      </c>
      <c r="M88" s="859"/>
      <c r="N88" s="860">
        <v>4.9838187702265335E-2</v>
      </c>
      <c r="O88" s="860">
        <v>0.15</v>
      </c>
      <c r="P88" s="857" t="s">
        <v>4449</v>
      </c>
      <c r="Q88" s="861" t="s">
        <v>4806</v>
      </c>
      <c r="R88" s="862"/>
      <c r="S88" s="862" t="s">
        <v>4807</v>
      </c>
      <c r="T88" s="862"/>
    </row>
    <row r="89" spans="2:20" ht="13.5" customHeight="1">
      <c r="B89" s="1434"/>
      <c r="C89" s="774" t="s">
        <v>4479</v>
      </c>
      <c r="D89" s="775" t="s">
        <v>4663</v>
      </c>
      <c r="E89" s="776" t="s">
        <v>264</v>
      </c>
      <c r="F89" s="776" t="s">
        <v>4480</v>
      </c>
      <c r="G89" s="777" t="s">
        <v>4808</v>
      </c>
      <c r="H89" s="811">
        <v>202405108242</v>
      </c>
      <c r="I89" s="777">
        <v>73504486</v>
      </c>
      <c r="J89" s="776" t="s">
        <v>4809</v>
      </c>
      <c r="K89" s="779">
        <v>599800</v>
      </c>
      <c r="L89" s="779">
        <v>127900</v>
      </c>
      <c r="M89" s="779"/>
      <c r="N89" s="780">
        <f>(K89-L89)/K89</f>
        <v>0.78676225408469491</v>
      </c>
      <c r="O89" s="780">
        <v>0.17</v>
      </c>
      <c r="P89" s="777" t="s">
        <v>4449</v>
      </c>
      <c r="Q89" s="781" t="s">
        <v>4810</v>
      </c>
      <c r="R89" s="782" t="s">
        <v>4811</v>
      </c>
      <c r="S89" s="782" t="s">
        <v>4812</v>
      </c>
      <c r="T89" s="782"/>
    </row>
    <row r="90" spans="2:20">
      <c r="B90" s="1434"/>
      <c r="C90" s="774" t="s">
        <v>4468</v>
      </c>
      <c r="D90" s="775"/>
      <c r="E90" s="776" t="s">
        <v>910</v>
      </c>
      <c r="F90" s="776" t="s">
        <v>4454</v>
      </c>
      <c r="G90" s="777" t="s">
        <v>4583</v>
      </c>
      <c r="H90" s="778" t="s">
        <v>4813</v>
      </c>
      <c r="I90" s="777">
        <v>30173665</v>
      </c>
      <c r="J90" s="776" t="s">
        <v>4585</v>
      </c>
      <c r="K90" s="779">
        <v>22700</v>
      </c>
      <c r="L90" s="779">
        <v>13900</v>
      </c>
      <c r="M90" s="779"/>
      <c r="N90" s="780">
        <f>1-(L90/K90)</f>
        <v>0.38766519823788548</v>
      </c>
      <c r="O90" s="780"/>
      <c r="P90" s="777" t="s">
        <v>4449</v>
      </c>
      <c r="Q90" s="781" t="s">
        <v>4814</v>
      </c>
      <c r="R90" s="782" t="s">
        <v>4815</v>
      </c>
      <c r="S90" s="782" t="s">
        <v>4588</v>
      </c>
      <c r="T90" s="782"/>
    </row>
    <row r="91" spans="2:20">
      <c r="B91" s="1434"/>
      <c r="C91" s="774" t="s">
        <v>4529</v>
      </c>
      <c r="D91" s="775" t="s">
        <v>4670</v>
      </c>
      <c r="E91" s="776" t="s">
        <v>1109</v>
      </c>
      <c r="F91" s="776" t="s">
        <v>4519</v>
      </c>
      <c r="G91" s="777" t="s">
        <v>3864</v>
      </c>
      <c r="H91" s="811">
        <v>202409100238</v>
      </c>
      <c r="I91" s="777">
        <v>64151560</v>
      </c>
      <c r="J91" s="776" t="s">
        <v>4816</v>
      </c>
      <c r="K91" s="779">
        <v>61700</v>
      </c>
      <c r="L91" s="779">
        <v>44140</v>
      </c>
      <c r="M91" s="779"/>
      <c r="N91" s="780">
        <f>(K91-L91)/K91</f>
        <v>0.28460291734197729</v>
      </c>
      <c r="O91" s="780">
        <v>0.15</v>
      </c>
      <c r="P91" s="777" t="s">
        <v>4449</v>
      </c>
      <c r="Q91" s="781" t="s">
        <v>4817</v>
      </c>
      <c r="R91" s="782" t="s">
        <v>4818</v>
      </c>
      <c r="S91" s="782" t="s">
        <v>4819</v>
      </c>
      <c r="T91" s="782"/>
    </row>
    <row r="92" spans="2:20">
      <c r="B92" s="1434"/>
      <c r="C92" s="774" t="s">
        <v>4459</v>
      </c>
      <c r="D92" s="775" t="s">
        <v>4654</v>
      </c>
      <c r="E92" s="787" t="s">
        <v>795</v>
      </c>
      <c r="F92" s="787" t="s">
        <v>4461</v>
      </c>
      <c r="G92" s="777" t="s">
        <v>1778</v>
      </c>
      <c r="H92" s="816">
        <v>202412121476</v>
      </c>
      <c r="I92" s="777">
        <v>67202314</v>
      </c>
      <c r="J92" s="776" t="s">
        <v>4820</v>
      </c>
      <c r="K92" s="779">
        <v>24900</v>
      </c>
      <c r="L92" s="779">
        <v>22000</v>
      </c>
      <c r="M92" s="779"/>
      <c r="N92" s="780">
        <f>(K92-L92)/K92</f>
        <v>0.11646586345381527</v>
      </c>
      <c r="O92" s="780">
        <v>0.15</v>
      </c>
      <c r="P92" s="777" t="s">
        <v>4449</v>
      </c>
      <c r="Q92" s="781" t="s">
        <v>4821</v>
      </c>
      <c r="R92" s="782"/>
      <c r="S92" s="782" t="s">
        <v>4822</v>
      </c>
      <c r="T92" s="782"/>
    </row>
    <row r="93" spans="2:20">
      <c r="B93" s="1435" t="s">
        <v>4823</v>
      </c>
      <c r="C93" s="1435"/>
      <c r="D93" s="1435"/>
      <c r="E93" s="1435"/>
      <c r="F93" s="1435"/>
      <c r="G93" s="1435"/>
      <c r="H93" s="1435"/>
      <c r="I93" s="1435"/>
      <c r="J93" s="1435"/>
      <c r="K93" s="864"/>
      <c r="L93" s="865"/>
      <c r="M93" s="865"/>
      <c r="N93" s="866"/>
      <c r="O93" s="867"/>
      <c r="P93" s="868"/>
      <c r="Q93" s="869"/>
      <c r="R93" s="870"/>
      <c r="S93" s="870"/>
      <c r="T93" s="870"/>
    </row>
    <row r="94" spans="2:20">
      <c r="B94" s="1425" t="s">
        <v>4824</v>
      </c>
      <c r="C94" s="785" t="s">
        <v>4443</v>
      </c>
      <c r="D94" s="786"/>
      <c r="E94" s="787" t="s">
        <v>137</v>
      </c>
      <c r="F94" s="787" t="s">
        <v>4603</v>
      </c>
      <c r="G94" s="788" t="s">
        <v>4825</v>
      </c>
      <c r="H94" s="808">
        <v>202411211067</v>
      </c>
      <c r="I94" s="819">
        <v>56066638</v>
      </c>
      <c r="J94" s="818" t="s">
        <v>4826</v>
      </c>
      <c r="K94" s="821">
        <v>17900</v>
      </c>
      <c r="L94" s="821">
        <v>15900</v>
      </c>
      <c r="M94" s="790"/>
      <c r="N94" s="791">
        <v>0.11</v>
      </c>
      <c r="O94" s="791">
        <v>0.2</v>
      </c>
      <c r="P94" s="871" t="s">
        <v>4449</v>
      </c>
      <c r="Q94" s="792" t="s">
        <v>4827</v>
      </c>
      <c r="R94" s="793" t="s">
        <v>4828</v>
      </c>
      <c r="S94" s="793"/>
      <c r="T94" s="793"/>
    </row>
    <row r="95" spans="2:20" ht="16.5" customHeight="1">
      <c r="B95" s="1425"/>
      <c r="C95" s="774"/>
      <c r="D95" s="775"/>
      <c r="E95" s="776" t="s">
        <v>185</v>
      </c>
      <c r="F95" s="776" t="s">
        <v>4829</v>
      </c>
      <c r="G95" s="777" t="s">
        <v>3661</v>
      </c>
      <c r="H95" s="783">
        <v>202501021810</v>
      </c>
      <c r="I95" s="810">
        <v>30210678</v>
      </c>
      <c r="J95" s="809" t="s">
        <v>4830</v>
      </c>
      <c r="K95" s="779">
        <v>110200</v>
      </c>
      <c r="L95" s="779">
        <v>83220</v>
      </c>
      <c r="M95" s="779"/>
      <c r="N95" s="822">
        <f>1-(L95/K95)</f>
        <v>0.2448275862068966</v>
      </c>
      <c r="O95" s="780">
        <v>0.17</v>
      </c>
      <c r="P95" s="777" t="s">
        <v>4449</v>
      </c>
      <c r="Q95" s="781" t="s">
        <v>4831</v>
      </c>
      <c r="R95" s="782"/>
      <c r="S95" s="782"/>
      <c r="T95" s="782"/>
    </row>
    <row r="96" spans="2:20" ht="16.5" customHeight="1">
      <c r="B96" s="1425"/>
      <c r="C96" s="774" t="s">
        <v>4459</v>
      </c>
      <c r="D96" s="775" t="s">
        <v>4453</v>
      </c>
      <c r="E96" s="776" t="s">
        <v>795</v>
      </c>
      <c r="F96" s="776" t="s">
        <v>4461</v>
      </c>
      <c r="G96" s="777" t="s">
        <v>3539</v>
      </c>
      <c r="H96" s="872">
        <v>202411211077</v>
      </c>
      <c r="I96" s="810">
        <v>75169650</v>
      </c>
      <c r="J96" s="776" t="s">
        <v>4832</v>
      </c>
      <c r="K96" s="804">
        <v>38500</v>
      </c>
      <c r="L96" s="779">
        <v>31900</v>
      </c>
      <c r="M96" s="779"/>
      <c r="N96" s="822">
        <f>1-(L96/K96)</f>
        <v>0.17142857142857137</v>
      </c>
      <c r="O96" s="780">
        <v>0.15</v>
      </c>
      <c r="P96" s="777" t="s">
        <v>4449</v>
      </c>
      <c r="Q96" s="781" t="s">
        <v>4833</v>
      </c>
      <c r="R96" s="782" t="s">
        <v>4834</v>
      </c>
      <c r="S96" s="782" t="s">
        <v>4835</v>
      </c>
      <c r="T96" s="782">
        <v>150</v>
      </c>
    </row>
    <row r="97" spans="1:20" ht="16.5" customHeight="1">
      <c r="B97" s="1425"/>
      <c r="C97" s="774" t="s">
        <v>4468</v>
      </c>
      <c r="D97" s="775" t="s">
        <v>4469</v>
      </c>
      <c r="E97" s="776" t="s">
        <v>910</v>
      </c>
      <c r="F97" s="776" t="s">
        <v>4454</v>
      </c>
      <c r="G97" s="777" t="s">
        <v>3596</v>
      </c>
      <c r="H97" s="783">
        <v>202501071878</v>
      </c>
      <c r="I97" s="777">
        <v>30186292</v>
      </c>
      <c r="J97" s="776" t="s">
        <v>4787</v>
      </c>
      <c r="K97" s="779">
        <v>75000</v>
      </c>
      <c r="L97" s="779">
        <v>56250</v>
      </c>
      <c r="M97" s="779"/>
      <c r="N97" s="780">
        <v>0.25</v>
      </c>
      <c r="O97" s="780">
        <v>0.4</v>
      </c>
      <c r="P97" s="777" t="s">
        <v>4449</v>
      </c>
      <c r="Q97" s="781" t="s">
        <v>4836</v>
      </c>
      <c r="R97" s="782" t="s">
        <v>4837</v>
      </c>
      <c r="S97" s="782" t="s">
        <v>4838</v>
      </c>
      <c r="T97" s="782"/>
    </row>
    <row r="98" spans="1:20" ht="16.5" customHeight="1">
      <c r="B98" s="1425"/>
      <c r="C98" s="774"/>
      <c r="D98" s="775"/>
      <c r="E98" s="809" t="s">
        <v>221</v>
      </c>
      <c r="F98" s="809" t="s">
        <v>4671</v>
      </c>
      <c r="G98" s="810" t="s">
        <v>231</v>
      </c>
      <c r="H98" s="811">
        <v>202412061376</v>
      </c>
      <c r="I98" s="810">
        <v>68341214</v>
      </c>
      <c r="J98" s="809" t="s">
        <v>4839</v>
      </c>
      <c r="K98" s="804">
        <v>24900</v>
      </c>
      <c r="L98" s="804">
        <v>19900</v>
      </c>
      <c r="M98" s="804"/>
      <c r="N98" s="812">
        <v>0.20080321285140568</v>
      </c>
      <c r="O98" s="812">
        <v>0.17</v>
      </c>
      <c r="P98" s="810" t="s">
        <v>4449</v>
      </c>
      <c r="Q98" s="813" t="s">
        <v>4840</v>
      </c>
      <c r="R98" s="782"/>
      <c r="S98" s="782"/>
      <c r="T98" s="782"/>
    </row>
    <row r="99" spans="1:20" ht="16.5" customHeight="1">
      <c r="B99" s="1425"/>
      <c r="C99" s="774"/>
      <c r="D99" s="775"/>
      <c r="E99" s="776" t="s">
        <v>331</v>
      </c>
      <c r="F99" s="776" t="s">
        <v>4841</v>
      </c>
      <c r="G99" s="777" t="s">
        <v>4842</v>
      </c>
      <c r="H99" s="671">
        <v>202406108765</v>
      </c>
      <c r="I99" s="810">
        <v>75869212</v>
      </c>
      <c r="J99" s="776" t="s">
        <v>4843</v>
      </c>
      <c r="K99" s="779">
        <v>52000</v>
      </c>
      <c r="L99" s="779">
        <v>30780</v>
      </c>
      <c r="M99" s="779"/>
      <c r="N99" s="780">
        <f>(K99-L99)/K99</f>
        <v>0.40807692307692306</v>
      </c>
      <c r="O99" s="780">
        <v>0.15</v>
      </c>
      <c r="P99" s="777" t="s">
        <v>4449</v>
      </c>
      <c r="Q99" s="813" t="s">
        <v>4844</v>
      </c>
      <c r="R99" s="782"/>
      <c r="S99" s="782"/>
      <c r="T99" s="782"/>
    </row>
    <row r="100" spans="1:20" ht="16.5" customHeight="1">
      <c r="B100" s="1425"/>
      <c r="C100" s="774" t="s">
        <v>4845</v>
      </c>
      <c r="D100" s="775" t="s">
        <v>4460</v>
      </c>
      <c r="E100" s="776" t="s">
        <v>3377</v>
      </c>
      <c r="F100" s="776" t="s">
        <v>4846</v>
      </c>
      <c r="G100" s="777" t="s">
        <v>4847</v>
      </c>
      <c r="H100" s="783">
        <v>202405278480</v>
      </c>
      <c r="I100" s="777">
        <v>10200295</v>
      </c>
      <c r="J100" s="776" t="s">
        <v>4848</v>
      </c>
      <c r="K100" s="779">
        <v>39900</v>
      </c>
      <c r="L100" s="779">
        <v>30900</v>
      </c>
      <c r="M100" s="779"/>
      <c r="N100" s="822">
        <f t="shared" ref="N100:N105" si="0">1-(L100/K100)</f>
        <v>0.22556390977443608</v>
      </c>
      <c r="O100" s="780">
        <v>0.25</v>
      </c>
      <c r="P100" s="777" t="s">
        <v>4464</v>
      </c>
      <c r="Q100" s="781" t="s">
        <v>4849</v>
      </c>
      <c r="R100" s="782" t="s">
        <v>4850</v>
      </c>
      <c r="S100" s="782" t="s">
        <v>4851</v>
      </c>
      <c r="T100" s="782">
        <v>100</v>
      </c>
    </row>
    <row r="101" spans="1:20" ht="16.5" customHeight="1">
      <c r="B101" s="1425"/>
      <c r="C101" s="774"/>
      <c r="D101" s="775" t="s">
        <v>4444</v>
      </c>
      <c r="E101" s="776" t="s">
        <v>3377</v>
      </c>
      <c r="F101" s="776" t="s">
        <v>4846</v>
      </c>
      <c r="G101" s="777" t="s">
        <v>4852</v>
      </c>
      <c r="H101" s="783">
        <v>202501071871</v>
      </c>
      <c r="I101" s="777" t="s">
        <v>4853</v>
      </c>
      <c r="J101" s="776" t="s">
        <v>4854</v>
      </c>
      <c r="K101" s="779">
        <v>26900</v>
      </c>
      <c r="L101" s="779">
        <v>23300</v>
      </c>
      <c r="M101" s="779"/>
      <c r="N101" s="822">
        <f t="shared" si="0"/>
        <v>0.13382899628252787</v>
      </c>
      <c r="O101" s="780">
        <v>0.15</v>
      </c>
      <c r="P101" s="777" t="s">
        <v>4464</v>
      </c>
      <c r="Q101" s="781"/>
      <c r="R101" s="782"/>
      <c r="S101" s="782"/>
      <c r="T101" s="782"/>
    </row>
    <row r="102" spans="1:20" ht="16.5" customHeight="1">
      <c r="B102" s="1425"/>
      <c r="C102" s="774" t="s">
        <v>4479</v>
      </c>
      <c r="D102" s="775"/>
      <c r="E102" s="776" t="s">
        <v>264</v>
      </c>
      <c r="F102" s="776" t="s">
        <v>4480</v>
      </c>
      <c r="G102" s="777" t="s">
        <v>3264</v>
      </c>
      <c r="H102" s="805">
        <v>202412051354</v>
      </c>
      <c r="I102" s="777">
        <v>72435855</v>
      </c>
      <c r="J102" s="776" t="s">
        <v>4855</v>
      </c>
      <c r="K102" s="779">
        <v>159000</v>
      </c>
      <c r="L102" s="779">
        <v>23400</v>
      </c>
      <c r="M102" s="779"/>
      <c r="N102" s="822">
        <f t="shared" si="0"/>
        <v>0.85283018867924532</v>
      </c>
      <c r="O102" s="780">
        <v>0.16</v>
      </c>
      <c r="P102" s="777" t="s">
        <v>4449</v>
      </c>
      <c r="Q102" s="781" t="s">
        <v>4856</v>
      </c>
      <c r="R102" s="782" t="s">
        <v>4857</v>
      </c>
      <c r="S102" s="782" t="s">
        <v>4858</v>
      </c>
      <c r="T102" s="782"/>
    </row>
    <row r="103" spans="1:20" ht="16.5" customHeight="1">
      <c r="B103" s="1425"/>
      <c r="C103" s="873" t="s">
        <v>4859</v>
      </c>
      <c r="D103" s="874" t="s">
        <v>4474</v>
      </c>
      <c r="E103" s="875" t="s">
        <v>417</v>
      </c>
      <c r="F103" s="776" t="s">
        <v>4461</v>
      </c>
      <c r="G103" s="876" t="s">
        <v>4860</v>
      </c>
      <c r="H103" s="877">
        <v>202412271778</v>
      </c>
      <c r="I103" s="876">
        <v>30215838</v>
      </c>
      <c r="J103" s="875" t="s">
        <v>4861</v>
      </c>
      <c r="K103" s="878">
        <v>114900</v>
      </c>
      <c r="L103" s="878">
        <v>91910</v>
      </c>
      <c r="M103" s="878"/>
      <c r="N103" s="822">
        <f t="shared" si="0"/>
        <v>0.20008703220191471</v>
      </c>
      <c r="O103" s="879">
        <v>0.1</v>
      </c>
      <c r="P103" s="876" t="s">
        <v>4449</v>
      </c>
      <c r="Q103" s="880" t="s">
        <v>4862</v>
      </c>
      <c r="R103" s="881"/>
      <c r="S103" s="881" t="s">
        <v>4863</v>
      </c>
      <c r="T103" s="881">
        <v>100</v>
      </c>
    </row>
    <row r="104" spans="1:20">
      <c r="B104" s="1425" t="s">
        <v>4864</v>
      </c>
      <c r="C104" s="785"/>
      <c r="D104" s="786" t="s">
        <v>4453</v>
      </c>
      <c r="E104" s="787" t="s">
        <v>185</v>
      </c>
      <c r="F104" s="787" t="s">
        <v>4829</v>
      </c>
      <c r="G104" s="788" t="s">
        <v>3663</v>
      </c>
      <c r="H104" s="797">
        <v>202501021811</v>
      </c>
      <c r="I104" s="819">
        <v>11024183</v>
      </c>
      <c r="J104" s="818" t="s">
        <v>4865</v>
      </c>
      <c r="K104" s="821">
        <v>150000</v>
      </c>
      <c r="L104" s="821">
        <v>139500</v>
      </c>
      <c r="M104" s="790"/>
      <c r="N104" s="791">
        <f t="shared" si="0"/>
        <v>6.9999999999999951E-2</v>
      </c>
      <c r="O104" s="791">
        <v>0.15</v>
      </c>
      <c r="P104" s="788" t="s">
        <v>4449</v>
      </c>
      <c r="Q104" s="792" t="s">
        <v>3412</v>
      </c>
      <c r="R104" s="793"/>
      <c r="S104" s="793"/>
      <c r="T104" s="793"/>
    </row>
    <row r="105" spans="1:20">
      <c r="B105" s="1425"/>
      <c r="C105" s="774" t="s">
        <v>4459</v>
      </c>
      <c r="D105" s="775"/>
      <c r="E105" s="776" t="s">
        <v>795</v>
      </c>
      <c r="F105" s="776" t="s">
        <v>4461</v>
      </c>
      <c r="G105" s="777" t="s">
        <v>3540</v>
      </c>
      <c r="H105" s="872">
        <v>202412061365</v>
      </c>
      <c r="I105" s="777">
        <v>68561055</v>
      </c>
      <c r="J105" s="776" t="s">
        <v>4866</v>
      </c>
      <c r="K105" s="779">
        <v>19900</v>
      </c>
      <c r="L105" s="779">
        <f>17300*0.9</f>
        <v>15570</v>
      </c>
      <c r="M105" s="779"/>
      <c r="N105" s="822">
        <f t="shared" si="0"/>
        <v>0.21758793969849244</v>
      </c>
      <c r="O105" s="780">
        <v>0.15</v>
      </c>
      <c r="P105" s="777" t="s">
        <v>4449</v>
      </c>
      <c r="Q105" s="781" t="s">
        <v>4821</v>
      </c>
      <c r="R105" s="782" t="s">
        <v>4867</v>
      </c>
      <c r="S105" s="782" t="s">
        <v>4868</v>
      </c>
      <c r="T105" s="782">
        <v>50</v>
      </c>
    </row>
    <row r="106" spans="1:20">
      <c r="B106" s="1425"/>
      <c r="C106" s="774" t="s">
        <v>4468</v>
      </c>
      <c r="D106" s="775" t="s">
        <v>4444</v>
      </c>
      <c r="E106" s="776" t="s">
        <v>910</v>
      </c>
      <c r="F106" s="776" t="s">
        <v>4454</v>
      </c>
      <c r="G106" s="777" t="s">
        <v>3594</v>
      </c>
      <c r="H106" s="783">
        <v>202308042693</v>
      </c>
      <c r="I106" s="777">
        <v>30149304</v>
      </c>
      <c r="J106" s="776" t="s">
        <v>4869</v>
      </c>
      <c r="K106" s="779">
        <v>66000</v>
      </c>
      <c r="L106" s="779">
        <v>48180</v>
      </c>
      <c r="M106" s="779"/>
      <c r="N106" s="780">
        <v>0.27</v>
      </c>
      <c r="O106" s="780">
        <v>0.33</v>
      </c>
      <c r="P106" s="777" t="s">
        <v>4449</v>
      </c>
      <c r="Q106" s="781" t="s">
        <v>4870</v>
      </c>
      <c r="R106" s="782" t="s">
        <v>4871</v>
      </c>
      <c r="S106" s="782" t="s">
        <v>4872</v>
      </c>
      <c r="T106" s="782"/>
    </row>
    <row r="107" spans="1:20">
      <c r="B107" s="1425"/>
      <c r="C107" s="774"/>
      <c r="D107" s="775"/>
      <c r="E107" s="776" t="s">
        <v>221</v>
      </c>
      <c r="F107" s="776" t="s">
        <v>4454</v>
      </c>
      <c r="G107" s="777" t="s">
        <v>4735</v>
      </c>
      <c r="H107" s="783">
        <v>202402016278</v>
      </c>
      <c r="I107" s="777">
        <v>30217142</v>
      </c>
      <c r="J107" s="776" t="s">
        <v>4873</v>
      </c>
      <c r="K107" s="779">
        <v>48000</v>
      </c>
      <c r="L107" s="779">
        <v>12900</v>
      </c>
      <c r="M107" s="779"/>
      <c r="N107" s="780">
        <v>0.73124999999999996</v>
      </c>
      <c r="O107" s="780">
        <v>0.12</v>
      </c>
      <c r="P107" s="777" t="s">
        <v>4449</v>
      </c>
      <c r="Q107" s="781" t="s">
        <v>4874</v>
      </c>
      <c r="R107" s="782"/>
      <c r="S107" s="782"/>
      <c r="T107" s="782"/>
    </row>
    <row r="108" spans="1:20">
      <c r="B108" s="1425"/>
      <c r="C108" s="774" t="s">
        <v>4529</v>
      </c>
      <c r="D108" s="775"/>
      <c r="E108" s="776" t="s">
        <v>1109</v>
      </c>
      <c r="F108" s="776" t="s">
        <v>4519</v>
      </c>
      <c r="G108" s="777" t="s">
        <v>4100</v>
      </c>
      <c r="H108" s="783">
        <v>202406218981</v>
      </c>
      <c r="I108" s="777">
        <v>30115357</v>
      </c>
      <c r="J108" s="776" t="s">
        <v>4875</v>
      </c>
      <c r="K108" s="779">
        <v>69900</v>
      </c>
      <c r="L108" s="779">
        <v>55420</v>
      </c>
      <c r="M108" s="779"/>
      <c r="N108" s="822">
        <f t="shared" ref="N108:N113" si="1">1-(L108/K108)</f>
        <v>0.20715307582260367</v>
      </c>
      <c r="O108" s="780">
        <v>0.15</v>
      </c>
      <c r="P108" s="777" t="s">
        <v>4464</v>
      </c>
      <c r="Q108" s="781" t="s">
        <v>4876</v>
      </c>
      <c r="R108" s="782" t="s">
        <v>4877</v>
      </c>
      <c r="S108" s="782" t="s">
        <v>4878</v>
      </c>
      <c r="T108" s="782"/>
    </row>
    <row r="109" spans="1:20">
      <c r="B109" s="1425"/>
      <c r="C109" s="774" t="s">
        <v>4845</v>
      </c>
      <c r="D109" s="775" t="s">
        <v>4474</v>
      </c>
      <c r="E109" s="776" t="s">
        <v>3377</v>
      </c>
      <c r="F109" s="776" t="s">
        <v>4846</v>
      </c>
      <c r="G109" s="777" t="s">
        <v>4879</v>
      </c>
      <c r="H109" s="783">
        <v>202408209934</v>
      </c>
      <c r="I109" s="777" t="s">
        <v>4880</v>
      </c>
      <c r="J109" s="776" t="s">
        <v>4881</v>
      </c>
      <c r="K109" s="779">
        <v>47000</v>
      </c>
      <c r="L109" s="779">
        <v>37500</v>
      </c>
      <c r="M109" s="779"/>
      <c r="N109" s="822">
        <f t="shared" si="1"/>
        <v>0.2021276595744681</v>
      </c>
      <c r="O109" s="780">
        <v>0.25</v>
      </c>
      <c r="P109" s="777" t="s">
        <v>4464</v>
      </c>
      <c r="Q109" s="781" t="s">
        <v>4882</v>
      </c>
      <c r="R109" s="782" t="s">
        <v>4883</v>
      </c>
      <c r="S109" s="782" t="s">
        <v>4884</v>
      </c>
      <c r="T109" s="782">
        <v>100</v>
      </c>
    </row>
    <row r="110" spans="1:20">
      <c r="B110" s="1425"/>
      <c r="C110" s="774"/>
      <c r="D110" s="775" t="s">
        <v>4460</v>
      </c>
      <c r="E110" s="776" t="s">
        <v>3377</v>
      </c>
      <c r="F110" s="776" t="s">
        <v>4846</v>
      </c>
      <c r="G110" s="777" t="s">
        <v>4847</v>
      </c>
      <c r="H110" s="783">
        <v>202408300131</v>
      </c>
      <c r="I110" s="777">
        <v>41618749</v>
      </c>
      <c r="J110" s="776" t="s">
        <v>4885</v>
      </c>
      <c r="K110" s="779">
        <v>108000</v>
      </c>
      <c r="L110" s="779">
        <v>85000</v>
      </c>
      <c r="M110" s="779"/>
      <c r="N110" s="822">
        <f t="shared" si="1"/>
        <v>0.21296296296296291</v>
      </c>
      <c r="O110" s="780">
        <v>0.25</v>
      </c>
      <c r="P110" s="777" t="s">
        <v>4464</v>
      </c>
      <c r="Q110" s="781"/>
      <c r="R110" s="782"/>
      <c r="S110" s="782"/>
      <c r="T110" s="782"/>
    </row>
    <row r="111" spans="1:20" ht="13.5" customHeight="1">
      <c r="A111" s="825"/>
      <c r="B111" s="1425"/>
      <c r="C111" s="795" t="s">
        <v>4479</v>
      </c>
      <c r="D111" s="775"/>
      <c r="E111" s="809" t="s">
        <v>264</v>
      </c>
      <c r="F111" s="809" t="s">
        <v>4480</v>
      </c>
      <c r="G111" s="810" t="s">
        <v>4886</v>
      </c>
      <c r="H111" s="805">
        <v>202405028079</v>
      </c>
      <c r="I111" s="810">
        <v>70157456</v>
      </c>
      <c r="J111" s="809" t="s">
        <v>4887</v>
      </c>
      <c r="K111" s="804">
        <v>460000</v>
      </c>
      <c r="L111" s="804">
        <v>69900</v>
      </c>
      <c r="M111" s="804"/>
      <c r="N111" s="822">
        <f t="shared" si="1"/>
        <v>0.84804347826086957</v>
      </c>
      <c r="O111" s="812">
        <v>0.3</v>
      </c>
      <c r="P111" s="810" t="s">
        <v>4449</v>
      </c>
      <c r="Q111" s="813" t="s">
        <v>4888</v>
      </c>
      <c r="R111" s="844" t="s">
        <v>4889</v>
      </c>
      <c r="S111" s="844" t="s">
        <v>4890</v>
      </c>
      <c r="T111" s="844"/>
    </row>
    <row r="112" spans="1:20">
      <c r="B112" s="1425"/>
      <c r="C112" s="774"/>
      <c r="D112" s="775"/>
      <c r="E112" s="776" t="s">
        <v>3294</v>
      </c>
      <c r="F112" s="776" t="s">
        <v>4500</v>
      </c>
      <c r="G112" s="777" t="s">
        <v>4501</v>
      </c>
      <c r="H112" s="783">
        <v>202501071880</v>
      </c>
      <c r="I112" s="882" t="s">
        <v>4891</v>
      </c>
      <c r="J112" s="883" t="s">
        <v>4892</v>
      </c>
      <c r="K112" s="884">
        <v>102400</v>
      </c>
      <c r="L112" s="779" t="s">
        <v>4893</v>
      </c>
      <c r="M112" s="779"/>
      <c r="N112" s="780" t="e">
        <f t="shared" si="1"/>
        <v>#VALUE!</v>
      </c>
      <c r="O112" s="780"/>
      <c r="P112" s="810" t="s">
        <v>4449</v>
      </c>
      <c r="Q112" s="781" t="s">
        <v>4894</v>
      </c>
      <c r="R112" s="782"/>
      <c r="S112" s="782"/>
      <c r="T112" s="782"/>
    </row>
    <row r="113" spans="1:20">
      <c r="B113" s="1425"/>
      <c r="C113" s="774"/>
      <c r="D113" s="775" t="s">
        <v>4469</v>
      </c>
      <c r="E113" s="809" t="s">
        <v>417</v>
      </c>
      <c r="F113" s="776" t="s">
        <v>4461</v>
      </c>
      <c r="G113" s="810" t="s">
        <v>3528</v>
      </c>
      <c r="H113" s="783">
        <v>202404227857</v>
      </c>
      <c r="I113" s="777">
        <v>30100966</v>
      </c>
      <c r="J113" s="776" t="s">
        <v>4895</v>
      </c>
      <c r="K113" s="779">
        <v>147900</v>
      </c>
      <c r="L113" s="779">
        <v>127710</v>
      </c>
      <c r="M113" s="779"/>
      <c r="N113" s="822">
        <f t="shared" si="1"/>
        <v>0.13651115618661258</v>
      </c>
      <c r="O113" s="780">
        <v>0.1</v>
      </c>
      <c r="P113" s="810" t="s">
        <v>4449</v>
      </c>
      <c r="Q113" s="781" t="s">
        <v>4896</v>
      </c>
      <c r="R113" s="782"/>
      <c r="S113" s="782" t="s">
        <v>4897</v>
      </c>
      <c r="T113" s="782"/>
    </row>
    <row r="114" spans="1:20">
      <c r="B114" s="1425"/>
      <c r="C114" s="873" t="s">
        <v>4443</v>
      </c>
      <c r="D114" s="874"/>
      <c r="E114" s="875" t="s">
        <v>137</v>
      </c>
      <c r="F114" s="875" t="s">
        <v>4624</v>
      </c>
      <c r="G114" s="738" t="s">
        <v>3549</v>
      </c>
      <c r="H114" s="808">
        <v>202402286805</v>
      </c>
      <c r="I114" s="885">
        <v>76322678</v>
      </c>
      <c r="J114" s="875" t="s">
        <v>4898</v>
      </c>
      <c r="K114" s="878">
        <v>388000</v>
      </c>
      <c r="L114" s="878">
        <v>98100</v>
      </c>
      <c r="M114" s="878"/>
      <c r="N114" s="879">
        <v>0.72</v>
      </c>
      <c r="O114" s="879">
        <v>0.2</v>
      </c>
      <c r="P114" s="876" t="s">
        <v>4449</v>
      </c>
      <c r="Q114" s="880" t="s">
        <v>4899</v>
      </c>
      <c r="R114" s="881"/>
      <c r="S114" s="881"/>
      <c r="T114" s="881"/>
    </row>
    <row r="115" spans="1:20">
      <c r="B115" s="1425" t="s">
        <v>4900</v>
      </c>
      <c r="C115" s="785"/>
      <c r="D115" s="786"/>
      <c r="E115" s="787" t="s">
        <v>185</v>
      </c>
      <c r="F115" s="787" t="s">
        <v>4829</v>
      </c>
      <c r="G115" s="788" t="s">
        <v>3665</v>
      </c>
      <c r="H115" s="797">
        <v>202501061867</v>
      </c>
      <c r="I115" s="819">
        <v>68197233</v>
      </c>
      <c r="J115" s="818" t="s">
        <v>4901</v>
      </c>
      <c r="K115" s="821">
        <v>34900</v>
      </c>
      <c r="L115" s="821">
        <v>29670</v>
      </c>
      <c r="M115" s="790"/>
      <c r="N115" s="791">
        <f>1-(L115/K115)</f>
        <v>0.14985673352435525</v>
      </c>
      <c r="O115" s="791">
        <v>0.15</v>
      </c>
      <c r="P115" s="788" t="s">
        <v>4449</v>
      </c>
      <c r="Q115" s="792" t="s">
        <v>4902</v>
      </c>
      <c r="R115" s="793"/>
      <c r="S115" s="793"/>
      <c r="T115" s="793"/>
    </row>
    <row r="116" spans="1:20">
      <c r="B116" s="1425"/>
      <c r="C116" s="774" t="s">
        <v>4468</v>
      </c>
      <c r="D116" s="775"/>
      <c r="E116" s="776" t="s">
        <v>910</v>
      </c>
      <c r="F116" s="776" t="s">
        <v>4454</v>
      </c>
      <c r="G116" s="777" t="s">
        <v>3598</v>
      </c>
      <c r="H116" s="886">
        <v>202305230872</v>
      </c>
      <c r="I116" s="777">
        <v>48090662</v>
      </c>
      <c r="J116" s="776" t="s">
        <v>4903</v>
      </c>
      <c r="K116" s="779">
        <v>98000</v>
      </c>
      <c r="L116" s="779">
        <v>39900</v>
      </c>
      <c r="M116" s="779"/>
      <c r="N116" s="780">
        <f>1-(L116/K116)</f>
        <v>0.59285714285714286</v>
      </c>
      <c r="O116" s="780">
        <v>0.15</v>
      </c>
      <c r="P116" s="777" t="s">
        <v>4449</v>
      </c>
      <c r="Q116" s="781" t="s">
        <v>4904</v>
      </c>
      <c r="R116" s="782" t="s">
        <v>4905</v>
      </c>
      <c r="S116" s="782" t="s">
        <v>4906</v>
      </c>
      <c r="T116" s="782">
        <v>100</v>
      </c>
    </row>
    <row r="117" spans="1:20">
      <c r="B117" s="1425"/>
      <c r="C117" s="774" t="s">
        <v>4529</v>
      </c>
      <c r="D117" s="775" t="s">
        <v>4469</v>
      </c>
      <c r="E117" s="776" t="s">
        <v>4907</v>
      </c>
      <c r="F117" s="776" t="s">
        <v>4454</v>
      </c>
      <c r="G117" s="777" t="s">
        <v>3607</v>
      </c>
      <c r="H117" s="783">
        <v>202402226646</v>
      </c>
      <c r="I117" s="777">
        <v>30215091</v>
      </c>
      <c r="J117" s="887" t="s">
        <v>4908</v>
      </c>
      <c r="K117" s="779">
        <v>29900</v>
      </c>
      <c r="L117" s="779">
        <v>26900</v>
      </c>
      <c r="M117" s="779"/>
      <c r="N117" s="780">
        <v>0.1</v>
      </c>
      <c r="O117" s="780">
        <v>0.15</v>
      </c>
      <c r="P117" s="777" t="s">
        <v>4449</v>
      </c>
      <c r="Q117" s="781" t="s">
        <v>4909</v>
      </c>
      <c r="R117" s="782"/>
      <c r="S117" s="782"/>
      <c r="T117" s="782"/>
    </row>
    <row r="118" spans="1:20">
      <c r="B118" s="1425"/>
      <c r="C118" s="774"/>
      <c r="D118" s="775"/>
      <c r="E118" s="776" t="s">
        <v>221</v>
      </c>
      <c r="F118" s="776" t="s">
        <v>4671</v>
      </c>
      <c r="G118" s="777" t="s">
        <v>222</v>
      </c>
      <c r="H118" s="783">
        <v>202210125349</v>
      </c>
      <c r="I118" s="777">
        <v>30179838</v>
      </c>
      <c r="J118" s="776" t="s">
        <v>4910</v>
      </c>
      <c r="K118" s="779">
        <v>72900</v>
      </c>
      <c r="L118" s="779">
        <v>39900</v>
      </c>
      <c r="M118" s="779"/>
      <c r="N118" s="780">
        <v>0.45267489711934161</v>
      </c>
      <c r="O118" s="780">
        <v>0.1</v>
      </c>
      <c r="P118" s="777" t="s">
        <v>4449</v>
      </c>
      <c r="Q118" s="781" t="s">
        <v>4723</v>
      </c>
      <c r="R118" s="782"/>
      <c r="S118" s="782"/>
      <c r="T118" s="782"/>
    </row>
    <row r="119" spans="1:20">
      <c r="B119" s="1425"/>
      <c r="C119" s="774"/>
      <c r="D119" s="775"/>
      <c r="E119" s="776" t="s">
        <v>1109</v>
      </c>
      <c r="F119" s="776" t="s">
        <v>4519</v>
      </c>
      <c r="G119" s="777" t="s">
        <v>4107</v>
      </c>
      <c r="H119" s="783">
        <v>202410110514</v>
      </c>
      <c r="I119" s="777" t="s">
        <v>4911</v>
      </c>
      <c r="J119" s="776" t="s">
        <v>4912</v>
      </c>
      <c r="K119" s="779">
        <v>39900</v>
      </c>
      <c r="L119" s="779">
        <v>29900</v>
      </c>
      <c r="M119" s="779"/>
      <c r="N119" s="822">
        <f>1-(L119/K119)</f>
        <v>0.25062656641604009</v>
      </c>
      <c r="O119" s="780">
        <v>0.15</v>
      </c>
      <c r="P119" s="777" t="s">
        <v>4464</v>
      </c>
      <c r="Q119" s="781" t="s">
        <v>4913</v>
      </c>
      <c r="R119" s="782" t="s">
        <v>4914</v>
      </c>
      <c r="S119" s="782" t="s">
        <v>4878</v>
      </c>
      <c r="T119" s="782"/>
    </row>
    <row r="120" spans="1:20">
      <c r="B120" s="1425"/>
      <c r="C120" s="774" t="s">
        <v>4845</v>
      </c>
      <c r="D120" s="775" t="s">
        <v>4474</v>
      </c>
      <c r="E120" s="776" t="s">
        <v>3377</v>
      </c>
      <c r="F120" s="776" t="s">
        <v>4846</v>
      </c>
      <c r="G120" s="777" t="s">
        <v>4915</v>
      </c>
      <c r="H120" s="783">
        <v>202501071872</v>
      </c>
      <c r="I120" s="777" t="s">
        <v>4916</v>
      </c>
      <c r="J120" s="776" t="s">
        <v>4917</v>
      </c>
      <c r="K120" s="779">
        <v>47900</v>
      </c>
      <c r="L120" s="779">
        <v>32500</v>
      </c>
      <c r="M120" s="779"/>
      <c r="N120" s="822">
        <f>1-(L120/K120)</f>
        <v>0.32150313152400833</v>
      </c>
      <c r="O120" s="780">
        <v>0.25</v>
      </c>
      <c r="P120" s="777" t="s">
        <v>4449</v>
      </c>
      <c r="Q120" s="781"/>
      <c r="R120" s="782"/>
      <c r="S120" s="782"/>
      <c r="T120" s="782"/>
    </row>
    <row r="121" spans="1:20" ht="13.5" customHeight="1">
      <c r="A121" s="825"/>
      <c r="B121" s="1425"/>
      <c r="C121" s="795" t="s">
        <v>4479</v>
      </c>
      <c r="D121" s="775" t="s">
        <v>4453</v>
      </c>
      <c r="E121" s="809" t="s">
        <v>264</v>
      </c>
      <c r="F121" s="809" t="s">
        <v>4480</v>
      </c>
      <c r="G121" s="810" t="s">
        <v>4768</v>
      </c>
      <c r="H121" s="805">
        <v>202407239504</v>
      </c>
      <c r="I121" s="810">
        <v>71319252</v>
      </c>
      <c r="J121" s="809" t="s">
        <v>4918</v>
      </c>
      <c r="K121" s="804">
        <v>890000</v>
      </c>
      <c r="L121" s="804">
        <v>129000</v>
      </c>
      <c r="M121" s="804"/>
      <c r="N121" s="822">
        <f>1-(L121/K121)</f>
        <v>0.85505617977528092</v>
      </c>
      <c r="O121" s="812">
        <v>0.3</v>
      </c>
      <c r="P121" s="810" t="s">
        <v>4449</v>
      </c>
      <c r="Q121" s="813" t="s">
        <v>4919</v>
      </c>
      <c r="R121" s="844" t="s">
        <v>4920</v>
      </c>
      <c r="S121" s="844" t="s">
        <v>4921</v>
      </c>
      <c r="T121" s="844"/>
    </row>
    <row r="122" spans="1:20" ht="27">
      <c r="B122" s="1425"/>
      <c r="C122" s="774"/>
      <c r="D122" s="775" t="s">
        <v>4460</v>
      </c>
      <c r="E122" s="776" t="s">
        <v>795</v>
      </c>
      <c r="F122" s="776" t="s">
        <v>4461</v>
      </c>
      <c r="G122" s="777" t="s">
        <v>3699</v>
      </c>
      <c r="H122" s="888">
        <v>202404227854</v>
      </c>
      <c r="I122" s="777">
        <v>73912999</v>
      </c>
      <c r="J122" s="887" t="s">
        <v>4922</v>
      </c>
      <c r="K122" s="779">
        <v>59000</v>
      </c>
      <c r="L122" s="779">
        <v>46900</v>
      </c>
      <c r="M122" s="779"/>
      <c r="N122" s="822">
        <f>1-(L122/K122)</f>
        <v>0.20508474576271185</v>
      </c>
      <c r="O122" s="780">
        <v>0.25</v>
      </c>
      <c r="P122" s="810" t="s">
        <v>4449</v>
      </c>
      <c r="Q122" s="781" t="s">
        <v>4923</v>
      </c>
      <c r="R122" s="782" t="s">
        <v>4924</v>
      </c>
      <c r="S122" s="782" t="s">
        <v>4925</v>
      </c>
      <c r="T122" s="782"/>
    </row>
    <row r="123" spans="1:20">
      <c r="B123" s="1425"/>
      <c r="C123" s="774" t="s">
        <v>4459</v>
      </c>
      <c r="D123" s="775"/>
      <c r="E123" s="875" t="s">
        <v>417</v>
      </c>
      <c r="F123" s="776" t="s">
        <v>4461</v>
      </c>
      <c r="G123" s="777" t="s">
        <v>3526</v>
      </c>
      <c r="H123" s="783">
        <v>202407239487</v>
      </c>
      <c r="I123" s="777">
        <v>68411446</v>
      </c>
      <c r="J123" s="741" t="s">
        <v>4926</v>
      </c>
      <c r="K123" s="779">
        <v>68500</v>
      </c>
      <c r="L123" s="779">
        <f>K123*0.8</f>
        <v>54800</v>
      </c>
      <c r="M123" s="779"/>
      <c r="N123" s="780">
        <v>0.2</v>
      </c>
      <c r="O123" s="780">
        <v>0.1</v>
      </c>
      <c r="P123" s="777" t="s">
        <v>4449</v>
      </c>
      <c r="Q123" s="781" t="s">
        <v>4927</v>
      </c>
      <c r="R123" s="782"/>
      <c r="S123" s="782" t="s">
        <v>4928</v>
      </c>
      <c r="T123" s="782">
        <v>50</v>
      </c>
    </row>
    <row r="124" spans="1:20">
      <c r="B124" s="1425"/>
      <c r="C124" s="774"/>
      <c r="D124" s="775" t="s">
        <v>4444</v>
      </c>
      <c r="E124" s="776" t="s">
        <v>795</v>
      </c>
      <c r="F124" s="776" t="s">
        <v>4461</v>
      </c>
      <c r="G124" s="777" t="s">
        <v>3701</v>
      </c>
      <c r="H124" s="783">
        <v>202501091917</v>
      </c>
      <c r="I124" s="889" t="s">
        <v>4929</v>
      </c>
      <c r="J124" s="776" t="s">
        <v>4930</v>
      </c>
      <c r="K124" s="779">
        <v>14300</v>
      </c>
      <c r="L124" s="779">
        <v>11440</v>
      </c>
      <c r="M124" s="779"/>
      <c r="N124" s="780">
        <v>0.2</v>
      </c>
      <c r="O124" s="780">
        <v>0.25</v>
      </c>
      <c r="P124" s="777" t="s">
        <v>4449</v>
      </c>
      <c r="Q124" s="781" t="s">
        <v>4931</v>
      </c>
      <c r="R124" s="782" t="s">
        <v>4932</v>
      </c>
      <c r="S124" s="782" t="s">
        <v>4933</v>
      </c>
      <c r="T124" s="782">
        <v>50</v>
      </c>
    </row>
    <row r="125" spans="1:20" ht="16.5">
      <c r="B125" s="1425" t="s">
        <v>4934</v>
      </c>
      <c r="C125" s="785"/>
      <c r="D125" s="786" t="s">
        <v>4453</v>
      </c>
      <c r="E125" s="787" t="s">
        <v>137</v>
      </c>
      <c r="F125" s="787" t="s">
        <v>4445</v>
      </c>
      <c r="G125" s="788" t="s">
        <v>3553</v>
      </c>
      <c r="H125" s="808">
        <v>202501061859</v>
      </c>
      <c r="I125">
        <v>76363071</v>
      </c>
      <c r="J125" s="818" t="s">
        <v>4935</v>
      </c>
      <c r="K125" s="821"/>
      <c r="L125" s="821"/>
      <c r="M125" s="790"/>
      <c r="N125" s="791"/>
      <c r="O125" s="791">
        <v>0.2</v>
      </c>
      <c r="P125" s="788" t="s">
        <v>4449</v>
      </c>
      <c r="Q125" s="813" t="s">
        <v>4792</v>
      </c>
      <c r="R125" s="793"/>
      <c r="S125" s="793"/>
      <c r="T125" s="793"/>
    </row>
    <row r="126" spans="1:20">
      <c r="B126" s="1425"/>
      <c r="C126" s="774"/>
      <c r="D126" s="775" t="s">
        <v>4474</v>
      </c>
      <c r="E126" s="776" t="s">
        <v>185</v>
      </c>
      <c r="F126" s="776" t="s">
        <v>4829</v>
      </c>
      <c r="G126" s="777" t="s">
        <v>3676</v>
      </c>
      <c r="H126" s="783">
        <v>202501021815</v>
      </c>
      <c r="I126" s="810">
        <v>30061091</v>
      </c>
      <c r="J126" s="809" t="s">
        <v>4936</v>
      </c>
      <c r="K126" s="804">
        <v>159000</v>
      </c>
      <c r="L126" s="804">
        <v>132050</v>
      </c>
      <c r="M126" s="779"/>
      <c r="N126" s="822">
        <f>1-(L126/K126)</f>
        <v>0.16949685534591197</v>
      </c>
      <c r="O126" s="780">
        <v>0.15</v>
      </c>
      <c r="P126" s="777" t="s">
        <v>4449</v>
      </c>
      <c r="Q126" s="781" t="s">
        <v>4937</v>
      </c>
      <c r="R126" s="782"/>
      <c r="S126" s="782"/>
      <c r="T126" s="782"/>
    </row>
    <row r="127" spans="1:20">
      <c r="B127" s="1425"/>
      <c r="C127" s="890" t="s">
        <v>4468</v>
      </c>
      <c r="D127" s="891" t="s">
        <v>4469</v>
      </c>
      <c r="E127" s="892" t="s">
        <v>910</v>
      </c>
      <c r="F127" s="892" t="s">
        <v>4454</v>
      </c>
      <c r="G127" s="893" t="s">
        <v>2983</v>
      </c>
      <c r="H127" s="838">
        <v>202405278510</v>
      </c>
      <c r="I127" s="893">
        <v>30209212</v>
      </c>
      <c r="J127" s="892" t="s">
        <v>4938</v>
      </c>
      <c r="K127" s="894">
        <v>60000</v>
      </c>
      <c r="L127" s="894">
        <v>44820</v>
      </c>
      <c r="M127" s="894"/>
      <c r="N127" s="895">
        <f>1-(L127/K127)</f>
        <v>0.253</v>
      </c>
      <c r="O127" s="895">
        <v>0.17</v>
      </c>
      <c r="P127" s="893" t="s">
        <v>4449</v>
      </c>
      <c r="Q127" s="896"/>
      <c r="R127" s="896"/>
      <c r="S127" s="782" t="s">
        <v>4939</v>
      </c>
      <c r="T127" s="782"/>
    </row>
    <row r="128" spans="1:20">
      <c r="B128" s="1425"/>
      <c r="C128" s="774" t="s">
        <v>3247</v>
      </c>
      <c r="D128" s="775" t="s">
        <v>4460</v>
      </c>
      <c r="E128" s="776" t="s">
        <v>221</v>
      </c>
      <c r="F128" s="776" t="s">
        <v>4671</v>
      </c>
      <c r="G128" s="777" t="s">
        <v>4940</v>
      </c>
      <c r="H128" s="783">
        <v>202411080913</v>
      </c>
      <c r="I128" s="777">
        <v>55021969</v>
      </c>
      <c r="J128" s="776" t="s">
        <v>1933</v>
      </c>
      <c r="K128" s="779">
        <v>56900</v>
      </c>
      <c r="L128" s="779">
        <v>18900</v>
      </c>
      <c r="M128" s="779"/>
      <c r="N128" s="780">
        <v>0.66783831282952555</v>
      </c>
      <c r="O128" s="780">
        <v>0.15</v>
      </c>
      <c r="P128" s="777" t="s">
        <v>4449</v>
      </c>
      <c r="Q128" s="781" t="s">
        <v>4941</v>
      </c>
      <c r="R128" s="782"/>
      <c r="S128" s="782" t="s">
        <v>4942</v>
      </c>
      <c r="T128" s="843">
        <v>50</v>
      </c>
    </row>
    <row r="129" spans="1:20">
      <c r="B129" s="1425"/>
      <c r="C129" s="774" t="s">
        <v>4845</v>
      </c>
      <c r="D129" s="775"/>
      <c r="E129" s="776" t="s">
        <v>3377</v>
      </c>
      <c r="F129" s="776" t="s">
        <v>4846</v>
      </c>
      <c r="G129" s="777" t="s">
        <v>4943</v>
      </c>
      <c r="H129" s="783">
        <v>202408280096</v>
      </c>
      <c r="I129" s="777" t="s">
        <v>4944</v>
      </c>
      <c r="J129" s="776" t="s">
        <v>4945</v>
      </c>
      <c r="K129" s="779">
        <v>129000</v>
      </c>
      <c r="L129" s="779">
        <v>79000</v>
      </c>
      <c r="M129" s="779"/>
      <c r="N129" s="812">
        <f>1-(L129/K129)</f>
        <v>0.38759689922480622</v>
      </c>
      <c r="O129" s="780">
        <v>0.25</v>
      </c>
      <c r="P129" s="777" t="s">
        <v>4464</v>
      </c>
      <c r="Q129" s="781"/>
      <c r="R129" s="782"/>
      <c r="S129" s="782"/>
      <c r="T129" s="782"/>
    </row>
    <row r="130" spans="1:20">
      <c r="B130" s="1425"/>
      <c r="C130" s="774"/>
      <c r="D130" s="775" t="s">
        <v>4469</v>
      </c>
      <c r="E130" s="776" t="s">
        <v>1109</v>
      </c>
      <c r="F130" s="776" t="s">
        <v>4519</v>
      </c>
      <c r="G130" s="777" t="s">
        <v>3990</v>
      </c>
      <c r="H130" s="811">
        <v>202501091913</v>
      </c>
      <c r="I130" s="777">
        <v>57853833</v>
      </c>
      <c r="J130" s="776" t="s">
        <v>4946</v>
      </c>
      <c r="K130" s="779">
        <v>151270</v>
      </c>
      <c r="L130" s="779">
        <v>136150</v>
      </c>
      <c r="M130" s="779"/>
      <c r="N130" s="780">
        <f>1-(L130/K130)</f>
        <v>9.9953725127255866E-2</v>
      </c>
      <c r="O130" s="780">
        <v>0.15</v>
      </c>
      <c r="P130" s="777" t="s">
        <v>4449</v>
      </c>
      <c r="Q130" s="781"/>
      <c r="R130" s="782"/>
      <c r="S130" s="782"/>
      <c r="T130" s="782"/>
    </row>
    <row r="131" spans="1:20" ht="13.5" customHeight="1">
      <c r="A131" s="825"/>
      <c r="B131" s="1425"/>
      <c r="C131" s="795" t="s">
        <v>4479</v>
      </c>
      <c r="D131" s="775"/>
      <c r="E131" s="809" t="s">
        <v>264</v>
      </c>
      <c r="F131" s="809" t="s">
        <v>4480</v>
      </c>
      <c r="G131" s="810" t="s">
        <v>3582</v>
      </c>
      <c r="H131" s="805">
        <v>202405238437</v>
      </c>
      <c r="I131" s="810">
        <v>71360258</v>
      </c>
      <c r="J131" s="809" t="s">
        <v>4947</v>
      </c>
      <c r="K131" s="804">
        <v>129000</v>
      </c>
      <c r="L131" s="804">
        <v>25800</v>
      </c>
      <c r="M131" s="804"/>
      <c r="N131" s="812">
        <f>1-(L131/K131)</f>
        <v>0.8</v>
      </c>
      <c r="O131" s="812">
        <v>0.16</v>
      </c>
      <c r="P131" s="810" t="s">
        <v>4449</v>
      </c>
      <c r="Q131" s="813" t="s">
        <v>4948</v>
      </c>
      <c r="R131" s="844" t="s">
        <v>4949</v>
      </c>
      <c r="S131" s="844" t="s">
        <v>4950</v>
      </c>
      <c r="T131" s="844"/>
    </row>
    <row r="132" spans="1:20" ht="27">
      <c r="B132" s="1425"/>
      <c r="C132" s="774"/>
      <c r="D132" s="775"/>
      <c r="E132" s="776" t="s">
        <v>795</v>
      </c>
      <c r="F132" s="776" t="s">
        <v>4461</v>
      </c>
      <c r="G132" s="777" t="s">
        <v>1237</v>
      </c>
      <c r="H132" s="872">
        <v>202410110512</v>
      </c>
      <c r="I132" s="777">
        <v>75165384</v>
      </c>
      <c r="J132" s="897" t="s">
        <v>4753</v>
      </c>
      <c r="K132" s="779">
        <v>16700</v>
      </c>
      <c r="L132" s="779">
        <v>9900</v>
      </c>
      <c r="M132" s="779"/>
      <c r="N132" s="812">
        <f>1-(L132/K132)</f>
        <v>0.40718562874251496</v>
      </c>
      <c r="O132" s="780">
        <v>0.15</v>
      </c>
      <c r="P132" s="810" t="s">
        <v>4449</v>
      </c>
      <c r="Q132" s="898" t="s">
        <v>4951</v>
      </c>
      <c r="R132" s="782"/>
      <c r="S132" s="782"/>
      <c r="T132" s="782"/>
    </row>
    <row r="133" spans="1:20">
      <c r="B133" s="1425"/>
      <c r="C133" s="774" t="s">
        <v>4459</v>
      </c>
      <c r="D133" s="775" t="s">
        <v>4444</v>
      </c>
      <c r="E133" s="875" t="s">
        <v>417</v>
      </c>
      <c r="F133" s="776" t="s">
        <v>4461</v>
      </c>
      <c r="G133" s="777" t="s">
        <v>3692</v>
      </c>
      <c r="H133" s="783">
        <v>202408280099</v>
      </c>
      <c r="I133" s="777">
        <v>10604521</v>
      </c>
      <c r="J133" s="776" t="s">
        <v>4952</v>
      </c>
      <c r="K133" s="779">
        <v>36900</v>
      </c>
      <c r="L133" s="779">
        <v>32900</v>
      </c>
      <c r="M133" s="779"/>
      <c r="N133" s="812">
        <f>1-(L133/K133)</f>
        <v>0.10840108401084014</v>
      </c>
      <c r="O133" s="780">
        <v>0.1</v>
      </c>
      <c r="P133" s="810" t="s">
        <v>4449</v>
      </c>
      <c r="Q133" s="781" t="s">
        <v>4953</v>
      </c>
      <c r="R133" s="782"/>
      <c r="S133" s="782" t="s">
        <v>4954</v>
      </c>
      <c r="T133" s="782">
        <v>100</v>
      </c>
    </row>
    <row r="134" spans="1:20">
      <c r="B134" s="1425" t="s">
        <v>4955</v>
      </c>
      <c r="C134" s="785" t="s">
        <v>4529</v>
      </c>
      <c r="D134" s="786"/>
      <c r="E134" s="787" t="s">
        <v>1109</v>
      </c>
      <c r="F134" s="787" t="s">
        <v>4956</v>
      </c>
      <c r="G134" s="788" t="s">
        <v>4577</v>
      </c>
      <c r="H134" s="797">
        <v>202412051309</v>
      </c>
      <c r="I134" s="788">
        <v>44702727</v>
      </c>
      <c r="J134" s="787" t="s">
        <v>4578</v>
      </c>
      <c r="K134" s="790">
        <v>72000</v>
      </c>
      <c r="L134" s="790">
        <v>59900</v>
      </c>
      <c r="M134" s="790">
        <v>59900</v>
      </c>
      <c r="N134" s="822">
        <f>(K134-L134)/K134</f>
        <v>0.16805555555555557</v>
      </c>
      <c r="O134" s="791">
        <v>0.15</v>
      </c>
      <c r="P134" s="788" t="s">
        <v>4579</v>
      </c>
      <c r="Q134" s="792" t="s">
        <v>4957</v>
      </c>
      <c r="R134" s="793" t="s">
        <v>4581</v>
      </c>
      <c r="S134" s="793" t="s">
        <v>4582</v>
      </c>
      <c r="T134" s="793"/>
    </row>
    <row r="135" spans="1:20">
      <c r="B135" s="1425"/>
      <c r="C135" s="774"/>
      <c r="D135" s="775"/>
      <c r="E135" s="776" t="s">
        <v>185</v>
      </c>
      <c r="F135" s="776" t="s">
        <v>4829</v>
      </c>
      <c r="G135" s="777" t="s">
        <v>3657</v>
      </c>
      <c r="H135" s="783">
        <v>202501021816</v>
      </c>
      <c r="I135" s="810">
        <v>41601953</v>
      </c>
      <c r="J135" s="809" t="s">
        <v>4958</v>
      </c>
      <c r="K135" s="804">
        <v>69600</v>
      </c>
      <c r="L135" s="804">
        <v>55680</v>
      </c>
      <c r="M135" s="779"/>
      <c r="N135" s="822">
        <f>1-(L135/K135)</f>
        <v>0.19999999999999996</v>
      </c>
      <c r="O135" s="780">
        <v>0.15</v>
      </c>
      <c r="P135" s="777" t="s">
        <v>4449</v>
      </c>
      <c r="Q135" s="781" t="s">
        <v>4959</v>
      </c>
      <c r="R135" s="782"/>
      <c r="S135" s="782"/>
      <c r="T135" s="782"/>
    </row>
    <row r="136" spans="1:20">
      <c r="B136" s="1425"/>
      <c r="C136" s="774" t="s">
        <v>4443</v>
      </c>
      <c r="D136" s="775" t="s">
        <v>4444</v>
      </c>
      <c r="E136" s="776" t="s">
        <v>137</v>
      </c>
      <c r="F136" s="776" t="s">
        <v>4603</v>
      </c>
      <c r="G136" s="777" t="s">
        <v>4345</v>
      </c>
      <c r="H136" s="808">
        <v>202401085669</v>
      </c>
      <c r="I136" s="810" t="s">
        <v>4960</v>
      </c>
      <c r="J136" s="809" t="s">
        <v>4961</v>
      </c>
      <c r="K136" s="804">
        <v>50000</v>
      </c>
      <c r="L136" s="804">
        <v>14900</v>
      </c>
      <c r="M136" s="779"/>
      <c r="N136" s="899">
        <v>0.7</v>
      </c>
      <c r="O136" s="780">
        <v>0.2</v>
      </c>
      <c r="P136" s="777" t="s">
        <v>4449</v>
      </c>
      <c r="Q136" s="781" t="s">
        <v>4962</v>
      </c>
      <c r="R136" s="782"/>
      <c r="S136" s="782"/>
      <c r="T136" s="782">
        <v>50</v>
      </c>
    </row>
    <row r="137" spans="1:20">
      <c r="B137" s="1425"/>
      <c r="C137" s="774" t="s">
        <v>4468</v>
      </c>
      <c r="D137" s="775" t="s">
        <v>4469</v>
      </c>
      <c r="E137" s="776" t="s">
        <v>910</v>
      </c>
      <c r="F137" s="776" t="s">
        <v>4454</v>
      </c>
      <c r="G137" s="777" t="s">
        <v>3603</v>
      </c>
      <c r="H137" s="811">
        <v>202410170595</v>
      </c>
      <c r="I137" s="777">
        <v>72608894</v>
      </c>
      <c r="J137" s="776" t="s">
        <v>4963</v>
      </c>
      <c r="K137" s="779">
        <v>60000</v>
      </c>
      <c r="L137" s="779">
        <v>19800</v>
      </c>
      <c r="M137" s="779"/>
      <c r="N137" s="780">
        <f>1-(L137/K137)</f>
        <v>0.66999999999999993</v>
      </c>
      <c r="O137" s="780">
        <v>0.15</v>
      </c>
      <c r="P137" s="810" t="s">
        <v>4449</v>
      </c>
      <c r="Q137" s="781" t="s">
        <v>4964</v>
      </c>
      <c r="R137" s="782" t="s">
        <v>4965</v>
      </c>
      <c r="S137" s="782" t="s">
        <v>4966</v>
      </c>
      <c r="T137" s="782">
        <v>50</v>
      </c>
    </row>
    <row r="138" spans="1:20">
      <c r="B138" s="1425"/>
      <c r="C138" s="774" t="s">
        <v>4459</v>
      </c>
      <c r="D138" s="775"/>
      <c r="E138" s="809" t="s">
        <v>221</v>
      </c>
      <c r="F138" s="809" t="s">
        <v>4671</v>
      </c>
      <c r="G138" s="810" t="s">
        <v>3512</v>
      </c>
      <c r="H138" s="811">
        <v>202412101401</v>
      </c>
      <c r="I138" s="810">
        <v>58866275</v>
      </c>
      <c r="J138" s="809" t="s">
        <v>4967</v>
      </c>
      <c r="K138" s="804">
        <v>84000</v>
      </c>
      <c r="L138" s="804">
        <v>28410</v>
      </c>
      <c r="M138" s="804"/>
      <c r="N138" s="812">
        <v>0.66178571428571431</v>
      </c>
      <c r="O138" s="812">
        <v>0.2</v>
      </c>
      <c r="P138" s="810" t="s">
        <v>4449</v>
      </c>
      <c r="Q138" s="813" t="s">
        <v>4968</v>
      </c>
      <c r="R138" s="782"/>
      <c r="S138" s="782" t="s">
        <v>4969</v>
      </c>
      <c r="T138" s="900">
        <v>50</v>
      </c>
    </row>
    <row r="139" spans="1:20">
      <c r="B139" s="1425"/>
      <c r="C139" s="774"/>
      <c r="D139" s="775"/>
      <c r="E139" s="776" t="s">
        <v>331</v>
      </c>
      <c r="F139" s="776" t="s">
        <v>4970</v>
      </c>
      <c r="G139" s="777" t="s">
        <v>4971</v>
      </c>
      <c r="H139" s="778">
        <v>202406108775</v>
      </c>
      <c r="I139" s="777"/>
      <c r="J139" s="776"/>
      <c r="K139" s="779"/>
      <c r="L139" s="779"/>
      <c r="M139" s="779"/>
      <c r="N139" s="780"/>
      <c r="O139" s="780"/>
      <c r="P139" s="777"/>
      <c r="Q139" s="781"/>
      <c r="R139" s="782"/>
      <c r="S139" s="782"/>
      <c r="T139" s="782"/>
    </row>
    <row r="140" spans="1:20">
      <c r="B140" s="1425"/>
      <c r="C140" s="774" t="s">
        <v>4845</v>
      </c>
      <c r="D140" s="775" t="s">
        <v>4460</v>
      </c>
      <c r="E140" s="776" t="s">
        <v>3377</v>
      </c>
      <c r="F140" s="776" t="s">
        <v>4846</v>
      </c>
      <c r="G140" s="777" t="s">
        <v>4972</v>
      </c>
      <c r="H140" s="783">
        <v>202408260008</v>
      </c>
      <c r="I140" s="777" t="s">
        <v>4973</v>
      </c>
      <c r="J140" s="776" t="s">
        <v>4974</v>
      </c>
      <c r="K140" s="779">
        <v>27900</v>
      </c>
      <c r="L140" s="779">
        <v>17500</v>
      </c>
      <c r="M140" s="779"/>
      <c r="N140" s="822">
        <f>1-(L140/K140)</f>
        <v>0.37275985663082434</v>
      </c>
      <c r="O140" s="780">
        <v>0.25</v>
      </c>
      <c r="P140" s="777" t="s">
        <v>4449</v>
      </c>
      <c r="Q140" s="781" t="s">
        <v>4975</v>
      </c>
      <c r="R140" s="782"/>
      <c r="S140" s="782"/>
      <c r="T140" s="782"/>
    </row>
    <row r="141" spans="1:20" ht="13.5" customHeight="1">
      <c r="A141" s="825"/>
      <c r="B141" s="1425"/>
      <c r="C141" s="795" t="s">
        <v>4479</v>
      </c>
      <c r="D141" s="775"/>
      <c r="E141" s="809" t="s">
        <v>264</v>
      </c>
      <c r="F141" s="809" t="s">
        <v>4480</v>
      </c>
      <c r="G141" s="810" t="s">
        <v>3590</v>
      </c>
      <c r="H141" s="805">
        <v>202405228427</v>
      </c>
      <c r="I141" s="810">
        <v>70258719</v>
      </c>
      <c r="J141" s="809" t="s">
        <v>1413</v>
      </c>
      <c r="K141" s="804">
        <v>188000</v>
      </c>
      <c r="L141" s="804">
        <v>15900</v>
      </c>
      <c r="M141" s="804"/>
      <c r="N141" s="822">
        <f>1-(L141/K141)</f>
        <v>0.91542553191489362</v>
      </c>
      <c r="O141" s="812">
        <v>0.16</v>
      </c>
      <c r="P141" s="810" t="s">
        <v>4449</v>
      </c>
      <c r="Q141" s="813" t="s">
        <v>4844</v>
      </c>
      <c r="R141" s="844" t="s">
        <v>4976</v>
      </c>
      <c r="S141" s="844" t="s">
        <v>4977</v>
      </c>
      <c r="T141" s="844"/>
    </row>
    <row r="142" spans="1:20" ht="16.5">
      <c r="B142" s="1425"/>
      <c r="C142" s="774"/>
      <c r="D142" s="775"/>
      <c r="E142" s="776" t="s">
        <v>795</v>
      </c>
      <c r="F142" s="776" t="s">
        <v>4461</v>
      </c>
      <c r="G142" s="777" t="s">
        <v>3697</v>
      </c>
      <c r="H142" s="901">
        <v>202410170587</v>
      </c>
      <c r="I142" s="777">
        <v>30182885</v>
      </c>
      <c r="J142" s="776" t="s">
        <v>4978</v>
      </c>
      <c r="K142" s="779"/>
      <c r="L142" s="779">
        <v>16900</v>
      </c>
      <c r="M142" s="779"/>
      <c r="N142" s="780"/>
      <c r="O142" s="780">
        <v>0.15</v>
      </c>
      <c r="P142" s="810" t="s">
        <v>4449</v>
      </c>
      <c r="Q142" s="781" t="s">
        <v>4979</v>
      </c>
      <c r="R142" s="782" t="s">
        <v>4980</v>
      </c>
      <c r="S142" s="782"/>
      <c r="T142" s="782"/>
    </row>
    <row r="143" spans="1:20">
      <c r="B143" s="1425"/>
      <c r="C143" s="774"/>
      <c r="D143" s="775" t="s">
        <v>4474</v>
      </c>
      <c r="E143" s="875" t="s">
        <v>417</v>
      </c>
      <c r="F143" s="776" t="s">
        <v>4461</v>
      </c>
      <c r="G143" s="777"/>
      <c r="H143" s="783">
        <v>202501061862</v>
      </c>
      <c r="I143" s="777">
        <v>30004153</v>
      </c>
      <c r="J143" s="776" t="s">
        <v>4981</v>
      </c>
      <c r="K143" s="779">
        <v>57900</v>
      </c>
      <c r="L143" s="779">
        <f>K143*0.9</f>
        <v>52110</v>
      </c>
      <c r="M143" s="779"/>
      <c r="N143" s="780">
        <v>0.1</v>
      </c>
      <c r="O143" s="780">
        <v>0.1</v>
      </c>
      <c r="P143" s="777" t="s">
        <v>4449</v>
      </c>
      <c r="Q143" s="781" t="s">
        <v>4982</v>
      </c>
      <c r="R143" s="782"/>
      <c r="S143" s="782"/>
      <c r="T143" s="782"/>
    </row>
    <row r="144" spans="1:20">
      <c r="B144" s="1425"/>
      <c r="C144" s="855"/>
      <c r="D144" s="800" t="s">
        <v>4453</v>
      </c>
      <c r="E144" s="801" t="s">
        <v>1109</v>
      </c>
      <c r="F144" s="801" t="s">
        <v>4956</v>
      </c>
      <c r="G144" s="856" t="s">
        <v>4983</v>
      </c>
      <c r="H144" s="803">
        <v>202412111444</v>
      </c>
      <c r="I144" s="802">
        <v>57853678</v>
      </c>
      <c r="J144" s="857" t="s">
        <v>4984</v>
      </c>
      <c r="K144" s="779">
        <v>12830</v>
      </c>
      <c r="L144" s="779">
        <v>10980</v>
      </c>
      <c r="M144" s="779"/>
      <c r="N144" s="822">
        <f>1-(L144/K144)</f>
        <v>0.14419329696024941</v>
      </c>
      <c r="O144" s="780">
        <v>0.15</v>
      </c>
      <c r="P144" s="777">
        <v>3000</v>
      </c>
      <c r="Q144" s="834" t="s">
        <v>4985</v>
      </c>
      <c r="R144" s="782" t="s">
        <v>4986</v>
      </c>
      <c r="S144" s="782"/>
      <c r="T144" s="782"/>
    </row>
    <row r="145" spans="1:20">
      <c r="B145" s="1425" t="s">
        <v>4987</v>
      </c>
      <c r="C145" s="785" t="s">
        <v>4443</v>
      </c>
      <c r="D145" s="786" t="s">
        <v>4453</v>
      </c>
      <c r="E145" s="787" t="s">
        <v>137</v>
      </c>
      <c r="F145" s="787" t="s">
        <v>4445</v>
      </c>
      <c r="G145" s="788" t="s">
        <v>4414</v>
      </c>
      <c r="H145" s="808">
        <v>202409240350</v>
      </c>
      <c r="I145" s="902">
        <v>30199354</v>
      </c>
      <c r="J145" s="903" t="s">
        <v>4988</v>
      </c>
      <c r="K145" s="790">
        <v>119000</v>
      </c>
      <c r="L145" s="790">
        <v>49000</v>
      </c>
      <c r="M145" s="790"/>
      <c r="N145" s="822">
        <f>1-(L145/K145)</f>
        <v>0.58823529411764708</v>
      </c>
      <c r="O145" s="791">
        <v>0.05</v>
      </c>
      <c r="P145" s="810" t="s">
        <v>4449</v>
      </c>
      <c r="Q145" s="904" t="s">
        <v>4792</v>
      </c>
      <c r="R145" s="793" t="s">
        <v>4989</v>
      </c>
      <c r="S145" s="793"/>
      <c r="T145" s="793"/>
    </row>
    <row r="146" spans="1:20">
      <c r="B146" s="1425"/>
      <c r="C146" s="774"/>
      <c r="D146" s="775" t="s">
        <v>4460</v>
      </c>
      <c r="E146" s="776" t="s">
        <v>185</v>
      </c>
      <c r="F146" s="776" t="s">
        <v>4829</v>
      </c>
      <c r="G146" s="777" t="s">
        <v>3810</v>
      </c>
      <c r="H146" s="905">
        <v>202501021818</v>
      </c>
      <c r="I146" s="906">
        <v>59258455</v>
      </c>
      <c r="J146" s="907" t="s">
        <v>4990</v>
      </c>
      <c r="K146" s="908">
        <v>39900</v>
      </c>
      <c r="L146" s="804">
        <v>32900</v>
      </c>
      <c r="M146" s="779"/>
      <c r="N146" s="822">
        <f>1-(L146/K146)</f>
        <v>0.17543859649122806</v>
      </c>
      <c r="O146" s="812">
        <v>0.15</v>
      </c>
      <c r="P146" s="777" t="s">
        <v>4449</v>
      </c>
      <c r="Q146" s="781" t="s">
        <v>4991</v>
      </c>
      <c r="R146" s="782"/>
      <c r="S146" s="782"/>
      <c r="T146" s="782"/>
    </row>
    <row r="147" spans="1:20">
      <c r="B147" s="1425"/>
      <c r="C147" s="774" t="s">
        <v>4559</v>
      </c>
      <c r="D147" s="775" t="s">
        <v>4469</v>
      </c>
      <c r="E147" s="776" t="s">
        <v>165</v>
      </c>
      <c r="F147" s="776" t="s">
        <v>4560</v>
      </c>
      <c r="G147" s="777" t="s">
        <v>4992</v>
      </c>
      <c r="H147" s="905">
        <v>202501081886</v>
      </c>
      <c r="I147" s="909">
        <v>30200286</v>
      </c>
      <c r="J147" s="910" t="s">
        <v>4993</v>
      </c>
      <c r="K147" s="911">
        <v>770000</v>
      </c>
      <c r="L147" s="779">
        <f>K147*0.9</f>
        <v>693000</v>
      </c>
      <c r="M147" s="779"/>
      <c r="N147" s="780">
        <v>0.1</v>
      </c>
      <c r="O147" s="780">
        <v>0.2</v>
      </c>
      <c r="P147" s="777"/>
      <c r="Q147" s="781" t="s">
        <v>3348</v>
      </c>
      <c r="R147" s="782" t="s">
        <v>4994</v>
      </c>
      <c r="S147" s="782"/>
      <c r="T147" s="782"/>
    </row>
    <row r="148" spans="1:20" s="863" customFormat="1">
      <c r="B148" s="1425"/>
      <c r="C148" s="855" t="s">
        <v>4459</v>
      </c>
      <c r="D148" s="800"/>
      <c r="E148" s="801" t="s">
        <v>221</v>
      </c>
      <c r="F148" s="801" t="s">
        <v>4671</v>
      </c>
      <c r="G148" s="802" t="s">
        <v>4995</v>
      </c>
      <c r="H148" s="912">
        <v>202302158470</v>
      </c>
      <c r="I148" s="913">
        <v>30100984</v>
      </c>
      <c r="J148" s="914" t="s">
        <v>4996</v>
      </c>
      <c r="K148" s="796">
        <v>27900</v>
      </c>
      <c r="L148" s="796">
        <v>26510</v>
      </c>
      <c r="M148" s="796"/>
      <c r="N148" s="915">
        <v>0.14984802431610944</v>
      </c>
      <c r="O148" s="915">
        <v>0.1</v>
      </c>
      <c r="P148" s="802" t="s">
        <v>4449</v>
      </c>
      <c r="Q148" s="862" t="s">
        <v>4997</v>
      </c>
      <c r="R148" s="862"/>
      <c r="S148" s="916" t="s">
        <v>4998</v>
      </c>
      <c r="T148" s="862"/>
    </row>
    <row r="149" spans="1:20">
      <c r="B149" s="1425"/>
      <c r="C149" s="774" t="s">
        <v>4468</v>
      </c>
      <c r="D149" s="775" t="s">
        <v>4444</v>
      </c>
      <c r="E149" s="776" t="s">
        <v>910</v>
      </c>
      <c r="F149" s="776" t="s">
        <v>4454</v>
      </c>
      <c r="G149" s="777" t="s">
        <v>3605</v>
      </c>
      <c r="H149" s="905">
        <v>202209194778</v>
      </c>
      <c r="I149" s="777">
        <v>30115509</v>
      </c>
      <c r="J149" s="776" t="s">
        <v>4999</v>
      </c>
      <c r="K149" s="779">
        <v>84000</v>
      </c>
      <c r="L149" s="779">
        <v>34200</v>
      </c>
      <c r="M149" s="779"/>
      <c r="N149" s="780">
        <f>1-(L149/K149)</f>
        <v>0.59285714285714286</v>
      </c>
      <c r="O149" s="780">
        <v>0.13</v>
      </c>
      <c r="P149" s="777" t="s">
        <v>4449</v>
      </c>
      <c r="Q149" s="781" t="s">
        <v>5000</v>
      </c>
      <c r="R149" s="782"/>
      <c r="S149" s="782" t="s">
        <v>5001</v>
      </c>
      <c r="T149" s="782">
        <v>50</v>
      </c>
    </row>
    <row r="150" spans="1:20">
      <c r="B150" s="1425"/>
      <c r="C150" s="774" t="s">
        <v>4845</v>
      </c>
      <c r="D150" s="775"/>
      <c r="E150" s="776" t="s">
        <v>3377</v>
      </c>
      <c r="F150" s="776" t="s">
        <v>4846</v>
      </c>
      <c r="G150" s="777" t="s">
        <v>5002</v>
      </c>
      <c r="H150" s="783">
        <v>202409120268</v>
      </c>
      <c r="I150" s="777" t="s">
        <v>5003</v>
      </c>
      <c r="J150" s="776" t="s">
        <v>5004</v>
      </c>
      <c r="K150" s="779">
        <v>85900</v>
      </c>
      <c r="L150" s="779">
        <v>66300</v>
      </c>
      <c r="M150" s="779"/>
      <c r="N150" s="812">
        <f>1-(L150/K150)</f>
        <v>0.22817229336437717</v>
      </c>
      <c r="O150" s="780">
        <v>0.25</v>
      </c>
      <c r="P150" s="777" t="s">
        <v>4464</v>
      </c>
      <c r="Q150" s="781"/>
      <c r="R150" s="782"/>
      <c r="S150" s="782"/>
      <c r="T150" s="782"/>
    </row>
    <row r="151" spans="1:20" ht="13.5" customHeight="1">
      <c r="A151" s="825"/>
      <c r="B151" s="1425"/>
      <c r="C151" s="795" t="s">
        <v>4479</v>
      </c>
      <c r="D151" s="775"/>
      <c r="E151" s="809" t="s">
        <v>264</v>
      </c>
      <c r="F151" s="809" t="s">
        <v>4480</v>
      </c>
      <c r="G151" s="810" t="s">
        <v>5005</v>
      </c>
      <c r="H151" s="917">
        <v>202407239503</v>
      </c>
      <c r="I151" s="810">
        <v>71184706</v>
      </c>
      <c r="J151" s="809" t="s">
        <v>5006</v>
      </c>
      <c r="K151" s="804">
        <v>578000</v>
      </c>
      <c r="L151" s="804">
        <v>199900</v>
      </c>
      <c r="M151" s="804"/>
      <c r="N151" s="812">
        <f>1-(L151/K151)</f>
        <v>0.65415224913494807</v>
      </c>
      <c r="O151" s="812">
        <v>0.18</v>
      </c>
      <c r="P151" s="810" t="s">
        <v>4449</v>
      </c>
      <c r="Q151" s="813" t="s">
        <v>5007</v>
      </c>
      <c r="R151" s="844" t="s">
        <v>5008</v>
      </c>
      <c r="S151" s="844" t="s">
        <v>5009</v>
      </c>
      <c r="T151" s="844"/>
    </row>
    <row r="152" spans="1:20">
      <c r="B152" s="1425"/>
      <c r="C152" s="774"/>
      <c r="D152" s="775" t="s">
        <v>4474</v>
      </c>
      <c r="E152" s="875" t="s">
        <v>417</v>
      </c>
      <c r="F152" s="776" t="s">
        <v>4461</v>
      </c>
      <c r="G152" s="777" t="s">
        <v>2338</v>
      </c>
      <c r="H152" s="783">
        <v>202412171536</v>
      </c>
      <c r="I152" s="777">
        <v>30195503</v>
      </c>
      <c r="J152" s="776" t="s">
        <v>5010</v>
      </c>
      <c r="K152" s="779">
        <v>23500</v>
      </c>
      <c r="L152" s="779">
        <v>18450</v>
      </c>
      <c r="M152" s="779"/>
      <c r="N152" s="780">
        <f>1-L152/K152</f>
        <v>0.21489361702127663</v>
      </c>
      <c r="O152" s="780">
        <v>0.1</v>
      </c>
      <c r="P152" s="777" t="s">
        <v>4449</v>
      </c>
      <c r="Q152" s="781" t="s">
        <v>5011</v>
      </c>
      <c r="R152" s="782"/>
      <c r="S152" s="782"/>
      <c r="T152" s="782"/>
    </row>
    <row r="153" spans="1:20">
      <c r="B153" s="1425" t="s">
        <v>5012</v>
      </c>
      <c r="C153" s="774"/>
      <c r="D153" s="775"/>
      <c r="E153" s="776" t="s">
        <v>185</v>
      </c>
      <c r="F153" s="776" t="s">
        <v>4829</v>
      </c>
      <c r="G153" s="777" t="s">
        <v>3670</v>
      </c>
      <c r="H153" s="783">
        <v>202501021819</v>
      </c>
      <c r="I153" s="810">
        <v>30214731</v>
      </c>
      <c r="J153" s="809" t="s">
        <v>5013</v>
      </c>
      <c r="K153" s="804">
        <v>59800</v>
      </c>
      <c r="L153" s="804">
        <v>44900</v>
      </c>
      <c r="M153" s="779"/>
      <c r="N153" s="822">
        <f>1-(L153/K153)</f>
        <v>0.24916387959866215</v>
      </c>
      <c r="O153" s="780">
        <v>0.15</v>
      </c>
      <c r="P153" s="777" t="s">
        <v>4449</v>
      </c>
      <c r="Q153" s="781"/>
      <c r="R153" s="782"/>
      <c r="S153" s="782"/>
      <c r="T153" s="782"/>
    </row>
    <row r="154" spans="1:20">
      <c r="B154" s="1425"/>
      <c r="C154" s="774" t="s">
        <v>4559</v>
      </c>
      <c r="D154" s="775"/>
      <c r="E154" s="776" t="s">
        <v>165</v>
      </c>
      <c r="F154" s="776" t="s">
        <v>4560</v>
      </c>
      <c r="G154" s="777" t="s">
        <v>4992</v>
      </c>
      <c r="H154" s="783">
        <v>202501081887</v>
      </c>
      <c r="I154" s="810">
        <v>30200286</v>
      </c>
      <c r="J154" s="809" t="s">
        <v>4993</v>
      </c>
      <c r="K154" s="908">
        <v>770000</v>
      </c>
      <c r="L154" s="779">
        <f>K154*0.9</f>
        <v>693000</v>
      </c>
      <c r="M154" s="779"/>
      <c r="N154" s="780">
        <v>0.1</v>
      </c>
      <c r="O154" s="780">
        <v>0.2</v>
      </c>
      <c r="P154" s="777"/>
      <c r="Q154" s="781" t="s">
        <v>3348</v>
      </c>
      <c r="R154" s="782" t="s">
        <v>4994</v>
      </c>
      <c r="S154" s="782"/>
      <c r="T154" s="782"/>
    </row>
    <row r="155" spans="1:20">
      <c r="B155" s="1425"/>
      <c r="C155" s="774" t="s">
        <v>4468</v>
      </c>
      <c r="D155" s="775" t="s">
        <v>4469</v>
      </c>
      <c r="E155" s="776" t="s">
        <v>910</v>
      </c>
      <c r="F155" s="776" t="s">
        <v>4454</v>
      </c>
      <c r="G155" s="777" t="s">
        <v>3279</v>
      </c>
      <c r="H155" s="811">
        <v>202207072978</v>
      </c>
      <c r="I155" s="777">
        <v>44803292</v>
      </c>
      <c r="J155" s="776" t="s">
        <v>5014</v>
      </c>
      <c r="K155" s="779">
        <v>68100</v>
      </c>
      <c r="L155" s="779">
        <v>32400</v>
      </c>
      <c r="M155" s="779"/>
      <c r="N155" s="780">
        <f>1-(L155/K155)</f>
        <v>0.52422907488986792</v>
      </c>
      <c r="O155" s="780">
        <v>0.18</v>
      </c>
      <c r="P155" s="777" t="s">
        <v>4449</v>
      </c>
      <c r="Q155" s="781" t="s">
        <v>5015</v>
      </c>
      <c r="R155" s="782" t="s">
        <v>5016</v>
      </c>
      <c r="S155" s="782" t="s">
        <v>3279</v>
      </c>
      <c r="T155" s="782">
        <v>100</v>
      </c>
    </row>
    <row r="156" spans="1:20">
      <c r="B156" s="1425"/>
      <c r="C156" s="774" t="s">
        <v>4459</v>
      </c>
      <c r="D156" s="775" t="s">
        <v>4460</v>
      </c>
      <c r="E156" s="776" t="s">
        <v>221</v>
      </c>
      <c r="F156" s="776" t="s">
        <v>4671</v>
      </c>
      <c r="G156" s="777" t="s">
        <v>5017</v>
      </c>
      <c r="H156" s="783">
        <v>202501071881</v>
      </c>
      <c r="I156" s="777">
        <v>54256865</v>
      </c>
      <c r="J156" s="776" t="s">
        <v>5018</v>
      </c>
      <c r="K156" s="779">
        <v>42000</v>
      </c>
      <c r="L156" s="779">
        <v>35700</v>
      </c>
      <c r="M156" s="779"/>
      <c r="N156" s="780">
        <v>0.15000000000000002</v>
      </c>
      <c r="O156" s="780">
        <v>0.25</v>
      </c>
      <c r="P156" s="777" t="s">
        <v>4449</v>
      </c>
      <c r="Q156" s="781" t="s">
        <v>5019</v>
      </c>
      <c r="R156" s="782"/>
      <c r="S156" s="782" t="s">
        <v>5020</v>
      </c>
      <c r="T156" s="782"/>
    </row>
    <row r="157" spans="1:20">
      <c r="B157" s="1425"/>
      <c r="C157" s="774" t="s">
        <v>4845</v>
      </c>
      <c r="D157" s="775" t="s">
        <v>4444</v>
      </c>
      <c r="E157" s="776" t="s">
        <v>3377</v>
      </c>
      <c r="F157" s="776" t="s">
        <v>4846</v>
      </c>
      <c r="G157" s="777" t="s">
        <v>4847</v>
      </c>
      <c r="H157" s="783">
        <v>202410300794</v>
      </c>
      <c r="I157" s="777">
        <v>47860829</v>
      </c>
      <c r="J157" s="776" t="s">
        <v>5021</v>
      </c>
      <c r="K157" s="779">
        <v>43900</v>
      </c>
      <c r="L157" s="779">
        <v>34300</v>
      </c>
      <c r="M157" s="779"/>
      <c r="N157" s="822">
        <f>1-(L157/K157)</f>
        <v>0.21867881548974943</v>
      </c>
      <c r="O157" s="780">
        <v>0.25</v>
      </c>
      <c r="P157" s="777" t="s">
        <v>4449</v>
      </c>
      <c r="Q157" s="781"/>
      <c r="R157" s="782"/>
      <c r="S157" s="782"/>
      <c r="T157" s="782"/>
    </row>
    <row r="158" spans="1:20" ht="13.5" customHeight="1">
      <c r="A158" s="825"/>
      <c r="B158" s="1425"/>
      <c r="C158" s="795" t="s">
        <v>4479</v>
      </c>
      <c r="D158" s="775" t="s">
        <v>4453</v>
      </c>
      <c r="E158" s="809" t="s">
        <v>264</v>
      </c>
      <c r="F158" s="809" t="s">
        <v>4480</v>
      </c>
      <c r="G158" s="810" t="s">
        <v>4481</v>
      </c>
      <c r="H158" s="917">
        <v>202407059238</v>
      </c>
      <c r="I158" s="810">
        <v>71107741</v>
      </c>
      <c r="J158" s="809" t="s">
        <v>5022</v>
      </c>
      <c r="K158" s="804">
        <v>598000</v>
      </c>
      <c r="L158" s="804">
        <v>139900</v>
      </c>
      <c r="M158" s="804"/>
      <c r="N158" s="822">
        <f>1-(L158/K158)</f>
        <v>0.76605351170568559</v>
      </c>
      <c r="O158" s="812">
        <v>0.18</v>
      </c>
      <c r="P158" s="810" t="s">
        <v>4449</v>
      </c>
      <c r="Q158" s="813" t="s">
        <v>5023</v>
      </c>
      <c r="R158" s="844" t="s">
        <v>5024</v>
      </c>
      <c r="S158" s="844" t="s">
        <v>5025</v>
      </c>
      <c r="T158" s="844"/>
    </row>
    <row r="159" spans="1:20">
      <c r="B159" s="1425"/>
      <c r="C159" s="774" t="s">
        <v>4529</v>
      </c>
      <c r="D159" s="775"/>
      <c r="E159" s="776" t="s">
        <v>1109</v>
      </c>
      <c r="F159" s="776" t="s">
        <v>4519</v>
      </c>
      <c r="G159" s="777" t="s">
        <v>4384</v>
      </c>
      <c r="H159" s="783">
        <v>202501172038</v>
      </c>
      <c r="I159" s="777">
        <v>30177045</v>
      </c>
      <c r="J159" s="776" t="s">
        <v>4606</v>
      </c>
      <c r="K159" s="779"/>
      <c r="L159" s="779">
        <v>13800</v>
      </c>
      <c r="M159" s="779"/>
      <c r="N159" s="780"/>
      <c r="O159" s="780">
        <v>0.4</v>
      </c>
      <c r="P159" s="777" t="s">
        <v>4449</v>
      </c>
      <c r="Q159" s="781" t="s">
        <v>4607</v>
      </c>
      <c r="R159" s="782" t="s">
        <v>4608</v>
      </c>
      <c r="S159" s="782" t="s">
        <v>4609</v>
      </c>
      <c r="T159" s="782"/>
    </row>
    <row r="160" spans="1:20">
      <c r="B160" s="1425"/>
      <c r="C160" s="774"/>
      <c r="D160" s="775" t="s">
        <v>4474</v>
      </c>
      <c r="E160" s="875" t="s">
        <v>417</v>
      </c>
      <c r="F160" s="776" t="s">
        <v>4461</v>
      </c>
      <c r="G160" s="777" t="s">
        <v>1245</v>
      </c>
      <c r="H160" s="783">
        <v>202408149890</v>
      </c>
      <c r="I160" s="777">
        <v>10520800</v>
      </c>
      <c r="J160" s="776" t="s">
        <v>5026</v>
      </c>
      <c r="K160" s="779">
        <v>29900</v>
      </c>
      <c r="L160" s="779">
        <f>K160*0.9</f>
        <v>26910</v>
      </c>
      <c r="M160" s="779"/>
      <c r="N160" s="780">
        <v>0.1</v>
      </c>
      <c r="O160" s="780">
        <v>0.1</v>
      </c>
      <c r="P160" s="777" t="s">
        <v>4449</v>
      </c>
      <c r="Q160" s="781" t="s">
        <v>5027</v>
      </c>
      <c r="R160" s="782"/>
      <c r="S160" s="782" t="s">
        <v>5028</v>
      </c>
      <c r="T160" s="782"/>
    </row>
    <row r="161" spans="1:20">
      <c r="B161" s="1430" t="s">
        <v>5029</v>
      </c>
      <c r="C161" s="1430"/>
      <c r="D161" s="1430"/>
      <c r="E161" s="1430"/>
      <c r="F161" s="1430"/>
      <c r="G161" s="1430"/>
      <c r="H161" s="1430"/>
      <c r="I161" s="1430"/>
      <c r="J161" s="1430"/>
      <c r="K161" s="864"/>
      <c r="L161" s="865"/>
      <c r="M161" s="865"/>
      <c r="N161" s="866"/>
      <c r="O161" s="867"/>
      <c r="P161" s="868"/>
      <c r="Q161" s="869"/>
      <c r="R161" s="870"/>
      <c r="S161" s="870"/>
      <c r="T161" s="870"/>
    </row>
    <row r="162" spans="1:20">
      <c r="B162" s="1432" t="s">
        <v>5030</v>
      </c>
      <c r="C162" s="785" t="s">
        <v>3247</v>
      </c>
      <c r="D162" s="786"/>
      <c r="E162" s="787" t="s">
        <v>1109</v>
      </c>
      <c r="F162" s="787" t="s">
        <v>4519</v>
      </c>
      <c r="G162" s="788" t="s">
        <v>4100</v>
      </c>
      <c r="H162" s="797">
        <v>202406218981</v>
      </c>
      <c r="I162" s="810">
        <v>30115357</v>
      </c>
      <c r="J162" s="809" t="s">
        <v>4875</v>
      </c>
      <c r="K162" s="804">
        <v>69900</v>
      </c>
      <c r="L162" s="804">
        <v>55420</v>
      </c>
      <c r="M162" s="804"/>
      <c r="N162" s="822">
        <f>1-(L162/K162)</f>
        <v>0.20715307582260367</v>
      </c>
      <c r="O162" s="812">
        <v>0.15</v>
      </c>
      <c r="P162" s="810" t="s">
        <v>4464</v>
      </c>
      <c r="Q162" s="813" t="s">
        <v>4876</v>
      </c>
      <c r="R162" s="844" t="s">
        <v>4877</v>
      </c>
      <c r="S162" s="793" t="s">
        <v>5031</v>
      </c>
      <c r="T162" s="793"/>
    </row>
    <row r="163" spans="1:20" ht="16.5" customHeight="1">
      <c r="B163" s="1432"/>
      <c r="C163" s="774"/>
      <c r="D163" s="775" t="s">
        <v>4444</v>
      </c>
      <c r="E163" s="776" t="s">
        <v>185</v>
      </c>
      <c r="F163" s="776" t="s">
        <v>4829</v>
      </c>
      <c r="G163" s="777" t="s">
        <v>3661</v>
      </c>
      <c r="H163" s="783">
        <v>202501021821</v>
      </c>
      <c r="I163" s="777">
        <v>30210678</v>
      </c>
      <c r="J163" s="776" t="s">
        <v>5032</v>
      </c>
      <c r="K163" s="779">
        <v>110200</v>
      </c>
      <c r="L163" s="779">
        <v>83220</v>
      </c>
      <c r="M163" s="779"/>
      <c r="N163" s="780">
        <f>1-(L163/K163)</f>
        <v>0.2448275862068966</v>
      </c>
      <c r="O163" s="780">
        <v>0.15</v>
      </c>
      <c r="P163" s="777" t="s">
        <v>4449</v>
      </c>
      <c r="Q163" s="781" t="s">
        <v>5033</v>
      </c>
      <c r="R163" s="782"/>
      <c r="S163" s="782"/>
      <c r="T163" s="782"/>
    </row>
    <row r="164" spans="1:20" ht="16.5" customHeight="1">
      <c r="B164" s="1432"/>
      <c r="C164" s="774"/>
      <c r="D164" s="775" t="s">
        <v>4453</v>
      </c>
      <c r="E164" s="776" t="s">
        <v>795</v>
      </c>
      <c r="F164" s="776" t="s">
        <v>4461</v>
      </c>
      <c r="G164" s="777" t="s">
        <v>3540</v>
      </c>
      <c r="H164" s="918">
        <v>202411191034</v>
      </c>
      <c r="I164" s="777">
        <v>75112021</v>
      </c>
      <c r="J164" s="776" t="s">
        <v>5034</v>
      </c>
      <c r="K164" s="779">
        <v>26000</v>
      </c>
      <c r="L164" s="779">
        <v>17900</v>
      </c>
      <c r="M164" s="779"/>
      <c r="N164" s="780">
        <v>0.1</v>
      </c>
      <c r="O164" s="780">
        <v>0.15</v>
      </c>
      <c r="P164" s="777" t="s">
        <v>4449</v>
      </c>
      <c r="Q164" s="781" t="s">
        <v>5035</v>
      </c>
      <c r="R164" s="782"/>
      <c r="S164" s="782"/>
      <c r="T164" s="782"/>
    </row>
    <row r="165" spans="1:20" ht="16.5" customHeight="1">
      <c r="B165" s="1432"/>
      <c r="C165" s="774" t="s">
        <v>3247</v>
      </c>
      <c r="D165" s="775" t="s">
        <v>4469</v>
      </c>
      <c r="E165" s="776" t="s">
        <v>264</v>
      </c>
      <c r="F165" s="776" t="s">
        <v>4480</v>
      </c>
      <c r="G165" s="777" t="s">
        <v>5036</v>
      </c>
      <c r="H165" s="805">
        <v>202405308620</v>
      </c>
      <c r="I165" s="777">
        <v>71932201</v>
      </c>
      <c r="J165" s="776" t="s">
        <v>5037</v>
      </c>
      <c r="K165" s="779">
        <v>209900</v>
      </c>
      <c r="L165" s="779">
        <v>159900</v>
      </c>
      <c r="M165" s="804" t="s">
        <v>3247</v>
      </c>
      <c r="N165" s="780">
        <f>1-(L165/K165)</f>
        <v>0.23820867079561692</v>
      </c>
      <c r="O165" s="780">
        <v>0.2</v>
      </c>
      <c r="P165" s="777" t="s">
        <v>4449</v>
      </c>
      <c r="Q165" s="781" t="s">
        <v>5038</v>
      </c>
      <c r="R165" s="782" t="s">
        <v>5039</v>
      </c>
      <c r="S165" s="782" t="s">
        <v>5040</v>
      </c>
      <c r="T165" s="782"/>
    </row>
    <row r="166" spans="1:20" ht="16.5" customHeight="1">
      <c r="B166" s="1432"/>
      <c r="C166" s="774"/>
      <c r="D166" s="775" t="s">
        <v>4474</v>
      </c>
      <c r="E166" s="776" t="s">
        <v>477</v>
      </c>
      <c r="F166" s="776" t="s">
        <v>5041</v>
      </c>
      <c r="G166" s="777" t="s">
        <v>3682</v>
      </c>
      <c r="H166" s="783">
        <v>202501172028</v>
      </c>
      <c r="I166" s="777">
        <v>30162687</v>
      </c>
      <c r="J166" s="776" t="s">
        <v>5042</v>
      </c>
      <c r="K166" s="779">
        <v>69900</v>
      </c>
      <c r="L166" s="779">
        <v>54900</v>
      </c>
      <c r="M166" s="779"/>
      <c r="N166" s="780">
        <f>1-(L166/K166)</f>
        <v>0.21459227467811159</v>
      </c>
      <c r="O166" s="780">
        <v>0.25</v>
      </c>
      <c r="P166" s="777" t="s">
        <v>4449</v>
      </c>
      <c r="Q166" s="781"/>
      <c r="R166" s="782"/>
      <c r="S166" s="782"/>
      <c r="T166" s="782"/>
    </row>
    <row r="167" spans="1:20" ht="16.5" customHeight="1">
      <c r="B167" s="1432"/>
      <c r="C167" s="774"/>
      <c r="D167" s="775" t="s">
        <v>4460</v>
      </c>
      <c r="E167" s="776" t="s">
        <v>910</v>
      </c>
      <c r="F167" s="776" t="s">
        <v>4454</v>
      </c>
      <c r="G167" s="777" t="s">
        <v>3747</v>
      </c>
      <c r="H167" s="783">
        <v>202501101921</v>
      </c>
      <c r="I167" s="777" t="s">
        <v>5043</v>
      </c>
      <c r="J167" s="776" t="s">
        <v>5044</v>
      </c>
      <c r="K167" s="779"/>
      <c r="L167" s="779"/>
      <c r="M167" s="779"/>
      <c r="N167" s="780"/>
      <c r="O167" s="780">
        <v>0.18</v>
      </c>
      <c r="P167" s="777" t="s">
        <v>4449</v>
      </c>
      <c r="Q167" s="781" t="s">
        <v>5045</v>
      </c>
      <c r="R167" s="782"/>
      <c r="S167" s="782" t="s">
        <v>5046</v>
      </c>
      <c r="T167" s="782"/>
    </row>
    <row r="168" spans="1:20" ht="16.5" customHeight="1">
      <c r="B168" s="1432"/>
      <c r="C168" s="774" t="s">
        <v>3247</v>
      </c>
      <c r="D168" s="775"/>
      <c r="E168" s="776" t="s">
        <v>331</v>
      </c>
      <c r="F168" s="776" t="s">
        <v>4970</v>
      </c>
      <c r="G168" s="777" t="s">
        <v>5047</v>
      </c>
      <c r="H168" s="783">
        <v>202501101938</v>
      </c>
      <c r="I168" s="777">
        <v>30202735</v>
      </c>
      <c r="J168" s="776" t="s">
        <v>339</v>
      </c>
      <c r="K168" s="779">
        <v>9900</v>
      </c>
      <c r="L168" s="779">
        <v>6900</v>
      </c>
      <c r="M168" s="779"/>
      <c r="N168" s="780">
        <f>1-(L168/K168)</f>
        <v>0.30303030303030298</v>
      </c>
      <c r="O168" s="780">
        <v>0.15</v>
      </c>
      <c r="P168" s="777" t="s">
        <v>4449</v>
      </c>
      <c r="Q168" s="781"/>
      <c r="R168" s="782"/>
      <c r="S168" s="782"/>
      <c r="T168" s="782"/>
    </row>
    <row r="169" spans="1:20" ht="16.5" customHeight="1">
      <c r="B169" s="1432"/>
      <c r="C169" s="774" t="s">
        <v>3247</v>
      </c>
      <c r="D169" s="775"/>
      <c r="E169" s="776" t="s">
        <v>417</v>
      </c>
      <c r="F169" s="776" t="s">
        <v>4461</v>
      </c>
      <c r="G169" s="777" t="s">
        <v>3530</v>
      </c>
      <c r="H169" s="783">
        <v>202408149866</v>
      </c>
      <c r="I169" s="777">
        <v>11201000</v>
      </c>
      <c r="J169" s="776" t="s">
        <v>5048</v>
      </c>
      <c r="K169" s="779">
        <v>14900</v>
      </c>
      <c r="L169" s="779">
        <v>13410</v>
      </c>
      <c r="M169" s="779"/>
      <c r="N169" s="780">
        <v>0.1</v>
      </c>
      <c r="O169" s="780">
        <v>0.1</v>
      </c>
      <c r="P169" s="777" t="s">
        <v>4449</v>
      </c>
      <c r="Q169" s="781" t="s">
        <v>5049</v>
      </c>
      <c r="R169" s="782"/>
      <c r="S169" s="782"/>
      <c r="T169" s="782">
        <v>150</v>
      </c>
    </row>
    <row r="170" spans="1:20" ht="16.5" customHeight="1">
      <c r="B170" s="1432"/>
      <c r="C170" s="774"/>
      <c r="D170" s="775"/>
      <c r="E170" s="776" t="s">
        <v>221</v>
      </c>
      <c r="F170" s="776" t="s">
        <v>4671</v>
      </c>
      <c r="G170" s="777" t="s">
        <v>231</v>
      </c>
      <c r="H170" s="783">
        <v>202412061376</v>
      </c>
      <c r="I170" s="777">
        <v>58439570</v>
      </c>
      <c r="J170" s="776" t="s">
        <v>5050</v>
      </c>
      <c r="K170" s="779">
        <v>29900</v>
      </c>
      <c r="L170" s="779">
        <v>27900</v>
      </c>
      <c r="M170" s="779"/>
      <c r="N170" s="780">
        <v>6.6889632107023367E-2</v>
      </c>
      <c r="O170" s="780">
        <v>0.17</v>
      </c>
      <c r="P170" s="777" t="s">
        <v>4449</v>
      </c>
      <c r="Q170" s="781" t="s">
        <v>5051</v>
      </c>
      <c r="R170" s="782"/>
      <c r="S170" s="782"/>
      <c r="T170" s="782"/>
    </row>
    <row r="171" spans="1:20" ht="16.5" customHeight="1">
      <c r="B171" s="1432"/>
      <c r="C171" s="774" t="s">
        <v>3247</v>
      </c>
      <c r="D171" s="775"/>
      <c r="E171" s="776" t="s">
        <v>221</v>
      </c>
      <c r="F171" s="776" t="s">
        <v>4454</v>
      </c>
      <c r="G171" s="777" t="s">
        <v>5052</v>
      </c>
      <c r="H171" s="783">
        <v>202411261173</v>
      </c>
      <c r="I171" s="777">
        <v>11111573</v>
      </c>
      <c r="J171" s="776" t="s">
        <v>5053</v>
      </c>
      <c r="K171" s="779">
        <v>19900</v>
      </c>
      <c r="L171" s="779">
        <v>18910</v>
      </c>
      <c r="M171" s="779"/>
      <c r="N171" s="780">
        <v>4.9748743718592947E-2</v>
      </c>
      <c r="O171" s="780">
        <v>0.15</v>
      </c>
      <c r="P171" s="777" t="s">
        <v>4449</v>
      </c>
      <c r="Q171" s="781" t="s">
        <v>5054</v>
      </c>
      <c r="R171" s="782"/>
      <c r="S171" s="782"/>
      <c r="T171" s="782"/>
    </row>
    <row r="172" spans="1:20" ht="16.5">
      <c r="B172" s="1432" t="s">
        <v>5055</v>
      </c>
      <c r="C172" s="785" t="s">
        <v>3247</v>
      </c>
      <c r="D172" s="786"/>
      <c r="E172" s="787" t="s">
        <v>1109</v>
      </c>
      <c r="F172" s="787" t="s">
        <v>4519</v>
      </c>
      <c r="G172" s="788" t="s">
        <v>3770</v>
      </c>
      <c r="H172" s="797">
        <v>202405298611</v>
      </c>
      <c r="I172" s="919">
        <v>20036881</v>
      </c>
      <c r="J172" s="920" t="s">
        <v>5056</v>
      </c>
      <c r="K172" s="790">
        <v>57400</v>
      </c>
      <c r="L172" s="790">
        <v>49200</v>
      </c>
      <c r="M172" s="790"/>
      <c r="N172" s="812">
        <f t="shared" ref="N172:N178" si="2">1-(L172/K172)</f>
        <v>0.1428571428571429</v>
      </c>
      <c r="O172" s="791"/>
      <c r="P172" s="788" t="s">
        <v>4449</v>
      </c>
      <c r="Q172" s="792" t="s">
        <v>5057</v>
      </c>
      <c r="R172" s="793" t="s">
        <v>5058</v>
      </c>
      <c r="S172" s="793" t="s">
        <v>5059</v>
      </c>
      <c r="T172" s="793"/>
    </row>
    <row r="173" spans="1:20" ht="16.5" customHeight="1">
      <c r="B173" s="1432"/>
      <c r="C173" s="774"/>
      <c r="D173" s="775" t="s">
        <v>4453</v>
      </c>
      <c r="E173" s="776" t="s">
        <v>185</v>
      </c>
      <c r="F173" s="776" t="s">
        <v>4829</v>
      </c>
      <c r="G173" s="777" t="s">
        <v>3352</v>
      </c>
      <c r="H173" s="783">
        <v>202501021822</v>
      </c>
      <c r="I173" s="810">
        <v>30215288</v>
      </c>
      <c r="J173" s="809" t="s">
        <v>5060</v>
      </c>
      <c r="K173" s="804">
        <v>396000</v>
      </c>
      <c r="L173" s="804">
        <v>338580</v>
      </c>
      <c r="M173" s="779"/>
      <c r="N173" s="780">
        <f t="shared" si="2"/>
        <v>0.14500000000000002</v>
      </c>
      <c r="O173" s="780">
        <v>0.15</v>
      </c>
      <c r="P173" s="777" t="s">
        <v>4449</v>
      </c>
      <c r="Q173" s="781" t="s">
        <v>5061</v>
      </c>
      <c r="R173" s="782"/>
      <c r="S173" s="782"/>
      <c r="T173" s="782"/>
    </row>
    <row r="174" spans="1:20" ht="16.5" customHeight="1">
      <c r="B174" s="1432"/>
      <c r="C174" s="795" t="s">
        <v>3247</v>
      </c>
      <c r="D174" s="775"/>
      <c r="E174" s="776" t="s">
        <v>165</v>
      </c>
      <c r="F174" s="776" t="s">
        <v>4560</v>
      </c>
      <c r="G174" s="777" t="s">
        <v>5062</v>
      </c>
      <c r="H174" s="783">
        <v>202501091906</v>
      </c>
      <c r="I174" s="810">
        <v>72686189</v>
      </c>
      <c r="J174" s="809" t="s">
        <v>5063</v>
      </c>
      <c r="K174" s="779">
        <v>419000</v>
      </c>
      <c r="L174" s="779">
        <f>328900*0.9</f>
        <v>296010</v>
      </c>
      <c r="M174" s="779"/>
      <c r="N174" s="780">
        <f t="shared" si="2"/>
        <v>0.29353221957040576</v>
      </c>
      <c r="O174" s="780">
        <v>0.15</v>
      </c>
      <c r="P174" s="777" t="s">
        <v>4449</v>
      </c>
      <c r="Q174" s="781" t="s">
        <v>5064</v>
      </c>
      <c r="R174" s="782"/>
      <c r="S174" s="782"/>
      <c r="T174" s="782"/>
    </row>
    <row r="175" spans="1:20" ht="16.5" customHeight="1">
      <c r="A175" s="825"/>
      <c r="B175" s="1432"/>
      <c r="C175" s="795" t="s">
        <v>3247</v>
      </c>
      <c r="D175" s="775"/>
      <c r="E175" s="809" t="s">
        <v>264</v>
      </c>
      <c r="F175" s="809" t="s">
        <v>4480</v>
      </c>
      <c r="G175" s="810" t="s">
        <v>4067</v>
      </c>
      <c r="H175" s="805">
        <v>202406289161</v>
      </c>
      <c r="I175" s="810">
        <v>72123184</v>
      </c>
      <c r="J175" s="809" t="s">
        <v>5065</v>
      </c>
      <c r="K175" s="804">
        <v>372000</v>
      </c>
      <c r="L175" s="804">
        <v>119000</v>
      </c>
      <c r="M175" s="804" t="s">
        <v>3247</v>
      </c>
      <c r="N175" s="812">
        <f t="shared" si="2"/>
        <v>0.68010752688172049</v>
      </c>
      <c r="O175" s="812">
        <v>0.18</v>
      </c>
      <c r="P175" s="810" t="s">
        <v>4449</v>
      </c>
      <c r="Q175" s="813" t="s">
        <v>5066</v>
      </c>
      <c r="R175" s="844" t="s">
        <v>5067</v>
      </c>
      <c r="S175" s="844" t="s">
        <v>3731</v>
      </c>
      <c r="T175" s="844"/>
    </row>
    <row r="176" spans="1:20" ht="16.5" customHeight="1">
      <c r="B176" s="1432"/>
      <c r="C176" s="774" t="s">
        <v>3247</v>
      </c>
      <c r="D176" s="775" t="s">
        <v>4474</v>
      </c>
      <c r="E176" s="776" t="s">
        <v>795</v>
      </c>
      <c r="F176" s="776" t="s">
        <v>4461</v>
      </c>
      <c r="G176" s="777" t="s">
        <v>3541</v>
      </c>
      <c r="H176" s="921">
        <v>202501151980</v>
      </c>
      <c r="I176" s="777">
        <v>76617658</v>
      </c>
      <c r="J176" s="776" t="s">
        <v>5068</v>
      </c>
      <c r="K176" s="779">
        <v>19900</v>
      </c>
      <c r="L176" s="779">
        <f>17900*0.9</f>
        <v>16110</v>
      </c>
      <c r="M176" s="779"/>
      <c r="N176" s="812">
        <f t="shared" si="2"/>
        <v>0.1904522613065327</v>
      </c>
      <c r="O176" s="780">
        <v>0.15</v>
      </c>
      <c r="P176" s="810" t="s">
        <v>4449</v>
      </c>
      <c r="Q176" s="898" t="s">
        <v>5069</v>
      </c>
      <c r="R176" s="782"/>
      <c r="S176" s="782"/>
      <c r="T176" s="782">
        <v>50</v>
      </c>
    </row>
    <row r="177" spans="1:20" ht="16.5" customHeight="1">
      <c r="B177" s="1432"/>
      <c r="C177" s="774" t="s">
        <v>3247</v>
      </c>
      <c r="D177" s="775" t="s">
        <v>4460</v>
      </c>
      <c r="E177" s="776" t="s">
        <v>477</v>
      </c>
      <c r="F177" s="776" t="s">
        <v>5041</v>
      </c>
      <c r="G177" s="777" t="s">
        <v>3908</v>
      </c>
      <c r="H177" s="783">
        <v>202501172029</v>
      </c>
      <c r="I177" s="922">
        <v>30194778</v>
      </c>
      <c r="J177" s="776" t="s">
        <v>5070</v>
      </c>
      <c r="K177" s="779">
        <v>62900</v>
      </c>
      <c r="L177" s="779">
        <v>59900</v>
      </c>
      <c r="M177" s="779"/>
      <c r="N177" s="812">
        <f t="shared" si="2"/>
        <v>4.7694753577106508E-2</v>
      </c>
      <c r="O177" s="780">
        <v>0.25</v>
      </c>
      <c r="P177" s="810" t="s">
        <v>4449</v>
      </c>
      <c r="Q177" s="781"/>
      <c r="R177" s="782"/>
      <c r="S177" s="782"/>
      <c r="T177" s="782"/>
    </row>
    <row r="178" spans="1:20" ht="16.5" customHeight="1">
      <c r="B178" s="1432"/>
      <c r="C178" s="774" t="s">
        <v>3247</v>
      </c>
      <c r="D178" s="775" t="s">
        <v>4444</v>
      </c>
      <c r="E178" s="776" t="s">
        <v>910</v>
      </c>
      <c r="F178" s="776" t="s">
        <v>4454</v>
      </c>
      <c r="G178" s="777" t="s">
        <v>3598</v>
      </c>
      <c r="H178" s="778">
        <v>202405228395</v>
      </c>
      <c r="I178" s="777">
        <v>76382563</v>
      </c>
      <c r="J178" s="776" t="s">
        <v>5071</v>
      </c>
      <c r="K178" s="779">
        <v>96000</v>
      </c>
      <c r="L178" s="779">
        <v>33000</v>
      </c>
      <c r="M178" s="779"/>
      <c r="N178" s="780">
        <f t="shared" si="2"/>
        <v>0.65625</v>
      </c>
      <c r="O178" s="780">
        <v>0.13</v>
      </c>
      <c r="P178" s="810" t="s">
        <v>4449</v>
      </c>
      <c r="Q178" s="781" t="s">
        <v>5072</v>
      </c>
      <c r="R178" s="782" t="s">
        <v>5073</v>
      </c>
      <c r="S178" s="782" t="s">
        <v>4906</v>
      </c>
      <c r="T178" s="782">
        <v>100</v>
      </c>
    </row>
    <row r="179" spans="1:20" ht="16.5" customHeight="1">
      <c r="B179" s="1432"/>
      <c r="C179" s="774"/>
      <c r="D179" s="775" t="s">
        <v>4469</v>
      </c>
      <c r="E179" s="776" t="s">
        <v>221</v>
      </c>
      <c r="F179" s="776" t="s">
        <v>4671</v>
      </c>
      <c r="G179" s="777" t="s">
        <v>248</v>
      </c>
      <c r="H179" s="923">
        <v>202412111435</v>
      </c>
      <c r="I179" s="777">
        <v>30216518</v>
      </c>
      <c r="J179" s="776" t="s">
        <v>5074</v>
      </c>
      <c r="K179" s="779">
        <v>15900</v>
      </c>
      <c r="L179" s="779">
        <v>9900</v>
      </c>
      <c r="M179" s="779"/>
      <c r="N179" s="780">
        <v>0.37735849056603776</v>
      </c>
      <c r="O179" s="780">
        <v>0.15</v>
      </c>
      <c r="P179" s="777" t="s">
        <v>4449</v>
      </c>
      <c r="Q179" s="781" t="s">
        <v>4806</v>
      </c>
      <c r="R179" s="782"/>
      <c r="S179" s="782"/>
      <c r="T179" s="782"/>
    </row>
    <row r="180" spans="1:20" ht="16.5" customHeight="1">
      <c r="B180" s="1432"/>
      <c r="C180" s="774"/>
      <c r="D180" s="775"/>
      <c r="E180" s="776" t="s">
        <v>417</v>
      </c>
      <c r="F180" s="776" t="s">
        <v>4461</v>
      </c>
      <c r="G180" s="777" t="s">
        <v>5075</v>
      </c>
      <c r="H180" s="783">
        <v>202412271779</v>
      </c>
      <c r="I180" s="777">
        <v>30211703</v>
      </c>
      <c r="J180" s="776" t="s">
        <v>5076</v>
      </c>
      <c r="K180" s="779">
        <v>85900</v>
      </c>
      <c r="L180" s="779">
        <f>K180*0.8</f>
        <v>68720</v>
      </c>
      <c r="M180" s="779"/>
      <c r="N180" s="780">
        <v>0.2</v>
      </c>
      <c r="O180" s="780">
        <v>0.1</v>
      </c>
      <c r="P180" s="777" t="s">
        <v>4449</v>
      </c>
      <c r="Q180" s="781" t="s">
        <v>5077</v>
      </c>
      <c r="R180" s="782"/>
      <c r="S180" s="782"/>
      <c r="T180" s="782"/>
    </row>
    <row r="181" spans="1:20" ht="16.5" customHeight="1">
      <c r="B181" s="1432"/>
      <c r="C181" s="774"/>
      <c r="D181" s="775"/>
      <c r="E181" s="776" t="s">
        <v>221</v>
      </c>
      <c r="F181" s="776" t="s">
        <v>4454</v>
      </c>
      <c r="G181" s="777" t="s">
        <v>3295</v>
      </c>
      <c r="H181" s="671">
        <v>202403147125</v>
      </c>
      <c r="I181" s="777">
        <v>30146955</v>
      </c>
      <c r="J181" s="776" t="s">
        <v>5078</v>
      </c>
      <c r="K181" s="779">
        <v>9500</v>
      </c>
      <c r="L181" s="779">
        <v>9010</v>
      </c>
      <c r="M181" s="779"/>
      <c r="N181" s="780">
        <v>5.1578947368421058E-2</v>
      </c>
      <c r="O181" s="780">
        <v>0.15</v>
      </c>
      <c r="P181" s="777" t="s">
        <v>4449</v>
      </c>
      <c r="Q181" s="781" t="s">
        <v>5079</v>
      </c>
      <c r="R181" s="782"/>
      <c r="S181" s="782"/>
      <c r="T181" s="782"/>
    </row>
    <row r="182" spans="1:20" ht="16.5" customHeight="1">
      <c r="B182" s="1432"/>
      <c r="C182" s="774"/>
      <c r="D182" s="775"/>
      <c r="E182" s="776" t="s">
        <v>331</v>
      </c>
      <c r="F182" s="776" t="s">
        <v>5080</v>
      </c>
      <c r="G182" s="777" t="s">
        <v>5081</v>
      </c>
      <c r="H182" s="671">
        <v>202501131942</v>
      </c>
      <c r="I182" s="924">
        <v>76426531</v>
      </c>
      <c r="J182" s="925" t="s">
        <v>5082</v>
      </c>
      <c r="K182" s="779">
        <v>598000</v>
      </c>
      <c r="L182" s="779">
        <v>179400</v>
      </c>
      <c r="M182" s="779"/>
      <c r="N182" s="780">
        <f>1-(L182/K182)</f>
        <v>0.7</v>
      </c>
      <c r="O182" s="780">
        <v>0.15</v>
      </c>
      <c r="P182" s="777" t="s">
        <v>4449</v>
      </c>
      <c r="Q182" s="781" t="s">
        <v>5083</v>
      </c>
      <c r="R182" s="782"/>
      <c r="S182" s="782"/>
      <c r="T182" s="782"/>
    </row>
    <row r="183" spans="1:20">
      <c r="B183" s="1426" t="s">
        <v>5084</v>
      </c>
      <c r="C183" s="785"/>
      <c r="D183" s="786" t="s">
        <v>4453</v>
      </c>
      <c r="E183" s="787" t="s">
        <v>185</v>
      </c>
      <c r="F183" s="787" t="s">
        <v>4829</v>
      </c>
      <c r="G183" s="788" t="s">
        <v>3804</v>
      </c>
      <c r="H183" s="797">
        <v>202501021824</v>
      </c>
      <c r="I183" s="819">
        <v>30205859</v>
      </c>
      <c r="J183" s="787" t="s">
        <v>5085</v>
      </c>
      <c r="K183" s="790">
        <v>199000</v>
      </c>
      <c r="L183" s="790">
        <v>99000</v>
      </c>
      <c r="M183" s="790"/>
      <c r="N183" s="780">
        <f>1-(L183/K183)</f>
        <v>0.50251256281407031</v>
      </c>
      <c r="O183" s="791">
        <v>0.2</v>
      </c>
      <c r="P183" s="788" t="s">
        <v>4449</v>
      </c>
      <c r="Q183" s="792" t="s">
        <v>5086</v>
      </c>
      <c r="R183" s="793"/>
      <c r="S183" s="793"/>
      <c r="T183" s="793"/>
    </row>
    <row r="184" spans="1:20">
      <c r="B184" s="1426"/>
      <c r="C184" s="774" t="s">
        <v>5087</v>
      </c>
      <c r="D184" s="775" t="s">
        <v>4474</v>
      </c>
      <c r="E184" s="776" t="s">
        <v>137</v>
      </c>
      <c r="F184" s="776" t="s">
        <v>4757</v>
      </c>
      <c r="G184" s="777" t="s">
        <v>3406</v>
      </c>
      <c r="H184" s="926">
        <v>202409100239</v>
      </c>
      <c r="I184" s="777">
        <v>72437201</v>
      </c>
      <c r="J184" s="809" t="s">
        <v>5088</v>
      </c>
      <c r="K184" s="804">
        <v>198000</v>
      </c>
      <c r="L184" s="804" t="s">
        <v>5089</v>
      </c>
      <c r="M184" s="779"/>
      <c r="N184" s="780">
        <v>0.1</v>
      </c>
      <c r="O184" s="780">
        <v>0.16</v>
      </c>
      <c r="P184" s="777" t="s">
        <v>4449</v>
      </c>
      <c r="Q184" s="781" t="s">
        <v>5090</v>
      </c>
      <c r="R184" s="782"/>
      <c r="S184" s="782"/>
      <c r="T184" s="782">
        <v>50</v>
      </c>
    </row>
    <row r="185" spans="1:20" ht="16.5">
      <c r="A185" s="825"/>
      <c r="B185" s="1426"/>
      <c r="C185" s="795" t="s">
        <v>3247</v>
      </c>
      <c r="D185" s="775"/>
      <c r="E185" s="809" t="s">
        <v>264</v>
      </c>
      <c r="F185" s="809" t="s">
        <v>4480</v>
      </c>
      <c r="G185" s="810" t="s">
        <v>5091</v>
      </c>
      <c r="H185" s="805">
        <v>202012312773</v>
      </c>
      <c r="I185" s="810">
        <v>72168998</v>
      </c>
      <c r="J185" s="809" t="s">
        <v>5092</v>
      </c>
      <c r="K185" s="804">
        <v>135000</v>
      </c>
      <c r="L185" s="804">
        <v>94000</v>
      </c>
      <c r="M185" s="804" t="s">
        <v>3247</v>
      </c>
      <c r="N185" s="812">
        <f>1-(L185/K185)</f>
        <v>0.3037037037037037</v>
      </c>
      <c r="O185" s="812">
        <v>0.15</v>
      </c>
      <c r="P185" s="810" t="s">
        <v>4449</v>
      </c>
      <c r="Q185" s="813" t="s">
        <v>5093</v>
      </c>
      <c r="R185" s="844" t="s">
        <v>5094</v>
      </c>
      <c r="S185" s="844"/>
      <c r="T185" s="844"/>
    </row>
    <row r="186" spans="1:20">
      <c r="B186" s="1426"/>
      <c r="C186" s="774" t="s">
        <v>3247</v>
      </c>
      <c r="D186" s="775" t="s">
        <v>4444</v>
      </c>
      <c r="E186" s="776" t="s">
        <v>795</v>
      </c>
      <c r="F186" s="776" t="s">
        <v>4461</v>
      </c>
      <c r="G186" s="777" t="s">
        <v>3701</v>
      </c>
      <c r="H186" s="783">
        <v>202501091917</v>
      </c>
      <c r="I186" s="777">
        <v>30166213</v>
      </c>
      <c r="J186" s="776" t="s">
        <v>5095</v>
      </c>
      <c r="K186" s="779">
        <v>34700</v>
      </c>
      <c r="L186" s="779">
        <f>K186*0.9</f>
        <v>31230</v>
      </c>
      <c r="M186" s="779"/>
      <c r="N186" s="780">
        <v>0.1</v>
      </c>
      <c r="O186" s="780">
        <v>0.15</v>
      </c>
      <c r="P186" s="777" t="s">
        <v>4449</v>
      </c>
      <c r="Q186" s="781" t="s">
        <v>5096</v>
      </c>
      <c r="R186" s="782"/>
      <c r="S186" s="782"/>
      <c r="T186" s="782"/>
    </row>
    <row r="187" spans="1:20">
      <c r="B187" s="1426"/>
      <c r="C187" s="774" t="s">
        <v>3247</v>
      </c>
      <c r="D187" s="775"/>
      <c r="E187" s="776" t="s">
        <v>331</v>
      </c>
      <c r="F187" s="776" t="s">
        <v>4970</v>
      </c>
      <c r="G187" s="777" t="s">
        <v>5097</v>
      </c>
      <c r="H187" s="783">
        <v>202501131946</v>
      </c>
      <c r="I187" s="777">
        <v>30216339</v>
      </c>
      <c r="J187" s="776" t="s">
        <v>5098</v>
      </c>
      <c r="K187" s="779">
        <v>9900</v>
      </c>
      <c r="L187" s="779">
        <v>8000</v>
      </c>
      <c r="M187" s="779"/>
      <c r="N187" s="812">
        <f>1-(L187/K187)</f>
        <v>0.19191919191919193</v>
      </c>
      <c r="O187" s="780">
        <v>0.2</v>
      </c>
      <c r="P187" s="777" t="s">
        <v>4449</v>
      </c>
      <c r="Q187" s="781" t="s">
        <v>5099</v>
      </c>
      <c r="R187" s="782"/>
      <c r="S187" s="782"/>
      <c r="T187" s="782"/>
    </row>
    <row r="188" spans="1:20">
      <c r="B188" s="1426"/>
      <c r="C188" s="774"/>
      <c r="D188" s="775" t="s">
        <v>4469</v>
      </c>
      <c r="E188" s="776" t="s">
        <v>477</v>
      </c>
      <c r="F188" s="776" t="s">
        <v>5041</v>
      </c>
      <c r="G188" s="777" t="s">
        <v>4315</v>
      </c>
      <c r="H188" s="783">
        <v>202402236692</v>
      </c>
      <c r="I188" s="777">
        <v>30215923</v>
      </c>
      <c r="J188" s="776" t="s">
        <v>5100</v>
      </c>
      <c r="K188" s="779">
        <v>37900</v>
      </c>
      <c r="L188" s="779">
        <v>34900</v>
      </c>
      <c r="M188" s="779"/>
      <c r="N188" s="780">
        <v>0.1</v>
      </c>
      <c r="O188" s="780">
        <v>0.25</v>
      </c>
      <c r="P188" s="777"/>
      <c r="Q188" s="781"/>
      <c r="R188" s="782"/>
      <c r="S188" s="782"/>
      <c r="T188" s="782"/>
    </row>
    <row r="189" spans="1:20">
      <c r="B189" s="1426"/>
      <c r="C189" s="774"/>
      <c r="D189" s="775"/>
      <c r="E189" s="776" t="s">
        <v>417</v>
      </c>
      <c r="F189" s="776" t="s">
        <v>4461</v>
      </c>
      <c r="G189" s="777" t="s">
        <v>3532</v>
      </c>
      <c r="H189" s="783">
        <v>202410300790</v>
      </c>
      <c r="I189" s="777"/>
      <c r="J189" s="776"/>
      <c r="K189" s="779"/>
      <c r="L189" s="779"/>
      <c r="M189" s="779"/>
      <c r="N189" s="780"/>
      <c r="O189" s="780"/>
      <c r="P189" s="777" t="s">
        <v>4449</v>
      </c>
      <c r="Q189" s="781"/>
      <c r="R189" s="782"/>
      <c r="S189" s="782"/>
      <c r="T189" s="782"/>
    </row>
    <row r="190" spans="1:20" ht="27">
      <c r="B190" s="1426"/>
      <c r="C190" s="774" t="s">
        <v>5087</v>
      </c>
      <c r="D190" s="775"/>
      <c r="E190" s="776" t="s">
        <v>910</v>
      </c>
      <c r="F190" s="776" t="s">
        <v>4454</v>
      </c>
      <c r="G190" s="777" t="s">
        <v>3445</v>
      </c>
      <c r="H190" s="783">
        <v>202308032684</v>
      </c>
      <c r="I190" s="810">
        <v>30180091</v>
      </c>
      <c r="J190" s="887" t="s">
        <v>5101</v>
      </c>
      <c r="K190" s="779"/>
      <c r="L190" s="779"/>
      <c r="M190" s="779"/>
      <c r="N190" s="780"/>
      <c r="O190" s="780"/>
      <c r="P190" s="777"/>
      <c r="Q190" s="781"/>
      <c r="R190" s="782"/>
      <c r="S190" s="782"/>
      <c r="T190" s="782"/>
    </row>
    <row r="191" spans="1:20">
      <c r="B191" s="1426"/>
      <c r="C191" s="774"/>
      <c r="D191" s="775"/>
      <c r="E191" s="776" t="s">
        <v>221</v>
      </c>
      <c r="F191" s="776" t="s">
        <v>4671</v>
      </c>
      <c r="G191" s="777" t="s">
        <v>5102</v>
      </c>
      <c r="H191" s="783">
        <v>202501172035</v>
      </c>
      <c r="I191" s="777">
        <v>30186290</v>
      </c>
      <c r="J191" s="776" t="s">
        <v>5103</v>
      </c>
      <c r="K191" s="779">
        <v>140000</v>
      </c>
      <c r="L191" s="779">
        <v>29900</v>
      </c>
      <c r="M191" s="779"/>
      <c r="N191" s="780">
        <v>0.78642857142857148</v>
      </c>
      <c r="O191" s="780">
        <v>0.15</v>
      </c>
      <c r="P191" s="777" t="s">
        <v>4449</v>
      </c>
      <c r="Q191" s="781" t="s">
        <v>4806</v>
      </c>
      <c r="R191" s="782"/>
      <c r="S191" s="782"/>
      <c r="T191" s="782"/>
    </row>
    <row r="192" spans="1:20">
      <c r="B192" s="1426"/>
      <c r="C192" s="774"/>
      <c r="D192" s="800" t="s">
        <v>4460</v>
      </c>
      <c r="E192" s="801" t="s">
        <v>1109</v>
      </c>
      <c r="F192" s="801" t="s">
        <v>4519</v>
      </c>
      <c r="G192" s="802" t="s">
        <v>3990</v>
      </c>
      <c r="H192" s="803">
        <v>202501172032</v>
      </c>
      <c r="I192" s="777">
        <v>57853833</v>
      </c>
      <c r="J192" s="776" t="s">
        <v>4946</v>
      </c>
      <c r="K192" s="779">
        <v>145270</v>
      </c>
      <c r="L192" s="779">
        <v>124210</v>
      </c>
      <c r="M192" s="779"/>
      <c r="N192" s="812">
        <f>1-(L192/K192)</f>
        <v>0.14497143250499067</v>
      </c>
      <c r="O192" s="780">
        <v>0.15</v>
      </c>
      <c r="P192" s="777" t="s">
        <v>4449</v>
      </c>
      <c r="Q192" s="781" t="s">
        <v>5104</v>
      </c>
      <c r="R192" s="782" t="s">
        <v>5105</v>
      </c>
      <c r="S192" s="782"/>
      <c r="T192" s="782"/>
    </row>
    <row r="193" spans="1:20">
      <c r="B193" s="1425" t="s">
        <v>5106</v>
      </c>
      <c r="C193" s="785"/>
      <c r="D193" s="786"/>
      <c r="E193" s="787" t="s">
        <v>185</v>
      </c>
      <c r="F193" s="787" t="s">
        <v>4829</v>
      </c>
      <c r="G193" s="788" t="s">
        <v>3674</v>
      </c>
      <c r="H193" s="797">
        <v>202501021826</v>
      </c>
      <c r="I193" s="788">
        <v>10631692</v>
      </c>
      <c r="J193" s="787" t="s">
        <v>5107</v>
      </c>
      <c r="K193" s="790">
        <v>52900</v>
      </c>
      <c r="L193" s="790">
        <v>33900</v>
      </c>
      <c r="M193" s="790"/>
      <c r="N193" s="780">
        <f>1-(L193/K193)</f>
        <v>0.35916824196597352</v>
      </c>
      <c r="O193" s="791">
        <v>0.15</v>
      </c>
      <c r="P193" s="788" t="s">
        <v>4449</v>
      </c>
      <c r="Q193" s="792" t="s">
        <v>5083</v>
      </c>
      <c r="R193" s="793"/>
      <c r="S193" s="793"/>
      <c r="T193" s="793"/>
    </row>
    <row r="194" spans="1:20">
      <c r="B194" s="1425"/>
      <c r="C194" s="774" t="s">
        <v>3247</v>
      </c>
      <c r="D194" s="775" t="s">
        <v>4491</v>
      </c>
      <c r="E194" s="776" t="s">
        <v>165</v>
      </c>
      <c r="F194" s="776" t="s">
        <v>4560</v>
      </c>
      <c r="G194" s="777" t="s">
        <v>4216</v>
      </c>
      <c r="H194" s="783">
        <v>202206292717</v>
      </c>
      <c r="I194" s="810">
        <v>44064951</v>
      </c>
      <c r="J194" s="809" t="s">
        <v>5108</v>
      </c>
      <c r="K194" s="779">
        <v>740000</v>
      </c>
      <c r="L194" s="779">
        <f>K194*0.65</f>
        <v>481000</v>
      </c>
      <c r="M194" s="779"/>
      <c r="N194" s="780">
        <f>1-(L194/K194)</f>
        <v>0.35</v>
      </c>
      <c r="O194" s="780">
        <v>0.15</v>
      </c>
      <c r="P194" s="777" t="s">
        <v>4449</v>
      </c>
      <c r="Q194" s="781" t="s">
        <v>5109</v>
      </c>
      <c r="R194" s="782"/>
      <c r="S194" s="782"/>
      <c r="T194" s="782"/>
    </row>
    <row r="195" spans="1:20" ht="16.5">
      <c r="A195" s="825"/>
      <c r="B195" s="1425"/>
      <c r="C195" s="795" t="s">
        <v>3247</v>
      </c>
      <c r="D195" s="775"/>
      <c r="E195" s="809" t="s">
        <v>264</v>
      </c>
      <c r="F195" s="809" t="s">
        <v>4480</v>
      </c>
      <c r="G195" s="810" t="s">
        <v>3742</v>
      </c>
      <c r="H195" s="927">
        <v>202401095706</v>
      </c>
      <c r="I195" s="810">
        <v>60477528</v>
      </c>
      <c r="J195" s="809" t="s">
        <v>5110</v>
      </c>
      <c r="K195" s="804">
        <v>64000</v>
      </c>
      <c r="L195" s="804">
        <v>25000</v>
      </c>
      <c r="M195" s="804" t="s">
        <v>3247</v>
      </c>
      <c r="N195" s="812">
        <f>1-(L195/K195)</f>
        <v>0.609375</v>
      </c>
      <c r="O195" s="812">
        <v>0.15</v>
      </c>
      <c r="P195" s="810" t="s">
        <v>4449</v>
      </c>
      <c r="Q195" s="813" t="s">
        <v>5111</v>
      </c>
      <c r="R195" s="844" t="s">
        <v>5112</v>
      </c>
      <c r="S195" s="844" t="s">
        <v>5113</v>
      </c>
      <c r="T195" s="844"/>
    </row>
    <row r="196" spans="1:20" ht="16.5">
      <c r="A196" s="825"/>
      <c r="B196" s="1425"/>
      <c r="C196" s="795"/>
      <c r="D196" s="775"/>
      <c r="E196" s="809" t="s">
        <v>417</v>
      </c>
      <c r="F196" s="809" t="s">
        <v>4461</v>
      </c>
      <c r="G196" s="810" t="s">
        <v>3534</v>
      </c>
      <c r="H196" s="928">
        <v>202412261735</v>
      </c>
      <c r="I196" s="810">
        <v>30214986</v>
      </c>
      <c r="J196" s="809" t="s">
        <v>5114</v>
      </c>
      <c r="K196" s="804">
        <v>32900</v>
      </c>
      <c r="L196" s="804">
        <v>29610</v>
      </c>
      <c r="M196" s="804"/>
      <c r="N196" s="812">
        <f>1-(L196/K196)</f>
        <v>9.9999999999999978E-2</v>
      </c>
      <c r="O196" s="812">
        <v>0.15</v>
      </c>
      <c r="P196" s="810" t="s">
        <v>4449</v>
      </c>
      <c r="Q196" s="813" t="s">
        <v>5115</v>
      </c>
      <c r="R196" s="844"/>
      <c r="S196" s="844"/>
      <c r="T196" s="844"/>
    </row>
    <row r="197" spans="1:20">
      <c r="B197" s="1425"/>
      <c r="C197" s="774"/>
      <c r="D197" s="775" t="s">
        <v>4460</v>
      </c>
      <c r="E197" s="776" t="s">
        <v>795</v>
      </c>
      <c r="F197" s="776" t="s">
        <v>4461</v>
      </c>
      <c r="G197" s="777" t="s">
        <v>1237</v>
      </c>
      <c r="H197" s="783">
        <v>202411080902</v>
      </c>
      <c r="I197" s="777">
        <v>71146856</v>
      </c>
      <c r="J197" s="776" t="s">
        <v>5116</v>
      </c>
      <c r="K197" s="779">
        <v>21500</v>
      </c>
      <c r="L197" s="779">
        <f>K197*0.8</f>
        <v>17200</v>
      </c>
      <c r="M197" s="779"/>
      <c r="N197" s="812">
        <v>0.2</v>
      </c>
      <c r="O197" s="780">
        <v>0.15</v>
      </c>
      <c r="P197" s="810" t="s">
        <v>4449</v>
      </c>
      <c r="Q197" s="781" t="s">
        <v>5117</v>
      </c>
      <c r="R197" s="782"/>
      <c r="S197" s="782"/>
      <c r="T197" s="782"/>
    </row>
    <row r="198" spans="1:20">
      <c r="B198" s="1425"/>
      <c r="C198" s="774" t="s">
        <v>3247</v>
      </c>
      <c r="D198" s="775" t="s">
        <v>4474</v>
      </c>
      <c r="E198" s="776" t="s">
        <v>477</v>
      </c>
      <c r="F198" s="776" t="s">
        <v>5041</v>
      </c>
      <c r="G198" s="777" t="s">
        <v>495</v>
      </c>
      <c r="H198" s="783">
        <v>202501172030</v>
      </c>
      <c r="I198" s="777" t="s">
        <v>4916</v>
      </c>
      <c r="J198" s="776" t="s">
        <v>5118</v>
      </c>
      <c r="K198" s="779"/>
      <c r="L198" s="779">
        <v>39900</v>
      </c>
      <c r="M198" s="779"/>
      <c r="N198" s="812"/>
      <c r="O198" s="780">
        <v>0.25</v>
      </c>
      <c r="P198" s="810" t="s">
        <v>4449</v>
      </c>
      <c r="Q198" s="781"/>
      <c r="R198" s="782"/>
      <c r="S198" s="782"/>
      <c r="T198" s="782"/>
    </row>
    <row r="199" spans="1:20">
      <c r="B199" s="1425"/>
      <c r="C199" s="774" t="s">
        <v>3247</v>
      </c>
      <c r="D199" s="775" t="s">
        <v>4509</v>
      </c>
      <c r="E199" s="776" t="s">
        <v>910</v>
      </c>
      <c r="F199" s="776" t="s">
        <v>4454</v>
      </c>
      <c r="G199" s="777" t="s">
        <v>5119</v>
      </c>
      <c r="H199" s="783">
        <v>202308042687</v>
      </c>
      <c r="I199" s="777">
        <v>30216130</v>
      </c>
      <c r="J199" s="776" t="s">
        <v>5120</v>
      </c>
      <c r="K199" s="779">
        <v>130000</v>
      </c>
      <c r="L199" s="779">
        <v>104000</v>
      </c>
      <c r="M199" s="779"/>
      <c r="N199" s="780">
        <v>0.2</v>
      </c>
      <c r="O199" s="780">
        <v>0.4</v>
      </c>
      <c r="P199" s="810" t="s">
        <v>4449</v>
      </c>
      <c r="Q199" s="781" t="s">
        <v>5121</v>
      </c>
      <c r="R199" s="862" t="s">
        <v>5122</v>
      </c>
      <c r="S199" s="782" t="s">
        <v>5123</v>
      </c>
      <c r="T199" s="782"/>
    </row>
    <row r="200" spans="1:20">
      <c r="B200" s="1425"/>
      <c r="C200" s="774" t="s">
        <v>3247</v>
      </c>
      <c r="D200" s="775" t="s">
        <v>4469</v>
      </c>
      <c r="E200" s="776" t="s">
        <v>221</v>
      </c>
      <c r="F200" s="776" t="s">
        <v>4671</v>
      </c>
      <c r="G200" s="777" t="s">
        <v>222</v>
      </c>
      <c r="H200" s="783">
        <v>202210125349</v>
      </c>
      <c r="I200" s="777">
        <v>30214724</v>
      </c>
      <c r="J200" s="776" t="s">
        <v>2819</v>
      </c>
      <c r="K200" s="779">
        <v>49900</v>
      </c>
      <c r="L200" s="779">
        <v>19900</v>
      </c>
      <c r="M200" s="779"/>
      <c r="N200" s="780">
        <v>0.60120240480961917</v>
      </c>
      <c r="O200" s="780">
        <v>0.1</v>
      </c>
      <c r="P200" s="777" t="s">
        <v>4449</v>
      </c>
      <c r="Q200" s="781" t="s">
        <v>5083</v>
      </c>
      <c r="R200" s="782"/>
      <c r="S200" s="782"/>
      <c r="T200" s="782"/>
    </row>
    <row r="201" spans="1:20">
      <c r="B201" s="1425"/>
      <c r="C201" s="774" t="s">
        <v>3247</v>
      </c>
      <c r="D201" s="775" t="s">
        <v>4444</v>
      </c>
      <c r="E201" s="776" t="s">
        <v>1109</v>
      </c>
      <c r="F201" s="776" t="s">
        <v>4519</v>
      </c>
      <c r="G201" s="777" t="s">
        <v>1523</v>
      </c>
      <c r="H201" s="783">
        <v>202501141973</v>
      </c>
      <c r="I201" s="777">
        <v>73078295</v>
      </c>
      <c r="J201" s="776" t="s">
        <v>5124</v>
      </c>
      <c r="K201" s="779">
        <v>172500</v>
      </c>
      <c r="L201" s="779">
        <v>137900</v>
      </c>
      <c r="M201" s="779"/>
      <c r="N201" s="812">
        <f>1-(L201/K201)</f>
        <v>0.20057971014492748</v>
      </c>
      <c r="O201" s="780">
        <v>0.15</v>
      </c>
      <c r="P201" s="777" t="s">
        <v>4449</v>
      </c>
      <c r="Q201" s="781" t="s">
        <v>5125</v>
      </c>
      <c r="S201" s="782"/>
      <c r="T201" s="782"/>
    </row>
    <row r="202" spans="1:20">
      <c r="B202" s="1425" t="s">
        <v>5126</v>
      </c>
      <c r="C202" s="785"/>
      <c r="D202" s="786" t="s">
        <v>4444</v>
      </c>
      <c r="E202" s="787" t="s">
        <v>331</v>
      </c>
      <c r="F202" s="787" t="s">
        <v>4970</v>
      </c>
      <c r="G202" s="788" t="s">
        <v>5127</v>
      </c>
      <c r="H202" s="858">
        <v>202405298607</v>
      </c>
      <c r="I202" s="819">
        <v>75276883</v>
      </c>
      <c r="J202" s="741" t="s">
        <v>5128</v>
      </c>
      <c r="K202" s="821">
        <v>39000</v>
      </c>
      <c r="L202" s="821">
        <v>10900</v>
      </c>
      <c r="M202" s="790"/>
      <c r="N202" s="812">
        <f>1-(L202/K202)</f>
        <v>0.72051282051282051</v>
      </c>
      <c r="O202" s="791">
        <v>0.15</v>
      </c>
      <c r="P202" s="810" t="s">
        <v>4449</v>
      </c>
      <c r="Q202" s="792"/>
      <c r="R202" s="782" t="s">
        <v>5129</v>
      </c>
      <c r="S202" s="793"/>
      <c r="T202" s="793"/>
    </row>
    <row r="203" spans="1:20" ht="16.5">
      <c r="A203" s="825"/>
      <c r="B203" s="1425"/>
      <c r="C203" s="795" t="s">
        <v>3247</v>
      </c>
      <c r="D203" s="775" t="s">
        <v>4460</v>
      </c>
      <c r="E203" s="809" t="s">
        <v>264</v>
      </c>
      <c r="F203" s="809" t="s">
        <v>4480</v>
      </c>
      <c r="G203" s="810" t="s">
        <v>3735</v>
      </c>
      <c r="H203" s="929">
        <v>202409090214</v>
      </c>
      <c r="I203" s="810">
        <v>71350575</v>
      </c>
      <c r="J203" s="809" t="s">
        <v>5130</v>
      </c>
      <c r="K203" s="804">
        <v>198000</v>
      </c>
      <c r="L203" s="804">
        <v>26900</v>
      </c>
      <c r="M203" s="804" t="s">
        <v>3247</v>
      </c>
      <c r="N203" s="812">
        <f>1-(L203/K203)</f>
        <v>0.8641414141414141</v>
      </c>
      <c r="O203" s="812">
        <v>0.15</v>
      </c>
      <c r="P203" s="810" t="s">
        <v>4449</v>
      </c>
      <c r="Q203" s="813" t="s">
        <v>5083</v>
      </c>
      <c r="R203" s="844" t="s">
        <v>5131</v>
      </c>
      <c r="S203" s="844" t="s">
        <v>5132</v>
      </c>
      <c r="T203" s="844"/>
    </row>
    <row r="204" spans="1:20">
      <c r="B204" s="1425"/>
      <c r="C204" s="774"/>
      <c r="D204" s="775"/>
      <c r="E204" s="776" t="s">
        <v>185</v>
      </c>
      <c r="F204" s="776" t="s">
        <v>4829</v>
      </c>
      <c r="G204" s="777" t="s">
        <v>5133</v>
      </c>
      <c r="H204" s="783">
        <v>202501151986</v>
      </c>
      <c r="I204" s="810">
        <v>30203713</v>
      </c>
      <c r="J204" s="809" t="s">
        <v>1600</v>
      </c>
      <c r="K204" s="779">
        <v>69900</v>
      </c>
      <c r="L204" s="779">
        <v>38900</v>
      </c>
      <c r="M204" s="779"/>
      <c r="N204" s="780"/>
      <c r="O204" s="780">
        <v>0.15</v>
      </c>
      <c r="P204" s="777" t="s">
        <v>4449</v>
      </c>
      <c r="Q204" s="781" t="s">
        <v>5083</v>
      </c>
      <c r="R204" s="782"/>
      <c r="S204" s="782"/>
      <c r="T204" s="782"/>
    </row>
    <row r="205" spans="1:20">
      <c r="B205" s="1425"/>
      <c r="C205" s="774"/>
      <c r="D205" s="775"/>
      <c r="E205" s="776" t="s">
        <v>477</v>
      </c>
      <c r="F205" s="776" t="s">
        <v>5041</v>
      </c>
      <c r="G205" s="777" t="s">
        <v>5134</v>
      </c>
      <c r="H205" s="783">
        <v>202501172031</v>
      </c>
      <c r="I205" s="777" t="s">
        <v>5135</v>
      </c>
      <c r="J205" s="776" t="s">
        <v>5136</v>
      </c>
      <c r="K205" s="779">
        <v>56500</v>
      </c>
      <c r="L205" s="779">
        <v>55900</v>
      </c>
      <c r="M205" s="779"/>
      <c r="N205" s="812">
        <f>1-(L205/K205)</f>
        <v>1.0619469026548645E-2</v>
      </c>
      <c r="O205" s="780">
        <v>0.25</v>
      </c>
      <c r="P205" s="777" t="s">
        <v>4449</v>
      </c>
      <c r="Q205" s="781"/>
      <c r="R205" s="782"/>
      <c r="S205" s="782"/>
      <c r="T205" s="782"/>
    </row>
    <row r="206" spans="1:20">
      <c r="B206" s="1425"/>
      <c r="C206" s="774" t="s">
        <v>5087</v>
      </c>
      <c r="D206" s="775"/>
      <c r="E206" s="776" t="s">
        <v>910</v>
      </c>
      <c r="F206" s="776" t="s">
        <v>4454</v>
      </c>
      <c r="G206" s="777" t="s">
        <v>3283</v>
      </c>
      <c r="H206" s="783">
        <v>202308022656</v>
      </c>
      <c r="I206" s="777">
        <v>30207615</v>
      </c>
      <c r="J206" s="776" t="s">
        <v>5137</v>
      </c>
      <c r="K206" s="779"/>
      <c r="L206" s="779"/>
      <c r="M206" s="779"/>
      <c r="N206" s="780"/>
      <c r="O206" s="780"/>
      <c r="P206" s="777"/>
      <c r="Q206" s="781"/>
      <c r="S206" s="843"/>
      <c r="T206" s="843"/>
    </row>
    <row r="207" spans="1:20">
      <c r="B207" s="1425"/>
      <c r="C207" s="774" t="s">
        <v>3247</v>
      </c>
      <c r="D207" s="775" t="s">
        <v>4474</v>
      </c>
      <c r="E207" s="809" t="s">
        <v>221</v>
      </c>
      <c r="F207" s="809" t="s">
        <v>4671</v>
      </c>
      <c r="G207" s="810" t="s">
        <v>3512</v>
      </c>
      <c r="H207" s="930">
        <v>202501172037</v>
      </c>
      <c r="I207" s="857">
        <v>58866381</v>
      </c>
      <c r="J207" s="856" t="s">
        <v>5138</v>
      </c>
      <c r="K207" s="859">
        <v>24900</v>
      </c>
      <c r="L207" s="859">
        <v>19900</v>
      </c>
      <c r="M207" s="804"/>
      <c r="N207" s="812">
        <v>0.35136986301369866</v>
      </c>
      <c r="O207" s="812">
        <v>0.1</v>
      </c>
      <c r="P207" s="810" t="s">
        <v>4449</v>
      </c>
      <c r="Q207" s="813" t="s">
        <v>5139</v>
      </c>
      <c r="R207" s="782"/>
      <c r="S207" s="931" t="s">
        <v>5140</v>
      </c>
      <c r="T207" s="843">
        <v>50</v>
      </c>
    </row>
    <row r="208" spans="1:20">
      <c r="A208" s="825"/>
      <c r="B208" s="1425"/>
      <c r="C208" s="795" t="s">
        <v>5087</v>
      </c>
      <c r="D208" s="775" t="s">
        <v>4469</v>
      </c>
      <c r="E208" s="809" t="s">
        <v>1109</v>
      </c>
      <c r="F208" s="809" t="s">
        <v>4519</v>
      </c>
      <c r="G208" s="810" t="s">
        <v>4384</v>
      </c>
      <c r="H208" s="811">
        <v>202409030155</v>
      </c>
      <c r="I208" s="810">
        <v>30143814</v>
      </c>
      <c r="J208" s="809" t="s">
        <v>5141</v>
      </c>
      <c r="K208" s="804"/>
      <c r="L208" s="804"/>
      <c r="M208" s="804"/>
      <c r="N208" s="812"/>
      <c r="O208" s="812"/>
      <c r="P208" s="810"/>
      <c r="Q208" s="813"/>
      <c r="R208" s="844"/>
      <c r="S208" s="844"/>
      <c r="T208" s="844"/>
    </row>
    <row r="209" spans="1:20">
      <c r="B209" s="1425"/>
      <c r="C209" s="774"/>
      <c r="D209" s="775" t="s">
        <v>4453</v>
      </c>
      <c r="E209" s="776" t="s">
        <v>32</v>
      </c>
      <c r="F209" s="776" t="s">
        <v>4084</v>
      </c>
      <c r="G209" s="777" t="s">
        <v>4659</v>
      </c>
      <c r="H209" s="932">
        <v>202501172033</v>
      </c>
      <c r="I209" s="777" t="s">
        <v>5142</v>
      </c>
      <c r="J209" s="776" t="s">
        <v>5143</v>
      </c>
      <c r="K209" s="779" t="s">
        <v>5144</v>
      </c>
      <c r="L209" s="779" t="s">
        <v>5144</v>
      </c>
      <c r="M209" s="779"/>
      <c r="N209" s="780"/>
      <c r="O209" s="780">
        <v>7.0000000000000007E-2</v>
      </c>
      <c r="P209" s="777" t="s">
        <v>4449</v>
      </c>
      <c r="Q209" s="781" t="s">
        <v>5145</v>
      </c>
      <c r="R209" s="782" t="s">
        <v>5146</v>
      </c>
      <c r="S209" s="782" t="s">
        <v>5147</v>
      </c>
      <c r="T209" s="782"/>
    </row>
    <row r="210" spans="1:20">
      <c r="B210" s="1425" t="s">
        <v>5148</v>
      </c>
      <c r="C210" s="933" t="s">
        <v>3247</v>
      </c>
      <c r="D210" s="934" t="s">
        <v>4491</v>
      </c>
      <c r="E210" s="935" t="s">
        <v>137</v>
      </c>
      <c r="F210" s="935" t="s">
        <v>4445</v>
      </c>
      <c r="G210" s="936" t="s">
        <v>4414</v>
      </c>
      <c r="H210" s="937">
        <v>202409190299</v>
      </c>
      <c r="I210" s="938">
        <v>30199354</v>
      </c>
      <c r="J210" s="903" t="s">
        <v>4988</v>
      </c>
      <c r="K210" s="790">
        <v>119000</v>
      </c>
      <c r="L210" s="790">
        <v>49000</v>
      </c>
      <c r="M210" s="790"/>
      <c r="N210" s="822">
        <f>1-(L210/K210)</f>
        <v>0.58823529411764708</v>
      </c>
      <c r="O210" s="791">
        <v>0.05</v>
      </c>
      <c r="P210" s="810" t="s">
        <v>4449</v>
      </c>
      <c r="Q210" s="904" t="s">
        <v>5149</v>
      </c>
      <c r="R210" s="793" t="s">
        <v>4989</v>
      </c>
      <c r="S210" s="793"/>
      <c r="T210" s="793"/>
    </row>
    <row r="211" spans="1:20" ht="16.5">
      <c r="A211" s="825"/>
      <c r="B211" s="1425"/>
      <c r="C211" s="795" t="s">
        <v>3247</v>
      </c>
      <c r="D211" s="775" t="s">
        <v>4469</v>
      </c>
      <c r="E211" s="809" t="s">
        <v>264</v>
      </c>
      <c r="F211" s="809" t="s">
        <v>4480</v>
      </c>
      <c r="G211" s="810" t="s">
        <v>3740</v>
      </c>
      <c r="H211" s="805">
        <v>202307142317</v>
      </c>
      <c r="I211" s="810">
        <v>71112495</v>
      </c>
      <c r="J211" s="809" t="s">
        <v>5150</v>
      </c>
      <c r="K211" s="804">
        <v>36000</v>
      </c>
      <c r="L211" s="804">
        <v>16900</v>
      </c>
      <c r="M211" s="804" t="s">
        <v>3247</v>
      </c>
      <c r="N211" s="812">
        <f>1-(L211/K211)</f>
        <v>0.53055555555555556</v>
      </c>
      <c r="O211" s="812">
        <v>0.18</v>
      </c>
      <c r="P211" s="810" t="s">
        <v>4449</v>
      </c>
      <c r="Q211" s="813" t="s">
        <v>5083</v>
      </c>
      <c r="R211" s="844" t="s">
        <v>5151</v>
      </c>
      <c r="S211" s="844" t="s">
        <v>5152</v>
      </c>
      <c r="T211" s="844"/>
    </row>
    <row r="212" spans="1:20">
      <c r="B212" s="1425"/>
      <c r="C212" s="795" t="s">
        <v>3247</v>
      </c>
      <c r="D212" s="775" t="s">
        <v>4444</v>
      </c>
      <c r="E212" s="776" t="s">
        <v>185</v>
      </c>
      <c r="F212" s="776" t="s">
        <v>4829</v>
      </c>
      <c r="G212" s="777" t="s">
        <v>4018</v>
      </c>
      <c r="H212" s="783">
        <v>202501151987</v>
      </c>
      <c r="I212" s="777">
        <v>62911255</v>
      </c>
      <c r="J212" s="776" t="s">
        <v>5153</v>
      </c>
      <c r="K212" s="779">
        <v>29500</v>
      </c>
      <c r="L212" s="779">
        <v>16900</v>
      </c>
      <c r="M212" s="779"/>
      <c r="N212" s="812">
        <f>1-(L212/K212)</f>
        <v>0.42711864406779665</v>
      </c>
      <c r="O212" s="780">
        <v>0.15</v>
      </c>
      <c r="P212" s="777" t="s">
        <v>4449</v>
      </c>
      <c r="Q212" s="781" t="s">
        <v>5083</v>
      </c>
      <c r="R212" s="782" t="s">
        <v>5154</v>
      </c>
      <c r="S212" s="782"/>
      <c r="T212" s="782"/>
    </row>
    <row r="213" spans="1:20">
      <c r="B213" s="1425"/>
      <c r="C213" s="774"/>
      <c r="D213" s="775" t="s">
        <v>4509</v>
      </c>
      <c r="E213" s="776" t="s">
        <v>910</v>
      </c>
      <c r="F213" s="776" t="s">
        <v>4454</v>
      </c>
      <c r="G213" s="777" t="s">
        <v>3445</v>
      </c>
      <c r="H213" s="778">
        <v>202404298038</v>
      </c>
      <c r="I213" s="777">
        <v>30180091</v>
      </c>
      <c r="J213" s="776" t="s">
        <v>5155</v>
      </c>
      <c r="K213" s="779">
        <v>185000</v>
      </c>
      <c r="L213" s="779">
        <v>157250</v>
      </c>
      <c r="M213" s="779"/>
      <c r="N213" s="780">
        <v>0.15</v>
      </c>
      <c r="O213" s="780">
        <v>0.3</v>
      </c>
      <c r="P213" s="777" t="s">
        <v>4449</v>
      </c>
      <c r="Q213" s="781" t="s">
        <v>5156</v>
      </c>
      <c r="R213" s="782"/>
      <c r="S213" s="782" t="s">
        <v>5157</v>
      </c>
      <c r="T213" s="782"/>
    </row>
    <row r="214" spans="1:20">
      <c r="B214" s="1425"/>
      <c r="C214" s="795" t="s">
        <v>3247</v>
      </c>
      <c r="D214" s="775" t="s">
        <v>4460</v>
      </c>
      <c r="E214" s="776" t="s">
        <v>221</v>
      </c>
      <c r="F214" s="776" t="s">
        <v>4454</v>
      </c>
      <c r="G214" s="777" t="s">
        <v>4735</v>
      </c>
      <c r="H214" s="783">
        <v>202412051341</v>
      </c>
      <c r="I214" s="777">
        <v>43463575</v>
      </c>
      <c r="J214" s="776" t="s">
        <v>5158</v>
      </c>
      <c r="K214" s="779">
        <v>26000</v>
      </c>
      <c r="L214" s="779">
        <v>8900</v>
      </c>
      <c r="M214" s="779"/>
      <c r="N214" s="780">
        <v>0.65769230769230769</v>
      </c>
      <c r="O214" s="780">
        <v>0.12</v>
      </c>
      <c r="P214" s="777" t="s">
        <v>4449</v>
      </c>
      <c r="Q214" s="781" t="s">
        <v>5159</v>
      </c>
      <c r="R214" s="782"/>
      <c r="S214" s="782"/>
      <c r="T214" s="782"/>
    </row>
    <row r="215" spans="1:20">
      <c r="B215" s="1425"/>
      <c r="C215" s="795" t="s">
        <v>3247</v>
      </c>
      <c r="D215" s="775"/>
      <c r="E215" s="776" t="s">
        <v>1109</v>
      </c>
      <c r="F215" s="776" t="s">
        <v>4519</v>
      </c>
      <c r="G215" s="777" t="s">
        <v>4520</v>
      </c>
      <c r="H215" s="783">
        <v>202409050190</v>
      </c>
      <c r="I215" s="777">
        <v>30068625</v>
      </c>
      <c r="J215" s="776" t="s">
        <v>5160</v>
      </c>
      <c r="K215" s="779">
        <v>51000</v>
      </c>
      <c r="L215" s="779">
        <v>36180</v>
      </c>
      <c r="M215" s="779"/>
      <c r="N215" s="812">
        <f>1-(L215/K215)</f>
        <v>0.29058823529411759</v>
      </c>
      <c r="O215" s="780">
        <v>0.15</v>
      </c>
      <c r="P215" s="777" t="s">
        <v>4449</v>
      </c>
      <c r="Q215" s="781"/>
      <c r="R215" s="782" t="s">
        <v>5161</v>
      </c>
      <c r="S215" s="782"/>
      <c r="T215" s="782"/>
    </row>
    <row r="216" spans="1:20">
      <c r="B216" s="1425"/>
      <c r="C216" s="827"/>
      <c r="D216" s="828" t="s">
        <v>4474</v>
      </c>
      <c r="E216" s="829" t="s">
        <v>221</v>
      </c>
      <c r="F216" s="829" t="s">
        <v>4671</v>
      </c>
      <c r="G216" s="777" t="s">
        <v>5162</v>
      </c>
      <c r="H216" s="783">
        <v>202412111439</v>
      </c>
      <c r="I216" s="777">
        <v>67565768</v>
      </c>
      <c r="J216" s="776" t="s">
        <v>5163</v>
      </c>
      <c r="K216" s="779">
        <v>12900</v>
      </c>
      <c r="L216" s="779">
        <v>8390</v>
      </c>
      <c r="M216" s="779"/>
      <c r="N216" s="780">
        <v>0.65769230769230769</v>
      </c>
      <c r="O216" s="780">
        <v>0.1</v>
      </c>
      <c r="P216" s="777"/>
      <c r="Q216" s="781" t="s">
        <v>5164</v>
      </c>
      <c r="R216" s="782"/>
      <c r="S216" s="782" t="s">
        <v>5165</v>
      </c>
      <c r="T216" s="782"/>
    </row>
    <row r="217" spans="1:20">
      <c r="B217" s="1426" t="s">
        <v>5166</v>
      </c>
      <c r="C217" s="762" t="s">
        <v>3247</v>
      </c>
      <c r="D217" s="763" t="s">
        <v>4453</v>
      </c>
      <c r="E217" s="939" t="s">
        <v>137</v>
      </c>
      <c r="F217" s="939" t="s">
        <v>4603</v>
      </c>
      <c r="G217" s="819" t="s">
        <v>3705</v>
      </c>
      <c r="H217" s="820">
        <v>202402286806</v>
      </c>
      <c r="I217" s="819">
        <v>30182428</v>
      </c>
      <c r="J217" s="818" t="s">
        <v>5167</v>
      </c>
      <c r="K217" s="821">
        <v>859000</v>
      </c>
      <c r="L217" s="821">
        <v>329000</v>
      </c>
      <c r="M217" s="821"/>
      <c r="N217" s="822">
        <v>0.62</v>
      </c>
      <c r="O217" s="822">
        <v>0.16</v>
      </c>
      <c r="P217" s="819" t="s">
        <v>4449</v>
      </c>
      <c r="Q217" s="823" t="s">
        <v>3412</v>
      </c>
      <c r="R217" s="824" t="s">
        <v>5168</v>
      </c>
      <c r="S217" s="824"/>
      <c r="T217" s="824">
        <v>100</v>
      </c>
    </row>
    <row r="218" spans="1:20" ht="16.5">
      <c r="A218" s="825"/>
      <c r="B218" s="1426"/>
      <c r="C218" s="795" t="s">
        <v>3247</v>
      </c>
      <c r="D218" s="775" t="s">
        <v>4444</v>
      </c>
      <c r="E218" s="809" t="s">
        <v>264</v>
      </c>
      <c r="F218" s="809" t="s">
        <v>4480</v>
      </c>
      <c r="G218" s="810" t="s">
        <v>4676</v>
      </c>
      <c r="H218" s="805">
        <v>202405148329</v>
      </c>
      <c r="I218" s="810">
        <v>71195207</v>
      </c>
      <c r="J218" s="809" t="s">
        <v>5169</v>
      </c>
      <c r="K218" s="804">
        <v>89000</v>
      </c>
      <c r="L218" s="804">
        <v>14300</v>
      </c>
      <c r="M218" s="804" t="s">
        <v>3247</v>
      </c>
      <c r="N218" s="812">
        <f>1-(L218/K218)</f>
        <v>0.83932584269662924</v>
      </c>
      <c r="O218" s="812">
        <v>0.16</v>
      </c>
      <c r="P218" s="810" t="s">
        <v>4449</v>
      </c>
      <c r="Q218" s="813" t="s">
        <v>5083</v>
      </c>
      <c r="R218" s="844" t="s">
        <v>5170</v>
      </c>
      <c r="S218" s="844" t="s">
        <v>5171</v>
      </c>
      <c r="T218" s="844"/>
    </row>
    <row r="219" spans="1:20">
      <c r="B219" s="1426"/>
      <c r="C219" s="795" t="s">
        <v>3247</v>
      </c>
      <c r="D219" s="775" t="s">
        <v>4460</v>
      </c>
      <c r="E219" s="776" t="s">
        <v>185</v>
      </c>
      <c r="F219" s="776" t="s">
        <v>4829</v>
      </c>
      <c r="G219" s="777" t="s">
        <v>3885</v>
      </c>
      <c r="H219" s="783">
        <v>202501081892</v>
      </c>
      <c r="I219" s="777">
        <v>46513858</v>
      </c>
      <c r="J219" s="776" t="s">
        <v>5172</v>
      </c>
      <c r="K219" s="779">
        <v>60000</v>
      </c>
      <c r="L219" s="779">
        <v>49500</v>
      </c>
      <c r="M219" s="779"/>
      <c r="N219" s="780">
        <f>1-(L219/K219)</f>
        <v>0.17500000000000004</v>
      </c>
      <c r="O219" s="780">
        <v>0.12</v>
      </c>
      <c r="P219" s="777" t="s">
        <v>4449</v>
      </c>
      <c r="Q219" s="781" t="s">
        <v>5173</v>
      </c>
      <c r="R219" s="782"/>
      <c r="S219" s="782"/>
      <c r="T219" s="782"/>
    </row>
    <row r="220" spans="1:20">
      <c r="B220" s="1426"/>
      <c r="C220" s="795" t="s">
        <v>3247</v>
      </c>
      <c r="D220" s="775" t="s">
        <v>4469</v>
      </c>
      <c r="E220" s="776" t="s">
        <v>221</v>
      </c>
      <c r="F220" s="776" t="s">
        <v>4454</v>
      </c>
      <c r="G220" s="777" t="s">
        <v>4700</v>
      </c>
      <c r="H220" s="940">
        <v>202412051335</v>
      </c>
      <c r="I220" s="777">
        <v>10955106</v>
      </c>
      <c r="J220" s="776" t="s">
        <v>5174</v>
      </c>
      <c r="K220" s="779">
        <v>12500</v>
      </c>
      <c r="L220" s="779">
        <v>11880</v>
      </c>
      <c r="M220" s="779"/>
      <c r="N220" s="780">
        <v>4.9599999999999977E-2</v>
      </c>
      <c r="O220" s="780">
        <v>0.15</v>
      </c>
      <c r="P220" s="777" t="s">
        <v>4449</v>
      </c>
      <c r="Q220" s="781" t="s">
        <v>5175</v>
      </c>
      <c r="R220" s="782"/>
      <c r="S220" s="782"/>
      <c r="T220" s="782"/>
    </row>
    <row r="221" spans="1:20">
      <c r="B221" s="1426"/>
      <c r="C221" s="795" t="s">
        <v>3247</v>
      </c>
      <c r="D221" s="775" t="s">
        <v>4474</v>
      </c>
      <c r="E221" s="776" t="s">
        <v>221</v>
      </c>
      <c r="F221" s="776" t="s">
        <v>4671</v>
      </c>
      <c r="G221" s="777" t="s">
        <v>5162</v>
      </c>
      <c r="H221" s="783">
        <v>202412271789</v>
      </c>
      <c r="I221" s="777">
        <v>68075384</v>
      </c>
      <c r="J221" s="776" t="s">
        <v>5176</v>
      </c>
      <c r="K221" s="779">
        <v>55000</v>
      </c>
      <c r="L221" s="779">
        <v>38500</v>
      </c>
      <c r="M221" s="779"/>
      <c r="N221" s="780">
        <f>1-(L221/K221)</f>
        <v>0.30000000000000004</v>
      </c>
      <c r="O221" s="780">
        <v>0.1</v>
      </c>
      <c r="P221" s="777" t="s">
        <v>4449</v>
      </c>
      <c r="Q221" s="781" t="s">
        <v>5177</v>
      </c>
      <c r="R221" s="782"/>
      <c r="S221" s="782" t="s">
        <v>5177</v>
      </c>
      <c r="T221" s="782"/>
    </row>
    <row r="222" spans="1:20">
      <c r="B222" s="1428" t="s">
        <v>5178</v>
      </c>
      <c r="C222" s="1428"/>
      <c r="D222" s="1428"/>
      <c r="E222" s="1428"/>
      <c r="F222" s="1428"/>
      <c r="G222" s="1428"/>
      <c r="H222" s="1428"/>
      <c r="I222" s="1428"/>
      <c r="J222" s="1428"/>
      <c r="K222" s="864"/>
      <c r="L222" s="865"/>
      <c r="M222" s="865"/>
      <c r="N222" s="866"/>
      <c r="O222" s="867"/>
      <c r="P222" s="868"/>
      <c r="Q222" s="869"/>
      <c r="R222" s="870"/>
      <c r="S222" s="870"/>
      <c r="T222" s="870"/>
    </row>
    <row r="223" spans="1:20">
      <c r="B223" s="1420" t="s">
        <v>5179</v>
      </c>
      <c r="C223" s="785" t="s">
        <v>3247</v>
      </c>
      <c r="D223" s="786" t="s">
        <v>4460</v>
      </c>
      <c r="E223" s="787" t="s">
        <v>137</v>
      </c>
      <c r="F223" s="787" t="s">
        <v>4445</v>
      </c>
      <c r="G223" s="788" t="s">
        <v>3553</v>
      </c>
      <c r="H223" s="808">
        <v>202501061859</v>
      </c>
      <c r="I223" s="788">
        <v>76367213</v>
      </c>
      <c r="J223" s="787" t="s">
        <v>5180</v>
      </c>
      <c r="K223" s="790">
        <v>199000</v>
      </c>
      <c r="L223" s="790">
        <v>152150</v>
      </c>
      <c r="M223" s="790"/>
      <c r="N223" s="791">
        <v>0.15</v>
      </c>
      <c r="O223" s="791">
        <v>0.25</v>
      </c>
      <c r="P223" s="788" t="s">
        <v>4449</v>
      </c>
      <c r="Q223" s="792" t="s">
        <v>5181</v>
      </c>
      <c r="R223" s="793" t="s">
        <v>5182</v>
      </c>
      <c r="S223" s="793"/>
      <c r="T223" s="793"/>
    </row>
    <row r="224" spans="1:20" ht="16.5" customHeight="1">
      <c r="B224" s="1420"/>
      <c r="C224" s="774" t="s">
        <v>3247</v>
      </c>
      <c r="D224" s="775" t="s">
        <v>4509</v>
      </c>
      <c r="E224" s="776" t="s">
        <v>417</v>
      </c>
      <c r="F224" s="776" t="s">
        <v>4461</v>
      </c>
      <c r="G224" s="777" t="s">
        <v>5183</v>
      </c>
      <c r="H224" s="783">
        <v>202501212158</v>
      </c>
      <c r="I224" s="777">
        <v>30128131</v>
      </c>
      <c r="J224" s="776" t="s">
        <v>5184</v>
      </c>
      <c r="K224" s="779">
        <v>61900</v>
      </c>
      <c r="L224" s="779">
        <v>49900</v>
      </c>
      <c r="M224" s="779"/>
      <c r="N224" s="780">
        <f>1-L224/K224</f>
        <v>0.1938610662358643</v>
      </c>
      <c r="O224" s="780">
        <v>0.1</v>
      </c>
      <c r="P224" s="819" t="s">
        <v>4449</v>
      </c>
      <c r="Q224" s="781" t="s">
        <v>5185</v>
      </c>
      <c r="R224" s="782"/>
      <c r="S224" s="782"/>
      <c r="T224" s="782"/>
    </row>
    <row r="225" spans="2:20" ht="16.5" customHeight="1">
      <c r="B225" s="1420"/>
      <c r="C225" s="774"/>
      <c r="D225" s="775" t="s">
        <v>4474</v>
      </c>
      <c r="E225" s="809" t="s">
        <v>221</v>
      </c>
      <c r="F225" s="809" t="s">
        <v>4671</v>
      </c>
      <c r="G225" s="810" t="s">
        <v>5186</v>
      </c>
      <c r="H225" s="811">
        <v>202411271223</v>
      </c>
      <c r="I225" s="810" t="s">
        <v>5187</v>
      </c>
      <c r="J225" s="809" t="s">
        <v>5188</v>
      </c>
      <c r="K225" s="804">
        <v>42300</v>
      </c>
      <c r="L225" s="804">
        <v>27900</v>
      </c>
      <c r="M225" s="804"/>
      <c r="N225" s="812">
        <v>0.50824175824175821</v>
      </c>
      <c r="O225" s="812">
        <v>0.17</v>
      </c>
      <c r="P225" s="810" t="s">
        <v>4449</v>
      </c>
      <c r="Q225" s="813" t="s">
        <v>5189</v>
      </c>
      <c r="R225" s="844"/>
      <c r="S225" s="844" t="s">
        <v>5190</v>
      </c>
      <c r="T225" s="844"/>
    </row>
    <row r="226" spans="2:20" ht="16.5" customHeight="1">
      <c r="B226" s="1420"/>
      <c r="C226" s="774" t="s">
        <v>3247</v>
      </c>
      <c r="D226" s="775"/>
      <c r="E226" s="776" t="s">
        <v>477</v>
      </c>
      <c r="F226" s="776" t="s">
        <v>5041</v>
      </c>
      <c r="G226" s="777" t="s">
        <v>5191</v>
      </c>
      <c r="H226" s="783">
        <v>202501212160</v>
      </c>
      <c r="I226" s="777">
        <v>71221242</v>
      </c>
      <c r="J226" s="776" t="s">
        <v>5192</v>
      </c>
      <c r="K226" s="779">
        <v>16900</v>
      </c>
      <c r="L226" s="779">
        <v>15200</v>
      </c>
      <c r="M226" s="779"/>
      <c r="N226" s="780">
        <f>1-L226/K226</f>
        <v>0.10059171597633132</v>
      </c>
      <c r="O226" s="780">
        <v>0.15</v>
      </c>
      <c r="P226" s="777" t="s">
        <v>4449</v>
      </c>
      <c r="Q226" s="781"/>
      <c r="R226" s="782"/>
      <c r="S226" s="782"/>
      <c r="T226" s="782"/>
    </row>
    <row r="227" spans="2:20" ht="16.5" customHeight="1">
      <c r="B227" s="1420"/>
      <c r="C227" s="774" t="s">
        <v>3247</v>
      </c>
      <c r="D227" s="775" t="s">
        <v>4469</v>
      </c>
      <c r="E227" s="776" t="s">
        <v>910</v>
      </c>
      <c r="F227" s="776" t="s">
        <v>4454</v>
      </c>
      <c r="G227" s="777" t="s">
        <v>3445</v>
      </c>
      <c r="H227" s="811">
        <v>202308032684</v>
      </c>
      <c r="I227" s="777">
        <v>30216129</v>
      </c>
      <c r="J227" s="776" t="s">
        <v>5193</v>
      </c>
      <c r="K227" s="779">
        <v>85000</v>
      </c>
      <c r="L227" s="779">
        <f>K227*0.85</f>
        <v>72250</v>
      </c>
      <c r="M227" s="779"/>
      <c r="N227" s="780">
        <v>0.15</v>
      </c>
      <c r="O227" s="780">
        <v>0.3</v>
      </c>
      <c r="P227" s="777" t="s">
        <v>4449</v>
      </c>
      <c r="Q227" s="781" t="s">
        <v>5194</v>
      </c>
      <c r="R227" s="782" t="s">
        <v>5195</v>
      </c>
      <c r="S227" s="782" t="s">
        <v>5196</v>
      </c>
      <c r="T227" s="782"/>
    </row>
    <row r="228" spans="2:20" ht="16.5" customHeight="1">
      <c r="B228" s="1420"/>
      <c r="C228" s="774" t="s">
        <v>3247</v>
      </c>
      <c r="D228" s="775" t="s">
        <v>4444</v>
      </c>
      <c r="E228" s="776" t="s">
        <v>264</v>
      </c>
      <c r="F228" s="776" t="s">
        <v>4480</v>
      </c>
      <c r="G228" s="777" t="s">
        <v>3270</v>
      </c>
      <c r="H228" s="805">
        <v>202307212431</v>
      </c>
      <c r="I228" s="777">
        <v>10155634</v>
      </c>
      <c r="J228" s="776" t="s">
        <v>5197</v>
      </c>
      <c r="K228" s="779">
        <v>10000</v>
      </c>
      <c r="L228" s="779">
        <v>2000</v>
      </c>
      <c r="M228" s="779"/>
      <c r="N228" s="780">
        <f>1-L228/K228</f>
        <v>0.8</v>
      </c>
      <c r="O228" s="780">
        <v>0.15</v>
      </c>
      <c r="P228" s="777" t="s">
        <v>4449</v>
      </c>
      <c r="Q228" s="781" t="s">
        <v>5198</v>
      </c>
      <c r="R228" s="782" t="s">
        <v>5199</v>
      </c>
      <c r="S228" s="782" t="s">
        <v>5200</v>
      </c>
      <c r="T228" s="782"/>
    </row>
    <row r="229" spans="2:20" ht="16.5" customHeight="1">
      <c r="B229" s="1420"/>
      <c r="C229" s="774"/>
      <c r="D229" s="775" t="s">
        <v>4491</v>
      </c>
      <c r="E229" s="776" t="s">
        <v>185</v>
      </c>
      <c r="F229" s="776" t="s">
        <v>4829</v>
      </c>
      <c r="G229" s="777" t="s">
        <v>3665</v>
      </c>
      <c r="H229" s="783">
        <v>202501081893</v>
      </c>
      <c r="I229" s="777">
        <v>71138760</v>
      </c>
      <c r="J229" s="776" t="s">
        <v>5201</v>
      </c>
      <c r="K229" s="779">
        <v>48900</v>
      </c>
      <c r="L229" s="779">
        <v>24900</v>
      </c>
      <c r="M229" s="779"/>
      <c r="N229" s="780">
        <f>1-(L229/K229)</f>
        <v>0.49079754601226999</v>
      </c>
      <c r="O229" s="780">
        <v>0.15</v>
      </c>
      <c r="P229" s="777" t="s">
        <v>4449</v>
      </c>
      <c r="Q229" s="781" t="s">
        <v>5083</v>
      </c>
      <c r="R229" s="782"/>
      <c r="S229" s="782"/>
      <c r="T229" s="782"/>
    </row>
    <row r="230" spans="2:20">
      <c r="B230" s="1420" t="s">
        <v>5202</v>
      </c>
      <c r="C230" s="785" t="s">
        <v>3247</v>
      </c>
      <c r="D230" s="786" t="s">
        <v>4453</v>
      </c>
      <c r="E230" s="787" t="s">
        <v>137</v>
      </c>
      <c r="F230" s="787" t="s">
        <v>4624</v>
      </c>
      <c r="G230" s="788" t="s">
        <v>3549</v>
      </c>
      <c r="H230" s="808">
        <v>202407189457</v>
      </c>
      <c r="I230" s="819">
        <v>76322678</v>
      </c>
      <c r="J230" s="787" t="s">
        <v>4898</v>
      </c>
      <c r="K230" s="941">
        <v>388000</v>
      </c>
      <c r="L230" s="942">
        <v>99000</v>
      </c>
      <c r="M230" s="943"/>
      <c r="N230" s="791">
        <v>0.74</v>
      </c>
      <c r="O230" s="791">
        <v>0.14000000000000001</v>
      </c>
      <c r="P230" s="788" t="s">
        <v>4449</v>
      </c>
      <c r="Q230" s="792" t="s">
        <v>3556</v>
      </c>
      <c r="R230" s="793"/>
      <c r="S230" s="793"/>
      <c r="T230" s="793">
        <v>50</v>
      </c>
    </row>
    <row r="231" spans="2:20">
      <c r="B231" s="1420"/>
      <c r="C231" s="774"/>
      <c r="D231" s="775" t="s">
        <v>4474</v>
      </c>
      <c r="E231" s="776" t="s">
        <v>417</v>
      </c>
      <c r="F231" s="776" t="s">
        <v>4461</v>
      </c>
      <c r="G231" s="777" t="s">
        <v>3833</v>
      </c>
      <c r="H231" s="783">
        <v>202501212159</v>
      </c>
      <c r="I231" s="944">
        <v>42611740</v>
      </c>
      <c r="J231" s="945" t="s">
        <v>5203</v>
      </c>
      <c r="K231" s="941">
        <v>34300</v>
      </c>
      <c r="L231" s="946">
        <v>27700</v>
      </c>
      <c r="M231" s="943">
        <v>25890</v>
      </c>
      <c r="N231" s="947">
        <v>0.18</v>
      </c>
      <c r="O231" s="948">
        <v>0.15</v>
      </c>
      <c r="P231" s="945" t="s">
        <v>4579</v>
      </c>
      <c r="Q231" s="945"/>
      <c r="R231" s="945"/>
      <c r="S231" s="782"/>
      <c r="T231" s="782"/>
    </row>
    <row r="232" spans="2:20">
      <c r="B232" s="1420"/>
      <c r="C232" s="774"/>
      <c r="D232" s="775" t="s">
        <v>4469</v>
      </c>
      <c r="E232" s="776" t="s">
        <v>221</v>
      </c>
      <c r="F232" s="776" t="s">
        <v>4671</v>
      </c>
      <c r="G232" s="777" t="s">
        <v>4940</v>
      </c>
      <c r="H232" s="808">
        <v>202411080913</v>
      </c>
      <c r="I232" s="777" t="s">
        <v>5204</v>
      </c>
      <c r="J232" s="776" t="s">
        <v>5205</v>
      </c>
      <c r="K232" s="779">
        <v>47900</v>
      </c>
      <c r="L232" s="779">
        <v>19900</v>
      </c>
      <c r="M232" s="779"/>
      <c r="N232" s="780">
        <v>0.58455114822546972</v>
      </c>
      <c r="O232" s="780">
        <v>0.1</v>
      </c>
      <c r="P232" s="777" t="s">
        <v>4449</v>
      </c>
      <c r="Q232" s="781" t="s">
        <v>5206</v>
      </c>
      <c r="R232" s="782"/>
      <c r="S232" s="782" t="s">
        <v>5207</v>
      </c>
      <c r="T232" s="782"/>
    </row>
    <row r="233" spans="2:20">
      <c r="B233" s="1420"/>
      <c r="C233" s="774" t="s">
        <v>3247</v>
      </c>
      <c r="D233" s="775" t="s">
        <v>4444</v>
      </c>
      <c r="E233" s="776" t="s">
        <v>910</v>
      </c>
      <c r="F233" s="776" t="s">
        <v>4454</v>
      </c>
      <c r="G233" s="777" t="s">
        <v>4583</v>
      </c>
      <c r="H233" s="811" t="s">
        <v>4584</v>
      </c>
      <c r="I233" s="777">
        <v>30173665</v>
      </c>
      <c r="J233" s="776" t="s">
        <v>4585</v>
      </c>
      <c r="K233" s="779">
        <v>22700</v>
      </c>
      <c r="L233" s="779">
        <v>13900</v>
      </c>
      <c r="M233" s="779"/>
      <c r="N233" s="780">
        <f>1-(L233/K233)</f>
        <v>0.38766519823788548</v>
      </c>
      <c r="O233" s="780"/>
      <c r="P233" s="777" t="s">
        <v>4449</v>
      </c>
      <c r="Q233" s="781" t="s">
        <v>4586</v>
      </c>
      <c r="R233" s="782" t="s">
        <v>5208</v>
      </c>
      <c r="S233" s="782" t="s">
        <v>4588</v>
      </c>
      <c r="T233" s="782"/>
    </row>
    <row r="234" spans="2:20" ht="16.5" customHeight="1">
      <c r="B234" s="1420"/>
      <c r="C234" s="774" t="s">
        <v>3247</v>
      </c>
      <c r="D234" s="775" t="s">
        <v>4460</v>
      </c>
      <c r="E234" s="776" t="s">
        <v>264</v>
      </c>
      <c r="F234" s="776" t="s">
        <v>4480</v>
      </c>
      <c r="G234" s="777" t="s">
        <v>5209</v>
      </c>
      <c r="H234" s="671">
        <v>202408099775</v>
      </c>
      <c r="I234" s="777">
        <v>70158429</v>
      </c>
      <c r="J234" s="776" t="s">
        <v>328</v>
      </c>
      <c r="K234" s="779">
        <v>79800</v>
      </c>
      <c r="L234" s="779">
        <v>15900</v>
      </c>
      <c r="M234" s="779"/>
      <c r="N234" s="780">
        <f>1-L234/K234</f>
        <v>0.8007518796992481</v>
      </c>
      <c r="O234" s="780">
        <v>0.15</v>
      </c>
      <c r="P234" s="777" t="s">
        <v>5210</v>
      </c>
      <c r="Q234" s="781" t="s">
        <v>5083</v>
      </c>
      <c r="R234" s="782" t="s">
        <v>5211</v>
      </c>
      <c r="S234" s="782" t="s">
        <v>5212</v>
      </c>
      <c r="T234" s="782"/>
    </row>
    <row r="235" spans="2:20">
      <c r="B235" s="1420"/>
      <c r="C235" s="774"/>
      <c r="D235" s="775"/>
      <c r="E235" s="776" t="s">
        <v>185</v>
      </c>
      <c r="F235" s="776" t="s">
        <v>4829</v>
      </c>
      <c r="G235" s="777" t="s">
        <v>3804</v>
      </c>
      <c r="H235" s="783">
        <v>202501202072</v>
      </c>
      <c r="I235" s="777">
        <v>30217134</v>
      </c>
      <c r="J235" s="776" t="s">
        <v>5213</v>
      </c>
      <c r="K235" s="779">
        <v>159000</v>
      </c>
      <c r="L235" s="779">
        <v>129000</v>
      </c>
      <c r="M235" s="779"/>
      <c r="N235" s="780">
        <f>1-(L235/K235)</f>
        <v>0.18867924528301883</v>
      </c>
      <c r="O235" s="780">
        <v>0.28999999999999998</v>
      </c>
      <c r="P235" s="777" t="s">
        <v>4449</v>
      </c>
      <c r="Q235" s="781" t="s">
        <v>5214</v>
      </c>
      <c r="R235" s="782"/>
      <c r="S235" s="782"/>
      <c r="T235" s="782"/>
    </row>
    <row r="236" spans="2:20">
      <c r="B236" s="1420" t="s">
        <v>5215</v>
      </c>
      <c r="C236" s="785"/>
      <c r="D236" s="786"/>
      <c r="E236" s="787" t="s">
        <v>137</v>
      </c>
      <c r="F236" s="787" t="s">
        <v>4757</v>
      </c>
      <c r="G236" s="788" t="s">
        <v>4151</v>
      </c>
      <c r="H236" s="808">
        <v>202301047516</v>
      </c>
      <c r="I236" s="788">
        <v>30195795</v>
      </c>
      <c r="J236" s="787" t="s">
        <v>5216</v>
      </c>
      <c r="K236" s="790"/>
      <c r="L236" s="790" t="s">
        <v>5217</v>
      </c>
      <c r="M236" s="790"/>
      <c r="N236" s="791">
        <v>0.1</v>
      </c>
      <c r="O236" s="791">
        <v>0.15</v>
      </c>
      <c r="P236" s="788" t="s">
        <v>4449</v>
      </c>
      <c r="Q236" s="792" t="s">
        <v>5218</v>
      </c>
      <c r="R236" s="793"/>
      <c r="S236" s="793"/>
      <c r="T236" s="793"/>
    </row>
    <row r="237" spans="2:20" ht="27">
      <c r="B237" s="1420"/>
      <c r="C237" s="774"/>
      <c r="D237" s="775" t="s">
        <v>4460</v>
      </c>
      <c r="E237" s="776" t="s">
        <v>32</v>
      </c>
      <c r="F237" s="776" t="s">
        <v>4084</v>
      </c>
      <c r="G237" s="777" t="s">
        <v>3797</v>
      </c>
      <c r="H237" s="798">
        <v>202501141978</v>
      </c>
      <c r="I237" s="777">
        <v>48678283</v>
      </c>
      <c r="J237" s="887" t="s">
        <v>5219</v>
      </c>
      <c r="K237" s="779">
        <v>363000</v>
      </c>
      <c r="L237" s="779">
        <v>226000</v>
      </c>
      <c r="M237" s="779"/>
      <c r="N237" s="780">
        <v>0.14000000000000001</v>
      </c>
      <c r="O237" s="780">
        <v>0.15</v>
      </c>
      <c r="P237" s="777" t="s">
        <v>4449</v>
      </c>
      <c r="Q237" s="781" t="s">
        <v>5220</v>
      </c>
      <c r="R237" s="782" t="s">
        <v>5221</v>
      </c>
      <c r="S237" s="782" t="s">
        <v>5222</v>
      </c>
      <c r="T237" s="782">
        <v>50</v>
      </c>
    </row>
    <row r="238" spans="2:20">
      <c r="B238" s="1420"/>
      <c r="C238" s="774" t="s">
        <v>3247</v>
      </c>
      <c r="D238" s="775" t="s">
        <v>4453</v>
      </c>
      <c r="E238" s="776" t="s">
        <v>1109</v>
      </c>
      <c r="F238" s="776" t="s">
        <v>4519</v>
      </c>
      <c r="G238" s="777" t="s">
        <v>5223</v>
      </c>
      <c r="H238" s="783">
        <v>202501222192</v>
      </c>
      <c r="I238" s="777">
        <v>44702727</v>
      </c>
      <c r="J238" s="776" t="s">
        <v>4578</v>
      </c>
      <c r="K238" s="779">
        <v>72000</v>
      </c>
      <c r="L238" s="779">
        <v>56910</v>
      </c>
      <c r="M238" s="779"/>
      <c r="N238" s="780">
        <f>1-(L238/K238)</f>
        <v>0.20958333333333334</v>
      </c>
      <c r="O238" s="780">
        <v>0.15</v>
      </c>
      <c r="P238" s="777" t="s">
        <v>4449</v>
      </c>
      <c r="Q238" s="781"/>
      <c r="R238" s="782"/>
      <c r="S238" s="782"/>
      <c r="T238" s="782"/>
    </row>
    <row r="239" spans="2:20">
      <c r="B239" s="1420"/>
      <c r="C239" s="774" t="s">
        <v>3247</v>
      </c>
      <c r="D239" s="775" t="s">
        <v>4469</v>
      </c>
      <c r="E239" s="776" t="s">
        <v>221</v>
      </c>
      <c r="F239" s="776" t="s">
        <v>4454</v>
      </c>
      <c r="G239" s="777" t="s">
        <v>5224</v>
      </c>
      <c r="H239" s="778">
        <v>202206212437</v>
      </c>
      <c r="I239" s="777">
        <v>30185839</v>
      </c>
      <c r="J239" s="776" t="s">
        <v>5225</v>
      </c>
      <c r="K239" s="779">
        <v>50400</v>
      </c>
      <c r="L239" s="779">
        <v>37800</v>
      </c>
      <c r="M239" s="779"/>
      <c r="N239" s="780">
        <v>0.25</v>
      </c>
      <c r="O239" s="780">
        <v>0.15</v>
      </c>
      <c r="P239" s="777" t="s">
        <v>4449</v>
      </c>
      <c r="Q239" s="781" t="s">
        <v>5226</v>
      </c>
      <c r="R239" s="782"/>
      <c r="S239" s="782" t="s">
        <v>5227</v>
      </c>
      <c r="T239" s="782"/>
    </row>
    <row r="240" spans="2:20">
      <c r="B240" s="1420"/>
      <c r="C240" s="774"/>
      <c r="D240" s="775"/>
      <c r="E240" s="776" t="s">
        <v>221</v>
      </c>
      <c r="F240" s="776" t="s">
        <v>4671</v>
      </c>
      <c r="G240" s="777" t="s">
        <v>222</v>
      </c>
      <c r="H240" s="811">
        <v>202501232212</v>
      </c>
      <c r="I240" s="777">
        <v>30159109</v>
      </c>
      <c r="J240" s="776" t="s">
        <v>5228</v>
      </c>
      <c r="K240" s="779">
        <v>39900</v>
      </c>
      <c r="L240" s="779">
        <v>37910</v>
      </c>
      <c r="M240" s="779"/>
      <c r="N240" s="780">
        <v>4.9874686716791961E-2</v>
      </c>
      <c r="O240" s="780">
        <v>0.15</v>
      </c>
      <c r="P240" s="777" t="s">
        <v>4449</v>
      </c>
      <c r="Q240" s="781" t="s">
        <v>5229</v>
      </c>
      <c r="R240" s="782"/>
      <c r="S240" s="782" t="s">
        <v>5230</v>
      </c>
      <c r="T240" s="782"/>
    </row>
    <row r="241" spans="2:20">
      <c r="B241" s="1420"/>
      <c r="C241" s="774"/>
      <c r="D241" s="775" t="s">
        <v>4474</v>
      </c>
      <c r="E241" s="776" t="s">
        <v>165</v>
      </c>
      <c r="F241" s="776" t="s">
        <v>4560</v>
      </c>
      <c r="G241" s="777" t="s">
        <v>4295</v>
      </c>
      <c r="H241" s="783">
        <v>202501162015</v>
      </c>
      <c r="I241" s="777">
        <v>49331237</v>
      </c>
      <c r="J241" s="776" t="s">
        <v>5231</v>
      </c>
      <c r="K241" s="779"/>
      <c r="L241" s="779"/>
      <c r="M241" s="779"/>
      <c r="N241" s="780" t="e">
        <f>1-(L241/K241)</f>
        <v>#DIV/0!</v>
      </c>
      <c r="O241" s="780"/>
      <c r="P241" s="777"/>
      <c r="Q241" s="781"/>
      <c r="R241" s="782"/>
      <c r="S241" s="782"/>
      <c r="T241" s="782"/>
    </row>
    <row r="242" spans="2:20" ht="16.5" customHeight="1">
      <c r="B242" s="1420"/>
      <c r="C242" s="774" t="s">
        <v>3247</v>
      </c>
      <c r="D242" s="775"/>
      <c r="E242" s="776" t="s">
        <v>264</v>
      </c>
      <c r="F242" s="776" t="s">
        <v>4480</v>
      </c>
      <c r="G242" s="777" t="s">
        <v>5232</v>
      </c>
      <c r="H242" s="671">
        <v>202410140541</v>
      </c>
      <c r="I242" s="777">
        <v>70159217</v>
      </c>
      <c r="J242" s="776" t="s">
        <v>5233</v>
      </c>
      <c r="K242" s="779">
        <v>19900</v>
      </c>
      <c r="L242" s="779">
        <v>7500</v>
      </c>
      <c r="M242" s="779"/>
      <c r="N242" s="780">
        <f>1-(L242/K242)</f>
        <v>0.62311557788944727</v>
      </c>
      <c r="O242" s="780">
        <v>0.15</v>
      </c>
      <c r="P242" s="777" t="s">
        <v>5210</v>
      </c>
      <c r="Q242" s="781" t="s">
        <v>5234</v>
      </c>
      <c r="R242" s="782" t="s">
        <v>5235</v>
      </c>
      <c r="S242" s="782" t="s">
        <v>5236</v>
      </c>
      <c r="T242" s="782"/>
    </row>
    <row r="243" spans="2:20">
      <c r="B243" s="1420"/>
      <c r="C243" s="774" t="s">
        <v>3247</v>
      </c>
      <c r="D243" s="775" t="s">
        <v>4444</v>
      </c>
      <c r="E243" s="776" t="s">
        <v>185</v>
      </c>
      <c r="F243" s="776" t="s">
        <v>4829</v>
      </c>
      <c r="G243" s="777" t="s">
        <v>4400</v>
      </c>
      <c r="H243" s="783">
        <v>202501202074</v>
      </c>
      <c r="I243" s="777">
        <v>30204020</v>
      </c>
      <c r="J243" s="776" t="s">
        <v>5237</v>
      </c>
      <c r="K243" s="779">
        <v>79000</v>
      </c>
      <c r="L243" s="779">
        <v>29900</v>
      </c>
      <c r="M243" s="779"/>
      <c r="N243" s="780">
        <f>1-(L243/K243)</f>
        <v>0.62151898734177213</v>
      </c>
      <c r="O243" s="780">
        <v>0.15</v>
      </c>
      <c r="P243" s="777" t="s">
        <v>4449</v>
      </c>
      <c r="Q243" s="781" t="s">
        <v>5238</v>
      </c>
      <c r="R243" s="782"/>
      <c r="S243" s="782"/>
      <c r="T243" s="782"/>
    </row>
    <row r="244" spans="2:20">
      <c r="B244" s="1420" t="s">
        <v>5239</v>
      </c>
      <c r="C244" s="785"/>
      <c r="D244" s="786" t="s">
        <v>4453</v>
      </c>
      <c r="E244" s="787" t="s">
        <v>137</v>
      </c>
      <c r="F244" s="787" t="s">
        <v>4757</v>
      </c>
      <c r="G244" s="788" t="s">
        <v>3843</v>
      </c>
      <c r="H244" s="808">
        <v>202307122235</v>
      </c>
      <c r="I244" s="777">
        <v>40198092</v>
      </c>
      <c r="J244" s="741" t="s">
        <v>5240</v>
      </c>
      <c r="K244" s="790"/>
      <c r="L244" s="790" t="s">
        <v>5217</v>
      </c>
      <c r="M244" s="790"/>
      <c r="N244" s="791">
        <v>0.1</v>
      </c>
      <c r="O244" s="791">
        <v>0.15</v>
      </c>
      <c r="P244" s="788" t="s">
        <v>4449</v>
      </c>
      <c r="Q244" s="792" t="s">
        <v>3556</v>
      </c>
      <c r="R244" s="793"/>
      <c r="S244" s="793"/>
      <c r="T244" s="793"/>
    </row>
    <row r="245" spans="2:20">
      <c r="B245" s="1420"/>
      <c r="C245" s="774"/>
      <c r="D245" s="775"/>
      <c r="E245" s="776" t="s">
        <v>795</v>
      </c>
      <c r="F245" s="776" t="s">
        <v>4461</v>
      </c>
      <c r="G245" s="777" t="s">
        <v>5241</v>
      </c>
      <c r="H245" s="816">
        <v>202501222189</v>
      </c>
      <c r="I245" s="777">
        <v>66780644</v>
      </c>
      <c r="J245" s="776" t="s">
        <v>5242</v>
      </c>
      <c r="K245" s="779">
        <v>23900</v>
      </c>
      <c r="L245" s="779">
        <v>16900</v>
      </c>
      <c r="M245" s="779"/>
      <c r="N245" s="780"/>
      <c r="O245" s="780"/>
      <c r="P245" s="777" t="s">
        <v>4449</v>
      </c>
      <c r="Q245" s="781" t="s">
        <v>5243</v>
      </c>
      <c r="R245" s="782"/>
      <c r="S245" s="782"/>
      <c r="T245" s="782"/>
    </row>
    <row r="246" spans="2:20">
      <c r="B246" s="1420"/>
      <c r="C246" s="774" t="s">
        <v>3247</v>
      </c>
      <c r="D246" s="775"/>
      <c r="E246" s="776" t="s">
        <v>221</v>
      </c>
      <c r="F246" s="776" t="s">
        <v>4671</v>
      </c>
      <c r="G246" s="777" t="s">
        <v>231</v>
      </c>
      <c r="H246" s="811">
        <v>202412061376</v>
      </c>
      <c r="I246" s="777">
        <v>60918125</v>
      </c>
      <c r="J246" s="776" t="s">
        <v>5244</v>
      </c>
      <c r="K246" s="779">
        <v>15500</v>
      </c>
      <c r="L246" s="779">
        <v>9900</v>
      </c>
      <c r="M246" s="779"/>
      <c r="N246" s="780">
        <v>0.3612903225806452</v>
      </c>
      <c r="O246" s="780">
        <v>0.1</v>
      </c>
      <c r="P246" s="777" t="s">
        <v>4449</v>
      </c>
      <c r="Q246" s="781" t="s">
        <v>5245</v>
      </c>
      <c r="R246" s="782"/>
      <c r="S246" s="782"/>
      <c r="T246" s="782"/>
    </row>
    <row r="247" spans="2:20">
      <c r="B247" s="1420"/>
      <c r="C247" s="774" t="s">
        <v>3247</v>
      </c>
      <c r="D247" s="775" t="s">
        <v>4469</v>
      </c>
      <c r="E247" s="776" t="s">
        <v>221</v>
      </c>
      <c r="F247" s="776" t="s">
        <v>4454</v>
      </c>
      <c r="G247" s="777" t="s">
        <v>3295</v>
      </c>
      <c r="H247" s="783">
        <v>202312044999</v>
      </c>
      <c r="I247" s="777">
        <v>30203684</v>
      </c>
      <c r="J247" s="776" t="s">
        <v>5246</v>
      </c>
      <c r="K247" s="779"/>
      <c r="L247" s="779">
        <v>15000</v>
      </c>
      <c r="M247" s="779"/>
      <c r="N247" s="780" t="e">
        <v>#DIV/0!</v>
      </c>
      <c r="O247" s="780">
        <v>0.15</v>
      </c>
      <c r="P247" s="777" t="s">
        <v>4449</v>
      </c>
      <c r="Q247" s="781" t="s">
        <v>5247</v>
      </c>
      <c r="R247" s="782"/>
      <c r="S247" s="782" t="s">
        <v>5248</v>
      </c>
      <c r="T247" s="782"/>
    </row>
    <row r="248" spans="2:20">
      <c r="B248" s="1420"/>
      <c r="C248" s="774" t="s">
        <v>3247</v>
      </c>
      <c r="D248" s="775" t="s">
        <v>4474</v>
      </c>
      <c r="E248" s="776" t="s">
        <v>165</v>
      </c>
      <c r="F248" s="776" t="s">
        <v>4560</v>
      </c>
      <c r="G248" s="777" t="s">
        <v>4216</v>
      </c>
      <c r="H248" s="783">
        <v>202501212155</v>
      </c>
      <c r="I248" s="777">
        <v>46485302</v>
      </c>
      <c r="J248" s="776" t="s">
        <v>5249</v>
      </c>
      <c r="K248" s="779">
        <v>6020000</v>
      </c>
      <c r="L248" s="779">
        <v>3792600</v>
      </c>
      <c r="M248" s="779"/>
      <c r="N248" s="780">
        <f>1-(L248/K248)</f>
        <v>0.37</v>
      </c>
      <c r="O248" s="780"/>
      <c r="P248" s="777"/>
      <c r="Q248" s="781"/>
      <c r="R248" s="782"/>
      <c r="S248" s="782"/>
      <c r="T248" s="782"/>
    </row>
    <row r="249" spans="2:20" ht="16.5" customHeight="1">
      <c r="B249" s="1420"/>
      <c r="C249" s="774" t="s">
        <v>3247</v>
      </c>
      <c r="D249" s="775" t="s">
        <v>4444</v>
      </c>
      <c r="E249" s="776" t="s">
        <v>264</v>
      </c>
      <c r="F249" s="776" t="s">
        <v>4480</v>
      </c>
      <c r="G249" s="777" t="s">
        <v>4597</v>
      </c>
      <c r="H249" s="805">
        <v>202408079749</v>
      </c>
      <c r="I249" s="777">
        <v>68354750</v>
      </c>
      <c r="J249" s="776" t="s">
        <v>5250</v>
      </c>
      <c r="K249" s="779">
        <v>159000</v>
      </c>
      <c r="L249" s="779">
        <v>119900</v>
      </c>
      <c r="M249" s="779"/>
      <c r="N249" s="780">
        <f>1-(L249/K249)</f>
        <v>0.24591194968553454</v>
      </c>
      <c r="O249" s="780">
        <v>0.15</v>
      </c>
      <c r="P249" s="777" t="s">
        <v>4449</v>
      </c>
      <c r="Q249" s="781" t="s">
        <v>5251</v>
      </c>
      <c r="R249" s="782" t="s">
        <v>5252</v>
      </c>
      <c r="S249" s="782" t="s">
        <v>5253</v>
      </c>
      <c r="T249" s="782"/>
    </row>
    <row r="250" spans="2:20">
      <c r="B250" s="1420"/>
      <c r="C250" s="774"/>
      <c r="D250" s="775" t="s">
        <v>4460</v>
      </c>
      <c r="E250" s="776" t="s">
        <v>185</v>
      </c>
      <c r="F250" s="776" t="s">
        <v>4829</v>
      </c>
      <c r="G250" s="777" t="s">
        <v>3659</v>
      </c>
      <c r="H250" s="783">
        <v>202501202075</v>
      </c>
      <c r="I250" s="777">
        <v>30174035</v>
      </c>
      <c r="J250" s="776" t="s">
        <v>5254</v>
      </c>
      <c r="K250" s="779">
        <v>77900</v>
      </c>
      <c r="L250" s="779">
        <v>55900</v>
      </c>
      <c r="M250" s="779"/>
      <c r="N250" s="780">
        <f>1-(L250/K250)</f>
        <v>0.28241335044929394</v>
      </c>
      <c r="O250" s="780">
        <v>0.15</v>
      </c>
      <c r="P250" s="777" t="s">
        <v>4449</v>
      </c>
      <c r="Q250" s="781" t="s">
        <v>5238</v>
      </c>
      <c r="R250" s="782"/>
      <c r="S250" s="782"/>
      <c r="T250" s="782"/>
    </row>
    <row r="251" spans="2:20">
      <c r="B251" s="1420"/>
      <c r="C251" s="774" t="s">
        <v>3247</v>
      </c>
      <c r="D251" s="775"/>
      <c r="E251" s="776" t="s">
        <v>1109</v>
      </c>
      <c r="F251" s="776" t="s">
        <v>4519</v>
      </c>
      <c r="G251" s="777" t="s">
        <v>3783</v>
      </c>
      <c r="H251" s="783">
        <v>202501222193</v>
      </c>
      <c r="I251" s="777">
        <v>30166888</v>
      </c>
      <c r="J251" s="809" t="s">
        <v>5255</v>
      </c>
      <c r="K251" s="779">
        <v>25800</v>
      </c>
      <c r="L251" s="779">
        <v>21980</v>
      </c>
      <c r="M251" s="779"/>
      <c r="N251" s="780">
        <f>1-(L251/K251)</f>
        <v>0.14806201550387599</v>
      </c>
      <c r="O251" s="780"/>
      <c r="P251" s="777"/>
      <c r="Q251" s="781"/>
      <c r="R251" s="782"/>
      <c r="S251" s="782"/>
      <c r="T251" s="782"/>
    </row>
    <row r="252" spans="2:20">
      <c r="B252" s="1420" t="s">
        <v>5256</v>
      </c>
      <c r="C252" s="785"/>
      <c r="D252" s="786"/>
      <c r="E252" s="787" t="s">
        <v>221</v>
      </c>
      <c r="F252" s="787" t="s">
        <v>4671</v>
      </c>
      <c r="G252" s="788" t="s">
        <v>3512</v>
      </c>
      <c r="H252" s="820">
        <v>202412101401</v>
      </c>
      <c r="I252" s="788">
        <v>58875740</v>
      </c>
      <c r="J252" s="787" t="s">
        <v>5257</v>
      </c>
      <c r="K252" s="790">
        <v>33800</v>
      </c>
      <c r="L252" s="790">
        <v>23660</v>
      </c>
      <c r="M252" s="790"/>
      <c r="N252" s="791">
        <v>0.30000000000000004</v>
      </c>
      <c r="O252" s="791">
        <v>0.1</v>
      </c>
      <c r="P252" s="788" t="s">
        <v>4449</v>
      </c>
      <c r="Q252" s="792" t="s">
        <v>5258</v>
      </c>
      <c r="R252" s="793"/>
      <c r="S252" s="793" t="s">
        <v>5259</v>
      </c>
      <c r="T252" s="793"/>
    </row>
    <row r="253" spans="2:20">
      <c r="B253" s="1420"/>
      <c r="C253" s="774" t="s">
        <v>3247</v>
      </c>
      <c r="D253" s="775" t="s">
        <v>4444</v>
      </c>
      <c r="E253" s="776" t="s">
        <v>910</v>
      </c>
      <c r="F253" s="776" t="s">
        <v>4454</v>
      </c>
      <c r="G253" s="777" t="s">
        <v>3596</v>
      </c>
      <c r="H253" s="811">
        <v>202308032683</v>
      </c>
      <c r="I253" s="777">
        <v>30186292</v>
      </c>
      <c r="J253" s="776" t="s">
        <v>4787</v>
      </c>
      <c r="K253" s="779">
        <v>75000</v>
      </c>
      <c r="L253" s="779">
        <v>56250</v>
      </c>
      <c r="M253" s="779"/>
      <c r="N253" s="780">
        <v>0.25</v>
      </c>
      <c r="O253" s="780">
        <v>0.4</v>
      </c>
      <c r="P253" s="777" t="s">
        <v>4449</v>
      </c>
      <c r="Q253" s="781" t="s">
        <v>5214</v>
      </c>
      <c r="R253" s="782"/>
      <c r="S253" s="782"/>
      <c r="T253" s="782"/>
    </row>
    <row r="254" spans="2:20">
      <c r="B254" s="1420"/>
      <c r="C254" s="774" t="s">
        <v>3247</v>
      </c>
      <c r="D254" s="775" t="s">
        <v>4474</v>
      </c>
      <c r="E254" s="776" t="s">
        <v>477</v>
      </c>
      <c r="F254" s="776" t="s">
        <v>5041</v>
      </c>
      <c r="G254" s="777" t="s">
        <v>5260</v>
      </c>
      <c r="H254" s="783">
        <v>202501212161</v>
      </c>
      <c r="I254" s="777">
        <v>49039187</v>
      </c>
      <c r="J254" s="776" t="s">
        <v>5261</v>
      </c>
      <c r="K254" s="779">
        <v>34900</v>
      </c>
      <c r="L254" s="779">
        <v>31400</v>
      </c>
      <c r="M254" s="779"/>
      <c r="N254" s="780">
        <f>1-L254/K254</f>
        <v>0.10028653295128942</v>
      </c>
      <c r="O254" s="780">
        <v>0.15</v>
      </c>
      <c r="P254" s="777" t="s">
        <v>4449</v>
      </c>
      <c r="Q254" s="781"/>
      <c r="R254" s="782"/>
      <c r="S254" s="782"/>
      <c r="T254" s="782"/>
    </row>
    <row r="255" spans="2:20" ht="16.5" customHeight="1">
      <c r="B255" s="1420"/>
      <c r="C255" s="774" t="s">
        <v>3247</v>
      </c>
      <c r="D255" s="775" t="s">
        <v>4469</v>
      </c>
      <c r="E255" s="776" t="s">
        <v>264</v>
      </c>
      <c r="F255" s="776" t="s">
        <v>4480</v>
      </c>
      <c r="G255" s="777" t="s">
        <v>3740</v>
      </c>
      <c r="H255" s="805">
        <v>202405308619</v>
      </c>
      <c r="I255" s="777">
        <v>57370053</v>
      </c>
      <c r="J255" s="776" t="s">
        <v>5262</v>
      </c>
      <c r="K255" s="779">
        <v>48000</v>
      </c>
      <c r="L255" s="779">
        <v>21500</v>
      </c>
      <c r="M255" s="779"/>
      <c r="N255" s="780">
        <f>1-L255/K255</f>
        <v>0.55208333333333326</v>
      </c>
      <c r="O255" s="780">
        <v>0.15</v>
      </c>
      <c r="P255" s="777" t="s">
        <v>5210</v>
      </c>
      <c r="Q255" s="781" t="s">
        <v>5263</v>
      </c>
      <c r="R255" s="782" t="s">
        <v>5264</v>
      </c>
      <c r="S255" s="782" t="s">
        <v>5265</v>
      </c>
      <c r="T255" s="782"/>
    </row>
    <row r="256" spans="2:20">
      <c r="B256" s="1420"/>
      <c r="C256" s="774" t="s">
        <v>3247</v>
      </c>
      <c r="D256" s="775" t="s">
        <v>4453</v>
      </c>
      <c r="E256" s="776" t="s">
        <v>185</v>
      </c>
      <c r="F256" s="776" t="s">
        <v>4829</v>
      </c>
      <c r="G256" s="777" t="s">
        <v>3806</v>
      </c>
      <c r="H256" s="783">
        <v>202501081894</v>
      </c>
      <c r="I256" s="777">
        <v>30207550</v>
      </c>
      <c r="J256" s="776" t="s">
        <v>5266</v>
      </c>
      <c r="K256" s="779">
        <v>65000</v>
      </c>
      <c r="L256" s="779">
        <v>45000</v>
      </c>
      <c r="M256" s="779"/>
      <c r="N256" s="812">
        <f>1-L256/K256</f>
        <v>0.30769230769230771</v>
      </c>
      <c r="O256" s="780">
        <v>0.15</v>
      </c>
      <c r="P256" s="777" t="s">
        <v>4449</v>
      </c>
      <c r="Q256" s="781" t="s">
        <v>5267</v>
      </c>
      <c r="R256" s="782"/>
      <c r="S256" s="782"/>
      <c r="T256" s="782"/>
    </row>
    <row r="257" spans="2:20">
      <c r="B257" s="1420"/>
      <c r="C257" s="774" t="s">
        <v>3247</v>
      </c>
      <c r="D257" s="775" t="s">
        <v>4460</v>
      </c>
      <c r="E257" s="776" t="s">
        <v>1109</v>
      </c>
      <c r="F257" s="776" t="s">
        <v>4519</v>
      </c>
      <c r="G257" s="777" t="s">
        <v>4384</v>
      </c>
      <c r="H257" s="783">
        <v>202501222194</v>
      </c>
      <c r="I257" s="777">
        <v>30097684</v>
      </c>
      <c r="J257" s="776" t="s">
        <v>5268</v>
      </c>
      <c r="K257" s="779">
        <v>13500</v>
      </c>
      <c r="L257" s="779">
        <v>11480</v>
      </c>
      <c r="M257" s="779"/>
      <c r="N257" s="812">
        <f>1-L257/K257</f>
        <v>0.14962962962962967</v>
      </c>
      <c r="O257" s="780">
        <v>0.3</v>
      </c>
      <c r="P257" s="777" t="s">
        <v>5269</v>
      </c>
      <c r="Q257" s="781" t="s">
        <v>5270</v>
      </c>
      <c r="R257" s="782"/>
      <c r="S257" s="782"/>
      <c r="T257" s="782"/>
    </row>
    <row r="258" spans="2:20">
      <c r="B258" s="1420" t="s">
        <v>5271</v>
      </c>
      <c r="C258" s="785"/>
      <c r="D258" s="786" t="s">
        <v>4444</v>
      </c>
      <c r="E258" s="787" t="s">
        <v>1109</v>
      </c>
      <c r="F258" s="787" t="s">
        <v>4519</v>
      </c>
      <c r="G258" s="788" t="s">
        <v>4983</v>
      </c>
      <c r="H258" s="797">
        <v>202406048716</v>
      </c>
      <c r="I258" s="788">
        <v>57815988</v>
      </c>
      <c r="J258" s="787" t="s">
        <v>4796</v>
      </c>
      <c r="K258" s="790"/>
      <c r="L258" s="790"/>
      <c r="M258" s="790"/>
      <c r="N258" s="791"/>
      <c r="O258" s="791"/>
      <c r="P258" s="788"/>
      <c r="Q258" s="792"/>
      <c r="R258" s="793"/>
      <c r="S258" s="793"/>
      <c r="T258" s="793"/>
    </row>
    <row r="259" spans="2:20">
      <c r="B259" s="1420"/>
      <c r="C259" s="774"/>
      <c r="D259" s="775"/>
      <c r="E259" s="776" t="s">
        <v>221</v>
      </c>
      <c r="F259" s="776" t="s">
        <v>4671</v>
      </c>
      <c r="G259" s="777" t="s">
        <v>5272</v>
      </c>
      <c r="H259" s="811">
        <v>202501232214</v>
      </c>
      <c r="I259" s="777">
        <v>30183493</v>
      </c>
      <c r="J259" s="776" t="s">
        <v>5273</v>
      </c>
      <c r="K259" s="779">
        <v>30900</v>
      </c>
      <c r="L259" s="779">
        <v>19900</v>
      </c>
      <c r="M259" s="779"/>
      <c r="N259" s="780">
        <v>0.35598705501618122</v>
      </c>
      <c r="O259" s="780">
        <v>0.25</v>
      </c>
      <c r="P259" s="777" t="s">
        <v>4449</v>
      </c>
      <c r="Q259" s="781"/>
      <c r="R259" s="782"/>
      <c r="S259" s="782" t="s">
        <v>5274</v>
      </c>
      <c r="T259" s="782"/>
    </row>
    <row r="260" spans="2:20">
      <c r="B260" s="1420"/>
      <c r="C260" s="774" t="s">
        <v>3247</v>
      </c>
      <c r="D260" s="775" t="s">
        <v>4474</v>
      </c>
      <c r="E260" s="776" t="s">
        <v>910</v>
      </c>
      <c r="F260" s="776" t="s">
        <v>4454</v>
      </c>
      <c r="G260" s="777" t="s">
        <v>5275</v>
      </c>
      <c r="H260" s="811">
        <v>202305230872</v>
      </c>
      <c r="I260" s="777">
        <v>71436060</v>
      </c>
      <c r="J260" s="776" t="s">
        <v>5276</v>
      </c>
      <c r="K260" s="779">
        <v>383000</v>
      </c>
      <c r="L260" s="779">
        <v>219000</v>
      </c>
      <c r="M260" s="779"/>
      <c r="N260" s="780">
        <v>0.43</v>
      </c>
      <c r="O260" s="780">
        <v>0.15</v>
      </c>
      <c r="P260" s="777" t="s">
        <v>4449</v>
      </c>
      <c r="Q260" s="781" t="s">
        <v>5277</v>
      </c>
      <c r="R260" s="782" t="s">
        <v>5278</v>
      </c>
      <c r="S260" s="782" t="s">
        <v>5275</v>
      </c>
      <c r="T260" s="782">
        <v>100</v>
      </c>
    </row>
    <row r="261" spans="2:20">
      <c r="B261" s="1420"/>
      <c r="C261" s="774" t="s">
        <v>3247</v>
      </c>
      <c r="D261" s="775"/>
      <c r="E261" s="776" t="s">
        <v>477</v>
      </c>
      <c r="F261" s="776" t="s">
        <v>5041</v>
      </c>
      <c r="G261" s="777" t="s">
        <v>1337</v>
      </c>
      <c r="H261" s="783">
        <v>202501212162</v>
      </c>
      <c r="I261" s="777">
        <v>30209266</v>
      </c>
      <c r="J261" s="776" t="s">
        <v>5279</v>
      </c>
      <c r="K261" s="779">
        <v>37200</v>
      </c>
      <c r="L261" s="779">
        <v>29700</v>
      </c>
      <c r="M261" s="779"/>
      <c r="N261" s="780">
        <f>1-L261/K261</f>
        <v>0.20161290322580649</v>
      </c>
      <c r="O261" s="780">
        <v>0.25</v>
      </c>
      <c r="P261" s="777" t="s">
        <v>4449</v>
      </c>
      <c r="Q261" s="781"/>
      <c r="R261" s="782"/>
      <c r="S261" s="782"/>
      <c r="T261" s="782"/>
    </row>
    <row r="262" spans="2:20">
      <c r="B262" s="1420"/>
      <c r="C262" s="774" t="s">
        <v>3247</v>
      </c>
      <c r="D262" s="775" t="s">
        <v>4469</v>
      </c>
      <c r="E262" s="776" t="s">
        <v>137</v>
      </c>
      <c r="F262" s="776" t="s">
        <v>4445</v>
      </c>
      <c r="G262" s="777" t="s">
        <v>4655</v>
      </c>
      <c r="H262" s="808">
        <v>202405308618</v>
      </c>
      <c r="I262" s="810">
        <v>72930284</v>
      </c>
      <c r="J262" s="809" t="s">
        <v>5280</v>
      </c>
      <c r="K262" s="779">
        <v>13900</v>
      </c>
      <c r="L262" s="779">
        <v>9410</v>
      </c>
      <c r="M262" s="779"/>
      <c r="N262" s="780">
        <f>1-L262/K262</f>
        <v>0.32302158273381298</v>
      </c>
      <c r="O262" s="780">
        <v>0.15</v>
      </c>
      <c r="P262" s="777" t="s">
        <v>4449</v>
      </c>
      <c r="Q262" s="781"/>
      <c r="R262" s="782"/>
      <c r="S262" s="782"/>
      <c r="T262" s="782"/>
    </row>
    <row r="263" spans="2:20" ht="16.5" customHeight="1">
      <c r="B263" s="1420"/>
      <c r="C263" s="774" t="s">
        <v>3247</v>
      </c>
      <c r="D263" s="775"/>
      <c r="E263" s="776" t="s">
        <v>264</v>
      </c>
      <c r="F263" s="776" t="s">
        <v>4480</v>
      </c>
      <c r="G263" s="777" t="s">
        <v>5091</v>
      </c>
      <c r="H263" s="805">
        <v>202404037550</v>
      </c>
      <c r="I263" s="777">
        <v>72168992</v>
      </c>
      <c r="J263" s="776" t="s">
        <v>5281</v>
      </c>
      <c r="K263" s="779">
        <v>99000</v>
      </c>
      <c r="L263" s="779">
        <v>37000</v>
      </c>
      <c r="M263" s="779"/>
      <c r="N263" s="780">
        <f>1-L263/K263</f>
        <v>0.6262626262626263</v>
      </c>
      <c r="O263" s="780">
        <v>0.15</v>
      </c>
      <c r="P263" s="777" t="s">
        <v>4449</v>
      </c>
      <c r="Q263" s="781" t="s">
        <v>5282</v>
      </c>
      <c r="R263" s="782" t="s">
        <v>5283</v>
      </c>
      <c r="S263" s="782" t="s">
        <v>5284</v>
      </c>
      <c r="T263" s="782"/>
    </row>
    <row r="264" spans="2:20">
      <c r="B264" s="1420"/>
      <c r="C264" s="774" t="s">
        <v>3247</v>
      </c>
      <c r="D264" s="775" t="s">
        <v>4460</v>
      </c>
      <c r="E264" s="776" t="s">
        <v>795</v>
      </c>
      <c r="F264" s="776" t="s">
        <v>4461</v>
      </c>
      <c r="G264" s="777" t="s">
        <v>3539</v>
      </c>
      <c r="H264" s="816">
        <v>202411211077</v>
      </c>
      <c r="I264" s="777">
        <v>46969868</v>
      </c>
      <c r="J264" s="809" t="s">
        <v>5285</v>
      </c>
      <c r="K264" s="779">
        <v>25900</v>
      </c>
      <c r="L264" s="779">
        <v>21500</v>
      </c>
      <c r="M264" s="779"/>
      <c r="N264" s="812">
        <f>1-L264/K264</f>
        <v>0.16988416988416988</v>
      </c>
      <c r="O264" s="780">
        <v>0.15</v>
      </c>
      <c r="P264" s="777" t="s">
        <v>4449</v>
      </c>
      <c r="Q264" s="781" t="s">
        <v>5286</v>
      </c>
      <c r="R264" s="782" t="s">
        <v>5287</v>
      </c>
      <c r="S264" s="782"/>
      <c r="T264" s="782"/>
    </row>
    <row r="265" spans="2:20">
      <c r="B265" s="949"/>
      <c r="C265" s="774" t="s">
        <v>3247</v>
      </c>
      <c r="D265" s="775" t="s">
        <v>4453</v>
      </c>
      <c r="E265" s="776" t="s">
        <v>1109</v>
      </c>
      <c r="F265" s="776" t="s">
        <v>4519</v>
      </c>
      <c r="G265" s="810" t="s">
        <v>4384</v>
      </c>
      <c r="H265" s="783">
        <v>202501232244</v>
      </c>
      <c r="I265" s="777">
        <v>30143814</v>
      </c>
      <c r="J265" s="950" t="s">
        <v>5141</v>
      </c>
      <c r="K265" s="779">
        <v>25850</v>
      </c>
      <c r="L265" s="779">
        <v>21980</v>
      </c>
      <c r="M265" s="779"/>
      <c r="N265" s="812">
        <f>1-L265/K265</f>
        <v>0.14970986460348168</v>
      </c>
      <c r="O265" s="780">
        <v>0.15</v>
      </c>
      <c r="P265" s="777" t="s">
        <v>4449</v>
      </c>
      <c r="Q265" s="781" t="s">
        <v>5288</v>
      </c>
      <c r="R265" s="782" t="s">
        <v>5289</v>
      </c>
      <c r="S265" s="782"/>
      <c r="T265" s="782"/>
    </row>
    <row r="266" spans="2:20">
      <c r="B266" s="1420" t="s">
        <v>5290</v>
      </c>
      <c r="C266" s="774" t="s">
        <v>3247</v>
      </c>
      <c r="D266" s="775"/>
      <c r="E266" s="776" t="s">
        <v>137</v>
      </c>
      <c r="F266" s="776" t="s">
        <v>4445</v>
      </c>
      <c r="G266" s="777" t="s">
        <v>5291</v>
      </c>
      <c r="H266" s="808">
        <v>202411211067</v>
      </c>
      <c r="I266" s="810">
        <v>43256424</v>
      </c>
      <c r="J266" s="809" t="s">
        <v>5292</v>
      </c>
      <c r="K266" s="804">
        <v>159000</v>
      </c>
      <c r="L266" s="804">
        <v>53910</v>
      </c>
      <c r="M266" s="779"/>
      <c r="N266" s="780">
        <v>0.66</v>
      </c>
      <c r="O266" s="780">
        <v>0.15</v>
      </c>
      <c r="P266" s="777" t="s">
        <v>4449</v>
      </c>
      <c r="Q266" s="781"/>
      <c r="R266" s="782"/>
      <c r="S266" s="782"/>
      <c r="T266" s="782"/>
    </row>
    <row r="267" spans="2:20">
      <c r="B267" s="1420"/>
      <c r="C267" s="774" t="s">
        <v>3247</v>
      </c>
      <c r="D267" s="775" t="s">
        <v>4444</v>
      </c>
      <c r="E267" s="776" t="s">
        <v>1109</v>
      </c>
      <c r="F267" s="776" t="s">
        <v>4519</v>
      </c>
      <c r="G267" s="777" t="s">
        <v>3630</v>
      </c>
      <c r="H267" s="783">
        <v>202303169218</v>
      </c>
      <c r="I267" s="777">
        <v>30152238</v>
      </c>
      <c r="J267" s="776" t="s">
        <v>5293</v>
      </c>
      <c r="K267" s="779">
        <v>35800</v>
      </c>
      <c r="L267" s="779">
        <v>25060</v>
      </c>
      <c r="M267" s="779"/>
      <c r="N267" s="812">
        <f>1-L267/K267</f>
        <v>0.30000000000000004</v>
      </c>
      <c r="O267" s="780">
        <v>0.15</v>
      </c>
      <c r="P267" s="777" t="s">
        <v>4449</v>
      </c>
      <c r="Q267" s="781"/>
      <c r="R267" s="782"/>
      <c r="S267" s="782"/>
      <c r="T267" s="782"/>
    </row>
    <row r="268" spans="2:20">
      <c r="B268" s="1420"/>
      <c r="C268" s="774"/>
      <c r="D268" s="775" t="s">
        <v>4469</v>
      </c>
      <c r="E268" s="776" t="s">
        <v>221</v>
      </c>
      <c r="F268" s="776"/>
      <c r="G268" s="777" t="s">
        <v>5294</v>
      </c>
      <c r="H268" s="811">
        <v>202501232219</v>
      </c>
      <c r="I268" s="777">
        <v>67567926</v>
      </c>
      <c r="J268" s="776" t="s">
        <v>5295</v>
      </c>
      <c r="K268" s="779">
        <v>30000</v>
      </c>
      <c r="L268" s="779">
        <v>12000</v>
      </c>
      <c r="M268" s="779"/>
      <c r="N268" s="780">
        <v>0.6</v>
      </c>
      <c r="O268" s="780">
        <v>0.15</v>
      </c>
      <c r="P268" s="777"/>
      <c r="Q268" s="781"/>
      <c r="R268" s="782"/>
      <c r="S268" s="782" t="s">
        <v>5296</v>
      </c>
      <c r="T268" s="782"/>
    </row>
    <row r="269" spans="2:20">
      <c r="B269" s="1420"/>
      <c r="C269" s="774" t="s">
        <v>3247</v>
      </c>
      <c r="D269" s="775" t="s">
        <v>4474</v>
      </c>
      <c r="E269" s="776" t="s">
        <v>910</v>
      </c>
      <c r="F269" s="776" t="s">
        <v>4454</v>
      </c>
      <c r="G269" s="777" t="s">
        <v>3279</v>
      </c>
      <c r="H269" s="811">
        <v>202207072978</v>
      </c>
      <c r="I269" s="777">
        <v>41928154</v>
      </c>
      <c r="J269" s="776" t="s">
        <v>5297</v>
      </c>
      <c r="K269" s="779">
        <v>51900</v>
      </c>
      <c r="L269" s="779">
        <v>26550</v>
      </c>
      <c r="M269" s="779"/>
      <c r="N269" s="780">
        <f>1-(L269/K269)</f>
        <v>0.48843930635838151</v>
      </c>
      <c r="O269" s="780">
        <v>0.18</v>
      </c>
      <c r="P269" s="777" t="s">
        <v>4449</v>
      </c>
      <c r="Q269" s="781" t="s">
        <v>5277</v>
      </c>
      <c r="R269" s="782" t="s">
        <v>5298</v>
      </c>
      <c r="S269" s="782" t="s">
        <v>3279</v>
      </c>
      <c r="T269" s="782">
        <v>100</v>
      </c>
    </row>
    <row r="270" spans="2:20">
      <c r="B270" s="1420"/>
      <c r="C270" s="774" t="s">
        <v>3247</v>
      </c>
      <c r="D270" s="775"/>
      <c r="E270" s="776" t="s">
        <v>477</v>
      </c>
      <c r="F270" s="776" t="s">
        <v>5041</v>
      </c>
      <c r="G270" s="777" t="s">
        <v>5299</v>
      </c>
      <c r="H270" s="783">
        <v>202501212163</v>
      </c>
      <c r="I270" s="777">
        <v>76549049</v>
      </c>
      <c r="J270" s="776" t="s">
        <v>5300</v>
      </c>
      <c r="K270" s="779">
        <v>16900</v>
      </c>
      <c r="L270" s="779">
        <v>15200</v>
      </c>
      <c r="M270" s="779"/>
      <c r="N270" s="780">
        <f>1-L270/K270</f>
        <v>0.10059171597633132</v>
      </c>
      <c r="O270" s="780">
        <v>0.15</v>
      </c>
      <c r="P270" s="777" t="s">
        <v>4449</v>
      </c>
      <c r="Q270" s="781"/>
      <c r="R270" s="782"/>
      <c r="S270" s="782"/>
      <c r="T270" s="782"/>
    </row>
    <row r="271" spans="2:20" ht="16.5" customHeight="1">
      <c r="B271" s="1420"/>
      <c r="C271" s="774" t="s">
        <v>3247</v>
      </c>
      <c r="D271" s="775" t="s">
        <v>4453</v>
      </c>
      <c r="E271" s="776" t="s">
        <v>264</v>
      </c>
      <c r="F271" s="776" t="s">
        <v>4480</v>
      </c>
      <c r="G271" s="777" t="s">
        <v>5209</v>
      </c>
      <c r="H271" s="951">
        <v>202405178360</v>
      </c>
      <c r="I271" s="777">
        <v>72250674</v>
      </c>
      <c r="J271" s="776" t="s">
        <v>5301</v>
      </c>
      <c r="K271" s="779">
        <v>69000</v>
      </c>
      <c r="L271" s="779">
        <v>18700</v>
      </c>
      <c r="M271" s="779"/>
      <c r="N271" s="780">
        <f>1-L271/K271</f>
        <v>0.72898550724637678</v>
      </c>
      <c r="O271" s="780">
        <v>0.15</v>
      </c>
      <c r="P271" s="777" t="s">
        <v>4449</v>
      </c>
      <c r="Q271" s="781" t="s">
        <v>3851</v>
      </c>
      <c r="R271" s="782" t="s">
        <v>5302</v>
      </c>
      <c r="S271" s="782" t="s">
        <v>5303</v>
      </c>
      <c r="T271" s="782"/>
    </row>
    <row r="272" spans="2:20">
      <c r="B272" s="1420"/>
      <c r="C272" s="774"/>
      <c r="D272" s="775" t="s">
        <v>4460</v>
      </c>
      <c r="E272" s="776" t="s">
        <v>185</v>
      </c>
      <c r="F272" s="776" t="s">
        <v>4829</v>
      </c>
      <c r="G272" s="777" t="s">
        <v>3885</v>
      </c>
      <c r="H272" s="783">
        <v>202501081897</v>
      </c>
      <c r="I272" s="777">
        <v>46404660</v>
      </c>
      <c r="J272" s="776" t="s">
        <v>5304</v>
      </c>
      <c r="K272" s="779">
        <v>210000</v>
      </c>
      <c r="L272" s="779">
        <v>170000</v>
      </c>
      <c r="M272" s="779"/>
      <c r="N272" s="812">
        <f>1-L272/K272</f>
        <v>0.19047619047619047</v>
      </c>
      <c r="O272" s="780">
        <v>0.15</v>
      </c>
      <c r="P272" s="777" t="s">
        <v>4449</v>
      </c>
      <c r="Q272" s="781" t="s">
        <v>5305</v>
      </c>
      <c r="R272" s="782"/>
      <c r="S272" s="782"/>
      <c r="T272" s="782"/>
    </row>
    <row r="273" spans="2:21">
      <c r="B273" s="1420"/>
      <c r="C273" s="774"/>
      <c r="D273" s="775"/>
      <c r="E273" s="776" t="s">
        <v>795</v>
      </c>
      <c r="F273" s="776" t="s">
        <v>4461</v>
      </c>
      <c r="G273" s="777" t="s">
        <v>4332</v>
      </c>
      <c r="H273" s="816">
        <v>202501222190</v>
      </c>
      <c r="I273" s="810">
        <v>30209836</v>
      </c>
      <c r="J273" s="809" t="s">
        <v>5306</v>
      </c>
      <c r="K273" s="779">
        <v>19900</v>
      </c>
      <c r="L273" s="779">
        <v>14300</v>
      </c>
      <c r="M273" s="779"/>
      <c r="N273" s="812">
        <f>1-L273/K273</f>
        <v>0.28140703517587939</v>
      </c>
      <c r="O273" s="780">
        <v>0.15</v>
      </c>
      <c r="P273" s="777" t="s">
        <v>4449</v>
      </c>
      <c r="Q273" s="781" t="s">
        <v>5307</v>
      </c>
      <c r="R273" s="782"/>
      <c r="S273" s="782"/>
      <c r="T273" s="782"/>
    </row>
    <row r="274" spans="2:21">
      <c r="B274" s="1423" t="s">
        <v>5308</v>
      </c>
      <c r="C274" s="1423"/>
      <c r="D274" s="1423"/>
      <c r="E274" s="1423"/>
      <c r="F274" s="1423"/>
      <c r="G274" s="1423"/>
      <c r="H274" s="1423"/>
      <c r="I274" s="1423"/>
      <c r="J274" s="1423"/>
      <c r="K274" s="864"/>
      <c r="L274" s="865"/>
      <c r="M274" s="865"/>
      <c r="N274" s="866"/>
      <c r="O274" s="867"/>
      <c r="P274" s="868"/>
      <c r="Q274" s="869"/>
      <c r="R274" s="870"/>
      <c r="S274" s="870"/>
      <c r="T274" s="870"/>
    </row>
    <row r="275" spans="2:21">
      <c r="B275" s="1420" t="s">
        <v>5309</v>
      </c>
      <c r="C275" s="785" t="s">
        <v>3247</v>
      </c>
      <c r="D275" s="786" t="s">
        <v>4469</v>
      </c>
      <c r="E275" s="787" t="s">
        <v>1109</v>
      </c>
      <c r="F275" s="787" t="s">
        <v>4519</v>
      </c>
      <c r="G275" s="788" t="s">
        <v>4520</v>
      </c>
      <c r="H275" s="797">
        <v>202412261775</v>
      </c>
      <c r="I275" s="788">
        <v>30068625</v>
      </c>
      <c r="J275" s="787" t="s">
        <v>5160</v>
      </c>
      <c r="K275" s="790">
        <v>51000</v>
      </c>
      <c r="L275" s="790">
        <v>38900</v>
      </c>
      <c r="M275" s="790"/>
      <c r="N275" s="812">
        <f>1-(L275/K275)</f>
        <v>0.23725490196078436</v>
      </c>
      <c r="O275" s="791">
        <v>0.15</v>
      </c>
      <c r="P275" s="788"/>
      <c r="Q275" s="792"/>
      <c r="R275" s="793"/>
      <c r="S275" s="793"/>
      <c r="T275" s="793"/>
    </row>
    <row r="276" spans="2:21">
      <c r="B276" s="1420"/>
      <c r="C276" s="774" t="s">
        <v>3247</v>
      </c>
      <c r="D276" s="775" t="s">
        <v>4460</v>
      </c>
      <c r="E276" s="776" t="s">
        <v>221</v>
      </c>
      <c r="F276" s="776" t="s">
        <v>4671</v>
      </c>
      <c r="G276" s="777" t="s">
        <v>222</v>
      </c>
      <c r="H276" s="811">
        <v>202501232213</v>
      </c>
      <c r="I276" s="777">
        <v>30205706</v>
      </c>
      <c r="J276" s="776" t="s">
        <v>5310</v>
      </c>
      <c r="K276" s="779">
        <v>55900</v>
      </c>
      <c r="L276" s="779">
        <v>45900</v>
      </c>
      <c r="M276" s="779"/>
      <c r="N276" s="780">
        <v>0.15</v>
      </c>
      <c r="O276" s="780">
        <v>0.15</v>
      </c>
      <c r="P276" s="777" t="s">
        <v>4449</v>
      </c>
      <c r="Q276" s="781" t="s">
        <v>5311</v>
      </c>
      <c r="R276" s="782"/>
      <c r="S276" s="782" t="s">
        <v>5312</v>
      </c>
      <c r="T276" s="862" t="s">
        <v>5313</v>
      </c>
      <c r="U276" s="863" t="s">
        <v>5314</v>
      </c>
    </row>
    <row r="277" spans="2:21">
      <c r="B277" s="1420"/>
      <c r="C277" s="774"/>
      <c r="D277" s="775" t="s">
        <v>5315</v>
      </c>
      <c r="E277" s="776" t="s">
        <v>165</v>
      </c>
      <c r="F277" s="776" t="s">
        <v>4560</v>
      </c>
      <c r="G277" s="777" t="s">
        <v>4216</v>
      </c>
      <c r="H277" s="783">
        <v>202501222204</v>
      </c>
      <c r="I277" s="777">
        <v>46485260</v>
      </c>
      <c r="J277" s="776" t="s">
        <v>5316</v>
      </c>
      <c r="K277" s="779"/>
      <c r="L277" s="779"/>
      <c r="M277" s="779"/>
      <c r="N277" s="780"/>
      <c r="O277" s="780"/>
      <c r="P277" s="777"/>
      <c r="Q277" s="781" t="s">
        <v>3622</v>
      </c>
      <c r="R277" s="782"/>
      <c r="S277" s="782"/>
      <c r="T277" s="782"/>
    </row>
    <row r="278" spans="2:21" ht="16.5">
      <c r="B278" s="1420"/>
      <c r="C278" s="774" t="s">
        <v>3247</v>
      </c>
      <c r="D278" s="775"/>
      <c r="E278" s="776" t="s">
        <v>264</v>
      </c>
      <c r="F278" s="776" t="s">
        <v>4480</v>
      </c>
      <c r="G278" s="777" t="s">
        <v>4362</v>
      </c>
      <c r="H278" s="805">
        <v>202404097646</v>
      </c>
      <c r="I278" s="777">
        <v>71135430</v>
      </c>
      <c r="J278" s="776" t="s">
        <v>5317</v>
      </c>
      <c r="K278" s="779">
        <v>657000</v>
      </c>
      <c r="L278" s="779">
        <v>119000</v>
      </c>
      <c r="M278" s="804" t="s">
        <v>3247</v>
      </c>
      <c r="N278" s="812">
        <f>1-(L278/K278)</f>
        <v>0.81887366818873675</v>
      </c>
      <c r="O278" s="780">
        <v>0.27</v>
      </c>
      <c r="P278" s="777" t="s">
        <v>4449</v>
      </c>
      <c r="Q278" s="781" t="s">
        <v>5083</v>
      </c>
      <c r="R278" s="782" t="s">
        <v>5318</v>
      </c>
      <c r="S278" s="782" t="s">
        <v>5319</v>
      </c>
      <c r="T278" s="782"/>
    </row>
    <row r="279" spans="2:21">
      <c r="B279" s="1420"/>
      <c r="C279" s="774" t="s">
        <v>3247</v>
      </c>
      <c r="D279" s="775"/>
      <c r="E279" s="776" t="s">
        <v>910</v>
      </c>
      <c r="F279" s="776" t="s">
        <v>4454</v>
      </c>
      <c r="G279" s="777" t="s">
        <v>3449</v>
      </c>
      <c r="H279" s="778">
        <v>202412261749</v>
      </c>
      <c r="I279" s="777">
        <v>30216130</v>
      </c>
      <c r="J279" s="776" t="s">
        <v>5320</v>
      </c>
      <c r="K279" s="779">
        <v>130000</v>
      </c>
      <c r="L279" s="779">
        <v>104000</v>
      </c>
      <c r="M279" s="804"/>
      <c r="N279" s="812">
        <v>0.2</v>
      </c>
      <c r="O279" s="780">
        <v>0.4</v>
      </c>
      <c r="P279" s="777" t="s">
        <v>4449</v>
      </c>
      <c r="Q279" s="781"/>
      <c r="R279" s="782"/>
      <c r="S279" s="782" t="s">
        <v>5123</v>
      </c>
      <c r="T279" s="782"/>
    </row>
    <row r="280" spans="2:21" ht="27">
      <c r="B280" s="1420"/>
      <c r="C280" s="774" t="s">
        <v>3247</v>
      </c>
      <c r="D280" s="775" t="s">
        <v>4444</v>
      </c>
      <c r="E280" s="776" t="s">
        <v>795</v>
      </c>
      <c r="F280" s="776" t="s">
        <v>4461</v>
      </c>
      <c r="G280" s="777" t="s">
        <v>3540</v>
      </c>
      <c r="H280" s="952">
        <v>202501222191</v>
      </c>
      <c r="I280" s="777">
        <v>76615092</v>
      </c>
      <c r="J280" s="887" t="s">
        <v>5321</v>
      </c>
      <c r="K280" s="779">
        <v>59000</v>
      </c>
      <c r="L280" s="779">
        <v>26900</v>
      </c>
      <c r="M280" s="779"/>
      <c r="N280" s="780">
        <v>0.1</v>
      </c>
      <c r="O280" s="780">
        <v>0.15</v>
      </c>
      <c r="P280" s="777" t="s">
        <v>4449</v>
      </c>
      <c r="Q280" s="781" t="s">
        <v>5322</v>
      </c>
      <c r="R280" s="782"/>
      <c r="S280" s="782"/>
      <c r="T280" s="782"/>
    </row>
    <row r="281" spans="2:21">
      <c r="B281" s="949"/>
      <c r="C281" s="762" t="s">
        <v>3247</v>
      </c>
      <c r="D281" s="763" t="s">
        <v>5323</v>
      </c>
      <c r="E281" s="764" t="s">
        <v>137</v>
      </c>
      <c r="F281" s="741" t="s">
        <v>4603</v>
      </c>
      <c r="G281" s="764" t="s">
        <v>3742</v>
      </c>
      <c r="H281" s="952">
        <v>202403257407</v>
      </c>
      <c r="I281" s="953">
        <v>67521250</v>
      </c>
      <c r="J281" s="954" t="s">
        <v>5324</v>
      </c>
      <c r="K281" s="769">
        <v>77000</v>
      </c>
      <c r="L281" s="769">
        <v>8900</v>
      </c>
      <c r="M281" s="769" t="s">
        <v>3247</v>
      </c>
      <c r="N281" s="770">
        <v>0.88</v>
      </c>
      <c r="O281" s="770">
        <v>0.2</v>
      </c>
      <c r="P281" s="777" t="s">
        <v>4449</v>
      </c>
      <c r="Q281" s="853" t="s">
        <v>5325</v>
      </c>
      <c r="R281" s="854" t="s">
        <v>5326</v>
      </c>
      <c r="S281" s="854" t="s">
        <v>3918</v>
      </c>
      <c r="T281" s="854"/>
    </row>
    <row r="282" spans="2:21" ht="16.5">
      <c r="B282" s="1420" t="s">
        <v>5327</v>
      </c>
      <c r="C282" s="785" t="s">
        <v>3247</v>
      </c>
      <c r="D282" s="786" t="s">
        <v>4453</v>
      </c>
      <c r="E282" s="787" t="s">
        <v>331</v>
      </c>
      <c r="F282" s="787" t="s">
        <v>4970</v>
      </c>
      <c r="G282" s="788" t="s">
        <v>4261</v>
      </c>
      <c r="H282" s="797">
        <v>202501212181</v>
      </c>
      <c r="I282">
        <v>76796472</v>
      </c>
      <c r="J282" s="955" t="s">
        <v>5328</v>
      </c>
      <c r="K282" s="790">
        <v>59900</v>
      </c>
      <c r="L282" s="956">
        <v>36708</v>
      </c>
      <c r="M282" s="790"/>
      <c r="N282" s="812">
        <f t="shared" ref="N282:N290" si="3">1-(L282/K282)</f>
        <v>0.38717863105175288</v>
      </c>
      <c r="O282" s="791">
        <v>0.13</v>
      </c>
      <c r="P282" s="788"/>
      <c r="Q282" s="792"/>
      <c r="R282" s="793"/>
      <c r="S282" s="793"/>
      <c r="T282" s="793"/>
    </row>
    <row r="283" spans="2:21">
      <c r="B283" s="1420"/>
      <c r="C283" s="774" t="s">
        <v>3247</v>
      </c>
      <c r="D283" s="775"/>
      <c r="E283" s="776" t="s">
        <v>331</v>
      </c>
      <c r="F283" s="776" t="s">
        <v>5329</v>
      </c>
      <c r="G283" s="777" t="s">
        <v>3727</v>
      </c>
      <c r="H283" s="783">
        <v>202412091384</v>
      </c>
      <c r="I283" s="777">
        <v>72593315</v>
      </c>
      <c r="J283" s="776" t="s">
        <v>5330</v>
      </c>
      <c r="K283" s="779">
        <v>64500</v>
      </c>
      <c r="L283" s="779">
        <v>17900</v>
      </c>
      <c r="M283" s="804" t="s">
        <v>3247</v>
      </c>
      <c r="N283" s="812">
        <f t="shared" si="3"/>
        <v>0.72248062015503878</v>
      </c>
      <c r="O283" s="780">
        <v>0.25</v>
      </c>
      <c r="P283" s="777"/>
      <c r="Q283" s="781" t="s">
        <v>5331</v>
      </c>
      <c r="R283" s="782"/>
      <c r="S283" s="782"/>
      <c r="T283" s="782"/>
    </row>
    <row r="284" spans="2:21" ht="16.5" customHeight="1">
      <c r="B284" s="1420"/>
      <c r="C284" s="774" t="s">
        <v>3247</v>
      </c>
      <c r="D284" s="775" t="s">
        <v>4444</v>
      </c>
      <c r="E284" s="776" t="s">
        <v>1109</v>
      </c>
      <c r="F284" s="776" t="s">
        <v>4519</v>
      </c>
      <c r="G284" s="777" t="s">
        <v>4107</v>
      </c>
      <c r="H284" s="783">
        <v>202412031274</v>
      </c>
      <c r="I284" s="777">
        <v>30118260</v>
      </c>
      <c r="J284" s="776" t="s">
        <v>5332</v>
      </c>
      <c r="K284" s="779">
        <v>38200</v>
      </c>
      <c r="L284" s="779">
        <v>30560</v>
      </c>
      <c r="M284" s="957"/>
      <c r="N284" s="812">
        <f t="shared" si="3"/>
        <v>0.19999999999999996</v>
      </c>
      <c r="O284" s="780">
        <v>0.15</v>
      </c>
      <c r="P284" s="777" t="s">
        <v>4449</v>
      </c>
      <c r="Q284" s="781"/>
      <c r="R284" s="782"/>
      <c r="S284" s="782"/>
      <c r="T284" s="782"/>
    </row>
    <row r="285" spans="2:21">
      <c r="B285" s="1420"/>
      <c r="C285" s="774"/>
      <c r="D285" s="775"/>
      <c r="E285" s="776" t="s">
        <v>221</v>
      </c>
      <c r="F285" s="776" t="s">
        <v>4671</v>
      </c>
      <c r="G285" s="777" t="s">
        <v>4940</v>
      </c>
      <c r="H285" s="811">
        <v>202501232215</v>
      </c>
      <c r="I285" s="777" t="s">
        <v>5333</v>
      </c>
      <c r="J285" s="776" t="s">
        <v>5334</v>
      </c>
      <c r="K285" s="779">
        <v>44900</v>
      </c>
      <c r="L285" s="779">
        <v>17900</v>
      </c>
      <c r="M285" s="779"/>
      <c r="N285" s="812">
        <f t="shared" si="3"/>
        <v>0.60133630289532292</v>
      </c>
      <c r="O285" s="780">
        <v>0.15</v>
      </c>
      <c r="P285" s="777" t="s">
        <v>4449</v>
      </c>
      <c r="Q285" s="781"/>
      <c r="R285" s="782"/>
      <c r="S285" s="782" t="s">
        <v>5335</v>
      </c>
      <c r="T285" s="782"/>
    </row>
    <row r="286" spans="2:21">
      <c r="B286" s="1420"/>
      <c r="C286" s="774" t="s">
        <v>3247</v>
      </c>
      <c r="D286" s="775" t="s">
        <v>4474</v>
      </c>
      <c r="E286" s="776" t="s">
        <v>221</v>
      </c>
      <c r="F286" s="776" t="s">
        <v>4454</v>
      </c>
      <c r="G286" s="777" t="s">
        <v>5336</v>
      </c>
      <c r="H286" s="783">
        <v>202501131952</v>
      </c>
      <c r="I286" s="777">
        <v>76046069</v>
      </c>
      <c r="J286" s="776" t="s">
        <v>5337</v>
      </c>
      <c r="K286" s="779">
        <v>55000</v>
      </c>
      <c r="L286" s="779">
        <v>15900</v>
      </c>
      <c r="M286" s="779"/>
      <c r="N286" s="812">
        <f t="shared" si="3"/>
        <v>0.71090909090909093</v>
      </c>
      <c r="O286" s="780">
        <v>0.2</v>
      </c>
      <c r="P286" s="777" t="s">
        <v>4449</v>
      </c>
      <c r="Q286" s="781" t="s">
        <v>5338</v>
      </c>
      <c r="R286" s="782"/>
      <c r="S286" s="782" t="s">
        <v>5339</v>
      </c>
      <c r="T286" s="782"/>
    </row>
    <row r="287" spans="2:21">
      <c r="B287" s="1420"/>
      <c r="C287" s="774"/>
      <c r="D287" s="775" t="s">
        <v>4460</v>
      </c>
      <c r="E287" s="776" t="s">
        <v>185</v>
      </c>
      <c r="F287" s="776" t="s">
        <v>4829</v>
      </c>
      <c r="G287" s="777" t="s">
        <v>5340</v>
      </c>
      <c r="H287" s="951">
        <v>202501202077</v>
      </c>
      <c r="I287" s="777">
        <v>30117957</v>
      </c>
      <c r="J287" s="776" t="s">
        <v>5341</v>
      </c>
      <c r="K287" s="779">
        <v>82900</v>
      </c>
      <c r="L287" s="779">
        <v>62900</v>
      </c>
      <c r="M287" s="779"/>
      <c r="N287" s="812">
        <f t="shared" si="3"/>
        <v>0.24125452352231602</v>
      </c>
      <c r="O287" s="780">
        <v>0.15</v>
      </c>
      <c r="P287" s="777" t="s">
        <v>4449</v>
      </c>
      <c r="Q287" s="781" t="s">
        <v>5083</v>
      </c>
      <c r="R287" s="782"/>
      <c r="S287" s="782"/>
      <c r="T287" s="782"/>
    </row>
    <row r="288" spans="2:21" ht="16.5">
      <c r="B288" s="1420"/>
      <c r="C288" s="774" t="s">
        <v>3247</v>
      </c>
      <c r="D288" s="775" t="s">
        <v>4469</v>
      </c>
      <c r="E288" s="776" t="s">
        <v>264</v>
      </c>
      <c r="F288" s="776" t="s">
        <v>4480</v>
      </c>
      <c r="G288" s="777" t="s">
        <v>3945</v>
      </c>
      <c r="H288" s="917">
        <v>202404117671</v>
      </c>
      <c r="I288" s="777">
        <v>30217802</v>
      </c>
      <c r="J288" s="776" t="s">
        <v>5342</v>
      </c>
      <c r="K288" s="779">
        <v>9800</v>
      </c>
      <c r="L288" s="779">
        <v>9500</v>
      </c>
      <c r="M288" s="804" t="s">
        <v>3247</v>
      </c>
      <c r="N288" s="812">
        <f t="shared" si="3"/>
        <v>3.0612244897959218E-2</v>
      </c>
      <c r="O288" s="780">
        <v>0.15</v>
      </c>
      <c r="P288" s="777" t="s">
        <v>4449</v>
      </c>
      <c r="Q288" s="781" t="s">
        <v>5343</v>
      </c>
      <c r="R288" s="782" t="s">
        <v>5344</v>
      </c>
      <c r="S288" s="782" t="s">
        <v>5345</v>
      </c>
      <c r="T288" s="782"/>
    </row>
    <row r="289" spans="2:20">
      <c r="B289" s="1420"/>
      <c r="C289" s="774" t="s">
        <v>3247</v>
      </c>
      <c r="D289" s="775"/>
      <c r="E289" s="776" t="s">
        <v>795</v>
      </c>
      <c r="F289" s="776" t="s">
        <v>4461</v>
      </c>
      <c r="G289" s="777" t="s">
        <v>4032</v>
      </c>
      <c r="H289" s="958">
        <v>202311234755</v>
      </c>
      <c r="I289" s="777">
        <v>30166344</v>
      </c>
      <c r="J289" s="776" t="s">
        <v>5346</v>
      </c>
      <c r="K289" s="779">
        <v>35900</v>
      </c>
      <c r="L289" s="779">
        <v>27900</v>
      </c>
      <c r="M289" s="779"/>
      <c r="N289" s="812">
        <f t="shared" si="3"/>
        <v>0.22284122562674091</v>
      </c>
      <c r="O289" s="780"/>
      <c r="P289" s="777"/>
      <c r="Q289" s="781"/>
      <c r="R289" s="782"/>
      <c r="S289" s="782"/>
      <c r="T289" s="782"/>
    </row>
    <row r="290" spans="2:20">
      <c r="B290" s="1420" t="s">
        <v>5347</v>
      </c>
      <c r="C290" s="785" t="s">
        <v>3247</v>
      </c>
      <c r="D290" s="786"/>
      <c r="E290" s="787" t="s">
        <v>331</v>
      </c>
      <c r="F290" s="787" t="s">
        <v>4970</v>
      </c>
      <c r="G290" s="788" t="s">
        <v>4971</v>
      </c>
      <c r="H290" s="778">
        <v>202406108775</v>
      </c>
      <c r="I290" s="819">
        <v>72294443</v>
      </c>
      <c r="J290" s="818" t="s">
        <v>5348</v>
      </c>
      <c r="K290" s="790">
        <v>16900</v>
      </c>
      <c r="L290" s="790">
        <v>15210</v>
      </c>
      <c r="M290" s="790"/>
      <c r="N290" s="812">
        <f t="shared" si="3"/>
        <v>9.9999999999999978E-2</v>
      </c>
      <c r="O290" s="791">
        <v>0.15</v>
      </c>
      <c r="P290" s="810" t="s">
        <v>4449</v>
      </c>
      <c r="Q290" s="792"/>
      <c r="R290" s="793"/>
      <c r="S290" s="793"/>
      <c r="T290" s="793"/>
    </row>
    <row r="291" spans="2:20">
      <c r="B291" s="1420"/>
      <c r="C291" s="774" t="s">
        <v>3247</v>
      </c>
      <c r="D291" s="775"/>
      <c r="E291" s="776" t="s">
        <v>221</v>
      </c>
      <c r="F291" s="776" t="s">
        <v>4454</v>
      </c>
      <c r="G291" s="777" t="s">
        <v>4735</v>
      </c>
      <c r="H291" s="811">
        <v>202402016278</v>
      </c>
      <c r="I291" s="959">
        <v>30217142</v>
      </c>
      <c r="J291" s="776" t="s">
        <v>4873</v>
      </c>
      <c r="K291" s="779">
        <v>48000</v>
      </c>
      <c r="L291" s="779">
        <v>12900</v>
      </c>
      <c r="M291" s="779"/>
      <c r="N291" s="780">
        <v>0.73</v>
      </c>
      <c r="O291" s="780">
        <v>0.12</v>
      </c>
      <c r="P291" s="777" t="s">
        <v>4449</v>
      </c>
      <c r="Q291" s="781" t="s">
        <v>5349</v>
      </c>
      <c r="R291" s="782"/>
      <c r="S291" s="782" t="s">
        <v>5350</v>
      </c>
      <c r="T291" s="782"/>
    </row>
    <row r="292" spans="2:20">
      <c r="B292" s="1420"/>
      <c r="C292" s="774"/>
      <c r="D292" s="775" t="s">
        <v>5315</v>
      </c>
      <c r="E292" s="776" t="s">
        <v>165</v>
      </c>
      <c r="F292" s="776" t="s">
        <v>4560</v>
      </c>
      <c r="G292" s="777" t="s">
        <v>4220</v>
      </c>
      <c r="H292" s="783">
        <v>202501222205</v>
      </c>
      <c r="I292" s="777">
        <v>75340953</v>
      </c>
      <c r="J292" s="776" t="s">
        <v>5351</v>
      </c>
      <c r="K292" s="779"/>
      <c r="L292" s="779"/>
      <c r="M292" s="779"/>
      <c r="N292" s="780"/>
      <c r="O292" s="780"/>
      <c r="P292" s="777"/>
      <c r="Q292" s="781"/>
      <c r="R292" s="782"/>
      <c r="S292" s="782"/>
      <c r="T292" s="782"/>
    </row>
    <row r="293" spans="2:20">
      <c r="B293" s="1420"/>
      <c r="C293" s="774"/>
      <c r="D293" s="775" t="s">
        <v>4444</v>
      </c>
      <c r="E293" s="776" t="s">
        <v>185</v>
      </c>
      <c r="F293" s="776" t="s">
        <v>4829</v>
      </c>
      <c r="G293" s="777" t="s">
        <v>3661</v>
      </c>
      <c r="H293" s="783">
        <v>202501202079</v>
      </c>
      <c r="I293" s="777">
        <v>30210946</v>
      </c>
      <c r="J293" s="776" t="s">
        <v>5352</v>
      </c>
      <c r="K293" s="779">
        <v>93900</v>
      </c>
      <c r="L293" s="779">
        <v>57000</v>
      </c>
      <c r="M293" s="779"/>
      <c r="N293" s="780">
        <v>0.73</v>
      </c>
      <c r="O293" s="780">
        <v>0.15</v>
      </c>
      <c r="P293" s="777" t="s">
        <v>4449</v>
      </c>
      <c r="Q293" s="781" t="s">
        <v>5353</v>
      </c>
      <c r="R293" s="782"/>
      <c r="S293" s="782"/>
      <c r="T293" s="782"/>
    </row>
    <row r="294" spans="2:20">
      <c r="B294" s="1420"/>
      <c r="C294" s="774"/>
      <c r="D294" s="775" t="s">
        <v>4469</v>
      </c>
      <c r="E294" s="776" t="s">
        <v>910</v>
      </c>
      <c r="F294" s="776" t="s">
        <v>4454</v>
      </c>
      <c r="G294" s="777" t="s">
        <v>3445</v>
      </c>
      <c r="H294" s="811">
        <v>202404227863</v>
      </c>
      <c r="I294" s="777">
        <v>30215840</v>
      </c>
      <c r="J294" s="776" t="s">
        <v>5354</v>
      </c>
      <c r="K294" s="779">
        <v>40000</v>
      </c>
      <c r="L294" s="779">
        <v>36000</v>
      </c>
      <c r="M294" s="779"/>
      <c r="N294" s="780">
        <v>0.1</v>
      </c>
      <c r="O294" s="780">
        <v>0.3</v>
      </c>
      <c r="P294" s="777" t="s">
        <v>4449</v>
      </c>
      <c r="Q294" s="781"/>
      <c r="R294" s="782"/>
      <c r="S294" s="782" t="s">
        <v>5355</v>
      </c>
      <c r="T294" s="782"/>
    </row>
    <row r="295" spans="2:20" ht="16.5">
      <c r="B295" s="1420"/>
      <c r="C295" s="774"/>
      <c r="D295" s="775" t="s">
        <v>4460</v>
      </c>
      <c r="E295" s="776" t="s">
        <v>137</v>
      </c>
      <c r="F295" s="776" t="s">
        <v>4445</v>
      </c>
      <c r="G295" s="777" t="s">
        <v>3922</v>
      </c>
      <c r="H295" s="901">
        <v>202501232210</v>
      </c>
      <c r="I295" s="889">
        <v>30212851</v>
      </c>
      <c r="J295" s="776" t="s">
        <v>5356</v>
      </c>
      <c r="K295" s="779">
        <v>158000</v>
      </c>
      <c r="L295" s="779">
        <v>89000</v>
      </c>
      <c r="M295" s="804" t="s">
        <v>3247</v>
      </c>
      <c r="N295" s="812">
        <f>1-(L295/K295)</f>
        <v>0.43670886075949367</v>
      </c>
      <c r="O295" s="780">
        <v>0.2</v>
      </c>
      <c r="P295" s="777" t="s">
        <v>4449</v>
      </c>
      <c r="Q295" s="781" t="s">
        <v>5357</v>
      </c>
      <c r="R295" s="782" t="s">
        <v>5358</v>
      </c>
      <c r="S295" s="782" t="s">
        <v>5359</v>
      </c>
      <c r="T295" s="782"/>
    </row>
    <row r="296" spans="2:20" ht="16.5">
      <c r="B296" s="1420"/>
      <c r="C296" s="774" t="s">
        <v>3247</v>
      </c>
      <c r="D296" s="775" t="s">
        <v>5323</v>
      </c>
      <c r="E296" s="776" t="s">
        <v>264</v>
      </c>
      <c r="F296" s="776" t="s">
        <v>4480</v>
      </c>
      <c r="G296" s="777" t="s">
        <v>3264</v>
      </c>
      <c r="H296" s="805">
        <v>202412051354</v>
      </c>
      <c r="I296" s="777">
        <v>72435927</v>
      </c>
      <c r="J296" s="776" t="s">
        <v>5360</v>
      </c>
      <c r="K296" s="779">
        <v>359000</v>
      </c>
      <c r="L296" s="779">
        <v>49500</v>
      </c>
      <c r="M296" s="779" t="s">
        <v>3247</v>
      </c>
      <c r="N296" s="812">
        <f>1-(L296/K296)</f>
        <v>0.86211699164345401</v>
      </c>
      <c r="O296" s="780">
        <v>0.16</v>
      </c>
      <c r="P296" s="777" t="s">
        <v>4449</v>
      </c>
      <c r="Q296" s="781" t="s">
        <v>3622</v>
      </c>
      <c r="R296" s="782" t="s">
        <v>5361</v>
      </c>
      <c r="S296" s="782" t="s">
        <v>5362</v>
      </c>
      <c r="T296" s="782"/>
    </row>
    <row r="297" spans="2:20">
      <c r="B297" s="1420"/>
      <c r="C297" s="774" t="s">
        <v>3247</v>
      </c>
      <c r="D297" s="775"/>
      <c r="E297" s="776" t="s">
        <v>795</v>
      </c>
      <c r="F297" s="776" t="s">
        <v>4461</v>
      </c>
      <c r="G297" s="777" t="s">
        <v>4462</v>
      </c>
      <c r="H297" s="958">
        <v>202412261773</v>
      </c>
      <c r="I297" s="777">
        <v>61759140</v>
      </c>
      <c r="J297" s="776" t="s">
        <v>5363</v>
      </c>
      <c r="K297" s="779">
        <v>12900</v>
      </c>
      <c r="L297" s="779">
        <f>10500*0.9</f>
        <v>9450</v>
      </c>
      <c r="M297" s="779"/>
      <c r="N297" s="812">
        <f>1-(L297/K297)</f>
        <v>0.26744186046511631</v>
      </c>
      <c r="O297" s="780">
        <v>0.15</v>
      </c>
      <c r="P297" s="777" t="s">
        <v>4449</v>
      </c>
      <c r="Q297" s="781" t="s">
        <v>5364</v>
      </c>
      <c r="R297" s="782"/>
      <c r="S297" s="782"/>
      <c r="T297" s="782"/>
    </row>
    <row r="298" spans="2:20" ht="16.5">
      <c r="B298" s="1420" t="s">
        <v>5365</v>
      </c>
      <c r="C298" s="785" t="s">
        <v>3247</v>
      </c>
      <c r="D298" s="786" t="s">
        <v>4469</v>
      </c>
      <c r="E298" s="787" t="s">
        <v>331</v>
      </c>
      <c r="F298" s="787" t="s">
        <v>4841</v>
      </c>
      <c r="G298" s="788" t="s">
        <v>4350</v>
      </c>
      <c r="H298" s="671">
        <v>202408149854</v>
      </c>
      <c r="I298" s="788">
        <v>75387349</v>
      </c>
      <c r="J298" s="787" t="s">
        <v>5366</v>
      </c>
      <c r="K298" s="790">
        <v>27000</v>
      </c>
      <c r="L298" s="790">
        <v>25650</v>
      </c>
      <c r="M298" s="790"/>
      <c r="N298" s="791">
        <v>0.15</v>
      </c>
      <c r="O298" s="791">
        <v>0.15</v>
      </c>
      <c r="P298" s="788"/>
      <c r="Q298" s="792"/>
      <c r="R298" s="793"/>
      <c r="S298" s="793"/>
      <c r="T298" s="793"/>
    </row>
    <row r="299" spans="2:20">
      <c r="B299" s="1420"/>
      <c r="C299" s="774" t="s">
        <v>3247</v>
      </c>
      <c r="D299" s="775" t="s">
        <v>4474</v>
      </c>
      <c r="E299" s="776" t="s">
        <v>1109</v>
      </c>
      <c r="F299" s="776" t="s">
        <v>4519</v>
      </c>
      <c r="G299" s="777" t="s">
        <v>3995</v>
      </c>
      <c r="H299" s="783">
        <v>202501162027</v>
      </c>
      <c r="I299" s="777">
        <v>73980442</v>
      </c>
      <c r="J299" s="776" t="s">
        <v>5367</v>
      </c>
      <c r="K299" s="779">
        <v>22500</v>
      </c>
      <c r="L299" s="779">
        <v>12900</v>
      </c>
      <c r="M299" s="779"/>
      <c r="N299" s="780">
        <f>1-(L299/K299)</f>
        <v>0.42666666666666664</v>
      </c>
      <c r="O299" s="780">
        <v>0.15</v>
      </c>
      <c r="P299" s="777" t="s">
        <v>4449</v>
      </c>
      <c r="Q299" s="781" t="s">
        <v>5368</v>
      </c>
      <c r="R299" s="782"/>
      <c r="S299" s="782"/>
      <c r="T299" s="782"/>
    </row>
    <row r="300" spans="2:20">
      <c r="B300" s="1420"/>
      <c r="C300" s="774"/>
      <c r="D300" s="775"/>
      <c r="E300" s="776" t="s">
        <v>221</v>
      </c>
      <c r="F300" s="776" t="s">
        <v>4671</v>
      </c>
      <c r="G300" s="777" t="s">
        <v>5369</v>
      </c>
      <c r="H300" s="811">
        <v>202501232216</v>
      </c>
      <c r="I300" s="777">
        <v>68855497</v>
      </c>
      <c r="J300" s="776" t="s">
        <v>5370</v>
      </c>
      <c r="K300" s="779">
        <v>51800</v>
      </c>
      <c r="L300" s="779">
        <v>39800</v>
      </c>
      <c r="M300" s="779"/>
      <c r="N300" s="780">
        <f>1-(L300/K300)</f>
        <v>0.23166023166023164</v>
      </c>
      <c r="O300" s="780">
        <v>0.15</v>
      </c>
      <c r="P300" s="777" t="s">
        <v>4449</v>
      </c>
      <c r="Q300" s="781"/>
      <c r="R300" s="782"/>
      <c r="S300" s="782" t="s">
        <v>5371</v>
      </c>
      <c r="T300" s="782"/>
    </row>
    <row r="301" spans="2:20">
      <c r="B301" s="1420"/>
      <c r="C301" s="774" t="s">
        <v>3247</v>
      </c>
      <c r="D301" s="775" t="s">
        <v>4460</v>
      </c>
      <c r="E301" s="776" t="s">
        <v>185</v>
      </c>
      <c r="F301" s="776" t="s">
        <v>4829</v>
      </c>
      <c r="G301" s="777" t="s">
        <v>3659</v>
      </c>
      <c r="H301" s="783">
        <v>202501202080</v>
      </c>
      <c r="I301" s="777">
        <v>43078952</v>
      </c>
      <c r="J301" s="776" t="s">
        <v>5372</v>
      </c>
      <c r="K301" s="779">
        <v>47900</v>
      </c>
      <c r="L301" s="779">
        <v>39900</v>
      </c>
      <c r="M301" s="779"/>
      <c r="N301" s="780">
        <f>1-(L301/K301)</f>
        <v>0.16701461377870563</v>
      </c>
      <c r="O301" s="780">
        <v>0.15</v>
      </c>
      <c r="P301" s="777" t="s">
        <v>4449</v>
      </c>
      <c r="Q301" s="781" t="s">
        <v>5083</v>
      </c>
      <c r="R301" s="782"/>
      <c r="S301" s="782"/>
      <c r="T301" s="782"/>
    </row>
    <row r="302" spans="2:20" ht="16.5">
      <c r="B302" s="1420"/>
      <c r="C302" s="774" t="s">
        <v>3247</v>
      </c>
      <c r="D302" s="775" t="s">
        <v>4444</v>
      </c>
      <c r="E302" s="776" t="s">
        <v>264</v>
      </c>
      <c r="F302" s="776" t="s">
        <v>4480</v>
      </c>
      <c r="G302" s="777" t="s">
        <v>5373</v>
      </c>
      <c r="H302" s="805">
        <v>202405228425</v>
      </c>
      <c r="I302" s="777">
        <v>73965097</v>
      </c>
      <c r="J302" s="887" t="s">
        <v>5374</v>
      </c>
      <c r="K302" s="779">
        <v>288000</v>
      </c>
      <c r="L302" s="779">
        <v>22900</v>
      </c>
      <c r="M302" s="779" t="s">
        <v>3247</v>
      </c>
      <c r="N302" s="780">
        <f>1-(L302/K302)</f>
        <v>0.92048611111111112</v>
      </c>
      <c r="O302" s="780">
        <v>0.16</v>
      </c>
      <c r="P302" s="777" t="s">
        <v>5210</v>
      </c>
      <c r="Q302" s="781" t="s">
        <v>5375</v>
      </c>
      <c r="R302" s="782" t="s">
        <v>5376</v>
      </c>
      <c r="S302" s="782" t="s">
        <v>5377</v>
      </c>
      <c r="T302" s="782"/>
    </row>
    <row r="303" spans="2:20">
      <c r="B303" s="1420"/>
      <c r="C303" s="774"/>
      <c r="D303" s="775"/>
      <c r="E303" s="776" t="s">
        <v>795</v>
      </c>
      <c r="F303" s="776" t="s">
        <v>4461</v>
      </c>
      <c r="G303" s="777" t="s">
        <v>1237</v>
      </c>
      <c r="H303" s="958">
        <v>202410110512</v>
      </c>
      <c r="I303" s="777" t="s">
        <v>5378</v>
      </c>
      <c r="J303" s="776" t="s">
        <v>5379</v>
      </c>
      <c r="K303" s="779"/>
      <c r="L303" s="779">
        <v>29900</v>
      </c>
      <c r="M303" s="779"/>
      <c r="N303" s="780" t="e">
        <f>1-(L303/K303)</f>
        <v>#DIV/0!</v>
      </c>
      <c r="O303" s="780">
        <v>0.16</v>
      </c>
      <c r="P303" s="777" t="s">
        <v>4449</v>
      </c>
      <c r="Q303" s="781"/>
      <c r="R303" s="782"/>
      <c r="S303" s="782"/>
      <c r="T303" s="782"/>
    </row>
    <row r="304" spans="2:20" ht="16.5">
      <c r="B304" s="949"/>
      <c r="C304" s="762"/>
      <c r="D304" s="763" t="s">
        <v>4453</v>
      </c>
      <c r="E304" s="764" t="s">
        <v>137</v>
      </c>
      <c r="F304" s="764" t="s">
        <v>4757</v>
      </c>
      <c r="G304" s="764" t="s">
        <v>3843</v>
      </c>
      <c r="H304" s="901">
        <v>202501232211</v>
      </c>
      <c r="I304" s="771">
        <v>54711359</v>
      </c>
      <c r="J304" s="954" t="s">
        <v>5380</v>
      </c>
      <c r="K304" s="769">
        <v>114800</v>
      </c>
      <c r="L304" s="769" t="s">
        <v>5381</v>
      </c>
      <c r="M304" s="769"/>
      <c r="N304" s="770">
        <v>0.1</v>
      </c>
      <c r="O304" s="770">
        <v>0.15</v>
      </c>
      <c r="P304" s="777" t="s">
        <v>4449</v>
      </c>
      <c r="Q304" s="853" t="s">
        <v>5325</v>
      </c>
      <c r="R304" s="854" t="s">
        <v>5382</v>
      </c>
      <c r="S304" s="854" t="s">
        <v>5383</v>
      </c>
      <c r="T304" s="854"/>
    </row>
    <row r="305" spans="2:20">
      <c r="B305" s="1425" t="s">
        <v>5384</v>
      </c>
      <c r="C305" s="785"/>
      <c r="D305" s="786" t="s">
        <v>4474</v>
      </c>
      <c r="E305" s="787" t="s">
        <v>221</v>
      </c>
      <c r="F305" s="787" t="s">
        <v>4671</v>
      </c>
      <c r="G305" s="788" t="s">
        <v>5186</v>
      </c>
      <c r="H305" s="820">
        <v>202501232217</v>
      </c>
      <c r="I305" s="788" t="s">
        <v>5385</v>
      </c>
      <c r="J305" s="787" t="s">
        <v>5386</v>
      </c>
      <c r="K305" s="790">
        <v>24600</v>
      </c>
      <c r="L305" s="790">
        <v>17900</v>
      </c>
      <c r="M305" s="790"/>
      <c r="N305" s="812">
        <f t="shared" ref="N305:N310" si="4">1-(L305/K305)</f>
        <v>0.27235772357723576</v>
      </c>
      <c r="O305" s="791">
        <v>0.17</v>
      </c>
      <c r="P305" s="788" t="s">
        <v>4449</v>
      </c>
      <c r="Q305" s="792" t="s">
        <v>5189</v>
      </c>
      <c r="R305" s="793"/>
      <c r="S305" s="793" t="s">
        <v>5387</v>
      </c>
      <c r="T305" s="793"/>
    </row>
    <row r="306" spans="2:20">
      <c r="B306" s="1425"/>
      <c r="C306" s="774"/>
      <c r="D306" s="775"/>
      <c r="E306" s="776" t="s">
        <v>185</v>
      </c>
      <c r="F306" s="776" t="s">
        <v>4829</v>
      </c>
      <c r="G306" s="777" t="s">
        <v>2565</v>
      </c>
      <c r="H306" s="783">
        <v>202501202082</v>
      </c>
      <c r="I306" s="777">
        <v>73221344</v>
      </c>
      <c r="J306" s="776" t="s">
        <v>5388</v>
      </c>
      <c r="K306" s="779">
        <v>119000</v>
      </c>
      <c r="L306" s="779">
        <v>99000</v>
      </c>
      <c r="M306" s="779"/>
      <c r="N306" s="780">
        <f t="shared" si="4"/>
        <v>0.16806722689075626</v>
      </c>
      <c r="O306" s="780">
        <v>0.15</v>
      </c>
      <c r="P306" s="777" t="s">
        <v>4449</v>
      </c>
      <c r="Q306" s="781" t="s">
        <v>5389</v>
      </c>
      <c r="R306" s="782"/>
      <c r="S306" s="782"/>
      <c r="T306" s="782"/>
    </row>
    <row r="307" spans="2:20" ht="16.5">
      <c r="B307" s="1425"/>
      <c r="C307" s="774" t="s">
        <v>3247</v>
      </c>
      <c r="D307" s="775" t="s">
        <v>4469</v>
      </c>
      <c r="E307" s="776" t="s">
        <v>264</v>
      </c>
      <c r="F307" s="776" t="s">
        <v>4480</v>
      </c>
      <c r="G307" s="777" t="s">
        <v>5390</v>
      </c>
      <c r="H307" s="917">
        <v>202408089768</v>
      </c>
      <c r="I307" s="777">
        <v>69158099</v>
      </c>
      <c r="J307" s="776" t="s">
        <v>5391</v>
      </c>
      <c r="K307" s="779">
        <v>385000</v>
      </c>
      <c r="L307" s="779">
        <v>36800</v>
      </c>
      <c r="M307" s="779" t="s">
        <v>3247</v>
      </c>
      <c r="N307" s="780">
        <f t="shared" si="4"/>
        <v>0.90441558441558445</v>
      </c>
      <c r="O307" s="780">
        <v>0.18</v>
      </c>
      <c r="P307" s="777" t="s">
        <v>5210</v>
      </c>
      <c r="Q307" s="781" t="s">
        <v>5389</v>
      </c>
      <c r="R307" s="782" t="s">
        <v>5392</v>
      </c>
      <c r="S307" s="782" t="s">
        <v>5393</v>
      </c>
      <c r="T307" s="782"/>
    </row>
    <row r="308" spans="2:20">
      <c r="B308" s="1425"/>
      <c r="C308" s="774" t="s">
        <v>3247</v>
      </c>
      <c r="D308" s="775" t="s">
        <v>4460</v>
      </c>
      <c r="E308" s="776" t="s">
        <v>1109</v>
      </c>
      <c r="F308" s="776" t="s">
        <v>4519</v>
      </c>
      <c r="G308" s="777" t="s">
        <v>4100</v>
      </c>
      <c r="H308" s="783">
        <v>202406218981</v>
      </c>
      <c r="I308" s="777">
        <v>30115357</v>
      </c>
      <c r="J308" s="776" t="s">
        <v>4875</v>
      </c>
      <c r="K308" s="779">
        <v>69900</v>
      </c>
      <c r="L308" s="779">
        <v>53910</v>
      </c>
      <c r="M308" s="779"/>
      <c r="N308" s="780">
        <f t="shared" si="4"/>
        <v>0.22875536480686698</v>
      </c>
      <c r="O308" s="780">
        <v>0.15</v>
      </c>
      <c r="P308" s="777" t="s">
        <v>4449</v>
      </c>
      <c r="Q308" s="781"/>
      <c r="R308" s="782"/>
      <c r="S308" s="782"/>
      <c r="T308" s="782"/>
    </row>
    <row r="309" spans="2:20" ht="12" customHeight="1">
      <c r="B309" s="1425"/>
      <c r="C309" s="774" t="s">
        <v>3247</v>
      </c>
      <c r="D309" s="775" t="s">
        <v>4444</v>
      </c>
      <c r="E309" s="776" t="s">
        <v>795</v>
      </c>
      <c r="F309" s="776" t="s">
        <v>4461</v>
      </c>
      <c r="G309" s="777" t="s">
        <v>4033</v>
      </c>
      <c r="H309" s="901">
        <v>202408089763</v>
      </c>
      <c r="I309" s="889" t="s">
        <v>5394</v>
      </c>
      <c r="J309" s="809" t="s">
        <v>5395</v>
      </c>
      <c r="K309" s="779">
        <v>42900</v>
      </c>
      <c r="L309" s="779">
        <v>35900</v>
      </c>
      <c r="M309" s="779"/>
      <c r="N309" s="812">
        <f t="shared" si="4"/>
        <v>0.1631701631701632</v>
      </c>
      <c r="O309" s="780">
        <v>0.15</v>
      </c>
      <c r="P309" s="777" t="s">
        <v>4449</v>
      </c>
      <c r="Q309" s="781"/>
      <c r="R309" s="782"/>
      <c r="S309" s="782"/>
      <c r="T309" s="782"/>
    </row>
    <row r="310" spans="2:20" ht="12" customHeight="1">
      <c r="B310" s="1425"/>
      <c r="C310" s="762"/>
      <c r="D310" s="763"/>
      <c r="E310" s="764" t="s">
        <v>417</v>
      </c>
      <c r="F310" s="764" t="s">
        <v>4461</v>
      </c>
      <c r="G310" s="771" t="s">
        <v>5396</v>
      </c>
      <c r="H310" s="901">
        <v>202502032286</v>
      </c>
      <c r="I310">
        <v>50447331</v>
      </c>
      <c r="J310" s="939" t="s">
        <v>5397</v>
      </c>
      <c r="K310" s="769">
        <v>26900</v>
      </c>
      <c r="L310" s="769">
        <v>19900</v>
      </c>
      <c r="M310" s="779" t="s">
        <v>3247</v>
      </c>
      <c r="N310" s="812">
        <f t="shared" si="4"/>
        <v>0.2602230483271375</v>
      </c>
      <c r="O310" s="780">
        <v>0.15</v>
      </c>
      <c r="P310" s="777" t="s">
        <v>4449</v>
      </c>
      <c r="Q310" s="853" t="s">
        <v>5398</v>
      </c>
      <c r="R310" s="854"/>
      <c r="S310" s="854"/>
      <c r="T310" s="854"/>
    </row>
    <row r="311" spans="2:20" ht="15" customHeight="1">
      <c r="B311" s="1425"/>
      <c r="C311" s="960" t="s">
        <v>3247</v>
      </c>
      <c r="D311" s="763" t="s">
        <v>4453</v>
      </c>
      <c r="E311" s="939" t="s">
        <v>942</v>
      </c>
      <c r="F311" s="939" t="s">
        <v>4454</v>
      </c>
      <c r="G311" s="871" t="s">
        <v>3970</v>
      </c>
      <c r="H311" s="961">
        <v>202407299607</v>
      </c>
      <c r="I311" s="962">
        <v>30214866</v>
      </c>
      <c r="J311" s="963" t="s">
        <v>5399</v>
      </c>
      <c r="K311" s="964">
        <v>105000</v>
      </c>
      <c r="L311" s="964">
        <v>79900</v>
      </c>
      <c r="M311" s="964"/>
      <c r="N311" s="899">
        <v>0.2</v>
      </c>
      <c r="O311" s="899">
        <v>0.15</v>
      </c>
      <c r="P311" s="871" t="s">
        <v>4449</v>
      </c>
      <c r="Q311" s="904" t="s">
        <v>5400</v>
      </c>
      <c r="R311" s="965" t="s">
        <v>5401</v>
      </c>
      <c r="S311" s="965" t="s">
        <v>5402</v>
      </c>
      <c r="T311" s="965"/>
    </row>
    <row r="312" spans="2:20">
      <c r="B312" s="1429" t="s">
        <v>5403</v>
      </c>
      <c r="C312" s="966" t="s">
        <v>3247</v>
      </c>
      <c r="D312" s="967" t="s">
        <v>4474</v>
      </c>
      <c r="E312" s="968" t="s">
        <v>221</v>
      </c>
      <c r="F312" s="968" t="s">
        <v>4671</v>
      </c>
      <c r="G312" s="969" t="s">
        <v>248</v>
      </c>
      <c r="H312" s="970">
        <v>202412111435</v>
      </c>
      <c r="I312" s="969">
        <v>30207617</v>
      </c>
      <c r="J312" s="968" t="s">
        <v>5404</v>
      </c>
      <c r="K312" s="971">
        <v>3180</v>
      </c>
      <c r="L312" s="971">
        <v>7900</v>
      </c>
      <c r="M312" s="971"/>
      <c r="N312" s="812">
        <f>1-(L312/K312)</f>
        <v>-1.4842767295597485</v>
      </c>
      <c r="O312" s="972">
        <v>0.15</v>
      </c>
      <c r="P312" s="969" t="s">
        <v>4449</v>
      </c>
      <c r="Q312" s="973" t="s">
        <v>5405</v>
      </c>
      <c r="R312" s="974"/>
      <c r="S312" s="974" t="s">
        <v>5406</v>
      </c>
      <c r="T312" s="974"/>
    </row>
    <row r="313" spans="2:20">
      <c r="B313" s="1429"/>
      <c r="C313" s="960" t="s">
        <v>3247</v>
      </c>
      <c r="D313" s="763" t="s">
        <v>4444</v>
      </c>
      <c r="E313" s="939" t="s">
        <v>910</v>
      </c>
      <c r="F313" s="939" t="s">
        <v>4454</v>
      </c>
      <c r="G313" s="871" t="s">
        <v>3452</v>
      </c>
      <c r="H313" s="961">
        <v>202501172044</v>
      </c>
      <c r="I313" s="871">
        <v>30194535</v>
      </c>
      <c r="J313" s="939" t="s">
        <v>5407</v>
      </c>
      <c r="K313" s="964"/>
      <c r="L313" s="964">
        <v>24750</v>
      </c>
      <c r="M313" s="964"/>
      <c r="N313" s="899">
        <v>0.2</v>
      </c>
      <c r="O313" s="899">
        <v>0.2</v>
      </c>
      <c r="P313" s="871" t="s">
        <v>4449</v>
      </c>
      <c r="Q313" s="904"/>
      <c r="R313" s="965"/>
      <c r="S313" s="965" t="s">
        <v>5408</v>
      </c>
      <c r="T313" s="965"/>
    </row>
    <row r="314" spans="2:20" ht="16.5">
      <c r="B314" s="1429"/>
      <c r="C314" s="795" t="s">
        <v>3247</v>
      </c>
      <c r="D314" s="775" t="s">
        <v>4453</v>
      </c>
      <c r="E314" s="809" t="s">
        <v>264</v>
      </c>
      <c r="F314" s="809" t="s">
        <v>4480</v>
      </c>
      <c r="G314" s="810" t="s">
        <v>4597</v>
      </c>
      <c r="H314" s="805">
        <v>202410210622</v>
      </c>
      <c r="I314" s="810">
        <v>68356673</v>
      </c>
      <c r="J314" s="809" t="s">
        <v>5409</v>
      </c>
      <c r="K314" s="859">
        <v>79000</v>
      </c>
      <c r="L314" s="859">
        <v>57600</v>
      </c>
      <c r="M314" s="804" t="s">
        <v>3247</v>
      </c>
      <c r="N314" s="812">
        <f t="shared" ref="N314:N320" si="5">1-(L314/K314)</f>
        <v>0.27088607594936709</v>
      </c>
      <c r="O314" s="812">
        <v>0.15</v>
      </c>
      <c r="P314" s="810" t="s">
        <v>4449</v>
      </c>
      <c r="Q314" s="813" t="s">
        <v>3622</v>
      </c>
      <c r="R314" s="844" t="s">
        <v>5410</v>
      </c>
      <c r="S314" s="844" t="s">
        <v>5411</v>
      </c>
      <c r="T314" s="844"/>
    </row>
    <row r="315" spans="2:20">
      <c r="B315" s="1429"/>
      <c r="C315" s="975"/>
      <c r="D315" s="828" t="s">
        <v>4460</v>
      </c>
      <c r="E315" s="976" t="s">
        <v>1109</v>
      </c>
      <c r="F315" s="976" t="s">
        <v>4519</v>
      </c>
      <c r="G315" s="977" t="s">
        <v>3864</v>
      </c>
      <c r="H315" s="978">
        <v>202409100238</v>
      </c>
      <c r="I315" s="977">
        <v>62685687</v>
      </c>
      <c r="J315" s="976" t="s">
        <v>5412</v>
      </c>
      <c r="K315" s="979"/>
      <c r="L315" s="979"/>
      <c r="M315" s="979"/>
      <c r="N315" s="780" t="e">
        <f t="shared" si="5"/>
        <v>#DIV/0!</v>
      </c>
      <c r="O315" s="980"/>
      <c r="P315" s="977"/>
      <c r="Q315" s="981"/>
      <c r="R315" s="982"/>
      <c r="S315" s="982"/>
      <c r="T315" s="982"/>
    </row>
    <row r="316" spans="2:20">
      <c r="B316" s="1431" t="s">
        <v>5413</v>
      </c>
      <c r="C316" s="960" t="s">
        <v>3247</v>
      </c>
      <c r="D316" s="763"/>
      <c r="E316" s="939" t="s">
        <v>221</v>
      </c>
      <c r="F316" s="939" t="s">
        <v>4671</v>
      </c>
      <c r="G316" s="871" t="s">
        <v>4983</v>
      </c>
      <c r="H316" s="961">
        <v>202501232218</v>
      </c>
      <c r="I316" s="871">
        <v>67565910</v>
      </c>
      <c r="J316" s="939" t="s">
        <v>5414</v>
      </c>
      <c r="K316" s="964">
        <v>21000</v>
      </c>
      <c r="L316" s="964">
        <v>12600</v>
      </c>
      <c r="M316" s="964"/>
      <c r="N316" s="780">
        <f t="shared" si="5"/>
        <v>0.4</v>
      </c>
      <c r="O316" s="899">
        <v>0.15</v>
      </c>
      <c r="P316" s="871" t="s">
        <v>4449</v>
      </c>
      <c r="Q316" s="904"/>
      <c r="R316" s="965"/>
      <c r="S316" s="965" t="s">
        <v>5415</v>
      </c>
      <c r="T316" s="965"/>
    </row>
    <row r="317" spans="2:20">
      <c r="B317" s="1431"/>
      <c r="C317" s="774"/>
      <c r="D317" s="775" t="s">
        <v>4469</v>
      </c>
      <c r="E317" s="776" t="s">
        <v>165</v>
      </c>
      <c r="F317" s="776" t="s">
        <v>4560</v>
      </c>
      <c r="G317" s="777" t="s">
        <v>4213</v>
      </c>
      <c r="H317" s="783">
        <v>202207052857</v>
      </c>
      <c r="I317" s="810">
        <v>30094711</v>
      </c>
      <c r="J317" s="809" t="s">
        <v>5416</v>
      </c>
      <c r="K317" s="779"/>
      <c r="L317" s="779"/>
      <c r="M317" s="779"/>
      <c r="N317" s="780" t="e">
        <f t="shared" si="5"/>
        <v>#DIV/0!</v>
      </c>
      <c r="O317" s="780"/>
      <c r="P317" s="777"/>
      <c r="Q317" s="781"/>
      <c r="R317" s="782"/>
      <c r="S317" s="782"/>
      <c r="T317" s="782"/>
    </row>
    <row r="318" spans="2:20">
      <c r="B318" s="1431"/>
      <c r="C318" s="774"/>
      <c r="D318" s="775" t="s">
        <v>4444</v>
      </c>
      <c r="E318" s="776" t="s">
        <v>185</v>
      </c>
      <c r="F318" s="776" t="s">
        <v>4829</v>
      </c>
      <c r="G318" s="777" t="s">
        <v>5340</v>
      </c>
      <c r="H318" s="783">
        <v>202501202084</v>
      </c>
      <c r="I318" s="777">
        <v>11139545</v>
      </c>
      <c r="J318" s="776" t="s">
        <v>5417</v>
      </c>
      <c r="K318" s="779">
        <v>32900</v>
      </c>
      <c r="L318" s="779">
        <v>24900</v>
      </c>
      <c r="M318" s="779"/>
      <c r="N318" s="780">
        <f t="shared" si="5"/>
        <v>0.24316109422492405</v>
      </c>
      <c r="O318" s="780">
        <v>0.15</v>
      </c>
      <c r="P318" s="777" t="s">
        <v>4449</v>
      </c>
      <c r="Q318" s="781" t="s">
        <v>5389</v>
      </c>
      <c r="R318" s="782"/>
      <c r="S318" s="782"/>
      <c r="T318" s="782"/>
    </row>
    <row r="319" spans="2:20" ht="16.5">
      <c r="B319" s="1431"/>
      <c r="C319" s="774" t="s">
        <v>3247</v>
      </c>
      <c r="D319" s="775"/>
      <c r="E319" s="776" t="s">
        <v>264</v>
      </c>
      <c r="F319" s="776" t="s">
        <v>4480</v>
      </c>
      <c r="G319" s="777" t="s">
        <v>5418</v>
      </c>
      <c r="H319" s="671">
        <v>202409300450</v>
      </c>
      <c r="I319" s="777" t="s">
        <v>5419</v>
      </c>
      <c r="J319" s="776" t="s">
        <v>5420</v>
      </c>
      <c r="K319" s="796">
        <v>128000</v>
      </c>
      <c r="L319" s="796">
        <v>47520</v>
      </c>
      <c r="M319" s="779"/>
      <c r="N319" s="780">
        <f t="shared" si="5"/>
        <v>0.62874999999999992</v>
      </c>
      <c r="O319" s="780">
        <v>0.16</v>
      </c>
      <c r="P319" s="777" t="s">
        <v>4449</v>
      </c>
      <c r="Q319" s="781" t="s">
        <v>5389</v>
      </c>
      <c r="R319" s="782"/>
      <c r="S319" s="782" t="s">
        <v>5421</v>
      </c>
      <c r="T319" s="782"/>
    </row>
    <row r="320" spans="2:20">
      <c r="B320" s="1431"/>
      <c r="C320" s="774" t="s">
        <v>3247</v>
      </c>
      <c r="D320" s="775"/>
      <c r="E320" s="776" t="s">
        <v>1109</v>
      </c>
      <c r="F320" s="776" t="s">
        <v>4519</v>
      </c>
      <c r="G320" s="777" t="s">
        <v>4384</v>
      </c>
      <c r="H320" s="783">
        <v>202501222196</v>
      </c>
      <c r="I320" s="777">
        <v>30143814</v>
      </c>
      <c r="J320" s="776" t="s">
        <v>5141</v>
      </c>
      <c r="K320" s="779">
        <v>25800</v>
      </c>
      <c r="L320" s="779">
        <v>21980</v>
      </c>
      <c r="M320" s="779"/>
      <c r="N320" s="780">
        <f t="shared" si="5"/>
        <v>0.14806201550387599</v>
      </c>
      <c r="O320" s="780"/>
      <c r="P320" s="777"/>
      <c r="Q320" s="781"/>
      <c r="R320" s="782"/>
      <c r="S320" s="782"/>
      <c r="T320" s="782"/>
    </row>
    <row r="321" spans="2:20" ht="16.5">
      <c r="B321" s="1431"/>
      <c r="C321" s="774" t="s">
        <v>3247</v>
      </c>
      <c r="D321" s="775" t="s">
        <v>4474</v>
      </c>
      <c r="E321" s="776" t="s">
        <v>137</v>
      </c>
      <c r="F321" s="776" t="s">
        <v>4445</v>
      </c>
      <c r="G321" s="777" t="s">
        <v>4414</v>
      </c>
      <c r="H321" s="901">
        <v>202409240350</v>
      </c>
      <c r="I321" s="777">
        <v>30199354</v>
      </c>
      <c r="J321" s="776" t="s">
        <v>4988</v>
      </c>
      <c r="K321" s="779">
        <v>119000</v>
      </c>
      <c r="L321" s="779">
        <v>49000</v>
      </c>
      <c r="M321" s="779" t="s">
        <v>3247</v>
      </c>
      <c r="N321" s="780">
        <v>0.59</v>
      </c>
      <c r="O321" s="780">
        <v>0.1</v>
      </c>
      <c r="P321" s="777" t="s">
        <v>4449</v>
      </c>
      <c r="Q321" s="781" t="s">
        <v>5422</v>
      </c>
      <c r="R321" s="782" t="s">
        <v>5423</v>
      </c>
      <c r="S321" s="782" t="s">
        <v>5424</v>
      </c>
      <c r="T321" s="782"/>
    </row>
    <row r="322" spans="2:20">
      <c r="B322" s="1431"/>
      <c r="C322" s="774"/>
      <c r="D322" s="775" t="s">
        <v>4453</v>
      </c>
      <c r="E322" s="776" t="s">
        <v>4084</v>
      </c>
      <c r="F322" s="776" t="s">
        <v>3979</v>
      </c>
      <c r="G322" s="777" t="s">
        <v>3979</v>
      </c>
      <c r="H322" s="783">
        <v>202501232220</v>
      </c>
      <c r="I322" s="983">
        <v>30182434</v>
      </c>
      <c r="J322" s="801" t="s">
        <v>5425</v>
      </c>
      <c r="K322" s="779">
        <v>440900</v>
      </c>
      <c r="L322" s="779">
        <v>370000</v>
      </c>
      <c r="M322" s="779" t="s">
        <v>3247</v>
      </c>
      <c r="N322" s="780">
        <f>1-(L322/K322)</f>
        <v>0.16080743932864594</v>
      </c>
      <c r="O322" s="780">
        <v>0.1</v>
      </c>
      <c r="P322" s="777" t="s">
        <v>4449</v>
      </c>
      <c r="Q322" s="781" t="s">
        <v>5426</v>
      </c>
      <c r="R322" s="782" t="s">
        <v>5427</v>
      </c>
      <c r="S322" s="782" t="s">
        <v>3979</v>
      </c>
      <c r="T322" s="782"/>
    </row>
    <row r="323" spans="2:20">
      <c r="B323" s="1431"/>
      <c r="C323" s="774"/>
      <c r="D323" s="775" t="s">
        <v>4460</v>
      </c>
      <c r="E323" s="776" t="s">
        <v>795</v>
      </c>
      <c r="F323" s="776" t="s">
        <v>4461</v>
      </c>
      <c r="G323" s="777" t="s">
        <v>3539</v>
      </c>
      <c r="H323" s="984">
        <v>202411161020</v>
      </c>
      <c r="I323" s="777">
        <v>30164883</v>
      </c>
      <c r="J323" s="776" t="s">
        <v>5428</v>
      </c>
      <c r="K323" s="779"/>
      <c r="L323" s="779">
        <v>32900</v>
      </c>
      <c r="M323" s="779"/>
      <c r="N323" s="780" t="e">
        <f>1-(L323/K323)</f>
        <v>#DIV/0!</v>
      </c>
      <c r="O323" s="780">
        <v>0.15</v>
      </c>
      <c r="P323" s="777" t="s">
        <v>4449</v>
      </c>
      <c r="Q323" s="781" t="s">
        <v>5429</v>
      </c>
      <c r="R323" s="782"/>
      <c r="S323" s="782"/>
      <c r="T323" s="782"/>
    </row>
    <row r="324" spans="2:20">
      <c r="B324" s="1428" t="s">
        <v>5430</v>
      </c>
      <c r="C324" s="1428"/>
      <c r="D324" s="1428"/>
      <c r="E324" s="1428"/>
      <c r="F324" s="1428"/>
      <c r="G324" s="1428"/>
      <c r="H324" s="1428"/>
      <c r="I324" s="1428"/>
      <c r="J324" s="1428"/>
      <c r="K324" s="864"/>
      <c r="L324" s="865"/>
      <c r="M324" s="865"/>
      <c r="N324" s="866"/>
      <c r="O324" s="867"/>
      <c r="P324" s="868"/>
      <c r="Q324" s="869"/>
      <c r="R324" s="870"/>
      <c r="S324" s="870"/>
      <c r="T324" s="870"/>
    </row>
    <row r="325" spans="2:20" ht="13.5" customHeight="1">
      <c r="B325" s="1420" t="s">
        <v>5431</v>
      </c>
      <c r="C325" s="785"/>
      <c r="D325" s="786" t="s">
        <v>4474</v>
      </c>
      <c r="E325" s="787" t="s">
        <v>185</v>
      </c>
      <c r="F325" s="787" t="s">
        <v>4829</v>
      </c>
      <c r="G325" s="788" t="s">
        <v>3890</v>
      </c>
      <c r="H325" s="797">
        <v>202501202087</v>
      </c>
      <c r="I325" s="788">
        <v>30208304</v>
      </c>
      <c r="J325" s="815" t="s">
        <v>5432</v>
      </c>
      <c r="K325" s="790">
        <v>52000</v>
      </c>
      <c r="L325" s="790">
        <v>41600</v>
      </c>
      <c r="M325" s="779" t="s">
        <v>3247</v>
      </c>
      <c r="N325" s="791">
        <f>1-(L325/K325)</f>
        <v>0.19999999999999996</v>
      </c>
      <c r="O325" s="791">
        <v>0.15</v>
      </c>
      <c r="P325" s="788" t="s">
        <v>4449</v>
      </c>
      <c r="Q325" s="792" t="s">
        <v>5433</v>
      </c>
      <c r="R325" s="793" t="s">
        <v>5434</v>
      </c>
      <c r="S325" s="793"/>
      <c r="T325" s="793"/>
    </row>
    <row r="326" spans="2:20" ht="13.5" customHeight="1">
      <c r="B326" s="1420"/>
      <c r="C326" s="774" t="s">
        <v>3247</v>
      </c>
      <c r="D326" s="775"/>
      <c r="E326" s="776" t="s">
        <v>137</v>
      </c>
      <c r="F326" s="776" t="s">
        <v>4603</v>
      </c>
      <c r="G326" s="777" t="s">
        <v>4042</v>
      </c>
      <c r="H326" s="808">
        <v>202502052304</v>
      </c>
      <c r="I326" s="777">
        <v>76850411</v>
      </c>
      <c r="J326" s="776" t="s">
        <v>5435</v>
      </c>
      <c r="K326" s="779">
        <v>219000</v>
      </c>
      <c r="L326" s="779">
        <v>137900</v>
      </c>
      <c r="M326" s="779" t="s">
        <v>3247</v>
      </c>
      <c r="N326" s="780">
        <v>0.3</v>
      </c>
      <c r="O326" s="780">
        <v>0.4</v>
      </c>
      <c r="P326" s="777" t="s">
        <v>4449</v>
      </c>
      <c r="Q326" s="781" t="s">
        <v>5436</v>
      </c>
      <c r="R326" s="782" t="s">
        <v>5437</v>
      </c>
      <c r="S326" s="782"/>
      <c r="T326" s="782"/>
    </row>
    <row r="327" spans="2:20" ht="13.5" customHeight="1">
      <c r="B327" s="1420"/>
      <c r="C327" s="774"/>
      <c r="D327" s="775"/>
      <c r="E327" s="776" t="s">
        <v>331</v>
      </c>
      <c r="F327" s="776" t="s">
        <v>5080</v>
      </c>
      <c r="G327" s="777" t="s">
        <v>3553</v>
      </c>
      <c r="H327" s="783" t="s">
        <v>1555</v>
      </c>
      <c r="I327" s="810">
        <v>77004663</v>
      </c>
      <c r="J327" s="846" t="s">
        <v>5438</v>
      </c>
      <c r="K327" s="985">
        <v>169000</v>
      </c>
      <c r="L327" s="985"/>
      <c r="M327" s="779"/>
      <c r="N327" s="780">
        <f>1-(L327/K327)</f>
        <v>1</v>
      </c>
      <c r="O327" s="780">
        <v>0.25</v>
      </c>
      <c r="P327" s="777" t="s">
        <v>4449</v>
      </c>
      <c r="Q327" s="781"/>
      <c r="R327" s="782"/>
      <c r="S327" s="782"/>
      <c r="T327" s="782"/>
    </row>
    <row r="328" spans="2:20" ht="13.5" customHeight="1">
      <c r="B328" s="1420"/>
      <c r="C328" s="774"/>
      <c r="D328" s="775" t="s">
        <v>4460</v>
      </c>
      <c r="E328" s="776" t="s">
        <v>417</v>
      </c>
      <c r="F328" s="776" t="s">
        <v>4461</v>
      </c>
      <c r="G328" s="777" t="s">
        <v>5439</v>
      </c>
      <c r="H328" s="783">
        <v>202501222200</v>
      </c>
      <c r="I328" s="777">
        <v>76914491</v>
      </c>
      <c r="J328" s="887" t="s">
        <v>5440</v>
      </c>
      <c r="K328" s="779">
        <v>18000</v>
      </c>
      <c r="L328" s="779">
        <v>12600</v>
      </c>
      <c r="M328" s="779" t="s">
        <v>3247</v>
      </c>
      <c r="N328" s="822">
        <f>1-(L328/K328)</f>
        <v>0.30000000000000004</v>
      </c>
      <c r="O328" s="780">
        <v>0.1</v>
      </c>
      <c r="P328" s="777" t="s">
        <v>4449</v>
      </c>
      <c r="Q328" s="781" t="s">
        <v>5441</v>
      </c>
      <c r="R328" s="782"/>
      <c r="S328" s="782"/>
      <c r="T328" s="782">
        <v>100</v>
      </c>
    </row>
    <row r="329" spans="2:20" ht="13.5" customHeight="1">
      <c r="B329" s="1420"/>
      <c r="C329" s="774" t="s">
        <v>3247</v>
      </c>
      <c r="D329" s="775" t="s">
        <v>4469</v>
      </c>
      <c r="E329" s="776" t="s">
        <v>910</v>
      </c>
      <c r="F329" s="776" t="s">
        <v>4454</v>
      </c>
      <c r="G329" s="777" t="s">
        <v>3445</v>
      </c>
      <c r="H329" s="811">
        <v>202308032684</v>
      </c>
      <c r="I329" s="777">
        <v>30195112</v>
      </c>
      <c r="J329" s="776" t="s">
        <v>4666</v>
      </c>
      <c r="K329" s="779">
        <v>88000</v>
      </c>
      <c r="L329" s="779">
        <v>66000</v>
      </c>
      <c r="M329" s="804" t="s">
        <v>3247</v>
      </c>
      <c r="N329" s="780">
        <v>0.25</v>
      </c>
      <c r="O329" s="780">
        <v>0.3</v>
      </c>
      <c r="P329" s="777" t="s">
        <v>4449</v>
      </c>
      <c r="Q329" s="781" t="s">
        <v>5442</v>
      </c>
      <c r="R329" s="782"/>
      <c r="S329" s="782"/>
      <c r="T329" s="782"/>
    </row>
    <row r="330" spans="2:20" ht="13.5" customHeight="1">
      <c r="B330" s="1420"/>
      <c r="C330" s="774" t="s">
        <v>3247</v>
      </c>
      <c r="D330" s="775"/>
      <c r="E330" s="776" t="s">
        <v>264</v>
      </c>
      <c r="F330" s="776" t="s">
        <v>4480</v>
      </c>
      <c r="G330" s="777" t="s">
        <v>3270</v>
      </c>
      <c r="H330" s="805">
        <v>202307212431</v>
      </c>
      <c r="I330" s="777">
        <v>72512939</v>
      </c>
      <c r="J330" s="776" t="s">
        <v>5443</v>
      </c>
      <c r="K330" s="779">
        <v>29900</v>
      </c>
      <c r="L330" s="779">
        <v>27500</v>
      </c>
      <c r="M330" s="779" t="s">
        <v>3247</v>
      </c>
      <c r="N330" s="822">
        <f>1-(L330/K330)</f>
        <v>8.026755852842804E-2</v>
      </c>
      <c r="O330" s="780">
        <v>0.15</v>
      </c>
      <c r="P330" s="777" t="s">
        <v>4449</v>
      </c>
      <c r="Q330" s="781" t="s">
        <v>5444</v>
      </c>
      <c r="R330" s="782" t="s">
        <v>5445</v>
      </c>
      <c r="S330" s="782" t="s">
        <v>5446</v>
      </c>
      <c r="T330" s="782"/>
    </row>
    <row r="331" spans="2:20" ht="13.5" customHeight="1">
      <c r="B331" s="1420"/>
      <c r="C331" s="774"/>
      <c r="D331" s="775"/>
      <c r="E331" s="809" t="s">
        <v>221</v>
      </c>
      <c r="F331" s="809" t="s">
        <v>4671</v>
      </c>
      <c r="G331" s="810" t="s">
        <v>5447</v>
      </c>
      <c r="H331" s="811">
        <v>202411080913</v>
      </c>
      <c r="I331" s="810">
        <v>55017545</v>
      </c>
      <c r="J331" s="809" t="s">
        <v>1176</v>
      </c>
      <c r="K331" s="804">
        <v>54900</v>
      </c>
      <c r="L331" s="804">
        <v>22900</v>
      </c>
      <c r="M331" s="804" t="s">
        <v>3247</v>
      </c>
      <c r="N331" s="812">
        <v>0.58287795992714031</v>
      </c>
      <c r="O331" s="812">
        <v>0.15</v>
      </c>
      <c r="P331" s="810" t="s">
        <v>4449</v>
      </c>
      <c r="Q331" s="813"/>
      <c r="R331" s="844"/>
      <c r="S331" s="844" t="s">
        <v>5448</v>
      </c>
      <c r="T331" s="782"/>
    </row>
    <row r="332" spans="2:20" ht="13.5" customHeight="1">
      <c r="B332" s="1420"/>
      <c r="C332" s="774"/>
      <c r="D332" s="775"/>
      <c r="E332" s="809" t="s">
        <v>221</v>
      </c>
      <c r="F332" s="809" t="s">
        <v>4454</v>
      </c>
      <c r="G332" s="810" t="s">
        <v>3295</v>
      </c>
      <c r="H332" s="811">
        <v>202312044999</v>
      </c>
      <c r="I332" s="810">
        <v>30151776</v>
      </c>
      <c r="J332" s="809" t="s">
        <v>5449</v>
      </c>
      <c r="K332" s="804">
        <v>6200</v>
      </c>
      <c r="L332" s="804">
        <v>5890</v>
      </c>
      <c r="M332" s="804"/>
      <c r="N332" s="812">
        <v>5.0000000000000044E-2</v>
      </c>
      <c r="O332" s="812">
        <v>0.15</v>
      </c>
      <c r="P332" s="810" t="s">
        <v>4449</v>
      </c>
      <c r="Q332" s="813" t="s">
        <v>5450</v>
      </c>
      <c r="R332" s="844"/>
      <c r="S332" s="844" t="s">
        <v>5451</v>
      </c>
      <c r="T332" s="782"/>
    </row>
    <row r="333" spans="2:20" ht="13.5" customHeight="1">
      <c r="B333" s="1420"/>
      <c r="C333" s="774"/>
      <c r="D333" s="775" t="s">
        <v>4453</v>
      </c>
      <c r="E333" s="856" t="s">
        <v>942</v>
      </c>
      <c r="F333" s="856" t="s">
        <v>4084</v>
      </c>
      <c r="G333" s="857" t="s">
        <v>4085</v>
      </c>
      <c r="H333" s="940">
        <v>202502042294</v>
      </c>
      <c r="I333" s="857">
        <v>60995465</v>
      </c>
      <c r="J333" s="986" t="s">
        <v>5452</v>
      </c>
      <c r="K333" s="804">
        <v>899000</v>
      </c>
      <c r="L333" s="804">
        <v>579000</v>
      </c>
      <c r="M333" s="804" t="s">
        <v>3247</v>
      </c>
      <c r="N333" s="812">
        <v>0.4</v>
      </c>
      <c r="O333" s="812">
        <v>0.15</v>
      </c>
      <c r="P333" s="810" t="s">
        <v>4449</v>
      </c>
      <c r="Q333" s="813" t="s">
        <v>5453</v>
      </c>
      <c r="R333" s="844" t="s">
        <v>5454</v>
      </c>
      <c r="S333" s="844" t="s">
        <v>5455</v>
      </c>
      <c r="T333" s="782"/>
    </row>
    <row r="334" spans="2:20" ht="13.5" customHeight="1">
      <c r="B334" s="1420"/>
      <c r="C334" s="774" t="s">
        <v>3247</v>
      </c>
      <c r="D334" s="775" t="s">
        <v>4444</v>
      </c>
      <c r="E334" s="776" t="s">
        <v>795</v>
      </c>
      <c r="F334" s="776" t="s">
        <v>4461</v>
      </c>
      <c r="G334" s="777" t="s">
        <v>3541</v>
      </c>
      <c r="H334" s="901">
        <v>202501151980</v>
      </c>
      <c r="I334" s="777">
        <v>49377232</v>
      </c>
      <c r="J334" s="887" t="s">
        <v>5456</v>
      </c>
      <c r="K334" s="779"/>
      <c r="L334" s="779">
        <f>9900*0.9</f>
        <v>8910</v>
      </c>
      <c r="M334" s="779"/>
      <c r="N334" s="780"/>
      <c r="O334" s="780">
        <v>0.15</v>
      </c>
      <c r="P334" s="810" t="s">
        <v>4449</v>
      </c>
      <c r="Q334" s="781"/>
      <c r="R334" s="782" t="s">
        <v>5457</v>
      </c>
      <c r="S334" s="782" t="s">
        <v>5458</v>
      </c>
      <c r="T334" s="782">
        <v>25</v>
      </c>
    </row>
    <row r="335" spans="2:20" ht="13.5" customHeight="1">
      <c r="B335" s="1420" t="s">
        <v>5459</v>
      </c>
      <c r="C335" s="785" t="s">
        <v>3247</v>
      </c>
      <c r="D335" s="786"/>
      <c r="E335" s="787" t="s">
        <v>185</v>
      </c>
      <c r="F335" s="787" t="s">
        <v>4829</v>
      </c>
      <c r="G335" s="788" t="s">
        <v>3674</v>
      </c>
      <c r="H335" s="797">
        <v>202501202088</v>
      </c>
      <c r="I335" s="819">
        <v>67039699</v>
      </c>
      <c r="J335" s="818" t="s">
        <v>5460</v>
      </c>
      <c r="K335" s="790">
        <v>39000</v>
      </c>
      <c r="L335" s="790">
        <v>22330</v>
      </c>
      <c r="M335" s="790"/>
      <c r="N335" s="791">
        <f>1-(L335/K335)</f>
        <v>0.42743589743589738</v>
      </c>
      <c r="O335" s="791">
        <v>0.15</v>
      </c>
      <c r="P335" s="788" t="s">
        <v>4449</v>
      </c>
      <c r="Q335" s="792" t="s">
        <v>5083</v>
      </c>
      <c r="R335" s="793" t="s">
        <v>5461</v>
      </c>
      <c r="S335" s="793"/>
      <c r="T335" s="793"/>
    </row>
    <row r="336" spans="2:20" ht="13.5" customHeight="1">
      <c r="B336" s="1420"/>
      <c r="C336" s="774"/>
      <c r="D336" s="775" t="s">
        <v>4474</v>
      </c>
      <c r="E336" s="776" t="s">
        <v>417</v>
      </c>
      <c r="F336" s="776" t="s">
        <v>4461</v>
      </c>
      <c r="G336" s="777" t="s">
        <v>3690</v>
      </c>
      <c r="H336" s="798">
        <v>202411110937</v>
      </c>
      <c r="I336" s="777">
        <v>63764633</v>
      </c>
      <c r="J336" s="987" t="s">
        <v>5462</v>
      </c>
      <c r="K336" s="779">
        <v>28800</v>
      </c>
      <c r="L336" s="779">
        <v>13900</v>
      </c>
      <c r="M336" s="804" t="s">
        <v>3247</v>
      </c>
      <c r="N336" s="780">
        <v>0.52</v>
      </c>
      <c r="O336" s="780">
        <v>0.17</v>
      </c>
      <c r="P336" s="777" t="s">
        <v>4449</v>
      </c>
      <c r="Q336" s="781" t="s">
        <v>5463</v>
      </c>
      <c r="R336" s="782"/>
      <c r="S336" s="782"/>
      <c r="T336" s="782"/>
    </row>
    <row r="337" spans="1:21" ht="13.5" customHeight="1">
      <c r="B337" s="1420"/>
      <c r="C337" s="774" t="s">
        <v>3247</v>
      </c>
      <c r="D337" s="775" t="s">
        <v>4453</v>
      </c>
      <c r="E337" s="776" t="s">
        <v>910</v>
      </c>
      <c r="F337" s="776" t="s">
        <v>4454</v>
      </c>
      <c r="G337" s="777" t="s">
        <v>5464</v>
      </c>
      <c r="H337" s="778">
        <v>202405228395</v>
      </c>
      <c r="I337" s="777">
        <v>48826009</v>
      </c>
      <c r="J337" s="776" t="s">
        <v>5465</v>
      </c>
      <c r="K337" s="779">
        <v>20000</v>
      </c>
      <c r="L337" s="779">
        <v>7900</v>
      </c>
      <c r="M337" s="779" t="s">
        <v>3247</v>
      </c>
      <c r="N337" s="780">
        <f>1-(L337/K337)</f>
        <v>0.60499999999999998</v>
      </c>
      <c r="O337" s="780">
        <v>0.15</v>
      </c>
      <c r="P337" s="777" t="s">
        <v>4449</v>
      </c>
      <c r="Q337" s="781" t="s">
        <v>5466</v>
      </c>
      <c r="R337" s="782" t="s">
        <v>5467</v>
      </c>
      <c r="S337" s="782" t="s">
        <v>5468</v>
      </c>
      <c r="T337" s="782"/>
    </row>
    <row r="338" spans="1:21" ht="13.5" customHeight="1">
      <c r="A338" s="825"/>
      <c r="B338" s="1420"/>
      <c r="C338" s="774" t="s">
        <v>3247</v>
      </c>
      <c r="D338" s="775" t="s">
        <v>4469</v>
      </c>
      <c r="E338" s="809" t="s">
        <v>264</v>
      </c>
      <c r="F338" s="809" t="s">
        <v>4480</v>
      </c>
      <c r="G338" s="810" t="s">
        <v>5005</v>
      </c>
      <c r="H338" s="917">
        <v>202407239503</v>
      </c>
      <c r="I338" s="810">
        <v>70150467</v>
      </c>
      <c r="J338" s="809" t="s">
        <v>5469</v>
      </c>
      <c r="K338" s="804">
        <v>138000</v>
      </c>
      <c r="L338" s="804">
        <v>34900</v>
      </c>
      <c r="M338" s="804" t="s">
        <v>3247</v>
      </c>
      <c r="N338" s="780">
        <f>1-(L338/K338)</f>
        <v>0.74710144927536226</v>
      </c>
      <c r="O338" s="812">
        <v>0.28000000000000003</v>
      </c>
      <c r="P338" s="810" t="s">
        <v>4449</v>
      </c>
      <c r="Q338" s="813" t="s">
        <v>5470</v>
      </c>
      <c r="R338" s="844" t="s">
        <v>5471</v>
      </c>
      <c r="S338" s="844" t="s">
        <v>5472</v>
      </c>
      <c r="T338" s="844"/>
      <c r="U338" s="825"/>
    </row>
    <row r="339" spans="1:21" ht="13.5" customHeight="1">
      <c r="B339" s="1420"/>
      <c r="C339" s="774"/>
      <c r="D339" s="775"/>
      <c r="E339" s="776" t="s">
        <v>221</v>
      </c>
      <c r="F339" s="776" t="s">
        <v>4671</v>
      </c>
      <c r="G339" s="777" t="s">
        <v>222</v>
      </c>
      <c r="H339" s="783">
        <v>202210125349</v>
      </c>
      <c r="I339" s="777">
        <v>30199618</v>
      </c>
      <c r="J339" s="776" t="s">
        <v>5473</v>
      </c>
      <c r="K339" s="779">
        <v>99900</v>
      </c>
      <c r="L339" s="779">
        <v>56910</v>
      </c>
      <c r="M339" s="804" t="s">
        <v>3247</v>
      </c>
      <c r="N339" s="780">
        <v>0.40040040040040037</v>
      </c>
      <c r="O339" s="780">
        <v>0.15</v>
      </c>
      <c r="P339" s="777" t="s">
        <v>4449</v>
      </c>
      <c r="Q339" s="781" t="s">
        <v>5474</v>
      </c>
      <c r="R339" s="782"/>
      <c r="S339" s="782" t="s">
        <v>5475</v>
      </c>
      <c r="T339" s="782"/>
    </row>
    <row r="340" spans="1:21" ht="13.5" customHeight="1">
      <c r="B340" s="1420"/>
      <c r="C340" s="774"/>
      <c r="D340" s="775"/>
      <c r="E340" s="776" t="s">
        <v>221</v>
      </c>
      <c r="F340" s="776" t="s">
        <v>4454</v>
      </c>
      <c r="G340" s="777" t="s">
        <v>4783</v>
      </c>
      <c r="H340" s="778">
        <v>202412191629</v>
      </c>
      <c r="I340" s="777">
        <v>30026813</v>
      </c>
      <c r="J340" s="776" t="s">
        <v>5476</v>
      </c>
      <c r="K340" s="779">
        <v>14500</v>
      </c>
      <c r="L340" s="779">
        <v>9900</v>
      </c>
      <c r="M340" s="779"/>
      <c r="N340" s="780">
        <v>0.3172413793103448</v>
      </c>
      <c r="O340" s="780">
        <v>0.15</v>
      </c>
      <c r="P340" s="777" t="s">
        <v>4449</v>
      </c>
      <c r="Q340" s="781"/>
      <c r="R340" s="782"/>
      <c r="S340" s="782" t="s">
        <v>5477</v>
      </c>
      <c r="T340" s="782"/>
    </row>
    <row r="341" spans="1:21" ht="13.5" customHeight="1">
      <c r="B341" s="1420"/>
      <c r="C341" s="774" t="s">
        <v>3247</v>
      </c>
      <c r="D341" s="775" t="s">
        <v>4460</v>
      </c>
      <c r="E341" s="776" t="s">
        <v>477</v>
      </c>
      <c r="F341" s="776" t="s">
        <v>5041</v>
      </c>
      <c r="G341" s="777" t="s">
        <v>3682</v>
      </c>
      <c r="H341" s="783">
        <v>202502052318</v>
      </c>
      <c r="I341" s="777">
        <v>30162687</v>
      </c>
      <c r="J341" s="776" t="s">
        <v>5042</v>
      </c>
      <c r="K341" s="779">
        <v>39900</v>
      </c>
      <c r="L341" s="779">
        <v>31900</v>
      </c>
      <c r="M341" s="804" t="s">
        <v>3247</v>
      </c>
      <c r="N341" s="780">
        <f>1-(L341/K341)</f>
        <v>0.20050125313283207</v>
      </c>
      <c r="O341" s="780">
        <v>0.25</v>
      </c>
      <c r="P341" s="777" t="s">
        <v>4449</v>
      </c>
      <c r="Q341" s="781" t="s">
        <v>5478</v>
      </c>
      <c r="R341" s="782"/>
      <c r="S341" s="782"/>
      <c r="T341" s="782"/>
    </row>
    <row r="342" spans="1:21" ht="13.5" customHeight="1">
      <c r="B342" s="1420"/>
      <c r="C342" s="774" t="s">
        <v>3247</v>
      </c>
      <c r="D342" s="775" t="s">
        <v>4444</v>
      </c>
      <c r="E342" s="776" t="s">
        <v>1109</v>
      </c>
      <c r="F342" s="776" t="s">
        <v>4519</v>
      </c>
      <c r="G342" s="777" t="s">
        <v>4107</v>
      </c>
      <c r="H342" s="783">
        <v>202412031274</v>
      </c>
      <c r="I342" s="777">
        <v>30209220</v>
      </c>
      <c r="J342" s="776" t="s">
        <v>5479</v>
      </c>
      <c r="K342" s="779">
        <v>41100</v>
      </c>
      <c r="L342" s="779">
        <v>26780</v>
      </c>
      <c r="M342" s="779"/>
      <c r="N342" s="780">
        <f>1-(L342/K342)</f>
        <v>0.34841849148418491</v>
      </c>
      <c r="O342" s="780">
        <v>0.15</v>
      </c>
      <c r="P342" s="777" t="s">
        <v>4449</v>
      </c>
      <c r="Q342" s="781" t="s">
        <v>5480</v>
      </c>
      <c r="R342" s="782"/>
      <c r="S342" s="782"/>
      <c r="T342" s="782"/>
    </row>
    <row r="343" spans="1:21" ht="13.5" customHeight="1">
      <c r="B343" s="1420" t="s">
        <v>5481</v>
      </c>
      <c r="C343" s="785"/>
      <c r="D343" s="786" t="s">
        <v>4453</v>
      </c>
      <c r="E343" s="787" t="s">
        <v>185</v>
      </c>
      <c r="F343" s="787" t="s">
        <v>4829</v>
      </c>
      <c r="G343" s="788" t="s">
        <v>3804</v>
      </c>
      <c r="H343" s="797">
        <v>202501312285</v>
      </c>
      <c r="I343" s="788">
        <v>30216086</v>
      </c>
      <c r="J343" s="787" t="s">
        <v>5482</v>
      </c>
      <c r="K343" s="790">
        <v>233200</v>
      </c>
      <c r="L343" s="790">
        <v>129900</v>
      </c>
      <c r="M343" s="790" t="s">
        <v>3247</v>
      </c>
      <c r="N343" s="791">
        <f>1-(L343/K343)</f>
        <v>0.442967409948542</v>
      </c>
      <c r="O343" s="791">
        <v>0.15</v>
      </c>
      <c r="P343" s="788" t="s">
        <v>4449</v>
      </c>
      <c r="Q343" s="792" t="s">
        <v>5483</v>
      </c>
      <c r="R343" s="793"/>
      <c r="S343" s="793"/>
      <c r="T343" s="793"/>
    </row>
    <row r="344" spans="1:21" ht="13.5" customHeight="1">
      <c r="B344" s="1420"/>
      <c r="C344" s="774"/>
      <c r="D344" s="775" t="s">
        <v>4474</v>
      </c>
      <c r="E344" s="776" t="s">
        <v>32</v>
      </c>
      <c r="F344" s="776" t="s">
        <v>4084</v>
      </c>
      <c r="G344" s="777" t="s">
        <v>4659</v>
      </c>
      <c r="H344" s="820" t="s">
        <v>5484</v>
      </c>
      <c r="I344" s="777"/>
      <c r="J344" s="776" t="s">
        <v>5485</v>
      </c>
      <c r="K344" s="779"/>
      <c r="L344" s="779">
        <v>1600000</v>
      </c>
      <c r="M344" s="779"/>
      <c r="N344" s="780"/>
      <c r="O344" s="780">
        <v>7.0000000000000007E-2</v>
      </c>
      <c r="P344" s="777" t="s">
        <v>4449</v>
      </c>
      <c r="Q344" s="781" t="s">
        <v>5486</v>
      </c>
      <c r="R344" s="782"/>
      <c r="S344" s="782"/>
      <c r="T344" s="782"/>
    </row>
    <row r="345" spans="1:21" ht="13.5" customHeight="1">
      <c r="B345" s="1420"/>
      <c r="C345" s="795" t="s">
        <v>3247</v>
      </c>
      <c r="D345" s="775" t="s">
        <v>4460</v>
      </c>
      <c r="E345" s="776" t="s">
        <v>417</v>
      </c>
      <c r="F345" s="776" t="s">
        <v>4461</v>
      </c>
      <c r="G345" s="777" t="s">
        <v>3393</v>
      </c>
      <c r="H345" s="783">
        <v>202502052317</v>
      </c>
      <c r="I345" s="777">
        <v>30110328</v>
      </c>
      <c r="J345" s="776" t="s">
        <v>5487</v>
      </c>
      <c r="K345" s="779">
        <v>27900</v>
      </c>
      <c r="L345" s="779">
        <v>21520</v>
      </c>
      <c r="M345" s="804" t="s">
        <v>3247</v>
      </c>
      <c r="N345" s="780">
        <v>0.2</v>
      </c>
      <c r="O345" s="780">
        <v>0.1</v>
      </c>
      <c r="P345" s="777" t="s">
        <v>4449</v>
      </c>
      <c r="Q345" s="781" t="s">
        <v>5488</v>
      </c>
      <c r="R345" s="782"/>
      <c r="S345" s="782"/>
      <c r="T345" s="782">
        <v>50</v>
      </c>
    </row>
    <row r="346" spans="1:21" ht="13.5" customHeight="1">
      <c r="B346" s="1420"/>
      <c r="C346" s="795" t="s">
        <v>3247</v>
      </c>
      <c r="D346" s="775"/>
      <c r="E346" s="776" t="s">
        <v>910</v>
      </c>
      <c r="F346" s="776" t="s">
        <v>4454</v>
      </c>
      <c r="G346" s="777" t="s">
        <v>3283</v>
      </c>
      <c r="H346" s="799">
        <v>202308022656</v>
      </c>
      <c r="I346" s="777">
        <v>30207614</v>
      </c>
      <c r="J346" s="809" t="s">
        <v>4555</v>
      </c>
      <c r="K346" s="779">
        <v>49000</v>
      </c>
      <c r="L346" s="779">
        <v>35770</v>
      </c>
      <c r="M346" s="804" t="s">
        <v>3247</v>
      </c>
      <c r="N346" s="780">
        <v>0.27</v>
      </c>
      <c r="O346" s="780">
        <v>0.35</v>
      </c>
      <c r="P346" s="777" t="s">
        <v>4449</v>
      </c>
      <c r="Q346" s="781" t="s">
        <v>5489</v>
      </c>
      <c r="R346" s="782"/>
      <c r="S346" s="782"/>
      <c r="T346" s="782"/>
    </row>
    <row r="347" spans="1:21" ht="13.5" customHeight="1">
      <c r="A347" s="825"/>
      <c r="B347" s="1420"/>
      <c r="C347" s="795" t="s">
        <v>3247</v>
      </c>
      <c r="D347" s="775"/>
      <c r="E347" s="809" t="s">
        <v>264</v>
      </c>
      <c r="F347" s="809" t="s">
        <v>4480</v>
      </c>
      <c r="G347" s="810" t="s">
        <v>4481</v>
      </c>
      <c r="H347" s="917">
        <v>202407059238</v>
      </c>
      <c r="I347" s="810">
        <v>69099982</v>
      </c>
      <c r="J347" s="809" t="s">
        <v>5490</v>
      </c>
      <c r="K347" s="804">
        <v>428000</v>
      </c>
      <c r="L347" s="804">
        <v>104900</v>
      </c>
      <c r="M347" s="804" t="s">
        <v>3247</v>
      </c>
      <c r="N347" s="780">
        <f>1-(L347/K347)</f>
        <v>0.75490654205607477</v>
      </c>
      <c r="O347" s="812">
        <v>0.28000000000000003</v>
      </c>
      <c r="P347" s="810" t="s">
        <v>4449</v>
      </c>
      <c r="Q347" s="813" t="s">
        <v>5470</v>
      </c>
      <c r="R347" s="844" t="s">
        <v>5491</v>
      </c>
      <c r="S347" s="844" t="s">
        <v>5492</v>
      </c>
      <c r="T347" s="844"/>
      <c r="U347" s="825"/>
    </row>
    <row r="348" spans="1:21" ht="13.5" customHeight="1">
      <c r="B348" s="1420"/>
      <c r="C348" s="774"/>
      <c r="D348" s="775"/>
      <c r="E348" s="776" t="s">
        <v>221</v>
      </c>
      <c r="F348" s="776" t="s">
        <v>4671</v>
      </c>
      <c r="G348" s="777" t="s">
        <v>5493</v>
      </c>
      <c r="H348" s="783">
        <v>202412111439</v>
      </c>
      <c r="I348" s="777">
        <v>68075633</v>
      </c>
      <c r="J348" s="776" t="s">
        <v>5494</v>
      </c>
      <c r="K348" s="779">
        <v>25000</v>
      </c>
      <c r="L348" s="779">
        <v>17500</v>
      </c>
      <c r="M348" s="779"/>
      <c r="N348" s="780">
        <v>0.30000000000000004</v>
      </c>
      <c r="O348" s="780">
        <v>0.15</v>
      </c>
      <c r="P348" s="777"/>
      <c r="Q348" s="781"/>
      <c r="R348" s="782"/>
      <c r="S348" s="782" t="s">
        <v>5495</v>
      </c>
      <c r="T348" s="782"/>
    </row>
    <row r="349" spans="1:21" ht="13.5" customHeight="1">
      <c r="B349" s="1420"/>
      <c r="C349" s="795" t="s">
        <v>3247</v>
      </c>
      <c r="D349" s="775"/>
      <c r="E349" s="776" t="s">
        <v>221</v>
      </c>
      <c r="F349" s="776" t="s">
        <v>4454</v>
      </c>
      <c r="G349" s="777" t="s">
        <v>3298</v>
      </c>
      <c r="H349" s="778">
        <v>202412051331</v>
      </c>
      <c r="I349" s="777">
        <v>54920006</v>
      </c>
      <c r="J349" s="776" t="s">
        <v>5496</v>
      </c>
      <c r="K349" s="779">
        <v>36400</v>
      </c>
      <c r="L349" s="779">
        <v>30940</v>
      </c>
      <c r="M349" s="779"/>
      <c r="N349" s="780">
        <v>0.15000000000000002</v>
      </c>
      <c r="O349" s="780">
        <v>0.25</v>
      </c>
      <c r="P349" s="777" t="s">
        <v>4449</v>
      </c>
      <c r="Q349" s="781" t="s">
        <v>5497</v>
      </c>
      <c r="R349" s="782"/>
      <c r="S349" s="782" t="s">
        <v>5498</v>
      </c>
      <c r="T349" s="782"/>
    </row>
    <row r="350" spans="1:21" ht="13.5" customHeight="1">
      <c r="B350" s="1420"/>
      <c r="C350" s="795" t="s">
        <v>3247</v>
      </c>
      <c r="D350" s="775" t="s">
        <v>4469</v>
      </c>
      <c r="E350" s="776" t="s">
        <v>477</v>
      </c>
      <c r="F350" s="776" t="s">
        <v>5041</v>
      </c>
      <c r="G350" s="777" t="s">
        <v>3378</v>
      </c>
      <c r="H350" s="783">
        <v>202502052319</v>
      </c>
      <c r="I350" s="777">
        <v>10174909</v>
      </c>
      <c r="J350" s="776" t="s">
        <v>5499</v>
      </c>
      <c r="K350" s="779">
        <v>17900</v>
      </c>
      <c r="L350" s="779">
        <v>14300</v>
      </c>
      <c r="M350" s="779"/>
      <c r="N350" s="780">
        <f>1-(L350/K350)</f>
        <v>0.2011173184357542</v>
      </c>
      <c r="O350" s="780">
        <v>0.25</v>
      </c>
      <c r="P350" s="777" t="s">
        <v>4449</v>
      </c>
      <c r="Q350" s="781"/>
      <c r="R350" s="782"/>
      <c r="S350" s="782"/>
      <c r="T350" s="782"/>
    </row>
    <row r="351" spans="1:21" ht="13.5" customHeight="1">
      <c r="B351" s="1420"/>
      <c r="C351" s="774"/>
      <c r="D351" s="775"/>
      <c r="E351" s="776" t="s">
        <v>795</v>
      </c>
      <c r="F351" s="776" t="s">
        <v>4461</v>
      </c>
      <c r="G351" s="777" t="s">
        <v>3539</v>
      </c>
      <c r="H351" s="816">
        <v>202411211077</v>
      </c>
      <c r="I351" s="777">
        <v>57396944</v>
      </c>
      <c r="J351" s="776" t="s">
        <v>5500</v>
      </c>
      <c r="K351" s="779"/>
      <c r="L351" s="779">
        <f>16900*0.9</f>
        <v>15210</v>
      </c>
      <c r="M351" s="779"/>
      <c r="N351" s="780">
        <v>0.15000000000000002</v>
      </c>
      <c r="O351" s="780">
        <v>0.25</v>
      </c>
      <c r="P351" s="777" t="s">
        <v>4449</v>
      </c>
      <c r="Q351" s="781" t="s">
        <v>5501</v>
      </c>
      <c r="R351" s="782" t="s">
        <v>5502</v>
      </c>
      <c r="S351" s="782"/>
      <c r="T351" s="782"/>
    </row>
    <row r="352" spans="1:21" ht="13.5" customHeight="1">
      <c r="B352" s="1420"/>
      <c r="C352" s="774"/>
      <c r="D352" s="775" t="s">
        <v>4444</v>
      </c>
      <c r="E352" s="776" t="s">
        <v>1109</v>
      </c>
      <c r="F352" s="776" t="s">
        <v>5503</v>
      </c>
      <c r="G352" s="777" t="s">
        <v>5504</v>
      </c>
      <c r="H352" s="783">
        <v>202502052308</v>
      </c>
      <c r="I352" s="777">
        <v>43022445</v>
      </c>
      <c r="J352" s="776" t="s">
        <v>5505</v>
      </c>
      <c r="K352" s="779">
        <v>229000</v>
      </c>
      <c r="L352" s="779">
        <v>198550</v>
      </c>
      <c r="M352" s="779"/>
      <c r="N352" s="780">
        <f>1-(L352/K352)</f>
        <v>0.1329694323144105</v>
      </c>
      <c r="O352" s="780">
        <v>0.15</v>
      </c>
      <c r="P352" s="777" t="s">
        <v>4449</v>
      </c>
      <c r="Q352" s="781" t="s">
        <v>5506</v>
      </c>
      <c r="R352" s="782"/>
      <c r="S352" s="782"/>
      <c r="T352" s="782"/>
    </row>
    <row r="353" spans="1:21" ht="13.5" customHeight="1">
      <c r="B353" s="1420" t="s">
        <v>5507</v>
      </c>
      <c r="C353" s="785" t="s">
        <v>3247</v>
      </c>
      <c r="D353" s="786" t="s">
        <v>4453</v>
      </c>
      <c r="E353" s="787" t="s">
        <v>137</v>
      </c>
      <c r="F353" s="787" t="s">
        <v>4445</v>
      </c>
      <c r="G353" s="788" t="s">
        <v>3410</v>
      </c>
      <c r="H353" s="808">
        <v>202403087005</v>
      </c>
      <c r="I353" s="788">
        <v>57426422</v>
      </c>
      <c r="J353" s="815" t="s">
        <v>5508</v>
      </c>
      <c r="K353" s="790">
        <v>62000</v>
      </c>
      <c r="L353" s="790">
        <f>K353*0.9</f>
        <v>55800</v>
      </c>
      <c r="M353" s="779" t="s">
        <v>3247</v>
      </c>
      <c r="N353" s="791">
        <v>0.1</v>
      </c>
      <c r="O353" s="791">
        <v>0.25</v>
      </c>
      <c r="P353" s="788" t="s">
        <v>4449</v>
      </c>
      <c r="Q353" s="792" t="s">
        <v>3556</v>
      </c>
      <c r="R353" s="793" t="s">
        <v>5509</v>
      </c>
      <c r="S353" s="793"/>
      <c r="T353" s="793"/>
    </row>
    <row r="354" spans="1:21" ht="13.5" customHeight="1">
      <c r="B354" s="1420"/>
      <c r="C354" s="774"/>
      <c r="D354" s="775"/>
      <c r="E354" s="776" t="s">
        <v>185</v>
      </c>
      <c r="F354" s="776" t="s">
        <v>4829</v>
      </c>
      <c r="G354" s="777" t="s">
        <v>5340</v>
      </c>
      <c r="H354" s="783">
        <v>202501202092</v>
      </c>
      <c r="I354" s="777">
        <v>11139545</v>
      </c>
      <c r="J354" s="776" t="s">
        <v>5510</v>
      </c>
      <c r="K354" s="779">
        <v>33900</v>
      </c>
      <c r="L354" s="779">
        <v>26910</v>
      </c>
      <c r="M354" s="779"/>
      <c r="N354" s="822">
        <f>1-(L354/K354)</f>
        <v>0.20619469026548676</v>
      </c>
      <c r="O354" s="780">
        <v>0.15</v>
      </c>
      <c r="P354" s="777" t="s">
        <v>4449</v>
      </c>
      <c r="Q354" s="781"/>
      <c r="R354" s="782" t="s">
        <v>5511</v>
      </c>
      <c r="S354" s="782"/>
      <c r="T354" s="782"/>
    </row>
    <row r="355" spans="1:21" ht="13.5" customHeight="1">
      <c r="B355" s="1420"/>
      <c r="C355" s="795" t="s">
        <v>3247</v>
      </c>
      <c r="D355" s="775"/>
      <c r="E355" s="776" t="s">
        <v>417</v>
      </c>
      <c r="F355" s="776" t="s">
        <v>4461</v>
      </c>
      <c r="G355" s="777" t="s">
        <v>5512</v>
      </c>
      <c r="H355" s="783">
        <v>202502042297</v>
      </c>
      <c r="I355" s="777">
        <v>30219251</v>
      </c>
      <c r="J355" s="776" t="s">
        <v>5513</v>
      </c>
      <c r="K355" s="779">
        <v>23700</v>
      </c>
      <c r="L355" s="779">
        <v>19900</v>
      </c>
      <c r="M355" s="779" t="s">
        <v>3247</v>
      </c>
      <c r="N355" s="822">
        <f>1-(L355/K355)</f>
        <v>0.16033755274261607</v>
      </c>
      <c r="O355" s="780">
        <v>0.08</v>
      </c>
      <c r="P355" s="777" t="s">
        <v>4449</v>
      </c>
      <c r="Q355" s="781" t="s">
        <v>5514</v>
      </c>
      <c r="R355" s="782"/>
      <c r="S355" s="782"/>
      <c r="T355" s="782"/>
    </row>
    <row r="356" spans="1:21" ht="13.5" customHeight="1">
      <c r="B356" s="1420"/>
      <c r="C356" s="795" t="s">
        <v>3247</v>
      </c>
      <c r="D356" s="775" t="s">
        <v>4460</v>
      </c>
      <c r="E356" s="776" t="s">
        <v>32</v>
      </c>
      <c r="F356" s="776" t="s">
        <v>4084</v>
      </c>
      <c r="G356" s="777" t="s">
        <v>5515</v>
      </c>
      <c r="H356" s="798">
        <v>202501141978</v>
      </c>
      <c r="I356" s="777">
        <v>48678283</v>
      </c>
      <c r="J356" s="887" t="s">
        <v>5516</v>
      </c>
      <c r="K356" s="779">
        <v>369000</v>
      </c>
      <c r="L356" s="779">
        <v>229000</v>
      </c>
      <c r="M356" s="779" t="s">
        <v>3247</v>
      </c>
      <c r="N356" s="780">
        <v>0.1</v>
      </c>
      <c r="O356" s="780">
        <v>0.15</v>
      </c>
      <c r="P356" s="777" t="s">
        <v>4449</v>
      </c>
      <c r="Q356" s="781" t="s">
        <v>5517</v>
      </c>
      <c r="R356" s="782" t="s">
        <v>5518</v>
      </c>
      <c r="S356" s="782" t="s">
        <v>5222</v>
      </c>
      <c r="T356" s="782">
        <v>70</v>
      </c>
    </row>
    <row r="357" spans="1:21" ht="13.5" customHeight="1">
      <c r="B357" s="1420"/>
      <c r="C357" s="774"/>
      <c r="D357" s="775" t="s">
        <v>4474</v>
      </c>
      <c r="E357" s="776" t="s">
        <v>795</v>
      </c>
      <c r="F357" s="776" t="s">
        <v>4461</v>
      </c>
      <c r="G357" s="777" t="s">
        <v>1237</v>
      </c>
      <c r="H357" s="816">
        <v>202502052306</v>
      </c>
      <c r="I357" s="777">
        <v>50566622</v>
      </c>
      <c r="J357" s="776" t="s">
        <v>5519</v>
      </c>
      <c r="K357" s="779">
        <v>22900</v>
      </c>
      <c r="L357" s="779">
        <v>17500</v>
      </c>
      <c r="M357" s="779"/>
      <c r="N357" s="780">
        <v>0.15</v>
      </c>
      <c r="O357" s="780">
        <v>0.25</v>
      </c>
      <c r="P357" s="777" t="s">
        <v>4449</v>
      </c>
      <c r="Q357" s="781" t="s">
        <v>5520</v>
      </c>
      <c r="R357" s="782"/>
      <c r="S357" s="782" t="s">
        <v>5521</v>
      </c>
      <c r="T357" s="782">
        <v>200</v>
      </c>
    </row>
    <row r="358" spans="1:21" ht="13.5" customHeight="1">
      <c r="B358" s="1420"/>
      <c r="C358" s="795" t="s">
        <v>3247</v>
      </c>
      <c r="D358" s="775" t="s">
        <v>4444</v>
      </c>
      <c r="E358" s="776" t="s">
        <v>910</v>
      </c>
      <c r="F358" s="776" t="s">
        <v>4454</v>
      </c>
      <c r="G358" s="777" t="s">
        <v>3279</v>
      </c>
      <c r="H358" s="811">
        <v>202207072978</v>
      </c>
      <c r="I358" s="777">
        <v>11104309</v>
      </c>
      <c r="J358" s="776" t="s">
        <v>5522</v>
      </c>
      <c r="K358" s="779">
        <v>35800</v>
      </c>
      <c r="L358" s="779">
        <v>19170</v>
      </c>
      <c r="M358" s="804" t="s">
        <v>3247</v>
      </c>
      <c r="N358" s="780">
        <f>1-(L358/K358)</f>
        <v>0.46452513966480447</v>
      </c>
      <c r="O358" s="780">
        <v>0.18</v>
      </c>
      <c r="P358" s="810" t="s">
        <v>4449</v>
      </c>
      <c r="Q358" s="781" t="s">
        <v>5523</v>
      </c>
      <c r="R358" s="782" t="s">
        <v>5524</v>
      </c>
      <c r="S358" s="782" t="s">
        <v>3279</v>
      </c>
      <c r="T358" s="782">
        <v>100</v>
      </c>
    </row>
    <row r="359" spans="1:21" ht="13.5" customHeight="1">
      <c r="A359" s="825"/>
      <c r="B359" s="1420"/>
      <c r="C359" s="795" t="s">
        <v>3247</v>
      </c>
      <c r="D359" s="775"/>
      <c r="E359" s="809" t="s">
        <v>264</v>
      </c>
      <c r="F359" s="809" t="s">
        <v>4480</v>
      </c>
      <c r="G359" s="810" t="s">
        <v>4070</v>
      </c>
      <c r="H359" s="671">
        <v>202502032292</v>
      </c>
      <c r="I359" s="810">
        <v>76855718</v>
      </c>
      <c r="J359" s="809" t="s">
        <v>5525</v>
      </c>
      <c r="K359" s="804">
        <v>495000</v>
      </c>
      <c r="L359" s="804">
        <v>69900</v>
      </c>
      <c r="M359" s="804" t="s">
        <v>3247</v>
      </c>
      <c r="N359" s="780">
        <f>1-(L359/K359)</f>
        <v>0.85878787878787877</v>
      </c>
      <c r="O359" s="812">
        <v>0.15</v>
      </c>
      <c r="P359" s="810" t="s">
        <v>4449</v>
      </c>
      <c r="Q359" s="813" t="s">
        <v>5526</v>
      </c>
      <c r="R359" s="844" t="s">
        <v>5527</v>
      </c>
      <c r="S359" s="844" t="s">
        <v>4070</v>
      </c>
      <c r="T359" s="844"/>
      <c r="U359" s="825"/>
    </row>
    <row r="360" spans="1:21" ht="13.5" customHeight="1">
      <c r="B360" s="1420"/>
      <c r="C360" s="774"/>
      <c r="D360" s="775"/>
      <c r="E360" s="776" t="s">
        <v>221</v>
      </c>
      <c r="F360" s="776" t="s">
        <v>4671</v>
      </c>
      <c r="G360" s="777" t="s">
        <v>5528</v>
      </c>
      <c r="H360" s="783">
        <v>202302158470</v>
      </c>
      <c r="I360" s="777">
        <v>30216283</v>
      </c>
      <c r="J360" s="776" t="s">
        <v>5529</v>
      </c>
      <c r="K360" s="779"/>
      <c r="L360" s="779">
        <v>9900</v>
      </c>
      <c r="M360" s="804" t="s">
        <v>3247</v>
      </c>
      <c r="N360" s="780">
        <v>0.15</v>
      </c>
      <c r="O360" s="780">
        <v>0.15</v>
      </c>
      <c r="P360" s="777" t="s">
        <v>4449</v>
      </c>
      <c r="Q360" s="781" t="s">
        <v>5530</v>
      </c>
      <c r="R360" s="782"/>
      <c r="S360" s="782" t="s">
        <v>5531</v>
      </c>
      <c r="T360" s="782"/>
    </row>
    <row r="361" spans="1:21" ht="13.5" customHeight="1">
      <c r="B361" s="1420"/>
      <c r="C361" s="774"/>
      <c r="D361" s="775"/>
      <c r="E361" s="776" t="s">
        <v>221</v>
      </c>
      <c r="F361" s="776" t="s">
        <v>4454</v>
      </c>
      <c r="G361" s="777" t="s">
        <v>4735</v>
      </c>
      <c r="H361" s="811">
        <v>202412051341</v>
      </c>
      <c r="I361" s="777">
        <v>10121185</v>
      </c>
      <c r="J361" s="776" t="s">
        <v>5532</v>
      </c>
      <c r="K361" s="779">
        <v>42000</v>
      </c>
      <c r="L361" s="779">
        <v>13210</v>
      </c>
      <c r="M361" s="804" t="s">
        <v>3247</v>
      </c>
      <c r="N361" s="780">
        <v>0.66904761904761911</v>
      </c>
      <c r="O361" s="780">
        <v>0.12</v>
      </c>
      <c r="P361" s="777" t="s">
        <v>4449</v>
      </c>
      <c r="Q361" s="781" t="s">
        <v>5530</v>
      </c>
      <c r="R361" s="782"/>
      <c r="S361" s="782" t="s">
        <v>5533</v>
      </c>
      <c r="T361" s="782"/>
    </row>
    <row r="362" spans="1:21" ht="13.5" customHeight="1">
      <c r="B362" s="1420"/>
      <c r="C362" s="795" t="s">
        <v>3247</v>
      </c>
      <c r="D362" s="775"/>
      <c r="E362" s="776" t="s">
        <v>477</v>
      </c>
      <c r="F362" s="776" t="s">
        <v>5041</v>
      </c>
      <c r="G362" s="777" t="s">
        <v>5534</v>
      </c>
      <c r="H362" s="783">
        <v>202502052320</v>
      </c>
      <c r="I362" s="777">
        <v>11048414</v>
      </c>
      <c r="J362" s="776" t="s">
        <v>5535</v>
      </c>
      <c r="K362" s="779">
        <v>33900</v>
      </c>
      <c r="L362" s="779">
        <v>26900</v>
      </c>
      <c r="M362" s="779"/>
      <c r="N362" s="780">
        <f>1-(L362/K362)</f>
        <v>0.20648967551622421</v>
      </c>
      <c r="O362" s="780">
        <v>0.25</v>
      </c>
      <c r="P362" s="777" t="s">
        <v>4449</v>
      </c>
      <c r="Q362" s="781"/>
      <c r="R362" s="782"/>
      <c r="S362" s="782"/>
      <c r="T362" s="782"/>
    </row>
    <row r="363" spans="1:21" ht="13.5" customHeight="1">
      <c r="B363" s="1420"/>
      <c r="C363" s="774" t="s">
        <v>3247</v>
      </c>
      <c r="D363" s="775" t="s">
        <v>4469</v>
      </c>
      <c r="E363" s="776" t="s">
        <v>1109</v>
      </c>
      <c r="F363" s="776"/>
      <c r="G363" s="777" t="s">
        <v>3783</v>
      </c>
      <c r="H363" s="783">
        <v>202406118809</v>
      </c>
      <c r="I363" s="777">
        <v>30166888</v>
      </c>
      <c r="J363" s="776" t="s">
        <v>5255</v>
      </c>
      <c r="K363" s="779">
        <v>14500</v>
      </c>
      <c r="L363" s="779">
        <v>9900</v>
      </c>
      <c r="M363" s="779"/>
      <c r="N363" s="780">
        <f>1-(L363/K363)</f>
        <v>0.3172413793103448</v>
      </c>
      <c r="O363" s="780">
        <v>0.15</v>
      </c>
      <c r="P363" s="777" t="s">
        <v>4449</v>
      </c>
      <c r="Q363" s="898" t="s">
        <v>5536</v>
      </c>
      <c r="R363" s="782"/>
      <c r="S363" s="782"/>
      <c r="T363" s="782"/>
    </row>
    <row r="364" spans="1:21" ht="13.5" customHeight="1">
      <c r="B364" s="1420" t="s">
        <v>5537</v>
      </c>
      <c r="C364" s="785" t="s">
        <v>3247</v>
      </c>
      <c r="D364" s="786" t="s">
        <v>4453</v>
      </c>
      <c r="E364" s="787" t="s">
        <v>137</v>
      </c>
      <c r="F364" s="787" t="s">
        <v>4445</v>
      </c>
      <c r="G364" s="788" t="s">
        <v>5538</v>
      </c>
      <c r="H364" s="808">
        <v>202405238439</v>
      </c>
      <c r="I364" s="788">
        <v>57987023</v>
      </c>
      <c r="J364" s="787" t="s">
        <v>5539</v>
      </c>
      <c r="K364" s="790">
        <v>43800</v>
      </c>
      <c r="L364" s="790">
        <v>36800</v>
      </c>
      <c r="M364" s="790"/>
      <c r="N364" s="791">
        <v>0.16</v>
      </c>
      <c r="O364" s="791">
        <v>0.2</v>
      </c>
      <c r="P364" s="788" t="s">
        <v>4449</v>
      </c>
      <c r="Q364" s="792" t="s">
        <v>3556</v>
      </c>
      <c r="R364" s="793" t="s">
        <v>5540</v>
      </c>
      <c r="S364" s="793"/>
      <c r="T364" s="793">
        <v>50</v>
      </c>
    </row>
    <row r="365" spans="1:21" ht="13.5" customHeight="1">
      <c r="B365" s="1420"/>
      <c r="C365" s="795" t="s">
        <v>3247</v>
      </c>
      <c r="D365" s="775" t="s">
        <v>4460</v>
      </c>
      <c r="E365" s="776" t="s">
        <v>185</v>
      </c>
      <c r="F365" s="776" t="s">
        <v>4829</v>
      </c>
      <c r="G365" s="777" t="s">
        <v>3665</v>
      </c>
      <c r="H365" s="783">
        <v>202501202095</v>
      </c>
      <c r="I365" s="777">
        <v>64724089</v>
      </c>
      <c r="J365" s="776" t="s">
        <v>5541</v>
      </c>
      <c r="K365" s="779">
        <v>35900</v>
      </c>
      <c r="L365" s="779">
        <v>24900</v>
      </c>
      <c r="M365" s="779"/>
      <c r="N365" s="822">
        <f>1-(L365/K365)</f>
        <v>0.30640668523676884</v>
      </c>
      <c r="O365" s="780">
        <v>0.15</v>
      </c>
      <c r="P365" s="777" t="s">
        <v>4449</v>
      </c>
      <c r="Q365" s="781" t="s">
        <v>5389</v>
      </c>
      <c r="R365" s="782" t="s">
        <v>5542</v>
      </c>
      <c r="S365" s="782"/>
      <c r="T365" s="782"/>
    </row>
    <row r="366" spans="1:21" ht="13.5" customHeight="1">
      <c r="B366" s="1420"/>
      <c r="C366" s="774"/>
      <c r="D366" s="775" t="s">
        <v>4474</v>
      </c>
      <c r="E366" s="776" t="s">
        <v>417</v>
      </c>
      <c r="F366" s="776" t="s">
        <v>4461</v>
      </c>
      <c r="G366" s="777" t="s">
        <v>5543</v>
      </c>
      <c r="H366" s="783">
        <v>202502052321</v>
      </c>
      <c r="I366" s="777">
        <v>30218586</v>
      </c>
      <c r="J366" s="776" t="s">
        <v>5544</v>
      </c>
      <c r="K366" s="779">
        <v>48900</v>
      </c>
      <c r="L366" s="779"/>
      <c r="M366" s="779"/>
      <c r="N366" s="899"/>
      <c r="O366" s="780">
        <v>0.15</v>
      </c>
      <c r="P366" s="777" t="s">
        <v>4449</v>
      </c>
      <c r="Q366" s="781" t="s">
        <v>5545</v>
      </c>
      <c r="R366" s="782"/>
      <c r="S366" s="782"/>
      <c r="T366" s="782"/>
    </row>
    <row r="367" spans="1:21" ht="13.5" customHeight="1">
      <c r="A367" s="825"/>
      <c r="B367" s="1420"/>
      <c r="C367" s="795" t="s">
        <v>3247</v>
      </c>
      <c r="D367" s="775"/>
      <c r="E367" s="809" t="s">
        <v>264</v>
      </c>
      <c r="F367" s="809" t="s">
        <v>4480</v>
      </c>
      <c r="G367" s="810" t="s">
        <v>5546</v>
      </c>
      <c r="H367" s="671">
        <v>202502032289</v>
      </c>
      <c r="I367" s="810">
        <v>71576886</v>
      </c>
      <c r="J367" s="809" t="s">
        <v>5547</v>
      </c>
      <c r="K367" s="804">
        <v>185000</v>
      </c>
      <c r="L367" s="804">
        <v>32900</v>
      </c>
      <c r="M367" s="804" t="s">
        <v>3247</v>
      </c>
      <c r="N367" s="780">
        <f>1-(L367/K367)</f>
        <v>0.8221621621621622</v>
      </c>
      <c r="O367" s="812">
        <v>0.16</v>
      </c>
      <c r="P367" s="810" t="s">
        <v>4449</v>
      </c>
      <c r="Q367" s="781" t="s">
        <v>5389</v>
      </c>
      <c r="R367" s="844" t="s">
        <v>5548</v>
      </c>
      <c r="S367" s="844" t="s">
        <v>5549</v>
      </c>
      <c r="T367" s="844"/>
      <c r="U367" s="825"/>
    </row>
    <row r="368" spans="1:21" ht="13.5" customHeight="1">
      <c r="B368" s="1420"/>
      <c r="C368" s="774"/>
      <c r="D368" s="775"/>
      <c r="E368" s="776" t="s">
        <v>221</v>
      </c>
      <c r="F368" s="776" t="s">
        <v>4671</v>
      </c>
      <c r="G368" s="777" t="s">
        <v>231</v>
      </c>
      <c r="H368" s="783">
        <v>202412061376</v>
      </c>
      <c r="I368" s="777">
        <v>60395767</v>
      </c>
      <c r="J368" s="776" t="s">
        <v>5550</v>
      </c>
      <c r="K368" s="779">
        <v>40900</v>
      </c>
      <c r="L368" s="779">
        <v>36810</v>
      </c>
      <c r="M368" s="804" t="s">
        <v>3247</v>
      </c>
      <c r="N368" s="780">
        <v>9.9999999999999978E-2</v>
      </c>
      <c r="O368" s="780">
        <v>0.17</v>
      </c>
      <c r="P368" s="777" t="s">
        <v>4449</v>
      </c>
      <c r="Q368" s="781" t="s">
        <v>5530</v>
      </c>
      <c r="R368" s="782"/>
      <c r="S368" s="782" t="s">
        <v>5551</v>
      </c>
      <c r="T368" s="782"/>
    </row>
    <row r="369" spans="1:21" ht="13.5" customHeight="1">
      <c r="B369" s="1420"/>
      <c r="C369" s="795" t="s">
        <v>3247</v>
      </c>
      <c r="D369" s="775" t="s">
        <v>4469</v>
      </c>
      <c r="E369" s="776" t="s">
        <v>221</v>
      </c>
      <c r="F369" s="776" t="s">
        <v>4454</v>
      </c>
      <c r="G369" s="777" t="s">
        <v>5552</v>
      </c>
      <c r="H369" s="811">
        <v>202501101929</v>
      </c>
      <c r="I369" s="777">
        <v>42130776</v>
      </c>
      <c r="J369" s="776" t="s">
        <v>5553</v>
      </c>
      <c r="K369" s="779">
        <v>11900</v>
      </c>
      <c r="L369" s="779">
        <v>10710</v>
      </c>
      <c r="M369" s="779"/>
      <c r="N369" s="780">
        <v>9.9999999999999978E-2</v>
      </c>
      <c r="O369" s="780">
        <v>0.15</v>
      </c>
      <c r="P369" s="777" t="s">
        <v>4449</v>
      </c>
      <c r="Q369" s="781"/>
      <c r="R369" s="782"/>
      <c r="S369" s="782" t="s">
        <v>5554</v>
      </c>
      <c r="T369" s="782"/>
    </row>
    <row r="370" spans="1:21" ht="13.5" customHeight="1">
      <c r="B370" s="1420"/>
      <c r="C370" s="795" t="s">
        <v>3247</v>
      </c>
      <c r="D370" s="775"/>
      <c r="E370" s="776" t="s">
        <v>477</v>
      </c>
      <c r="F370" s="776" t="s">
        <v>5041</v>
      </c>
      <c r="G370" s="777" t="s">
        <v>5555</v>
      </c>
      <c r="H370" s="783">
        <v>202502052322</v>
      </c>
      <c r="I370" s="777">
        <v>70268187</v>
      </c>
      <c r="J370" s="776" t="s">
        <v>5556</v>
      </c>
      <c r="K370" s="779">
        <v>13400</v>
      </c>
      <c r="L370" s="779">
        <v>10700</v>
      </c>
      <c r="M370" s="779"/>
      <c r="N370" s="780">
        <f>1-(L370/K370)</f>
        <v>0.20149253731343286</v>
      </c>
      <c r="O370" s="780">
        <v>0.25</v>
      </c>
      <c r="P370" s="777" t="s">
        <v>4449</v>
      </c>
      <c r="Q370" s="781"/>
      <c r="R370" s="782"/>
      <c r="S370" s="782"/>
      <c r="T370" s="782"/>
    </row>
    <row r="371" spans="1:21" ht="13.5" customHeight="1">
      <c r="B371" s="1420"/>
      <c r="C371" s="774"/>
      <c r="D371" s="775" t="s">
        <v>4444</v>
      </c>
      <c r="E371" s="776" t="s">
        <v>1109</v>
      </c>
      <c r="F371" s="776" t="s">
        <v>5503</v>
      </c>
      <c r="G371" s="777" t="s">
        <v>4577</v>
      </c>
      <c r="H371" s="783">
        <v>202412051309</v>
      </c>
      <c r="I371" s="777">
        <v>44702727</v>
      </c>
      <c r="J371" s="776" t="s">
        <v>4578</v>
      </c>
      <c r="K371" s="779"/>
      <c r="L371" s="779"/>
      <c r="M371" s="779"/>
      <c r="N371" s="780"/>
      <c r="O371" s="780"/>
      <c r="P371" s="777"/>
      <c r="Q371" s="781"/>
      <c r="R371" s="782"/>
      <c r="S371" s="782"/>
      <c r="T371" s="782"/>
    </row>
    <row r="372" spans="1:21" ht="13.5" customHeight="1">
      <c r="B372" s="1420"/>
      <c r="C372" s="774"/>
      <c r="D372" s="775"/>
      <c r="E372" s="776" t="s">
        <v>795</v>
      </c>
      <c r="F372" s="776" t="s">
        <v>4461</v>
      </c>
      <c r="G372" s="777" t="s">
        <v>3544</v>
      </c>
      <c r="H372" s="901">
        <v>202412121474</v>
      </c>
      <c r="I372" s="777">
        <v>30209623</v>
      </c>
      <c r="J372" s="776" t="s">
        <v>4729</v>
      </c>
      <c r="K372" s="779"/>
      <c r="L372" s="779"/>
      <c r="M372" s="779"/>
      <c r="N372" s="780">
        <v>0.1</v>
      </c>
      <c r="O372" s="780">
        <v>0.15</v>
      </c>
      <c r="P372" s="777" t="s">
        <v>4449</v>
      </c>
      <c r="Q372" s="781" t="s">
        <v>5557</v>
      </c>
      <c r="R372" s="782"/>
      <c r="S372" s="782"/>
      <c r="T372" s="782"/>
    </row>
    <row r="373" spans="1:21" ht="13.5" customHeight="1">
      <c r="B373" s="1420" t="s">
        <v>5558</v>
      </c>
      <c r="C373" s="785"/>
      <c r="D373" s="786" t="s">
        <v>4474</v>
      </c>
      <c r="E373" s="787" t="s">
        <v>137</v>
      </c>
      <c r="F373" s="787" t="s">
        <v>4757</v>
      </c>
      <c r="G373" s="788" t="s">
        <v>3406</v>
      </c>
      <c r="H373" s="808">
        <v>202409100239</v>
      </c>
      <c r="I373" s="788">
        <v>67706636</v>
      </c>
      <c r="J373" s="787" t="s">
        <v>5559</v>
      </c>
      <c r="K373" s="790">
        <v>69000</v>
      </c>
      <c r="L373" s="790" t="s">
        <v>5560</v>
      </c>
      <c r="M373" s="790"/>
      <c r="N373" s="791">
        <v>0.1</v>
      </c>
      <c r="O373" s="791">
        <v>0.15</v>
      </c>
      <c r="P373" s="788" t="s">
        <v>4449</v>
      </c>
      <c r="Q373" s="792" t="s">
        <v>5561</v>
      </c>
      <c r="R373" s="793" t="s">
        <v>5562</v>
      </c>
      <c r="S373" s="793"/>
      <c r="T373" s="793"/>
    </row>
    <row r="374" spans="1:21" ht="13.5" customHeight="1">
      <c r="B374" s="1420"/>
      <c r="C374" s="774"/>
      <c r="D374" s="775" t="s">
        <v>4469</v>
      </c>
      <c r="E374" s="776" t="s">
        <v>185</v>
      </c>
      <c r="F374" s="776" t="s">
        <v>4829</v>
      </c>
      <c r="G374" s="777" t="s">
        <v>3885</v>
      </c>
      <c r="H374" s="783">
        <v>202501202096</v>
      </c>
      <c r="I374" s="777">
        <v>46513858</v>
      </c>
      <c r="J374" s="887" t="s">
        <v>5563</v>
      </c>
      <c r="K374" s="779">
        <v>60000</v>
      </c>
      <c r="L374" s="779">
        <v>49500</v>
      </c>
      <c r="M374" s="779" t="s">
        <v>3247</v>
      </c>
      <c r="N374" s="822">
        <f>1-(L374/K374)</f>
        <v>0.17500000000000004</v>
      </c>
      <c r="O374" s="780">
        <v>0.15</v>
      </c>
      <c r="P374" s="777" t="s">
        <v>4449</v>
      </c>
      <c r="Q374" s="781" t="s">
        <v>5389</v>
      </c>
      <c r="R374" s="782"/>
      <c r="S374" s="782"/>
      <c r="T374" s="782"/>
    </row>
    <row r="375" spans="1:21" ht="13.5" customHeight="1">
      <c r="B375" s="1420"/>
      <c r="C375" s="795" t="s">
        <v>3247</v>
      </c>
      <c r="D375" s="775" t="s">
        <v>4453</v>
      </c>
      <c r="E375" s="776" t="s">
        <v>331</v>
      </c>
      <c r="F375" s="776" t="s">
        <v>4841</v>
      </c>
      <c r="G375" s="777" t="s">
        <v>5564</v>
      </c>
      <c r="H375" s="671">
        <v>202403197230</v>
      </c>
      <c r="I375" s="777">
        <v>67228035</v>
      </c>
      <c r="J375" s="776" t="s">
        <v>5565</v>
      </c>
      <c r="K375" s="779">
        <v>99000</v>
      </c>
      <c r="L375" s="779">
        <v>50150</v>
      </c>
      <c r="M375" s="779"/>
      <c r="N375" s="822">
        <f>1-(L375/K375)</f>
        <v>0.49343434343434345</v>
      </c>
      <c r="O375" s="780">
        <v>0.16</v>
      </c>
      <c r="P375" s="777" t="s">
        <v>4449</v>
      </c>
      <c r="Q375" s="781" t="s">
        <v>3412</v>
      </c>
      <c r="R375" s="782"/>
      <c r="S375" s="782"/>
      <c r="T375" s="782"/>
    </row>
    <row r="376" spans="1:21" ht="13.5" customHeight="1">
      <c r="A376" s="825"/>
      <c r="B376" s="1420"/>
      <c r="C376" s="795" t="s">
        <v>3247</v>
      </c>
      <c r="D376" s="775" t="s">
        <v>4444</v>
      </c>
      <c r="E376" s="809" t="s">
        <v>264</v>
      </c>
      <c r="F376" s="809" t="s">
        <v>4480</v>
      </c>
      <c r="G376" s="810" t="s">
        <v>4362</v>
      </c>
      <c r="H376" s="805">
        <v>202404097646</v>
      </c>
      <c r="I376" s="810">
        <v>69057334</v>
      </c>
      <c r="J376" s="809" t="s">
        <v>5566</v>
      </c>
      <c r="K376" s="804">
        <v>160000</v>
      </c>
      <c r="L376" s="804">
        <v>39200</v>
      </c>
      <c r="M376" s="804" t="s">
        <v>3247</v>
      </c>
      <c r="N376" s="822">
        <f>1-(L376/K376)</f>
        <v>0.755</v>
      </c>
      <c r="O376" s="812">
        <v>0.27</v>
      </c>
      <c r="P376" s="810" t="s">
        <v>4449</v>
      </c>
      <c r="Q376" s="813" t="s">
        <v>5567</v>
      </c>
      <c r="R376" s="844" t="s">
        <v>5568</v>
      </c>
      <c r="S376" s="844" t="s">
        <v>5569</v>
      </c>
      <c r="T376" s="844"/>
      <c r="U376" s="825"/>
    </row>
    <row r="377" spans="1:21" ht="13.5" customHeight="1">
      <c r="B377" s="1420"/>
      <c r="C377" s="795" t="s">
        <v>3247</v>
      </c>
      <c r="D377" s="775"/>
      <c r="E377" s="776" t="s">
        <v>221</v>
      </c>
      <c r="F377" s="776" t="s">
        <v>4671</v>
      </c>
      <c r="G377" s="777" t="s">
        <v>5570</v>
      </c>
      <c r="H377" s="783">
        <v>202411271223</v>
      </c>
      <c r="I377" s="777">
        <v>70271030</v>
      </c>
      <c r="J377" s="776" t="s">
        <v>1633</v>
      </c>
      <c r="K377" s="779">
        <v>60900</v>
      </c>
      <c r="L377" s="779">
        <v>45480</v>
      </c>
      <c r="M377" s="779"/>
      <c r="N377" s="780">
        <v>0.2532019704433498</v>
      </c>
      <c r="O377" s="780">
        <v>0.17</v>
      </c>
      <c r="P377" s="777" t="s">
        <v>4449</v>
      </c>
      <c r="Q377" s="781"/>
      <c r="R377" s="782"/>
      <c r="S377" s="782" t="s">
        <v>4567</v>
      </c>
      <c r="T377" s="782"/>
    </row>
    <row r="378" spans="1:21" ht="13.5" customHeight="1">
      <c r="B378" s="1420"/>
      <c r="C378" s="795" t="s">
        <v>3247</v>
      </c>
      <c r="D378" s="775"/>
      <c r="E378" s="776" t="s">
        <v>221</v>
      </c>
      <c r="F378" s="776" t="s">
        <v>4454</v>
      </c>
      <c r="G378" s="777" t="s">
        <v>1754</v>
      </c>
      <c r="H378" s="783">
        <v>202304210230</v>
      </c>
      <c r="I378" s="777">
        <v>44449856</v>
      </c>
      <c r="J378" s="776" t="s">
        <v>1758</v>
      </c>
      <c r="K378" s="779">
        <v>13900</v>
      </c>
      <c r="L378" s="779">
        <v>10360</v>
      </c>
      <c r="M378" s="779"/>
      <c r="N378" s="780">
        <v>0.25</v>
      </c>
      <c r="O378" s="780">
        <v>0.15</v>
      </c>
      <c r="P378" s="777" t="s">
        <v>4449</v>
      </c>
      <c r="Q378" s="781"/>
      <c r="R378" s="782"/>
      <c r="S378" s="782" t="s">
        <v>5571</v>
      </c>
      <c r="T378" s="782"/>
    </row>
    <row r="379" spans="1:21" s="990" customFormat="1" ht="13.5" customHeight="1">
      <c r="A379" s="741"/>
      <c r="B379" s="1420"/>
      <c r="C379" s="827" t="s">
        <v>3247</v>
      </c>
      <c r="D379" s="828" t="s">
        <v>4460</v>
      </c>
      <c r="E379" s="829" t="s">
        <v>1109</v>
      </c>
      <c r="F379" s="829" t="s">
        <v>5572</v>
      </c>
      <c r="G379" s="830" t="s">
        <v>4287</v>
      </c>
      <c r="H379" s="932">
        <v>202502042295</v>
      </c>
      <c r="I379" s="830">
        <v>30209751</v>
      </c>
      <c r="J379" s="988" t="s">
        <v>5573</v>
      </c>
      <c r="K379" s="831">
        <v>55500</v>
      </c>
      <c r="L379" s="831">
        <v>47900</v>
      </c>
      <c r="M379" s="831"/>
      <c r="N379" s="989">
        <f>1-(L379/K379)</f>
        <v>0.13693693693693698</v>
      </c>
      <c r="O379" s="850">
        <v>0.15</v>
      </c>
      <c r="P379" s="830" t="s">
        <v>4449</v>
      </c>
      <c r="Q379" s="851" t="s">
        <v>5574</v>
      </c>
      <c r="R379" s="852"/>
      <c r="S379" s="852"/>
      <c r="T379" s="852"/>
    </row>
    <row r="380" spans="1:21" ht="13.5" customHeight="1">
      <c r="B380" s="1420" t="s">
        <v>5575</v>
      </c>
      <c r="C380" s="762" t="s">
        <v>3247</v>
      </c>
      <c r="D380" s="763"/>
      <c r="E380" s="764" t="s">
        <v>185</v>
      </c>
      <c r="F380" s="764" t="s">
        <v>4829</v>
      </c>
      <c r="G380" s="771" t="s">
        <v>3657</v>
      </c>
      <c r="H380" s="991">
        <v>202501202097</v>
      </c>
      <c r="I380" s="871">
        <v>41601953</v>
      </c>
      <c r="J380" s="939" t="s">
        <v>4958</v>
      </c>
      <c r="K380" s="964">
        <v>171300</v>
      </c>
      <c r="L380" s="769">
        <v>55600</v>
      </c>
      <c r="M380" s="769" t="s">
        <v>3247</v>
      </c>
      <c r="N380" s="899">
        <f>1-(L380/K380)</f>
        <v>0.67542323409223592</v>
      </c>
      <c r="O380" s="770">
        <v>0.15</v>
      </c>
      <c r="P380" s="771" t="s">
        <v>4449</v>
      </c>
      <c r="Q380" s="853" t="s">
        <v>5389</v>
      </c>
      <c r="R380" s="854"/>
      <c r="S380" s="854"/>
      <c r="T380" s="854"/>
    </row>
    <row r="381" spans="1:21" ht="13.5" customHeight="1">
      <c r="A381" s="825"/>
      <c r="B381" s="1420"/>
      <c r="C381" s="774" t="s">
        <v>3247</v>
      </c>
      <c r="D381" s="775" t="s">
        <v>4453</v>
      </c>
      <c r="E381" s="809" t="s">
        <v>264</v>
      </c>
      <c r="F381" s="809" t="s">
        <v>4480</v>
      </c>
      <c r="G381" s="810" t="s">
        <v>4641</v>
      </c>
      <c r="H381" s="671">
        <v>202412171564</v>
      </c>
      <c r="I381" s="810">
        <v>76992629</v>
      </c>
      <c r="J381" s="809" t="s">
        <v>5576</v>
      </c>
      <c r="K381" s="804">
        <v>158000</v>
      </c>
      <c r="L381" s="804">
        <v>35900</v>
      </c>
      <c r="M381" s="804" t="s">
        <v>3247</v>
      </c>
      <c r="N381" s="812">
        <f>1-(L381/K381)</f>
        <v>0.77278481012658229</v>
      </c>
      <c r="O381" s="812">
        <v>0.18</v>
      </c>
      <c r="P381" s="810" t="s">
        <v>4449</v>
      </c>
      <c r="Q381" s="813" t="s">
        <v>3412</v>
      </c>
      <c r="R381" s="844"/>
      <c r="S381" s="844" t="s">
        <v>5577</v>
      </c>
      <c r="T381" s="844"/>
      <c r="U381" s="825"/>
    </row>
    <row r="382" spans="1:21" ht="13.5" customHeight="1">
      <c r="B382" s="1420"/>
      <c r="C382" s="774" t="s">
        <v>3247</v>
      </c>
      <c r="D382" s="775" t="s">
        <v>4474</v>
      </c>
      <c r="E382" s="776" t="s">
        <v>910</v>
      </c>
      <c r="F382" s="776" t="s">
        <v>4454</v>
      </c>
      <c r="G382" s="777" t="s">
        <v>3852</v>
      </c>
      <c r="H382" s="778">
        <v>202406038694</v>
      </c>
      <c r="I382" s="777">
        <v>30120687</v>
      </c>
      <c r="J382" s="776" t="s">
        <v>1728</v>
      </c>
      <c r="K382" s="779"/>
      <c r="L382" s="779">
        <v>14200</v>
      </c>
      <c r="M382" s="804" t="s">
        <v>3247</v>
      </c>
      <c r="N382" s="780"/>
      <c r="O382" s="780">
        <v>0.2</v>
      </c>
      <c r="P382" s="810" t="s">
        <v>4449</v>
      </c>
      <c r="Q382" s="781" t="s">
        <v>5578</v>
      </c>
      <c r="R382" s="782" t="s">
        <v>5579</v>
      </c>
      <c r="S382" s="782" t="s">
        <v>5580</v>
      </c>
      <c r="T382" s="782"/>
    </row>
    <row r="383" spans="1:21" ht="13.5" customHeight="1">
      <c r="B383" s="1420"/>
      <c r="C383" s="774"/>
      <c r="D383" s="775" t="s">
        <v>4460</v>
      </c>
      <c r="E383" s="776" t="s">
        <v>221</v>
      </c>
      <c r="F383" s="776" t="s">
        <v>4671</v>
      </c>
      <c r="G383" s="777" t="s">
        <v>239</v>
      </c>
      <c r="H383" s="783">
        <v>202501232215</v>
      </c>
      <c r="I383" s="810" t="s">
        <v>5581</v>
      </c>
      <c r="J383" s="776" t="s">
        <v>1177</v>
      </c>
      <c r="K383" s="779">
        <v>64900</v>
      </c>
      <c r="L383" s="779">
        <v>21900</v>
      </c>
      <c r="M383" s="804" t="s">
        <v>3247</v>
      </c>
      <c r="N383" s="780">
        <v>0.7230255839822024</v>
      </c>
      <c r="O383" s="780">
        <v>0.15</v>
      </c>
      <c r="P383" s="777" t="s">
        <v>4449</v>
      </c>
      <c r="Q383" s="781"/>
      <c r="R383" s="782"/>
      <c r="S383" s="782" t="s">
        <v>5582</v>
      </c>
      <c r="T383" s="782"/>
    </row>
    <row r="384" spans="1:21" ht="13.5" customHeight="1">
      <c r="B384" s="1420"/>
      <c r="C384" s="774" t="s">
        <v>3247</v>
      </c>
      <c r="D384" s="775" t="s">
        <v>4444</v>
      </c>
      <c r="E384" s="776" t="s">
        <v>477</v>
      </c>
      <c r="F384" s="776" t="s">
        <v>5041</v>
      </c>
      <c r="G384" s="992" t="s">
        <v>1292</v>
      </c>
      <c r="H384" s="783">
        <v>202502052323</v>
      </c>
      <c r="I384" s="777">
        <v>30218650</v>
      </c>
      <c r="J384" s="776" t="s">
        <v>5583</v>
      </c>
      <c r="K384" s="779">
        <v>52900</v>
      </c>
      <c r="L384" s="779">
        <v>41900</v>
      </c>
      <c r="M384" s="779"/>
      <c r="N384" s="780">
        <f>1-(L384/K384)</f>
        <v>0.20793950850661624</v>
      </c>
      <c r="O384" s="780">
        <v>0.25</v>
      </c>
      <c r="P384" s="777" t="s">
        <v>4449</v>
      </c>
      <c r="Q384" s="781"/>
      <c r="R384" s="782"/>
      <c r="S384" s="782"/>
      <c r="T384" s="782"/>
    </row>
    <row r="385" spans="2:20" ht="13.5" customHeight="1">
      <c r="B385" s="1420"/>
      <c r="C385" s="774" t="s">
        <v>3247</v>
      </c>
      <c r="D385" s="775" t="s">
        <v>4469</v>
      </c>
      <c r="E385" s="776" t="s">
        <v>1109</v>
      </c>
      <c r="F385" s="776" t="s">
        <v>4519</v>
      </c>
      <c r="G385" s="777" t="s">
        <v>4384</v>
      </c>
      <c r="H385" s="783">
        <v>202409030155</v>
      </c>
      <c r="I385" s="777">
        <v>30097683</v>
      </c>
      <c r="J385" s="776" t="s">
        <v>5584</v>
      </c>
      <c r="K385" s="779">
        <v>25800</v>
      </c>
      <c r="L385" s="779">
        <v>18500</v>
      </c>
      <c r="M385" s="779"/>
      <c r="N385" s="780">
        <f>1-(L385/K385)</f>
        <v>0.28294573643410847</v>
      </c>
      <c r="O385" s="780">
        <v>0.3</v>
      </c>
      <c r="P385" s="777" t="s">
        <v>4449</v>
      </c>
      <c r="Q385" s="781" t="s">
        <v>5585</v>
      </c>
      <c r="R385" s="782"/>
      <c r="S385" s="782"/>
      <c r="T385" s="782"/>
    </row>
    <row r="386" spans="2:20">
      <c r="B386" s="1430" t="s">
        <v>5586</v>
      </c>
      <c r="C386" s="1430"/>
      <c r="D386" s="1430"/>
      <c r="E386" s="1430"/>
      <c r="F386" s="1430"/>
      <c r="G386" s="1430"/>
      <c r="H386" s="1430"/>
      <c r="I386" s="1430"/>
      <c r="J386" s="1430"/>
      <c r="K386" s="864"/>
      <c r="L386" s="865"/>
      <c r="M386" s="865"/>
      <c r="N386" s="866"/>
      <c r="O386" s="867"/>
      <c r="P386" s="868"/>
      <c r="Q386" s="869"/>
      <c r="R386" s="870"/>
      <c r="S386" s="870"/>
      <c r="T386" s="870"/>
    </row>
    <row r="387" spans="2:20" ht="13.5" customHeight="1">
      <c r="B387" s="1429" t="s">
        <v>5587</v>
      </c>
      <c r="C387" s="785"/>
      <c r="D387" s="786"/>
      <c r="E387" s="787" t="s">
        <v>185</v>
      </c>
      <c r="F387" s="787" t="s">
        <v>4829</v>
      </c>
      <c r="G387" s="788" t="s">
        <v>1554</v>
      </c>
      <c r="H387" s="797">
        <v>202501202101</v>
      </c>
      <c r="I387" s="788">
        <v>45175101</v>
      </c>
      <c r="J387" s="787" t="s">
        <v>5588</v>
      </c>
      <c r="K387" s="790">
        <v>129000</v>
      </c>
      <c r="L387" s="790">
        <v>64600</v>
      </c>
      <c r="M387" s="804" t="s">
        <v>3247</v>
      </c>
      <c r="N387" s="780">
        <f>1-(L387/K387)</f>
        <v>0.49922480620155041</v>
      </c>
      <c r="O387" s="791">
        <v>0.15</v>
      </c>
      <c r="P387" s="788" t="s">
        <v>4449</v>
      </c>
      <c r="Q387" s="993" t="s">
        <v>5589</v>
      </c>
      <c r="R387" s="793"/>
      <c r="S387" s="793"/>
      <c r="T387" s="793"/>
    </row>
    <row r="388" spans="2:20" ht="13.5" customHeight="1">
      <c r="B388" s="1429"/>
      <c r="C388" s="762" t="s">
        <v>5501</v>
      </c>
      <c r="D388" s="763" t="s">
        <v>4453</v>
      </c>
      <c r="E388" s="764" t="s">
        <v>185</v>
      </c>
      <c r="F388" s="764" t="s">
        <v>4829</v>
      </c>
      <c r="G388" s="771" t="s">
        <v>4024</v>
      </c>
      <c r="H388" s="991">
        <v>202502112368</v>
      </c>
      <c r="I388" s="771">
        <v>10563971</v>
      </c>
      <c r="J388" s="764" t="s">
        <v>5590</v>
      </c>
      <c r="K388" s="769">
        <v>33000</v>
      </c>
      <c r="L388" s="769">
        <v>29900</v>
      </c>
      <c r="M388" s="804"/>
      <c r="N388" s="780">
        <f>1-(L388/K388)</f>
        <v>9.3939393939393989E-2</v>
      </c>
      <c r="O388" s="770">
        <v>0.15</v>
      </c>
      <c r="P388" s="771" t="s">
        <v>4449</v>
      </c>
      <c r="Q388" s="994" t="s">
        <v>3412</v>
      </c>
      <c r="R388" s="854"/>
      <c r="S388" s="854"/>
      <c r="T388" s="854"/>
    </row>
    <row r="389" spans="2:20" ht="13.5" customHeight="1">
      <c r="B389" s="1429"/>
      <c r="C389" s="774"/>
      <c r="D389" s="775" t="s">
        <v>4469</v>
      </c>
      <c r="E389" s="776" t="s">
        <v>1109</v>
      </c>
      <c r="F389" s="776" t="s">
        <v>5591</v>
      </c>
      <c r="G389" s="777" t="s">
        <v>3995</v>
      </c>
      <c r="H389" s="783">
        <v>202501162027</v>
      </c>
      <c r="I389" s="771">
        <v>73980442</v>
      </c>
      <c r="J389" s="776" t="s">
        <v>5367</v>
      </c>
      <c r="K389" s="779">
        <v>22500</v>
      </c>
      <c r="L389" s="779">
        <v>12900</v>
      </c>
      <c r="M389" s="779"/>
      <c r="N389" s="780">
        <f>1-(L389/K389)</f>
        <v>0.42666666666666664</v>
      </c>
      <c r="O389" s="780">
        <v>0.15</v>
      </c>
      <c r="P389" s="777" t="s">
        <v>4449</v>
      </c>
      <c r="Q389" s="781" t="s">
        <v>5368</v>
      </c>
      <c r="R389" s="782"/>
      <c r="S389" s="782"/>
      <c r="T389" s="782"/>
    </row>
    <row r="390" spans="2:20" ht="13.5" customHeight="1">
      <c r="B390" s="1429"/>
      <c r="C390" s="774"/>
      <c r="D390" s="775" t="s">
        <v>4474</v>
      </c>
      <c r="E390" s="776" t="s">
        <v>795</v>
      </c>
      <c r="F390" s="776"/>
      <c r="G390" s="777" t="s">
        <v>3539</v>
      </c>
      <c r="H390" s="901">
        <v>202411161020</v>
      </c>
      <c r="I390" s="771">
        <v>71797879</v>
      </c>
      <c r="J390" s="776" t="s">
        <v>5592</v>
      </c>
      <c r="K390" s="779">
        <v>22500</v>
      </c>
      <c r="L390" s="779">
        <v>18000</v>
      </c>
      <c r="M390" s="779"/>
      <c r="N390" s="780"/>
      <c r="O390" s="780">
        <v>0.15</v>
      </c>
      <c r="P390" s="777" t="s">
        <v>5593</v>
      </c>
      <c r="Q390" s="898" t="s">
        <v>5594</v>
      </c>
      <c r="R390" s="782" t="s">
        <v>5595</v>
      </c>
      <c r="S390" s="782" t="s">
        <v>5596</v>
      </c>
      <c r="T390" s="782">
        <v>100</v>
      </c>
    </row>
    <row r="391" spans="2:20" ht="13.5" customHeight="1">
      <c r="B391" s="1429"/>
      <c r="C391" s="774"/>
      <c r="D391" s="775" t="s">
        <v>4444</v>
      </c>
      <c r="E391" s="776" t="s">
        <v>910</v>
      </c>
      <c r="F391" s="776" t="s">
        <v>4454</v>
      </c>
      <c r="G391" s="777" t="s">
        <v>3445</v>
      </c>
      <c r="H391" s="778">
        <v>202404298038</v>
      </c>
      <c r="I391" s="777">
        <v>30195172</v>
      </c>
      <c r="J391" s="887" t="s">
        <v>5597</v>
      </c>
      <c r="K391" s="779">
        <v>150000</v>
      </c>
      <c r="L391" s="779">
        <v>99000</v>
      </c>
      <c r="M391" s="779" t="s">
        <v>3247</v>
      </c>
      <c r="N391" s="780">
        <v>0.44</v>
      </c>
      <c r="O391" s="780">
        <v>0.3</v>
      </c>
      <c r="P391" s="777" t="s">
        <v>4449</v>
      </c>
      <c r="Q391" s="781" t="s">
        <v>5598</v>
      </c>
      <c r="R391" s="782" t="s">
        <v>5599</v>
      </c>
      <c r="S391" s="782" t="s">
        <v>5600</v>
      </c>
      <c r="T391" s="782"/>
    </row>
    <row r="392" spans="2:20" ht="13.5" customHeight="1">
      <c r="B392" s="1429"/>
      <c r="C392" s="774"/>
      <c r="D392" s="775"/>
      <c r="E392" s="776" t="s">
        <v>331</v>
      </c>
      <c r="F392" s="776" t="s">
        <v>4970</v>
      </c>
      <c r="G392" s="777" t="s">
        <v>5601</v>
      </c>
      <c r="H392" s="783">
        <v>202502072349</v>
      </c>
      <c r="I392" s="777">
        <v>70185727</v>
      </c>
      <c r="J392" s="776" t="s">
        <v>5602</v>
      </c>
      <c r="K392" s="779">
        <v>25000</v>
      </c>
      <c r="L392" s="779">
        <v>7000</v>
      </c>
      <c r="M392" s="779" t="s">
        <v>3247</v>
      </c>
      <c r="N392" s="780">
        <f>1-(L392/K392)</f>
        <v>0.72</v>
      </c>
      <c r="O392" s="780">
        <v>0.13</v>
      </c>
      <c r="P392" s="777" t="s">
        <v>4449</v>
      </c>
      <c r="Q392" s="781"/>
      <c r="R392" s="782"/>
      <c r="S392" s="782"/>
      <c r="T392" s="782"/>
    </row>
    <row r="393" spans="2:20" ht="13.5" customHeight="1">
      <c r="B393" s="1429"/>
      <c r="C393" s="774"/>
      <c r="D393" s="775"/>
      <c r="E393" s="776" t="s">
        <v>417</v>
      </c>
      <c r="F393" s="776" t="s">
        <v>4461</v>
      </c>
      <c r="G393" s="777" t="s">
        <v>3688</v>
      </c>
      <c r="H393" s="783">
        <v>202412161531</v>
      </c>
      <c r="I393" s="777">
        <v>30058705</v>
      </c>
      <c r="J393" s="776" t="s">
        <v>5603</v>
      </c>
      <c r="K393" s="779">
        <v>48900</v>
      </c>
      <c r="L393" s="779">
        <v>42900</v>
      </c>
      <c r="M393" s="779" t="s">
        <v>3247</v>
      </c>
      <c r="N393" s="780">
        <f>1-(L393/K393)</f>
        <v>0.12269938650306744</v>
      </c>
      <c r="O393" s="780">
        <v>0.1</v>
      </c>
      <c r="P393" s="777" t="s">
        <v>4449</v>
      </c>
      <c r="Q393" s="781" t="s">
        <v>5604</v>
      </c>
      <c r="R393" s="782"/>
      <c r="S393" s="782" t="s">
        <v>3688</v>
      </c>
      <c r="T393" s="782">
        <v>100</v>
      </c>
    </row>
    <row r="394" spans="2:20" ht="13.5" customHeight="1">
      <c r="B394" s="1429"/>
      <c r="C394" s="774"/>
      <c r="D394" s="775"/>
      <c r="E394" s="776" t="s">
        <v>221</v>
      </c>
      <c r="F394" s="776" t="s">
        <v>4671</v>
      </c>
      <c r="G394" s="777" t="s">
        <v>5605</v>
      </c>
      <c r="H394" s="811">
        <v>202502102357</v>
      </c>
      <c r="I394" s="777">
        <v>11139358</v>
      </c>
      <c r="J394" s="776" t="s">
        <v>5606</v>
      </c>
      <c r="K394" s="779">
        <v>14900</v>
      </c>
      <c r="L394" s="779">
        <v>12670</v>
      </c>
      <c r="M394" s="779"/>
      <c r="N394" s="780">
        <f>1-(L394/K394)</f>
        <v>0.14966442953020132</v>
      </c>
      <c r="O394" s="780">
        <v>0.25</v>
      </c>
      <c r="P394" s="777" t="s">
        <v>4449</v>
      </c>
      <c r="Q394" s="781" t="s">
        <v>5607</v>
      </c>
      <c r="R394" s="782"/>
      <c r="S394" s="782" t="s">
        <v>5608</v>
      </c>
      <c r="T394" s="782"/>
    </row>
    <row r="395" spans="2:20" ht="13.5" customHeight="1">
      <c r="B395" s="1429"/>
      <c r="C395" s="774"/>
      <c r="D395" s="775" t="s">
        <v>4460</v>
      </c>
      <c r="E395" s="809" t="s">
        <v>137</v>
      </c>
      <c r="F395" s="810" t="s">
        <v>4445</v>
      </c>
      <c r="G395" s="811" t="s">
        <v>3553</v>
      </c>
      <c r="H395" s="918">
        <v>202502122380</v>
      </c>
      <c r="I395" s="777"/>
      <c r="J395" s="776"/>
      <c r="K395" s="779"/>
      <c r="L395" s="779"/>
      <c r="M395" s="779"/>
      <c r="N395" s="780"/>
      <c r="O395" s="780"/>
      <c r="P395" s="777"/>
      <c r="Q395" s="781"/>
      <c r="R395" s="782"/>
      <c r="S395" s="782"/>
      <c r="T395" s="782"/>
    </row>
    <row r="396" spans="2:20" ht="13.5" customHeight="1">
      <c r="B396" s="1429"/>
      <c r="C396" s="774"/>
      <c r="D396" s="775"/>
      <c r="E396" s="776" t="s">
        <v>264</v>
      </c>
      <c r="F396" s="776" t="s">
        <v>4480</v>
      </c>
      <c r="G396" s="777" t="s">
        <v>5609</v>
      </c>
      <c r="H396" s="805">
        <v>202406289161</v>
      </c>
      <c r="I396" s="777">
        <v>76467983</v>
      </c>
      <c r="J396" s="776" t="s">
        <v>5610</v>
      </c>
      <c r="K396" s="779">
        <v>178000</v>
      </c>
      <c r="L396" s="779">
        <v>56900</v>
      </c>
      <c r="M396" s="779" t="s">
        <v>3247</v>
      </c>
      <c r="N396" s="780">
        <f>1-(L396/K396)</f>
        <v>0.68033707865168536</v>
      </c>
      <c r="O396" s="780">
        <v>0.23</v>
      </c>
      <c r="P396" s="777" t="s">
        <v>4449</v>
      </c>
      <c r="Q396" s="781" t="s">
        <v>5611</v>
      </c>
      <c r="R396" s="782"/>
      <c r="S396" s="782" t="s">
        <v>5612</v>
      </c>
      <c r="T396" s="782"/>
    </row>
    <row r="397" spans="2:20" ht="13.5" customHeight="1">
      <c r="B397" s="1421" t="s">
        <v>5613</v>
      </c>
      <c r="C397" s="785"/>
      <c r="D397" s="786" t="s">
        <v>4474</v>
      </c>
      <c r="E397" s="787" t="s">
        <v>32</v>
      </c>
      <c r="F397" s="787" t="s">
        <v>4084</v>
      </c>
      <c r="G397" s="788" t="s">
        <v>3979</v>
      </c>
      <c r="H397" s="797">
        <v>202502102356</v>
      </c>
      <c r="I397" s="788"/>
      <c r="J397" s="787" t="s">
        <v>5614</v>
      </c>
      <c r="K397" s="790">
        <v>599000</v>
      </c>
      <c r="L397" s="790">
        <v>499000</v>
      </c>
      <c r="M397" s="804" t="s">
        <v>3247</v>
      </c>
      <c r="N397" s="791">
        <v>0.2</v>
      </c>
      <c r="O397" s="791">
        <v>0.15</v>
      </c>
      <c r="P397" s="788" t="s">
        <v>4449</v>
      </c>
      <c r="Q397" s="995" t="s">
        <v>5615</v>
      </c>
      <c r="R397" s="793" t="s">
        <v>5614</v>
      </c>
      <c r="S397" s="793" t="s">
        <v>3979</v>
      </c>
      <c r="T397" s="793">
        <v>200</v>
      </c>
    </row>
    <row r="398" spans="2:20" ht="13.5" customHeight="1">
      <c r="B398" s="1421"/>
      <c r="C398" s="774"/>
      <c r="D398" s="775" t="s">
        <v>4453</v>
      </c>
      <c r="E398" s="776" t="s">
        <v>185</v>
      </c>
      <c r="F398" s="776" t="s">
        <v>4829</v>
      </c>
      <c r="G398" s="777" t="s">
        <v>3352</v>
      </c>
      <c r="H398" s="783">
        <v>202502052315</v>
      </c>
      <c r="I398" s="777">
        <v>30129566</v>
      </c>
      <c r="J398" s="776" t="s">
        <v>5616</v>
      </c>
      <c r="K398" s="779">
        <v>92000</v>
      </c>
      <c r="L398" s="779">
        <v>69900</v>
      </c>
      <c r="M398" s="804" t="s">
        <v>3247</v>
      </c>
      <c r="N398" s="780">
        <f>1-(L398/K398)</f>
        <v>0.24021739130434783</v>
      </c>
      <c r="O398" s="780">
        <v>0.15</v>
      </c>
      <c r="P398" s="777" t="s">
        <v>4449</v>
      </c>
      <c r="Q398" s="898" t="s">
        <v>5617</v>
      </c>
      <c r="R398" s="782"/>
      <c r="S398" s="782"/>
      <c r="T398" s="782"/>
    </row>
    <row r="399" spans="2:20" ht="13.5" customHeight="1">
      <c r="B399" s="1421"/>
      <c r="C399" s="774"/>
      <c r="D399" s="775"/>
      <c r="E399" s="776" t="s">
        <v>942</v>
      </c>
      <c r="F399" s="776" t="s">
        <v>4454</v>
      </c>
      <c r="G399" s="777" t="s">
        <v>5618</v>
      </c>
      <c r="H399" s="783">
        <v>202407229468</v>
      </c>
      <c r="I399" s="777">
        <v>30159831</v>
      </c>
      <c r="J399" s="887" t="s">
        <v>5619</v>
      </c>
      <c r="K399" s="779">
        <v>12900</v>
      </c>
      <c r="L399" s="779">
        <v>9900</v>
      </c>
      <c r="M399" s="804" t="s">
        <v>3247</v>
      </c>
      <c r="N399" s="780">
        <v>0.1</v>
      </c>
      <c r="O399" s="780">
        <v>0.1</v>
      </c>
      <c r="P399" s="777" t="s">
        <v>4449</v>
      </c>
      <c r="Q399" s="781" t="s">
        <v>5620</v>
      </c>
      <c r="R399" s="782" t="s">
        <v>5621</v>
      </c>
      <c r="S399" s="782" t="s">
        <v>5622</v>
      </c>
      <c r="T399" s="782"/>
    </row>
    <row r="400" spans="2:20" ht="13.5" customHeight="1">
      <c r="B400" s="1421"/>
      <c r="C400" s="774" t="s">
        <v>3247</v>
      </c>
      <c r="D400" s="775" t="s">
        <v>4444</v>
      </c>
      <c r="E400" s="776" t="s">
        <v>1109</v>
      </c>
      <c r="F400" s="776" t="s">
        <v>5591</v>
      </c>
      <c r="G400" s="777" t="s">
        <v>3770</v>
      </c>
      <c r="H400" s="783">
        <v>202405298611</v>
      </c>
      <c r="I400" s="996">
        <v>20036882</v>
      </c>
      <c r="J400" s="997" t="s">
        <v>5623</v>
      </c>
      <c r="K400" s="779">
        <v>57400</v>
      </c>
      <c r="L400" s="779">
        <v>49200</v>
      </c>
      <c r="M400" s="779" t="s">
        <v>3247</v>
      </c>
      <c r="N400" s="780">
        <f>1-(L400/K400)</f>
        <v>0.1428571428571429</v>
      </c>
      <c r="O400" s="780">
        <v>0.15</v>
      </c>
      <c r="P400" s="777" t="s">
        <v>4449</v>
      </c>
      <c r="Q400" s="898" t="s">
        <v>5624</v>
      </c>
      <c r="R400" s="782"/>
      <c r="S400" s="782"/>
      <c r="T400" s="782"/>
    </row>
    <row r="401" spans="1:21" ht="15" customHeight="1">
      <c r="B401" s="1421"/>
      <c r="C401" s="774" t="s">
        <v>3247</v>
      </c>
      <c r="D401" s="775"/>
      <c r="E401" s="776" t="s">
        <v>417</v>
      </c>
      <c r="F401" s="776" t="s">
        <v>4461</v>
      </c>
      <c r="G401" s="777" t="s">
        <v>5625</v>
      </c>
      <c r="H401" s="783">
        <v>202502122388</v>
      </c>
      <c r="I401" s="998">
        <v>75409458</v>
      </c>
      <c r="J401" s="998" t="s">
        <v>1697</v>
      </c>
      <c r="K401" s="779">
        <v>10900</v>
      </c>
      <c r="L401" s="779">
        <v>9900</v>
      </c>
      <c r="M401" s="804" t="s">
        <v>3247</v>
      </c>
      <c r="N401" s="780">
        <f>1-(L401/K401)</f>
        <v>9.1743119266055051E-2</v>
      </c>
      <c r="O401" s="780">
        <v>0.1</v>
      </c>
      <c r="P401" s="777" t="s">
        <v>4449</v>
      </c>
      <c r="Q401" s="781" t="s">
        <v>5626</v>
      </c>
      <c r="R401" s="782"/>
      <c r="S401" s="782"/>
      <c r="T401" s="782"/>
    </row>
    <row r="402" spans="1:21" ht="13.5" customHeight="1">
      <c r="B402" s="1421"/>
      <c r="C402" s="774"/>
      <c r="D402" s="775"/>
      <c r="E402" s="776" t="s">
        <v>221</v>
      </c>
      <c r="F402" s="776" t="s">
        <v>4671</v>
      </c>
      <c r="G402" s="777" t="s">
        <v>5447</v>
      </c>
      <c r="H402" s="999">
        <v>202411080913</v>
      </c>
      <c r="I402" s="777">
        <v>55017641</v>
      </c>
      <c r="J402" s="776" t="s">
        <v>5627</v>
      </c>
      <c r="K402" s="779">
        <v>35900</v>
      </c>
      <c r="L402" s="779">
        <v>19900</v>
      </c>
      <c r="M402" s="779" t="s">
        <v>3247</v>
      </c>
      <c r="N402" s="780">
        <f>1-(L402/K402)</f>
        <v>0.44568245125348194</v>
      </c>
      <c r="O402" s="780">
        <v>0.1</v>
      </c>
      <c r="P402" s="777"/>
      <c r="Q402" s="781" t="s">
        <v>5628</v>
      </c>
      <c r="R402" s="782"/>
      <c r="S402" s="782" t="s">
        <v>5629</v>
      </c>
      <c r="T402" s="782"/>
    </row>
    <row r="403" spans="1:21" ht="13.5" customHeight="1">
      <c r="B403" s="1421"/>
      <c r="C403" s="774" t="s">
        <v>3247</v>
      </c>
      <c r="D403" s="775"/>
      <c r="E403" s="776" t="s">
        <v>221</v>
      </c>
      <c r="F403" s="776" t="s">
        <v>4454</v>
      </c>
      <c r="G403" s="777" t="s">
        <v>5630</v>
      </c>
      <c r="H403" s="811">
        <v>202412051335</v>
      </c>
      <c r="I403" s="777">
        <v>10955094</v>
      </c>
      <c r="J403" s="776" t="s">
        <v>5631</v>
      </c>
      <c r="K403" s="779">
        <v>46000</v>
      </c>
      <c r="L403" s="779">
        <v>41400</v>
      </c>
      <c r="M403" s="779"/>
      <c r="N403" s="780">
        <f>1-(L403/K403)</f>
        <v>9.9999999999999978E-2</v>
      </c>
      <c r="O403" s="780">
        <v>0.15</v>
      </c>
      <c r="P403" s="777" t="s">
        <v>4449</v>
      </c>
      <c r="Q403" s="781" t="s">
        <v>5632</v>
      </c>
      <c r="R403" s="782"/>
      <c r="S403" s="782" t="s">
        <v>5633</v>
      </c>
      <c r="T403" s="782"/>
    </row>
    <row r="404" spans="1:21" ht="13.5" customHeight="1">
      <c r="B404" s="1421"/>
      <c r="C404" s="774"/>
      <c r="D404" s="775" t="s">
        <v>4460</v>
      </c>
      <c r="E404" s="809" t="s">
        <v>137</v>
      </c>
      <c r="F404" s="810" t="s">
        <v>4445</v>
      </c>
      <c r="G404" s="811" t="s">
        <v>3553</v>
      </c>
      <c r="H404" s="918">
        <v>202502122381</v>
      </c>
      <c r="I404" s="777"/>
      <c r="J404" s="776"/>
      <c r="K404" s="1000"/>
      <c r="L404" s="1000"/>
      <c r="M404" s="779"/>
      <c r="N404" s="780"/>
      <c r="O404" s="780"/>
      <c r="P404" s="777"/>
      <c r="Q404" s="781"/>
      <c r="R404" s="782"/>
      <c r="S404" s="782"/>
      <c r="T404" s="782"/>
    </row>
    <row r="405" spans="1:21" ht="13.5" customHeight="1">
      <c r="B405" s="1421"/>
      <c r="C405" s="774" t="s">
        <v>3247</v>
      </c>
      <c r="D405" s="775" t="s">
        <v>4469</v>
      </c>
      <c r="E405" s="776" t="s">
        <v>264</v>
      </c>
      <c r="F405" s="776" t="s">
        <v>4480</v>
      </c>
      <c r="G405" s="777" t="s">
        <v>4768</v>
      </c>
      <c r="H405" s="805">
        <v>202407239504</v>
      </c>
      <c r="I405" s="777">
        <v>76537240</v>
      </c>
      <c r="J405" s="776" t="s">
        <v>5634</v>
      </c>
      <c r="K405" s="831">
        <v>219000</v>
      </c>
      <c r="L405" s="831">
        <v>29000</v>
      </c>
      <c r="M405" s="779" t="s">
        <v>3247</v>
      </c>
      <c r="N405" s="780">
        <f>1-(L405/K405)</f>
        <v>0.86757990867579915</v>
      </c>
      <c r="O405" s="780">
        <v>0.15</v>
      </c>
      <c r="P405" s="777"/>
      <c r="Q405" s="781" t="s">
        <v>5635</v>
      </c>
      <c r="R405" s="782"/>
      <c r="S405" s="782" t="s">
        <v>5636</v>
      </c>
      <c r="T405" s="782"/>
    </row>
    <row r="406" spans="1:21" s="1001" customFormat="1" ht="13.5" customHeight="1">
      <c r="B406" s="1420" t="s">
        <v>5637</v>
      </c>
      <c r="C406" s="1002"/>
      <c r="D406" s="1003" t="s">
        <v>4460</v>
      </c>
      <c r="E406" s="1004" t="s">
        <v>137</v>
      </c>
      <c r="F406" s="1004" t="s">
        <v>4757</v>
      </c>
      <c r="G406" s="1005" t="s">
        <v>4151</v>
      </c>
      <c r="H406" s="1006">
        <v>202301047516</v>
      </c>
      <c r="I406" s="1007">
        <v>30207673</v>
      </c>
      <c r="J406" s="1008" t="s">
        <v>4604</v>
      </c>
      <c r="K406" s="1009">
        <v>58900</v>
      </c>
      <c r="L406" s="1009">
        <v>53010</v>
      </c>
      <c r="M406" s="1010"/>
      <c r="N406" s="1011">
        <v>0.1</v>
      </c>
      <c r="O406" s="1011">
        <v>0.15</v>
      </c>
      <c r="P406" s="1005" t="s">
        <v>4449</v>
      </c>
      <c r="Q406" s="1012" t="s">
        <v>5638</v>
      </c>
      <c r="R406" s="1012" t="s">
        <v>5639</v>
      </c>
      <c r="S406" s="1012"/>
      <c r="T406" s="1012">
        <v>50</v>
      </c>
    </row>
    <row r="407" spans="1:21" ht="13.5" customHeight="1">
      <c r="A407" s="825"/>
      <c r="B407" s="1420"/>
      <c r="C407" s="817" t="s">
        <v>3247</v>
      </c>
      <c r="D407" s="775" t="s">
        <v>4453</v>
      </c>
      <c r="E407" s="809" t="s">
        <v>137</v>
      </c>
      <c r="F407" s="810" t="s">
        <v>4445</v>
      </c>
      <c r="G407" s="811" t="s">
        <v>3553</v>
      </c>
      <c r="H407" s="918">
        <v>202502122382</v>
      </c>
      <c r="I407" s="1013">
        <v>77473058</v>
      </c>
      <c r="J407" s="804" t="s">
        <v>5640</v>
      </c>
      <c r="K407" s="804">
        <v>39000</v>
      </c>
      <c r="L407" s="804">
        <v>28900</v>
      </c>
      <c r="M407" s="779" t="s">
        <v>3247</v>
      </c>
      <c r="N407" s="812">
        <v>0.26</v>
      </c>
      <c r="O407" s="810">
        <v>0.2</v>
      </c>
      <c r="P407" s="813" t="s">
        <v>4449</v>
      </c>
      <c r="Q407" s="781" t="s">
        <v>5641</v>
      </c>
      <c r="R407" s="844" t="s">
        <v>5642</v>
      </c>
      <c r="S407" s="844"/>
      <c r="T407" s="809"/>
      <c r="U407" s="825"/>
    </row>
    <row r="408" spans="1:21" ht="13.5" customHeight="1">
      <c r="B408" s="1420"/>
      <c r="C408" s="774"/>
      <c r="D408" s="775" t="s">
        <v>4469</v>
      </c>
      <c r="E408" s="776" t="s">
        <v>417</v>
      </c>
      <c r="F408" s="776" t="s">
        <v>4461</v>
      </c>
      <c r="G408" s="777" t="s">
        <v>4231</v>
      </c>
      <c r="H408" s="783">
        <v>202412231672</v>
      </c>
      <c r="I408" s="777">
        <v>30093279</v>
      </c>
      <c r="J408" s="887" t="s">
        <v>5643</v>
      </c>
      <c r="K408" s="779">
        <v>15900</v>
      </c>
      <c r="L408" s="779">
        <v>14900</v>
      </c>
      <c r="M408" s="779" t="s">
        <v>3247</v>
      </c>
      <c r="N408" s="780">
        <f>1-(L408/K408)</f>
        <v>6.2893081761006275E-2</v>
      </c>
      <c r="O408" s="780">
        <v>0.1</v>
      </c>
      <c r="P408" s="777" t="s">
        <v>4449</v>
      </c>
      <c r="Q408" s="781" t="s">
        <v>5644</v>
      </c>
      <c r="R408" s="782"/>
      <c r="S408" s="782"/>
      <c r="T408" s="782"/>
    </row>
    <row r="409" spans="1:21" ht="13.5" customHeight="1">
      <c r="B409" s="1420"/>
      <c r="C409" s="774" t="s">
        <v>3247</v>
      </c>
      <c r="D409" s="775" t="s">
        <v>4474</v>
      </c>
      <c r="E409" s="776" t="s">
        <v>795</v>
      </c>
      <c r="F409" s="776" t="s">
        <v>4461</v>
      </c>
      <c r="G409" s="777" t="s">
        <v>3539</v>
      </c>
      <c r="H409" s="816">
        <v>202502132416</v>
      </c>
      <c r="I409" s="777" t="s">
        <v>5645</v>
      </c>
      <c r="J409" s="741" t="s">
        <v>5646</v>
      </c>
      <c r="K409" s="779">
        <v>36900</v>
      </c>
      <c r="L409" s="779">
        <v>20000</v>
      </c>
      <c r="M409" s="779"/>
      <c r="N409" s="780">
        <v>0.2</v>
      </c>
      <c r="O409" s="780">
        <v>0.15</v>
      </c>
      <c r="P409" s="777" t="s">
        <v>4449</v>
      </c>
      <c r="Q409" s="781" t="s">
        <v>5647</v>
      </c>
      <c r="R409" s="782" t="s">
        <v>5648</v>
      </c>
      <c r="S409" s="782"/>
      <c r="T409" s="782">
        <v>100</v>
      </c>
    </row>
    <row r="410" spans="1:21" ht="13.5" customHeight="1">
      <c r="B410" s="1420"/>
      <c r="C410" s="774"/>
      <c r="D410" s="775"/>
      <c r="E410" s="776" t="s">
        <v>185</v>
      </c>
      <c r="F410" s="776" t="s">
        <v>4829</v>
      </c>
      <c r="G410" s="777" t="s">
        <v>3668</v>
      </c>
      <c r="H410" s="803">
        <v>202305301139</v>
      </c>
      <c r="I410" s="777">
        <v>64027108</v>
      </c>
      <c r="J410" s="776" t="s">
        <v>5649</v>
      </c>
      <c r="K410" s="779">
        <v>47000</v>
      </c>
      <c r="L410" s="779">
        <v>32700</v>
      </c>
      <c r="M410" s="804" t="s">
        <v>3247</v>
      </c>
      <c r="N410" s="780">
        <f>1-(L410/K410)</f>
        <v>0.30425531914893622</v>
      </c>
      <c r="O410" s="780">
        <v>0.15</v>
      </c>
      <c r="P410" s="777" t="s">
        <v>4449</v>
      </c>
      <c r="Q410" s="781" t="s">
        <v>5650</v>
      </c>
      <c r="R410" s="782"/>
      <c r="S410" s="782"/>
      <c r="T410" s="782"/>
    </row>
    <row r="411" spans="1:21" ht="13.5" customHeight="1">
      <c r="B411" s="1420"/>
      <c r="C411" s="774" t="s">
        <v>3247</v>
      </c>
      <c r="D411" s="775"/>
      <c r="E411" s="776" t="s">
        <v>910</v>
      </c>
      <c r="F411" s="776" t="s">
        <v>4454</v>
      </c>
      <c r="G411" s="777" t="s">
        <v>5651</v>
      </c>
      <c r="H411" s="783">
        <v>202305311160</v>
      </c>
      <c r="I411" s="777">
        <v>40168352</v>
      </c>
      <c r="J411" s="776" t="s">
        <v>5652</v>
      </c>
      <c r="K411" s="779">
        <v>58800</v>
      </c>
      <c r="L411" s="779">
        <v>38500</v>
      </c>
      <c r="M411" s="779"/>
      <c r="N411" s="780">
        <f>1-(L411/K411)</f>
        <v>0.34523809523809523</v>
      </c>
      <c r="O411" s="780">
        <v>0.15</v>
      </c>
      <c r="P411" s="777" t="s">
        <v>4449</v>
      </c>
      <c r="Q411" s="781" t="s">
        <v>5653</v>
      </c>
      <c r="R411" s="782" t="s">
        <v>5654</v>
      </c>
      <c r="S411" s="782" t="s">
        <v>5655</v>
      </c>
      <c r="T411" s="782"/>
    </row>
    <row r="412" spans="1:21" ht="13.5" customHeight="1">
      <c r="B412" s="1420"/>
      <c r="C412" s="774"/>
      <c r="D412" s="775" t="s">
        <v>4444</v>
      </c>
      <c r="E412" s="809" t="s">
        <v>221</v>
      </c>
      <c r="F412" s="809" t="s">
        <v>4671</v>
      </c>
      <c r="G412" s="810" t="s">
        <v>248</v>
      </c>
      <c r="H412" s="999">
        <v>202412111435</v>
      </c>
      <c r="I412" s="810">
        <v>10653441</v>
      </c>
      <c r="J412" s="809" t="s">
        <v>5656</v>
      </c>
      <c r="K412" s="804">
        <v>17900</v>
      </c>
      <c r="L412" s="804">
        <v>17010</v>
      </c>
      <c r="M412" s="804"/>
      <c r="N412" s="812">
        <f>1-(L412/K412)</f>
        <v>4.9720670391061428E-2</v>
      </c>
      <c r="O412" s="812">
        <v>0.15</v>
      </c>
      <c r="P412" s="810" t="s">
        <v>4449</v>
      </c>
      <c r="Q412" s="813" t="s">
        <v>5657</v>
      </c>
      <c r="R412" s="844"/>
      <c r="S412" s="844" t="s">
        <v>5658</v>
      </c>
      <c r="T412" s="782"/>
    </row>
    <row r="413" spans="1:21" ht="13.5" customHeight="1">
      <c r="B413" s="1420"/>
      <c r="C413" s="774"/>
      <c r="D413" s="775"/>
      <c r="E413" s="776" t="s">
        <v>221</v>
      </c>
      <c r="F413" s="776" t="s">
        <v>4454</v>
      </c>
      <c r="G413" s="777" t="s">
        <v>5659</v>
      </c>
      <c r="H413" s="783">
        <v>202502102366</v>
      </c>
      <c r="I413" s="777">
        <v>10607179</v>
      </c>
      <c r="J413" s="776" t="s">
        <v>1879</v>
      </c>
      <c r="K413" s="779">
        <v>18900</v>
      </c>
      <c r="L413" s="779">
        <v>17010</v>
      </c>
      <c r="M413" s="779"/>
      <c r="N413" s="780">
        <f>1-(L413/K413)</f>
        <v>9.9999999999999978E-2</v>
      </c>
      <c r="O413" s="780">
        <v>0.15</v>
      </c>
      <c r="P413" s="777" t="s">
        <v>4449</v>
      </c>
      <c r="Q413" s="781"/>
      <c r="R413" s="782"/>
      <c r="S413" s="782" t="s">
        <v>5660</v>
      </c>
      <c r="T413" s="782"/>
    </row>
    <row r="414" spans="1:21" ht="13.5" customHeight="1">
      <c r="B414" s="1420"/>
      <c r="C414" s="774" t="s">
        <v>3247</v>
      </c>
      <c r="D414" s="775"/>
      <c r="E414" s="776" t="s">
        <v>264</v>
      </c>
      <c r="F414" s="776" t="s">
        <v>4480</v>
      </c>
      <c r="G414" s="777" t="s">
        <v>4362</v>
      </c>
      <c r="H414" s="805">
        <v>202409240351</v>
      </c>
      <c r="I414" s="777">
        <v>71135758</v>
      </c>
      <c r="J414" s="776" t="s">
        <v>5661</v>
      </c>
      <c r="K414" s="779">
        <v>286000</v>
      </c>
      <c r="L414" s="779">
        <v>59200</v>
      </c>
      <c r="M414" s="779" t="s">
        <v>3247</v>
      </c>
      <c r="N414" s="780">
        <f t="shared" ref="N414:N415" si="6">1-(L414/K414)</f>
        <v>0.79300699300699296</v>
      </c>
      <c r="O414" s="780">
        <v>0.27</v>
      </c>
      <c r="P414" s="777" t="s">
        <v>4449</v>
      </c>
      <c r="Q414" s="781"/>
      <c r="R414" s="782"/>
      <c r="S414" s="782" t="s">
        <v>5662</v>
      </c>
      <c r="T414" s="782"/>
    </row>
    <row r="415" spans="1:21" ht="13.5" customHeight="1">
      <c r="B415" s="1420"/>
      <c r="C415" s="774"/>
      <c r="D415" s="775"/>
      <c r="E415" s="776" t="s">
        <v>331</v>
      </c>
      <c r="F415" s="776" t="s">
        <v>5663</v>
      </c>
      <c r="G415" s="777" t="s">
        <v>4261</v>
      </c>
      <c r="H415" s="671">
        <v>202501212147</v>
      </c>
      <c r="I415" s="777">
        <v>76859180</v>
      </c>
      <c r="J415" s="776" t="s">
        <v>5664</v>
      </c>
      <c r="K415" s="1014">
        <v>59900</v>
      </c>
      <c r="L415" s="779">
        <v>24900</v>
      </c>
      <c r="M415" s="779" t="s">
        <v>3247</v>
      </c>
      <c r="N415" s="780">
        <f t="shared" si="6"/>
        <v>0.58430717863105175</v>
      </c>
      <c r="O415" s="780">
        <v>0.19</v>
      </c>
      <c r="P415" s="777"/>
      <c r="Q415" s="781" t="s">
        <v>5665</v>
      </c>
      <c r="R415" s="782" t="s">
        <v>5666</v>
      </c>
      <c r="S415" s="782" t="s">
        <v>5667</v>
      </c>
      <c r="T415" s="782">
        <v>100</v>
      </c>
    </row>
    <row r="416" spans="1:21" ht="13.5" customHeight="1">
      <c r="B416" s="1429" t="s">
        <v>5668</v>
      </c>
      <c r="C416" s="774" t="s">
        <v>3247</v>
      </c>
      <c r="D416" s="775" t="s">
        <v>4453</v>
      </c>
      <c r="E416" s="776" t="s">
        <v>165</v>
      </c>
      <c r="F416" s="776" t="s">
        <v>4560</v>
      </c>
      <c r="G416" s="777" t="s">
        <v>4216</v>
      </c>
      <c r="H416" s="783">
        <v>202502062327</v>
      </c>
      <c r="I416" s="777">
        <v>46485260</v>
      </c>
      <c r="J416" s="776" t="s">
        <v>5316</v>
      </c>
      <c r="K416" s="779">
        <v>3950000</v>
      </c>
      <c r="L416" s="779">
        <v>2165000</v>
      </c>
      <c r="M416" s="779" t="s">
        <v>4844</v>
      </c>
      <c r="N416" s="780">
        <f>1-(L416/K416)</f>
        <v>0.45189873417721516</v>
      </c>
      <c r="O416" s="780"/>
      <c r="P416" s="777"/>
      <c r="Q416" s="781" t="s">
        <v>5669</v>
      </c>
      <c r="R416" s="782"/>
      <c r="S416" s="782"/>
      <c r="T416" s="782"/>
    </row>
    <row r="417" spans="2:20" ht="13.5" customHeight="1">
      <c r="B417" s="1429"/>
      <c r="C417" s="774"/>
      <c r="D417" s="775"/>
      <c r="E417" s="776" t="s">
        <v>185</v>
      </c>
      <c r="F417" s="776" t="s">
        <v>4829</v>
      </c>
      <c r="G417" s="777" t="s">
        <v>3659</v>
      </c>
      <c r="H417" s="803">
        <v>202106185230</v>
      </c>
      <c r="I417" s="777">
        <v>43078952</v>
      </c>
      <c r="J417" s="887" t="s">
        <v>5670</v>
      </c>
      <c r="K417" s="779">
        <v>47900</v>
      </c>
      <c r="L417" s="779">
        <v>44900</v>
      </c>
      <c r="M417" s="779" t="s">
        <v>5671</v>
      </c>
      <c r="N417" s="780">
        <f t="shared" ref="N417:N422" si="7">1-(L417/K417)</f>
        <v>6.2630480167014668E-2</v>
      </c>
      <c r="O417" s="780">
        <v>0.15</v>
      </c>
      <c r="P417" s="777" t="s">
        <v>4449</v>
      </c>
      <c r="Q417" s="781" t="s">
        <v>5672</v>
      </c>
      <c r="R417" s="782"/>
      <c r="S417" s="782"/>
      <c r="T417" s="782"/>
    </row>
    <row r="418" spans="2:20" ht="13.5" customHeight="1">
      <c r="B418" s="1429"/>
      <c r="C418" s="774" t="s">
        <v>3247</v>
      </c>
      <c r="D418" s="775"/>
      <c r="E418" s="776" t="s">
        <v>910</v>
      </c>
      <c r="F418" s="776" t="s">
        <v>4454</v>
      </c>
      <c r="G418" s="777" t="s">
        <v>5673</v>
      </c>
      <c r="H418" s="783">
        <v>202502102361</v>
      </c>
      <c r="I418" s="777">
        <v>47152842</v>
      </c>
      <c r="J418" s="776" t="s">
        <v>5674</v>
      </c>
      <c r="K418" s="779">
        <v>32000</v>
      </c>
      <c r="L418" s="779">
        <v>15800</v>
      </c>
      <c r="M418" s="779"/>
      <c r="N418" s="780">
        <f t="shared" si="7"/>
        <v>0.50624999999999998</v>
      </c>
      <c r="O418" s="780">
        <v>0.15</v>
      </c>
      <c r="P418" s="777" t="s">
        <v>4449</v>
      </c>
      <c r="Q418" s="781" t="s">
        <v>5653</v>
      </c>
      <c r="R418" s="782" t="s">
        <v>5675</v>
      </c>
      <c r="S418" s="782" t="s">
        <v>5676</v>
      </c>
      <c r="T418" s="782"/>
    </row>
    <row r="419" spans="2:20" ht="13.5" customHeight="1">
      <c r="B419" s="1429"/>
      <c r="C419" s="774" t="s">
        <v>3247</v>
      </c>
      <c r="D419" s="775"/>
      <c r="E419" s="776" t="s">
        <v>331</v>
      </c>
      <c r="F419" s="776" t="s">
        <v>4970</v>
      </c>
      <c r="G419" s="777" t="s">
        <v>5677</v>
      </c>
      <c r="H419" s="783">
        <v>202411050849</v>
      </c>
      <c r="I419" s="998">
        <v>30202506</v>
      </c>
      <c r="J419" s="998" t="s">
        <v>5678</v>
      </c>
      <c r="K419" s="779">
        <v>60000</v>
      </c>
      <c r="L419" s="779">
        <v>35000</v>
      </c>
      <c r="M419" s="804" t="s">
        <v>3247</v>
      </c>
      <c r="N419" s="780">
        <f t="shared" si="7"/>
        <v>0.41666666666666663</v>
      </c>
      <c r="O419" s="780"/>
      <c r="P419" s="777" t="s">
        <v>4449</v>
      </c>
      <c r="Q419" s="781" t="s">
        <v>5679</v>
      </c>
      <c r="R419" s="782" t="s">
        <v>5680</v>
      </c>
      <c r="S419" s="782" t="s">
        <v>5681</v>
      </c>
      <c r="T419" s="782"/>
    </row>
    <row r="420" spans="2:20" ht="13.5" customHeight="1">
      <c r="B420" s="1429"/>
      <c r="C420" s="774" t="s">
        <v>3247</v>
      </c>
      <c r="D420" s="775"/>
      <c r="E420" s="776" t="s">
        <v>1109</v>
      </c>
      <c r="F420" s="776" t="s">
        <v>4519</v>
      </c>
      <c r="G420" s="777" t="s">
        <v>4107</v>
      </c>
      <c r="H420" s="783">
        <v>202412031274</v>
      </c>
      <c r="I420" s="996">
        <v>30147382</v>
      </c>
      <c r="J420" s="997" t="s">
        <v>5682</v>
      </c>
      <c r="K420" s="779">
        <v>58300</v>
      </c>
      <c r="L420" s="779">
        <v>40800</v>
      </c>
      <c r="M420" s="779" t="s">
        <v>3247</v>
      </c>
      <c r="N420" s="780">
        <f t="shared" si="7"/>
        <v>0.30017152658662094</v>
      </c>
      <c r="O420" s="780">
        <v>0.15</v>
      </c>
      <c r="P420" s="777" t="s">
        <v>4449</v>
      </c>
      <c r="Q420" s="898" t="s">
        <v>5683</v>
      </c>
      <c r="R420" s="782"/>
      <c r="S420" s="782"/>
      <c r="T420" s="782"/>
    </row>
    <row r="421" spans="2:20" ht="13.5" customHeight="1">
      <c r="B421" s="1429"/>
      <c r="C421" s="774"/>
      <c r="D421" s="775" t="s">
        <v>4444</v>
      </c>
      <c r="E421" s="776" t="s">
        <v>417</v>
      </c>
      <c r="F421" s="776" t="s">
        <v>4461</v>
      </c>
      <c r="G421" s="777" t="s">
        <v>5684</v>
      </c>
      <c r="H421" s="783">
        <v>202502122391</v>
      </c>
      <c r="I421" s="777">
        <v>30171429</v>
      </c>
      <c r="J421" s="776" t="s">
        <v>5685</v>
      </c>
      <c r="K421" s="779">
        <v>15900</v>
      </c>
      <c r="L421" s="779">
        <v>14900</v>
      </c>
      <c r="M421" s="779" t="s">
        <v>3247</v>
      </c>
      <c r="N421" s="780">
        <f t="shared" si="7"/>
        <v>6.2893081761006275E-2</v>
      </c>
      <c r="O421" s="780">
        <v>0.1</v>
      </c>
      <c r="P421" s="777" t="s">
        <v>4449</v>
      </c>
      <c r="Q421" s="781" t="s">
        <v>5686</v>
      </c>
      <c r="R421" s="782"/>
      <c r="S421" s="782"/>
      <c r="T421" s="782">
        <v>50</v>
      </c>
    </row>
    <row r="422" spans="2:20" ht="13.5" customHeight="1">
      <c r="B422" s="1429"/>
      <c r="C422" s="774"/>
      <c r="D422" s="775"/>
      <c r="E422" s="776" t="s">
        <v>221</v>
      </c>
      <c r="F422" s="776" t="s">
        <v>4671</v>
      </c>
      <c r="G422" s="777" t="s">
        <v>231</v>
      </c>
      <c r="H422" s="811">
        <v>202502102358</v>
      </c>
      <c r="I422" s="777">
        <v>30042118</v>
      </c>
      <c r="J422" s="776" t="s">
        <v>5687</v>
      </c>
      <c r="K422" s="779">
        <v>20900</v>
      </c>
      <c r="L422" s="779">
        <v>18810</v>
      </c>
      <c r="M422" s="779"/>
      <c r="N422" s="780">
        <f t="shared" si="7"/>
        <v>9.9999999999999978E-2</v>
      </c>
      <c r="O422" s="780">
        <v>0.17</v>
      </c>
      <c r="P422" s="777" t="s">
        <v>4449</v>
      </c>
      <c r="Q422" s="781" t="s">
        <v>5688</v>
      </c>
      <c r="R422" s="782"/>
      <c r="S422" s="782" t="s">
        <v>5689</v>
      </c>
      <c r="T422" s="782"/>
    </row>
    <row r="423" spans="2:20" ht="13.5" customHeight="1">
      <c r="B423" s="1429"/>
      <c r="C423" s="774"/>
      <c r="D423" s="775" t="s">
        <v>4460</v>
      </c>
      <c r="E423" s="809" t="s">
        <v>137</v>
      </c>
      <c r="F423" s="810" t="s">
        <v>4445</v>
      </c>
      <c r="G423" s="811" t="s">
        <v>3553</v>
      </c>
      <c r="H423" s="918">
        <v>202502122383</v>
      </c>
      <c r="I423" s="777"/>
      <c r="J423" s="776"/>
      <c r="K423" s="779"/>
      <c r="L423" s="779"/>
      <c r="M423" s="779"/>
      <c r="N423" s="780"/>
      <c r="O423" s="780"/>
      <c r="P423" s="777"/>
      <c r="Q423" s="781"/>
      <c r="R423" s="782"/>
      <c r="S423" s="782"/>
      <c r="T423" s="782"/>
    </row>
    <row r="424" spans="2:20" ht="13.5" customHeight="1">
      <c r="B424" s="1429"/>
      <c r="C424" s="774" t="s">
        <v>3247</v>
      </c>
      <c r="D424" s="775" t="s">
        <v>4474</v>
      </c>
      <c r="E424" s="776" t="s">
        <v>795</v>
      </c>
      <c r="F424" s="776" t="s">
        <v>4475</v>
      </c>
      <c r="G424" s="777" t="s">
        <v>3540</v>
      </c>
      <c r="H424" s="816">
        <v>202502132417</v>
      </c>
      <c r="I424" s="777">
        <v>68197951</v>
      </c>
      <c r="J424" s="776" t="s">
        <v>5690</v>
      </c>
      <c r="K424" s="779"/>
      <c r="L424" s="779">
        <f>37900*0.8</f>
        <v>30320</v>
      </c>
      <c r="M424" s="779"/>
      <c r="N424" s="780"/>
      <c r="O424" s="780">
        <v>0.25</v>
      </c>
      <c r="P424" s="777" t="s">
        <v>4449</v>
      </c>
      <c r="Q424" s="781"/>
      <c r="R424" s="782"/>
      <c r="S424" s="782"/>
      <c r="T424" s="782"/>
    </row>
    <row r="425" spans="2:20" ht="13.5" customHeight="1">
      <c r="B425" s="1429"/>
      <c r="C425" s="774" t="s">
        <v>3247</v>
      </c>
      <c r="D425" s="775" t="s">
        <v>4469</v>
      </c>
      <c r="E425" s="776" t="s">
        <v>264</v>
      </c>
      <c r="F425" s="776" t="s">
        <v>4480</v>
      </c>
      <c r="G425" s="777" t="s">
        <v>3264</v>
      </c>
      <c r="H425" s="805">
        <v>202412051354</v>
      </c>
      <c r="I425" s="810">
        <v>72435927</v>
      </c>
      <c r="J425" s="809" t="s">
        <v>5360</v>
      </c>
      <c r="K425" s="804">
        <v>359000</v>
      </c>
      <c r="L425" s="804">
        <v>39100</v>
      </c>
      <c r="M425" s="779" t="s">
        <v>3247</v>
      </c>
      <c r="N425" s="780">
        <f>1-(L425/K425)</f>
        <v>0.89108635097493039</v>
      </c>
      <c r="O425" s="780"/>
      <c r="P425" s="777"/>
      <c r="Q425" s="781" t="s">
        <v>4856</v>
      </c>
      <c r="R425" s="782"/>
      <c r="S425" s="782" t="s">
        <v>5691</v>
      </c>
      <c r="T425" s="782"/>
    </row>
    <row r="426" spans="2:20" ht="13.5" customHeight="1">
      <c r="B426" s="1421" t="s">
        <v>5692</v>
      </c>
      <c r="C426" s="785"/>
      <c r="D426" s="786" t="s">
        <v>4474</v>
      </c>
      <c r="E426" s="787" t="s">
        <v>137</v>
      </c>
      <c r="F426" s="787" t="s">
        <v>4603</v>
      </c>
      <c r="G426" s="788" t="s">
        <v>3705</v>
      </c>
      <c r="H426" s="1015">
        <v>202402286806</v>
      </c>
      <c r="I426" s="788">
        <v>68809648</v>
      </c>
      <c r="J426" s="787" t="s">
        <v>5693</v>
      </c>
      <c r="K426" s="790">
        <v>189000</v>
      </c>
      <c r="L426" s="790">
        <v>105700</v>
      </c>
      <c r="M426" s="790"/>
      <c r="N426" s="791">
        <v>0.3</v>
      </c>
      <c r="O426" s="791">
        <v>0.4</v>
      </c>
      <c r="P426" s="788" t="s">
        <v>4449</v>
      </c>
      <c r="Q426" s="792" t="s">
        <v>3556</v>
      </c>
      <c r="R426" s="793"/>
      <c r="S426" s="793"/>
      <c r="T426" s="793">
        <v>100</v>
      </c>
    </row>
    <row r="427" spans="2:20" ht="13.5" customHeight="1">
      <c r="B427" s="1421"/>
      <c r="C427" s="774" t="s">
        <v>3247</v>
      </c>
      <c r="D427" s="775" t="s">
        <v>4444</v>
      </c>
      <c r="E427" s="776" t="s">
        <v>1109</v>
      </c>
      <c r="F427" s="776" t="s">
        <v>4519</v>
      </c>
      <c r="G427" s="777" t="s">
        <v>4384</v>
      </c>
      <c r="H427" s="783">
        <v>202403267423</v>
      </c>
      <c r="I427" s="996">
        <v>30143814</v>
      </c>
      <c r="J427" s="997" t="s">
        <v>5141</v>
      </c>
      <c r="K427" s="779">
        <v>25800</v>
      </c>
      <c r="L427" s="779">
        <v>21890</v>
      </c>
      <c r="M427" s="804" t="s">
        <v>3247</v>
      </c>
      <c r="N427" s="780">
        <f>1-(L427/K427)</f>
        <v>0.15155038759689921</v>
      </c>
      <c r="O427" s="780">
        <v>0.3</v>
      </c>
      <c r="P427" s="777" t="s">
        <v>4449</v>
      </c>
      <c r="Q427" s="898" t="s">
        <v>5694</v>
      </c>
      <c r="R427" s="782"/>
      <c r="S427" s="782"/>
      <c r="T427" s="782"/>
    </row>
    <row r="428" spans="2:20" ht="13.5" customHeight="1">
      <c r="B428" s="1421"/>
      <c r="C428" s="774"/>
      <c r="D428" s="775"/>
      <c r="E428" s="776" t="s">
        <v>185</v>
      </c>
      <c r="F428" s="776" t="s">
        <v>4829</v>
      </c>
      <c r="G428" s="777" t="s">
        <v>5340</v>
      </c>
      <c r="H428" s="940">
        <v>202303219271</v>
      </c>
      <c r="I428" s="777">
        <v>30160260</v>
      </c>
      <c r="J428" s="887" t="s">
        <v>5695</v>
      </c>
      <c r="K428" s="779">
        <v>39900</v>
      </c>
      <c r="L428" s="779">
        <v>34800</v>
      </c>
      <c r="M428" s="804" t="s">
        <v>3247</v>
      </c>
      <c r="N428" s="780">
        <f>1-(L428/K428)</f>
        <v>0.1278195488721805</v>
      </c>
      <c r="O428" s="780">
        <v>0.15</v>
      </c>
      <c r="P428" s="777" t="s">
        <v>4449</v>
      </c>
      <c r="Q428" s="781"/>
      <c r="R428" s="782"/>
      <c r="S428" s="782"/>
      <c r="T428" s="782"/>
    </row>
    <row r="429" spans="2:20" ht="13.5" customHeight="1">
      <c r="B429" s="1421"/>
      <c r="C429" s="774"/>
      <c r="D429" s="775" t="s">
        <v>4469</v>
      </c>
      <c r="E429" s="776" t="s">
        <v>221</v>
      </c>
      <c r="F429" s="776" t="s">
        <v>4671</v>
      </c>
      <c r="G429" s="777" t="s">
        <v>222</v>
      </c>
      <c r="H429" s="999">
        <v>202210125349</v>
      </c>
      <c r="I429" s="777">
        <v>30205592</v>
      </c>
      <c r="J429" s="776" t="s">
        <v>5696</v>
      </c>
      <c r="K429" s="779">
        <v>57900</v>
      </c>
      <c r="L429" s="779">
        <v>55005</v>
      </c>
      <c r="M429" s="779"/>
      <c r="N429" s="780">
        <f>1-(L429/K429)</f>
        <v>5.0000000000000044E-2</v>
      </c>
      <c r="O429" s="780">
        <v>0.15</v>
      </c>
      <c r="P429" s="777" t="s">
        <v>4449</v>
      </c>
      <c r="Q429" s="781" t="s">
        <v>5697</v>
      </c>
      <c r="R429" s="782"/>
      <c r="S429" s="782" t="s">
        <v>5698</v>
      </c>
      <c r="T429" s="782"/>
    </row>
    <row r="430" spans="2:20" ht="13.5" customHeight="1">
      <c r="B430" s="1421"/>
      <c r="C430" s="774" t="s">
        <v>3247</v>
      </c>
      <c r="D430" s="775"/>
      <c r="E430" s="776" t="s">
        <v>221</v>
      </c>
      <c r="F430" s="776" t="s">
        <v>4454</v>
      </c>
      <c r="G430" s="777" t="s">
        <v>5699</v>
      </c>
      <c r="H430" s="811">
        <v>202308283119</v>
      </c>
      <c r="I430" s="777">
        <v>48389851</v>
      </c>
      <c r="J430" s="1016" t="s">
        <v>5700</v>
      </c>
      <c r="K430" s="779">
        <v>13700</v>
      </c>
      <c r="L430" s="779">
        <v>13015</v>
      </c>
      <c r="M430" s="779"/>
      <c r="N430" s="780">
        <f>1-(L430/K430)</f>
        <v>5.0000000000000044E-2</v>
      </c>
      <c r="O430" s="780">
        <v>0.12</v>
      </c>
      <c r="P430" s="777" t="s">
        <v>4449</v>
      </c>
      <c r="Q430" s="781" t="s">
        <v>5701</v>
      </c>
      <c r="R430" s="782"/>
      <c r="S430" s="782" t="s">
        <v>5702</v>
      </c>
      <c r="T430" s="782"/>
    </row>
    <row r="431" spans="2:20" ht="13.5" customHeight="1">
      <c r="B431" s="1421"/>
      <c r="C431" s="774"/>
      <c r="D431" s="775"/>
      <c r="E431" s="776" t="s">
        <v>264</v>
      </c>
      <c r="F431" s="776" t="s">
        <v>4480</v>
      </c>
      <c r="G431" s="777" t="s">
        <v>5703</v>
      </c>
      <c r="H431" s="805">
        <v>202412241713</v>
      </c>
      <c r="I431" s="777"/>
      <c r="J431" s="776"/>
      <c r="K431" s="779"/>
      <c r="L431" s="779"/>
      <c r="M431" s="779" t="s">
        <v>3247</v>
      </c>
      <c r="N431" s="780" t="e">
        <f>1-(L431/K431)</f>
        <v>#DIV/0!</v>
      </c>
      <c r="O431" s="780"/>
      <c r="P431" s="777"/>
      <c r="Q431" s="781"/>
      <c r="R431" s="782"/>
      <c r="S431" s="782" t="s">
        <v>5704</v>
      </c>
      <c r="T431" s="782"/>
    </row>
    <row r="432" spans="2:20" ht="13.5" customHeight="1">
      <c r="B432" s="949"/>
      <c r="C432" s="762"/>
      <c r="D432" s="763" t="s">
        <v>4460</v>
      </c>
      <c r="E432" s="809" t="s">
        <v>137</v>
      </c>
      <c r="F432" s="810" t="s">
        <v>4445</v>
      </c>
      <c r="G432" s="811" t="s">
        <v>3553</v>
      </c>
      <c r="H432" s="918">
        <v>202502122384</v>
      </c>
      <c r="I432" s="771"/>
      <c r="J432" s="764"/>
      <c r="K432" s="769"/>
      <c r="L432" s="769"/>
      <c r="M432" s="769"/>
      <c r="N432" s="770"/>
      <c r="O432" s="770"/>
      <c r="P432" s="771"/>
      <c r="Q432" s="853"/>
      <c r="R432" s="854"/>
      <c r="S432" s="854"/>
      <c r="T432" s="854"/>
    </row>
    <row r="433" spans="2:20" ht="13.5" customHeight="1">
      <c r="B433" s="949"/>
      <c r="C433" s="762" t="s">
        <v>3247</v>
      </c>
      <c r="D433" s="763" t="s">
        <v>4453</v>
      </c>
      <c r="E433" s="764" t="s">
        <v>795</v>
      </c>
      <c r="F433" s="764" t="s">
        <v>4461</v>
      </c>
      <c r="G433" s="771" t="s">
        <v>3540</v>
      </c>
      <c r="H433" s="1017">
        <v>202502132417</v>
      </c>
      <c r="I433" s="771">
        <v>76615107</v>
      </c>
      <c r="J433" s="764" t="s">
        <v>5705</v>
      </c>
      <c r="K433" s="769"/>
      <c r="L433" s="769">
        <v>28960</v>
      </c>
      <c r="M433" s="769"/>
      <c r="N433" s="770">
        <v>0.2</v>
      </c>
      <c r="O433" s="770">
        <v>0.25</v>
      </c>
      <c r="P433" s="771" t="s">
        <v>4449</v>
      </c>
      <c r="Q433" s="853" t="s">
        <v>5706</v>
      </c>
      <c r="R433" s="854" t="s">
        <v>5707</v>
      </c>
      <c r="S433" s="854"/>
      <c r="T433" s="854"/>
    </row>
    <row r="434" spans="2:20" ht="13.5" customHeight="1">
      <c r="B434" s="1420" t="s">
        <v>5708</v>
      </c>
      <c r="C434" s="785"/>
      <c r="D434" s="786"/>
      <c r="E434" s="787" t="s">
        <v>137</v>
      </c>
      <c r="F434" s="787" t="s">
        <v>4624</v>
      </c>
      <c r="G434" s="788" t="s">
        <v>3549</v>
      </c>
      <c r="H434" s="1015">
        <v>202407189457</v>
      </c>
      <c r="I434" s="788"/>
      <c r="J434" s="787"/>
      <c r="K434" s="790"/>
      <c r="L434" s="790"/>
      <c r="M434" s="790"/>
      <c r="N434" s="791"/>
      <c r="O434" s="791">
        <v>0.16</v>
      </c>
      <c r="P434" s="788" t="s">
        <v>4449</v>
      </c>
      <c r="Q434" s="792" t="s">
        <v>5709</v>
      </c>
      <c r="R434" s="793"/>
      <c r="S434" s="793"/>
      <c r="T434" s="793">
        <v>50</v>
      </c>
    </row>
    <row r="435" spans="2:20" ht="13.5" customHeight="1">
      <c r="B435" s="1421"/>
      <c r="C435" s="774" t="s">
        <v>3247</v>
      </c>
      <c r="D435" s="775" t="s">
        <v>4474</v>
      </c>
      <c r="E435" s="776" t="s">
        <v>1109</v>
      </c>
      <c r="F435" s="776" t="s">
        <v>4519</v>
      </c>
      <c r="G435" s="777" t="s">
        <v>4520</v>
      </c>
      <c r="H435" s="783">
        <v>202409050190</v>
      </c>
      <c r="I435" s="996">
        <v>30068625</v>
      </c>
      <c r="J435" s="997" t="s">
        <v>5160</v>
      </c>
      <c r="K435" s="779">
        <v>51000</v>
      </c>
      <c r="L435" s="779">
        <v>31300</v>
      </c>
      <c r="M435" s="779" t="s">
        <v>3247</v>
      </c>
      <c r="N435" s="780">
        <f>1-(L435/K435)</f>
        <v>0.38627450980392153</v>
      </c>
      <c r="O435" s="780">
        <v>0.15</v>
      </c>
      <c r="P435" s="777" t="s">
        <v>4449</v>
      </c>
      <c r="Q435" s="898" t="s">
        <v>5710</v>
      </c>
      <c r="R435" s="782"/>
      <c r="S435" s="782"/>
      <c r="T435" s="782"/>
    </row>
    <row r="436" spans="2:20" ht="13.5" customHeight="1">
      <c r="B436" s="1421"/>
      <c r="C436" s="774"/>
      <c r="D436" s="775" t="s">
        <v>4444</v>
      </c>
      <c r="E436" s="776" t="s">
        <v>185</v>
      </c>
      <c r="F436" s="776" t="s">
        <v>4829</v>
      </c>
      <c r="G436" s="777" t="s">
        <v>3885</v>
      </c>
      <c r="H436" s="940">
        <v>202110267424</v>
      </c>
      <c r="I436" s="777">
        <v>46404660</v>
      </c>
      <c r="J436" s="776" t="s">
        <v>5304</v>
      </c>
      <c r="K436" s="779">
        <v>210000</v>
      </c>
      <c r="L436" s="779">
        <v>160000</v>
      </c>
      <c r="M436" s="804" t="s">
        <v>3247</v>
      </c>
      <c r="N436" s="780">
        <f>1-(L436/K436)</f>
        <v>0.23809523809523814</v>
      </c>
      <c r="O436" s="780">
        <v>0.13</v>
      </c>
      <c r="P436" s="777" t="s">
        <v>4449</v>
      </c>
      <c r="Q436" s="898" t="s">
        <v>5711</v>
      </c>
      <c r="R436" s="782"/>
      <c r="S436" s="782"/>
      <c r="T436" s="782"/>
    </row>
    <row r="437" spans="2:20" ht="13.5" customHeight="1">
      <c r="B437" s="1421"/>
      <c r="C437" s="774"/>
      <c r="D437" s="775"/>
      <c r="E437" s="776" t="s">
        <v>221</v>
      </c>
      <c r="F437" s="776" t="s">
        <v>4671</v>
      </c>
      <c r="G437" s="777" t="s">
        <v>5369</v>
      </c>
      <c r="H437" s="999">
        <v>202412101401</v>
      </c>
      <c r="I437" s="777">
        <v>58879611</v>
      </c>
      <c r="J437" s="776" t="s">
        <v>5712</v>
      </c>
      <c r="K437" s="779">
        <v>49900</v>
      </c>
      <c r="L437" s="779">
        <v>42415</v>
      </c>
      <c r="M437" s="779"/>
      <c r="N437" s="780">
        <f>1-(L437/K437)</f>
        <v>0.15000000000000002</v>
      </c>
      <c r="O437" s="780">
        <v>0.25</v>
      </c>
      <c r="P437" s="777" t="s">
        <v>4449</v>
      </c>
      <c r="Q437" s="781" t="s">
        <v>5713</v>
      </c>
      <c r="R437" s="782"/>
      <c r="S437" s="782" t="s">
        <v>5714</v>
      </c>
      <c r="T437" s="782"/>
    </row>
    <row r="438" spans="2:20" ht="13.5" customHeight="1">
      <c r="B438" s="1421"/>
      <c r="C438" s="774" t="s">
        <v>3247</v>
      </c>
      <c r="D438" s="775" t="s">
        <v>4469</v>
      </c>
      <c r="E438" s="776" t="s">
        <v>221</v>
      </c>
      <c r="F438" s="776" t="s">
        <v>4454</v>
      </c>
      <c r="G438" s="777" t="s">
        <v>5224</v>
      </c>
      <c r="H438" s="783">
        <v>202206212437</v>
      </c>
      <c r="I438" s="777">
        <v>30208685</v>
      </c>
      <c r="J438" s="776" t="s">
        <v>5715</v>
      </c>
      <c r="K438" s="779">
        <v>14800</v>
      </c>
      <c r="L438" s="779">
        <v>13900</v>
      </c>
      <c r="M438" s="779"/>
      <c r="N438" s="780">
        <f>1-(L438/K438)</f>
        <v>6.0810810810810856E-2</v>
      </c>
      <c r="O438" s="780">
        <v>0.15</v>
      </c>
      <c r="P438" s="777" t="s">
        <v>4449</v>
      </c>
      <c r="Q438" s="781" t="s">
        <v>5226</v>
      </c>
      <c r="R438" s="782"/>
      <c r="S438" s="782" t="s">
        <v>5227</v>
      </c>
      <c r="T438" s="782"/>
    </row>
    <row r="439" spans="2:20" ht="13.5" customHeight="1">
      <c r="B439" s="1421"/>
      <c r="C439" s="774"/>
      <c r="D439" s="775" t="s">
        <v>4460</v>
      </c>
      <c r="E439" s="809" t="s">
        <v>137</v>
      </c>
      <c r="F439" s="810" t="s">
        <v>4445</v>
      </c>
      <c r="G439" s="811" t="s">
        <v>3553</v>
      </c>
      <c r="H439" s="918">
        <v>202502122385</v>
      </c>
      <c r="I439" s="777"/>
      <c r="J439" s="776"/>
      <c r="K439" s="779"/>
      <c r="L439" s="779"/>
      <c r="M439" s="779"/>
      <c r="N439" s="780"/>
      <c r="O439" s="780"/>
      <c r="P439" s="777"/>
      <c r="Q439" s="781"/>
      <c r="R439" s="782"/>
      <c r="S439" s="782"/>
      <c r="T439" s="782"/>
    </row>
    <row r="440" spans="2:20" ht="13.5" customHeight="1">
      <c r="B440" s="1421"/>
      <c r="C440" s="774" t="s">
        <v>3247</v>
      </c>
      <c r="D440" s="775" t="s">
        <v>4453</v>
      </c>
      <c r="E440" s="776" t="s">
        <v>264</v>
      </c>
      <c r="F440" s="776" t="s">
        <v>4480</v>
      </c>
      <c r="G440" s="777" t="s">
        <v>4481</v>
      </c>
      <c r="H440" s="917">
        <v>202409020151</v>
      </c>
      <c r="I440" s="777">
        <v>66765823</v>
      </c>
      <c r="J440" s="776" t="s">
        <v>5716</v>
      </c>
      <c r="K440" s="779">
        <v>178000</v>
      </c>
      <c r="L440" s="779">
        <v>27900</v>
      </c>
      <c r="M440" s="779" t="s">
        <v>3247</v>
      </c>
      <c r="N440" s="780">
        <f>1-(L440/K440)</f>
        <v>0.84325842696629216</v>
      </c>
      <c r="O440" s="780">
        <v>0.35</v>
      </c>
      <c r="P440" s="777"/>
      <c r="Q440" s="781" t="s">
        <v>5717</v>
      </c>
      <c r="R440" s="782" t="s">
        <v>5718</v>
      </c>
      <c r="S440" s="782" t="s">
        <v>5719</v>
      </c>
      <c r="T440" s="782"/>
    </row>
    <row r="441" spans="2:20" ht="13.5" customHeight="1">
      <c r="B441" s="1420" t="s">
        <v>5720</v>
      </c>
      <c r="C441" s="774" t="s">
        <v>3247</v>
      </c>
      <c r="D441" s="775" t="s">
        <v>4474</v>
      </c>
      <c r="E441" s="776" t="s">
        <v>137</v>
      </c>
      <c r="F441" s="776" t="s">
        <v>4445</v>
      </c>
      <c r="G441" s="777" t="s">
        <v>4157</v>
      </c>
      <c r="H441" s="1018">
        <v>202402136451</v>
      </c>
      <c r="I441" s="810">
        <v>59237350</v>
      </c>
      <c r="J441" s="809" t="s">
        <v>5721</v>
      </c>
      <c r="K441" s="804">
        <v>109000</v>
      </c>
      <c r="L441" s="804">
        <v>59000</v>
      </c>
      <c r="M441" s="779"/>
      <c r="N441" s="780"/>
      <c r="O441" s="780">
        <v>0.2</v>
      </c>
      <c r="P441" s="819" t="s">
        <v>4449</v>
      </c>
      <c r="Q441" s="792" t="s">
        <v>5722</v>
      </c>
      <c r="R441" s="782"/>
      <c r="S441" s="782"/>
      <c r="T441" s="782">
        <v>100</v>
      </c>
    </row>
    <row r="442" spans="2:20" ht="13.5" customHeight="1">
      <c r="B442" s="1421"/>
      <c r="C442" s="774" t="s">
        <v>3247</v>
      </c>
      <c r="D442" s="775" t="s">
        <v>4444</v>
      </c>
      <c r="E442" s="776" t="s">
        <v>1109</v>
      </c>
      <c r="F442" s="776" t="s">
        <v>4519</v>
      </c>
      <c r="G442" s="777" t="s">
        <v>3990</v>
      </c>
      <c r="H442" s="783">
        <v>202412111444</v>
      </c>
      <c r="I442" s="889">
        <v>30085562</v>
      </c>
      <c r="J442" s="776" t="s">
        <v>5723</v>
      </c>
      <c r="K442" s="779">
        <v>22230</v>
      </c>
      <c r="L442" s="779">
        <v>17470</v>
      </c>
      <c r="M442" s="804" t="s">
        <v>3247</v>
      </c>
      <c r="N442" s="780">
        <f t="shared" ref="N442:N447" si="8">1-(L442/K442)</f>
        <v>0.21412505623031941</v>
      </c>
      <c r="O442" s="780">
        <v>0.15</v>
      </c>
      <c r="P442" s="777" t="s">
        <v>4449</v>
      </c>
      <c r="Q442" s="898" t="s">
        <v>5724</v>
      </c>
      <c r="R442" s="782"/>
      <c r="S442" s="782"/>
      <c r="T442" s="782"/>
    </row>
    <row r="443" spans="2:20" ht="13.5" customHeight="1">
      <c r="B443" s="1421"/>
      <c r="C443" s="774" t="s">
        <v>3247</v>
      </c>
      <c r="D443" s="775" t="s">
        <v>4453</v>
      </c>
      <c r="E443" s="776" t="s">
        <v>165</v>
      </c>
      <c r="F443" s="776" t="s">
        <v>4560</v>
      </c>
      <c r="G443" s="777" t="s">
        <v>4220</v>
      </c>
      <c r="H443" s="783">
        <v>202207113100</v>
      </c>
      <c r="I443" s="777">
        <v>30194969</v>
      </c>
      <c r="J443" s="801" t="s">
        <v>5725</v>
      </c>
      <c r="K443" s="779">
        <v>6450000</v>
      </c>
      <c r="L443" s="779">
        <v>2990000</v>
      </c>
      <c r="M443" s="779" t="s">
        <v>4844</v>
      </c>
      <c r="N443" s="780">
        <f t="shared" si="8"/>
        <v>0.5364341085271318</v>
      </c>
      <c r="O443" s="780"/>
      <c r="P443" s="777"/>
      <c r="Q443" s="781" t="s">
        <v>5726</v>
      </c>
      <c r="R443" s="782"/>
      <c r="S443" s="782"/>
      <c r="T443" s="782"/>
    </row>
    <row r="444" spans="2:20" ht="13.5" customHeight="1">
      <c r="B444" s="1421"/>
      <c r="C444" s="774" t="s">
        <v>3247</v>
      </c>
      <c r="D444" s="775"/>
      <c r="E444" s="776" t="s">
        <v>185</v>
      </c>
      <c r="F444" s="776" t="s">
        <v>4829</v>
      </c>
      <c r="G444" s="777" t="s">
        <v>3665</v>
      </c>
      <c r="H444" s="803">
        <v>202102023248</v>
      </c>
      <c r="I444" s="777">
        <v>68792393</v>
      </c>
      <c r="J444" s="776" t="s">
        <v>5727</v>
      </c>
      <c r="K444" s="779">
        <v>105900</v>
      </c>
      <c r="L444" s="779">
        <v>44600</v>
      </c>
      <c r="M444" s="804" t="s">
        <v>3247</v>
      </c>
      <c r="N444" s="780">
        <f t="shared" si="8"/>
        <v>0.57884796978281394</v>
      </c>
      <c r="O444" s="780">
        <v>0.15</v>
      </c>
      <c r="P444" s="777" t="s">
        <v>4449</v>
      </c>
      <c r="Q444" s="898" t="s">
        <v>5728</v>
      </c>
      <c r="R444" s="782"/>
      <c r="S444" s="782"/>
      <c r="T444" s="782"/>
    </row>
    <row r="445" spans="2:20" ht="13.5" customHeight="1">
      <c r="B445" s="1421"/>
      <c r="C445" s="774" t="s">
        <v>3247</v>
      </c>
      <c r="D445" s="775" t="s">
        <v>4469</v>
      </c>
      <c r="E445" s="776" t="s">
        <v>910</v>
      </c>
      <c r="F445" s="776" t="s">
        <v>4454</v>
      </c>
      <c r="G445" s="777" t="s">
        <v>5729</v>
      </c>
      <c r="H445" s="811">
        <v>202207153262</v>
      </c>
      <c r="I445" s="777">
        <v>30191473</v>
      </c>
      <c r="J445" s="776" t="s">
        <v>5730</v>
      </c>
      <c r="K445" s="779">
        <v>28900</v>
      </c>
      <c r="L445" s="779">
        <v>19900</v>
      </c>
      <c r="M445" s="804" t="s">
        <v>3247</v>
      </c>
      <c r="N445" s="780">
        <f t="shared" si="8"/>
        <v>0.31141868512110726</v>
      </c>
      <c r="O445" s="780">
        <v>0.45</v>
      </c>
      <c r="P445" s="777" t="s">
        <v>4449</v>
      </c>
      <c r="Q445" s="781" t="s">
        <v>4814</v>
      </c>
      <c r="R445" s="782" t="s">
        <v>5731</v>
      </c>
      <c r="S445" s="782" t="s">
        <v>5732</v>
      </c>
      <c r="T445" s="782"/>
    </row>
    <row r="446" spans="2:20" ht="13.5" customHeight="1">
      <c r="B446" s="1421"/>
      <c r="C446" s="774"/>
      <c r="D446" s="775"/>
      <c r="E446" s="776" t="s">
        <v>221</v>
      </c>
      <c r="F446" s="776" t="s">
        <v>4671</v>
      </c>
      <c r="G446" s="777" t="s">
        <v>5162</v>
      </c>
      <c r="H446" s="811">
        <v>202412111439</v>
      </c>
      <c r="I446" s="1019">
        <v>67565900</v>
      </c>
      <c r="J446" s="998" t="s">
        <v>5733</v>
      </c>
      <c r="K446" s="779">
        <v>25000</v>
      </c>
      <c r="L446" s="779">
        <v>20000</v>
      </c>
      <c r="M446" s="804"/>
      <c r="N446" s="780">
        <f t="shared" si="8"/>
        <v>0.19999999999999996</v>
      </c>
      <c r="O446" s="780">
        <v>0.3</v>
      </c>
      <c r="P446" s="777" t="s">
        <v>4449</v>
      </c>
      <c r="Q446" s="781"/>
      <c r="R446" s="782"/>
      <c r="S446" s="782" t="s">
        <v>5734</v>
      </c>
      <c r="T446" s="782"/>
    </row>
    <row r="447" spans="2:20" ht="13.5" customHeight="1">
      <c r="B447" s="1421"/>
      <c r="C447" s="774"/>
      <c r="D447" s="775"/>
      <c r="E447" s="776" t="s">
        <v>221</v>
      </c>
      <c r="F447" s="776" t="s">
        <v>4454</v>
      </c>
      <c r="G447" s="777" t="s">
        <v>1754</v>
      </c>
      <c r="H447" s="811">
        <v>202406108773</v>
      </c>
      <c r="I447" s="777">
        <v>44447837</v>
      </c>
      <c r="J447" s="776" t="s">
        <v>5735</v>
      </c>
      <c r="K447" s="779">
        <v>15900</v>
      </c>
      <c r="L447" s="779">
        <v>15105</v>
      </c>
      <c r="M447" s="779"/>
      <c r="N447" s="780">
        <f t="shared" si="8"/>
        <v>5.0000000000000044E-2</v>
      </c>
      <c r="O447" s="780">
        <v>0.15</v>
      </c>
      <c r="P447" s="777" t="s">
        <v>4449</v>
      </c>
      <c r="Q447" s="781"/>
      <c r="R447" s="782"/>
      <c r="S447" s="782" t="s">
        <v>5736</v>
      </c>
      <c r="T447" s="782"/>
    </row>
    <row r="448" spans="2:20" ht="13.5" customHeight="1">
      <c r="B448" s="1421"/>
      <c r="C448" s="774"/>
      <c r="D448" s="775" t="s">
        <v>4460</v>
      </c>
      <c r="E448" s="809" t="s">
        <v>137</v>
      </c>
      <c r="F448" s="810" t="s">
        <v>4445</v>
      </c>
      <c r="G448" s="811" t="s">
        <v>3553</v>
      </c>
      <c r="H448" s="918">
        <v>202502122386</v>
      </c>
      <c r="I448" s="777"/>
      <c r="J448" s="776"/>
      <c r="K448" s="779"/>
      <c r="L448" s="779"/>
      <c r="M448" s="779"/>
      <c r="N448" s="780"/>
      <c r="O448" s="780"/>
      <c r="P448" s="777"/>
      <c r="Q448" s="781"/>
      <c r="R448" s="782"/>
      <c r="S448" s="782"/>
      <c r="T448" s="782"/>
    </row>
    <row r="449" spans="2:20" ht="13.5" customHeight="1">
      <c r="B449" s="1421"/>
      <c r="C449" s="774" t="s">
        <v>3247</v>
      </c>
      <c r="D449" s="775"/>
      <c r="E449" s="776" t="s">
        <v>264</v>
      </c>
      <c r="F449" s="776" t="s">
        <v>4480</v>
      </c>
      <c r="G449" s="777" t="s">
        <v>5737</v>
      </c>
      <c r="H449" s="805">
        <v>202502052301</v>
      </c>
      <c r="I449" s="777">
        <v>76867507</v>
      </c>
      <c r="J449" s="776" t="s">
        <v>5738</v>
      </c>
      <c r="K449" s="779"/>
      <c r="L449" s="779">
        <v>37600</v>
      </c>
      <c r="M449" s="779" t="s">
        <v>3247</v>
      </c>
      <c r="N449" s="780" t="e">
        <f>1-(L449/K449)</f>
        <v>#DIV/0!</v>
      </c>
      <c r="O449" s="780"/>
      <c r="P449" s="777"/>
      <c r="Q449" s="781" t="s">
        <v>5739</v>
      </c>
      <c r="R449" s="782"/>
      <c r="S449" s="782" t="s">
        <v>5740</v>
      </c>
      <c r="T449" s="782"/>
    </row>
    <row r="450" spans="2:20">
      <c r="B450" s="1423" t="s">
        <v>5741</v>
      </c>
      <c r="C450" s="1424"/>
      <c r="D450" s="1424"/>
      <c r="E450" s="1424"/>
      <c r="F450" s="1424"/>
      <c r="G450" s="1424"/>
      <c r="H450" s="1424"/>
      <c r="I450" s="1424"/>
      <c r="J450" s="1424"/>
      <c r="K450" s="864"/>
      <c r="L450" s="865"/>
      <c r="M450" s="865"/>
      <c r="N450" s="866"/>
      <c r="O450" s="867"/>
      <c r="P450" s="868"/>
      <c r="Q450" s="869"/>
      <c r="R450" s="870"/>
      <c r="S450" s="870"/>
      <c r="T450" s="870"/>
    </row>
    <row r="451" spans="2:20" ht="13.5" customHeight="1">
      <c r="B451" s="1420" t="s">
        <v>5742</v>
      </c>
      <c r="C451" s="795" t="s">
        <v>3247</v>
      </c>
      <c r="D451" s="786"/>
      <c r="E451" s="787" t="s">
        <v>1109</v>
      </c>
      <c r="F451" s="787" t="s">
        <v>5591</v>
      </c>
      <c r="G451" s="788" t="s">
        <v>3866</v>
      </c>
      <c r="H451" s="783">
        <v>202406128845</v>
      </c>
      <c r="I451" s="777">
        <v>30184124</v>
      </c>
      <c r="J451" s="776" t="s">
        <v>5743</v>
      </c>
      <c r="K451" s="779">
        <v>120000</v>
      </c>
      <c r="L451" s="779">
        <v>84900</v>
      </c>
      <c r="M451" s="790"/>
      <c r="N451" s="812">
        <f>1-L451/K451</f>
        <v>0.29249999999999998</v>
      </c>
      <c r="O451" s="791">
        <v>0.15</v>
      </c>
      <c r="P451" s="788" t="s">
        <v>4449</v>
      </c>
      <c r="Q451" s="792" t="s">
        <v>5744</v>
      </c>
      <c r="R451" s="793"/>
      <c r="S451" s="793"/>
      <c r="T451" s="793"/>
    </row>
    <row r="452" spans="2:20" ht="13.5" customHeight="1">
      <c r="B452" s="1421"/>
      <c r="C452" s="774" t="s">
        <v>3247</v>
      </c>
      <c r="D452" s="775" t="s">
        <v>4460</v>
      </c>
      <c r="E452" s="776" t="s">
        <v>795</v>
      </c>
      <c r="F452" s="776" t="s">
        <v>4461</v>
      </c>
      <c r="G452" s="777" t="s">
        <v>5745</v>
      </c>
      <c r="H452" s="901">
        <v>202502202477</v>
      </c>
      <c r="I452" s="777">
        <v>70999971</v>
      </c>
      <c r="J452" s="776" t="s">
        <v>5746</v>
      </c>
      <c r="K452" s="779"/>
      <c r="L452" s="779">
        <v>18320</v>
      </c>
      <c r="M452" s="779" t="s">
        <v>3247</v>
      </c>
      <c r="N452" s="780">
        <v>0.2</v>
      </c>
      <c r="O452" s="780">
        <v>0.25</v>
      </c>
      <c r="P452" s="777" t="s">
        <v>4449</v>
      </c>
      <c r="Q452" s="781" t="s">
        <v>5747</v>
      </c>
      <c r="R452" s="782"/>
      <c r="S452" s="782"/>
      <c r="T452" s="782">
        <v>100</v>
      </c>
    </row>
    <row r="453" spans="2:20" ht="13.5" customHeight="1">
      <c r="B453" s="1421"/>
      <c r="C453" s="774" t="s">
        <v>3247</v>
      </c>
      <c r="D453" s="775" t="s">
        <v>4444</v>
      </c>
      <c r="E453" s="776" t="s">
        <v>942</v>
      </c>
      <c r="F453" s="776" t="s">
        <v>4454</v>
      </c>
      <c r="G453" s="777" t="s">
        <v>5618</v>
      </c>
      <c r="H453" s="803">
        <v>202312215395</v>
      </c>
      <c r="I453" s="777">
        <v>30159831</v>
      </c>
      <c r="J453" s="776" t="s">
        <v>5619</v>
      </c>
      <c r="K453" s="779">
        <v>14900</v>
      </c>
      <c r="L453" s="779">
        <v>9900</v>
      </c>
      <c r="M453" s="779" t="s">
        <v>3247</v>
      </c>
      <c r="N453" s="780">
        <v>0.15</v>
      </c>
      <c r="O453" s="780">
        <v>0.1</v>
      </c>
      <c r="P453" s="777" t="s">
        <v>4449</v>
      </c>
      <c r="Q453" s="781" t="s">
        <v>4814</v>
      </c>
      <c r="R453" s="782" t="s">
        <v>5748</v>
      </c>
      <c r="S453" s="782" t="s">
        <v>5622</v>
      </c>
      <c r="T453" s="782"/>
    </row>
    <row r="454" spans="2:20" ht="13.5" customHeight="1">
      <c r="B454" s="1421"/>
      <c r="C454" s="774"/>
      <c r="D454" s="775" t="s">
        <v>4474</v>
      </c>
      <c r="E454" s="776" t="s">
        <v>417</v>
      </c>
      <c r="F454" s="776" t="s">
        <v>4461</v>
      </c>
      <c r="G454" s="777" t="s">
        <v>3389</v>
      </c>
      <c r="H454" s="783">
        <v>202502182458</v>
      </c>
      <c r="I454" s="777">
        <v>30001701</v>
      </c>
      <c r="J454" s="1013" t="s">
        <v>5749</v>
      </c>
      <c r="K454" s="779">
        <v>29670</v>
      </c>
      <c r="L454" s="779">
        <v>20900</v>
      </c>
      <c r="M454" s="779" t="s">
        <v>3247</v>
      </c>
      <c r="N454" s="780">
        <f>1-L454/K454</f>
        <v>0.2955847657566566</v>
      </c>
      <c r="O454" s="780">
        <v>0.1</v>
      </c>
      <c r="P454" s="777" t="s">
        <v>4449</v>
      </c>
      <c r="Q454" s="898" t="s">
        <v>5750</v>
      </c>
      <c r="R454" s="782"/>
      <c r="S454" s="782" t="s">
        <v>5751</v>
      </c>
      <c r="T454" s="782">
        <v>150</v>
      </c>
    </row>
    <row r="455" spans="2:20" ht="13.5" customHeight="1">
      <c r="B455" s="1421"/>
      <c r="C455" s="774" t="s">
        <v>3247</v>
      </c>
      <c r="D455" s="775"/>
      <c r="E455" s="776" t="s">
        <v>137</v>
      </c>
      <c r="F455" s="776" t="s">
        <v>4603</v>
      </c>
      <c r="G455" s="777" t="s">
        <v>4414</v>
      </c>
      <c r="H455" s="808">
        <v>202406208970</v>
      </c>
      <c r="I455" s="777">
        <v>64149506</v>
      </c>
      <c r="J455" s="776" t="s">
        <v>5752</v>
      </c>
      <c r="K455" s="779">
        <v>89000</v>
      </c>
      <c r="L455" s="779">
        <v>42400</v>
      </c>
      <c r="M455" s="779" t="s">
        <v>3247</v>
      </c>
      <c r="N455" s="780">
        <f>1-L455/K455</f>
        <v>0.52359550561797752</v>
      </c>
      <c r="O455" s="780">
        <v>0.3</v>
      </c>
      <c r="P455" s="777" t="s">
        <v>4449</v>
      </c>
      <c r="Q455" s="781" t="s">
        <v>5753</v>
      </c>
      <c r="R455" s="782" t="s">
        <v>5754</v>
      </c>
      <c r="S455" s="782"/>
      <c r="T455" s="782"/>
    </row>
    <row r="456" spans="2:20" ht="13.5" customHeight="1">
      <c r="B456" s="1421"/>
      <c r="C456" s="774"/>
      <c r="D456" s="775" t="s">
        <v>4469</v>
      </c>
      <c r="E456" s="776" t="s">
        <v>185</v>
      </c>
      <c r="F456" s="776" t="s">
        <v>4829</v>
      </c>
      <c r="G456" s="777" t="s">
        <v>3661</v>
      </c>
      <c r="H456" s="783">
        <v>202412101410</v>
      </c>
      <c r="I456" s="810">
        <v>30221233</v>
      </c>
      <c r="J456" s="809" t="s">
        <v>5755</v>
      </c>
      <c r="K456" s="779">
        <v>93900</v>
      </c>
      <c r="L456" s="779">
        <v>61290</v>
      </c>
      <c r="M456" s="779" t="s">
        <v>3247</v>
      </c>
      <c r="N456" s="780">
        <f>1-L456/K456</f>
        <v>0.34728434504792327</v>
      </c>
      <c r="O456" s="780">
        <v>0.15</v>
      </c>
      <c r="P456" s="777" t="s">
        <v>4449</v>
      </c>
      <c r="Q456" s="781" t="s">
        <v>5756</v>
      </c>
      <c r="R456" s="782"/>
      <c r="S456" s="782"/>
      <c r="T456" s="782"/>
    </row>
    <row r="457" spans="2:20" ht="13.5" customHeight="1">
      <c r="B457" s="1421"/>
      <c r="C457" s="774" t="s">
        <v>3247</v>
      </c>
      <c r="D457" s="775" t="s">
        <v>4453</v>
      </c>
      <c r="E457" s="776" t="s">
        <v>264</v>
      </c>
      <c r="F457" s="776" t="s">
        <v>4480</v>
      </c>
      <c r="G457" s="777" t="s">
        <v>5091</v>
      </c>
      <c r="H457" s="805">
        <v>202409130288</v>
      </c>
      <c r="I457" s="777">
        <v>72168856</v>
      </c>
      <c r="J457" s="776" t="s">
        <v>5757</v>
      </c>
      <c r="K457" s="779">
        <v>89000</v>
      </c>
      <c r="L457" s="779">
        <v>39000</v>
      </c>
      <c r="M457" s="779" t="s">
        <v>3247</v>
      </c>
      <c r="N457" s="780">
        <f>1-L457/K457</f>
        <v>0.5617977528089888</v>
      </c>
      <c r="O457" s="780">
        <v>0.15</v>
      </c>
      <c r="P457" s="777" t="s">
        <v>4449</v>
      </c>
      <c r="Q457" s="781" t="s">
        <v>5758</v>
      </c>
      <c r="R457" s="782" t="s">
        <v>5759</v>
      </c>
      <c r="S457" s="782" t="s">
        <v>5091</v>
      </c>
      <c r="T457" s="782"/>
    </row>
    <row r="458" spans="2:20" ht="13.5" customHeight="1">
      <c r="B458" s="1421"/>
      <c r="C458" s="774" t="s">
        <v>3247</v>
      </c>
      <c r="D458" s="775"/>
      <c r="E458" s="776" t="s">
        <v>477</v>
      </c>
      <c r="F458" s="776" t="s">
        <v>4461</v>
      </c>
      <c r="G458" s="777" t="s">
        <v>3906</v>
      </c>
      <c r="H458" s="783">
        <v>202409260384</v>
      </c>
      <c r="I458" s="777">
        <v>30177600</v>
      </c>
      <c r="J458" s="776" t="s">
        <v>5760</v>
      </c>
      <c r="K458" s="779">
        <v>23900</v>
      </c>
      <c r="L458" s="779">
        <v>19100</v>
      </c>
      <c r="M458" s="779"/>
      <c r="N458" s="780">
        <f>1-L458/K458</f>
        <v>0.20083682008368198</v>
      </c>
      <c r="O458" s="780">
        <v>0.25</v>
      </c>
      <c r="P458" s="777" t="s">
        <v>4449</v>
      </c>
      <c r="Q458" s="781"/>
      <c r="R458" s="782"/>
      <c r="S458" s="782"/>
      <c r="T458" s="782"/>
    </row>
    <row r="459" spans="2:20" ht="13.5" customHeight="1">
      <c r="B459" s="1421"/>
      <c r="C459" s="774"/>
      <c r="D459" s="775"/>
      <c r="E459" s="776" t="s">
        <v>221</v>
      </c>
      <c r="F459" s="776" t="s">
        <v>4671</v>
      </c>
      <c r="G459" s="777" t="s">
        <v>222</v>
      </c>
      <c r="H459" s="783">
        <v>202501232212</v>
      </c>
      <c r="I459" s="777">
        <v>30219862</v>
      </c>
      <c r="J459" s="776" t="s">
        <v>5761</v>
      </c>
      <c r="K459" s="779">
        <v>45900</v>
      </c>
      <c r="L459" s="779">
        <v>19900</v>
      </c>
      <c r="M459" s="779"/>
      <c r="N459" s="780"/>
      <c r="O459" s="780">
        <v>0.15</v>
      </c>
      <c r="P459" s="777" t="s">
        <v>4449</v>
      </c>
      <c r="Q459" s="781" t="s">
        <v>5762</v>
      </c>
      <c r="R459" s="782"/>
      <c r="S459" s="782" t="s">
        <v>5763</v>
      </c>
      <c r="T459" s="782"/>
    </row>
    <row r="460" spans="2:20" ht="13.5" customHeight="1">
      <c r="B460" s="1420" t="s">
        <v>5764</v>
      </c>
      <c r="C460" s="785" t="s">
        <v>3247</v>
      </c>
      <c r="D460" s="786"/>
      <c r="E460" s="787" t="s">
        <v>942</v>
      </c>
      <c r="F460" s="787" t="s">
        <v>4454</v>
      </c>
      <c r="G460" s="788" t="s">
        <v>5618</v>
      </c>
      <c r="H460" s="797">
        <v>202502202486</v>
      </c>
      <c r="I460" s="788">
        <v>30159831</v>
      </c>
      <c r="J460" s="815" t="s">
        <v>5619</v>
      </c>
      <c r="K460" s="790">
        <v>14900</v>
      </c>
      <c r="L460" s="790">
        <v>9900</v>
      </c>
      <c r="M460" s="790" t="s">
        <v>3247</v>
      </c>
      <c r="N460" s="791">
        <v>0.15</v>
      </c>
      <c r="O460" s="791">
        <v>0.1</v>
      </c>
      <c r="P460" s="788" t="s">
        <v>4449</v>
      </c>
      <c r="Q460" s="792" t="s">
        <v>4814</v>
      </c>
      <c r="R460" s="793" t="s">
        <v>5748</v>
      </c>
      <c r="S460" s="793" t="s">
        <v>5622</v>
      </c>
      <c r="T460" s="793"/>
    </row>
    <row r="461" spans="2:20" ht="13.5" customHeight="1">
      <c r="B461" s="1421"/>
      <c r="C461" s="762"/>
      <c r="D461" s="763" t="s">
        <v>4453</v>
      </c>
      <c r="E461" s="914" t="s">
        <v>165</v>
      </c>
      <c r="F461" s="914" t="s">
        <v>4560</v>
      </c>
      <c r="G461" s="913" t="s">
        <v>4295</v>
      </c>
      <c r="H461" s="1020">
        <v>202502182451</v>
      </c>
      <c r="I461" s="913">
        <v>42837988</v>
      </c>
      <c r="J461" s="1021" t="s">
        <v>5765</v>
      </c>
      <c r="K461" s="769">
        <v>4130000</v>
      </c>
      <c r="L461" s="769">
        <f>K461*0.7</f>
        <v>2891000</v>
      </c>
      <c r="M461" s="769" t="s">
        <v>3247</v>
      </c>
      <c r="N461" s="770"/>
      <c r="O461" s="770"/>
      <c r="P461" s="771"/>
      <c r="Q461" s="853"/>
      <c r="R461" s="854"/>
      <c r="S461" s="854"/>
      <c r="T461" s="854"/>
    </row>
    <row r="462" spans="2:20" ht="13.5" customHeight="1">
      <c r="B462" s="1421"/>
      <c r="C462" s="774" t="s">
        <v>3247</v>
      </c>
      <c r="D462" s="775" t="s">
        <v>4444</v>
      </c>
      <c r="E462" s="776" t="s">
        <v>137</v>
      </c>
      <c r="F462" s="776" t="s">
        <v>4445</v>
      </c>
      <c r="G462" s="777" t="s">
        <v>3235</v>
      </c>
      <c r="H462" s="808">
        <v>202412261771</v>
      </c>
      <c r="I462" s="777">
        <v>76864962</v>
      </c>
      <c r="J462" s="776" t="s">
        <v>5766</v>
      </c>
      <c r="K462" s="769">
        <v>128000</v>
      </c>
      <c r="L462" s="779">
        <v>57600</v>
      </c>
      <c r="M462" s="779" t="s">
        <v>3247</v>
      </c>
      <c r="N462" s="780">
        <f>1-(L462/K462)</f>
        <v>0.55000000000000004</v>
      </c>
      <c r="O462" s="780">
        <v>0.25</v>
      </c>
      <c r="P462" s="777" t="s">
        <v>4449</v>
      </c>
      <c r="Q462" s="781" t="s">
        <v>5767</v>
      </c>
      <c r="R462" s="782"/>
      <c r="S462" s="782"/>
      <c r="T462" s="782"/>
    </row>
    <row r="463" spans="2:20" ht="13.5" customHeight="1">
      <c r="B463" s="1421"/>
      <c r="C463" s="774" t="s">
        <v>3247</v>
      </c>
      <c r="D463" s="775" t="s">
        <v>4469</v>
      </c>
      <c r="E463" s="776" t="s">
        <v>417</v>
      </c>
      <c r="F463" s="776" t="s">
        <v>4461</v>
      </c>
      <c r="G463" s="777" t="s">
        <v>5768</v>
      </c>
      <c r="H463" s="783">
        <v>202212016624</v>
      </c>
      <c r="I463" s="777">
        <v>40078481</v>
      </c>
      <c r="J463" s="776" t="s">
        <v>5769</v>
      </c>
      <c r="K463" s="779">
        <v>58900</v>
      </c>
      <c r="L463" s="779">
        <v>51900</v>
      </c>
      <c r="M463" s="779" t="s">
        <v>3247</v>
      </c>
      <c r="N463" s="780">
        <f>1-(L463/K463)</f>
        <v>0.11884550084889645</v>
      </c>
      <c r="O463" s="780">
        <v>0.1</v>
      </c>
      <c r="P463" s="777" t="s">
        <v>4449</v>
      </c>
      <c r="Q463" s="781" t="s">
        <v>5770</v>
      </c>
      <c r="R463" s="782"/>
      <c r="S463" s="782" t="s">
        <v>5771</v>
      </c>
      <c r="T463" s="782">
        <v>50</v>
      </c>
    </row>
    <row r="464" spans="2:20" ht="13.5" customHeight="1">
      <c r="B464" s="1421"/>
      <c r="C464" s="774"/>
      <c r="D464" s="775" t="s">
        <v>4474</v>
      </c>
      <c r="E464" s="776" t="s">
        <v>185</v>
      </c>
      <c r="F464" s="776" t="s">
        <v>4829</v>
      </c>
      <c r="G464" s="777" t="s">
        <v>3668</v>
      </c>
      <c r="H464" s="783">
        <v>202502182453</v>
      </c>
      <c r="I464" s="1022">
        <v>66610646</v>
      </c>
      <c r="J464" s="1023" t="s">
        <v>5772</v>
      </c>
      <c r="K464" s="779">
        <v>80000</v>
      </c>
      <c r="L464" s="779">
        <v>29900</v>
      </c>
      <c r="M464" s="779" t="s">
        <v>3247</v>
      </c>
      <c r="N464" s="780">
        <f>1-(L464/K464)</f>
        <v>0.62624999999999997</v>
      </c>
      <c r="O464" s="780">
        <v>0.2</v>
      </c>
      <c r="P464" s="777" t="s">
        <v>4449</v>
      </c>
      <c r="Q464" s="781" t="s">
        <v>5773</v>
      </c>
      <c r="R464" s="782"/>
      <c r="S464" s="782"/>
      <c r="T464" s="782"/>
    </row>
    <row r="465" spans="2:21" ht="13.5" customHeight="1">
      <c r="B465" s="1421"/>
      <c r="C465" s="774" t="s">
        <v>3247</v>
      </c>
      <c r="D465" s="775"/>
      <c r="E465" s="776" t="s">
        <v>1109</v>
      </c>
      <c r="F465" s="776" t="s">
        <v>4519</v>
      </c>
      <c r="G465" s="777" t="s">
        <v>3995</v>
      </c>
      <c r="H465" s="783">
        <v>202501162027</v>
      </c>
      <c r="I465" s="871">
        <v>73980442</v>
      </c>
      <c r="J465" s="776" t="s">
        <v>5367</v>
      </c>
      <c r="K465" s="779">
        <v>22500</v>
      </c>
      <c r="L465" s="779">
        <v>12900</v>
      </c>
      <c r="M465" s="779"/>
      <c r="N465" s="780">
        <f>1-(L465/K465)</f>
        <v>0.42666666666666664</v>
      </c>
      <c r="O465" s="780">
        <v>0.15</v>
      </c>
      <c r="P465" s="777" t="s">
        <v>4449</v>
      </c>
      <c r="Q465" s="781" t="s">
        <v>5368</v>
      </c>
      <c r="R465" s="782"/>
      <c r="S465" s="782"/>
      <c r="T465" s="782"/>
    </row>
    <row r="466" spans="2:21" ht="13.5" customHeight="1">
      <c r="B466" s="1421"/>
      <c r="C466" s="774"/>
      <c r="D466" s="775"/>
      <c r="E466" s="776" t="s">
        <v>331</v>
      </c>
      <c r="F466" s="776" t="s">
        <v>4970</v>
      </c>
      <c r="G466" s="777" t="s">
        <v>4261</v>
      </c>
      <c r="H466" s="671">
        <v>202501212181</v>
      </c>
      <c r="I466" s="777"/>
      <c r="J466" s="776"/>
      <c r="K466" s="779"/>
      <c r="L466" s="779"/>
      <c r="M466" s="779"/>
      <c r="N466" s="780"/>
      <c r="O466" s="780"/>
      <c r="P466" s="777"/>
      <c r="Q466" s="781"/>
      <c r="R466" s="782"/>
      <c r="S466" s="782"/>
      <c r="T466" s="782"/>
    </row>
    <row r="467" spans="2:21" ht="13.5" customHeight="1">
      <c r="B467" s="1421"/>
      <c r="C467" s="774" t="s">
        <v>3247</v>
      </c>
      <c r="D467" s="775"/>
      <c r="E467" s="776" t="s">
        <v>477</v>
      </c>
      <c r="F467" s="776" t="s">
        <v>4461</v>
      </c>
      <c r="G467" s="777" t="s">
        <v>5260</v>
      </c>
      <c r="H467" s="783">
        <v>202208183975</v>
      </c>
      <c r="I467" s="777">
        <v>42720323</v>
      </c>
      <c r="J467" s="776" t="s">
        <v>5774</v>
      </c>
      <c r="K467" s="779">
        <v>30900</v>
      </c>
      <c r="L467" s="779">
        <v>27800</v>
      </c>
      <c r="M467" s="779"/>
      <c r="N467" s="780">
        <f>1-(L467/K467)</f>
        <v>0.10032362459546929</v>
      </c>
      <c r="O467" s="780">
        <v>0.15</v>
      </c>
      <c r="P467" s="777" t="s">
        <v>4449</v>
      </c>
      <c r="Q467" s="781"/>
      <c r="R467" s="782"/>
      <c r="S467" s="782"/>
      <c r="T467" s="782"/>
    </row>
    <row r="468" spans="2:21" ht="13.5" customHeight="1">
      <c r="B468" s="1421"/>
      <c r="C468" s="774"/>
      <c r="D468" s="775"/>
      <c r="E468" s="776" t="s">
        <v>795</v>
      </c>
      <c r="F468" s="776" t="s">
        <v>4461</v>
      </c>
      <c r="G468" s="777" t="s">
        <v>4330</v>
      </c>
      <c r="H468" s="816">
        <v>202502202482</v>
      </c>
      <c r="I468" s="777" t="s">
        <v>5775</v>
      </c>
      <c r="J468" s="776" t="s">
        <v>5776</v>
      </c>
      <c r="K468" s="779"/>
      <c r="L468" s="779">
        <v>21780</v>
      </c>
      <c r="M468" s="779"/>
      <c r="N468" s="780">
        <v>0.1</v>
      </c>
      <c r="O468" s="780">
        <v>0.15</v>
      </c>
      <c r="P468" s="777" t="s">
        <v>4449</v>
      </c>
      <c r="Q468" s="781" t="s">
        <v>5777</v>
      </c>
      <c r="R468" s="782"/>
      <c r="S468" s="782"/>
      <c r="T468" s="782"/>
    </row>
    <row r="469" spans="2:21" ht="13.5" customHeight="1">
      <c r="B469" s="1421"/>
      <c r="C469" s="774" t="s">
        <v>3247</v>
      </c>
      <c r="D469" s="775"/>
      <c r="E469" s="776" t="s">
        <v>264</v>
      </c>
      <c r="F469" s="776" t="s">
        <v>4480</v>
      </c>
      <c r="G469" s="777" t="s">
        <v>5778</v>
      </c>
      <c r="H469" s="783">
        <v>202502182461</v>
      </c>
      <c r="I469" s="777">
        <v>77680563</v>
      </c>
      <c r="J469" s="776" t="s">
        <v>5779</v>
      </c>
      <c r="K469" s="779">
        <v>139000</v>
      </c>
      <c r="L469" s="779">
        <v>24900</v>
      </c>
      <c r="M469" s="779" t="s">
        <v>3247</v>
      </c>
      <c r="N469" s="780">
        <f>1-(L469/K469)</f>
        <v>0.82086330935251794</v>
      </c>
      <c r="O469" s="780">
        <v>0.15</v>
      </c>
      <c r="P469" s="777" t="s">
        <v>4449</v>
      </c>
      <c r="Q469" s="781" t="s">
        <v>3433</v>
      </c>
      <c r="R469" s="782" t="s">
        <v>5780</v>
      </c>
      <c r="S469" s="782" t="s">
        <v>5781</v>
      </c>
      <c r="T469" s="782"/>
    </row>
    <row r="470" spans="2:21" ht="13.5" customHeight="1">
      <c r="B470" s="1421"/>
      <c r="C470" s="774"/>
      <c r="D470" s="775" t="s">
        <v>4460</v>
      </c>
      <c r="E470" s="776" t="s">
        <v>221</v>
      </c>
      <c r="F470" s="776" t="s">
        <v>4671</v>
      </c>
      <c r="G470" s="777" t="s">
        <v>4940</v>
      </c>
      <c r="H470" s="1024">
        <v>202411080913</v>
      </c>
      <c r="I470" s="777">
        <v>70752326</v>
      </c>
      <c r="J470" s="776" t="s">
        <v>1618</v>
      </c>
      <c r="K470" s="779">
        <v>89900</v>
      </c>
      <c r="L470" s="779">
        <v>25900</v>
      </c>
      <c r="M470" s="779" t="s">
        <v>3247</v>
      </c>
      <c r="N470" s="780">
        <v>0.7230255839822024</v>
      </c>
      <c r="O470" s="780">
        <v>0.15</v>
      </c>
      <c r="P470" s="777" t="s">
        <v>4449</v>
      </c>
      <c r="Q470" s="781" t="s">
        <v>5782</v>
      </c>
      <c r="R470" s="782"/>
      <c r="S470" s="782" t="s">
        <v>5783</v>
      </c>
      <c r="T470" s="782">
        <v>100</v>
      </c>
      <c r="U470" s="741" t="s">
        <v>5784</v>
      </c>
    </row>
    <row r="471" spans="2:21" ht="13.5" customHeight="1">
      <c r="B471" s="1429" t="s">
        <v>5785</v>
      </c>
      <c r="C471" s="785" t="s">
        <v>3247</v>
      </c>
      <c r="D471" s="786" t="s">
        <v>4453</v>
      </c>
      <c r="E471" s="787" t="s">
        <v>137</v>
      </c>
      <c r="F471" s="787" t="s">
        <v>4445</v>
      </c>
      <c r="G471" s="788" t="s">
        <v>4414</v>
      </c>
      <c r="H471" s="808">
        <v>202307112227</v>
      </c>
      <c r="I471" s="788">
        <v>77385768</v>
      </c>
      <c r="J471" s="787" t="s">
        <v>5786</v>
      </c>
      <c r="K471" s="790">
        <v>459000</v>
      </c>
      <c r="L471" s="790">
        <v>254710</v>
      </c>
      <c r="M471" s="790" t="s">
        <v>3247</v>
      </c>
      <c r="N471" s="812">
        <f>1-L471/K471</f>
        <v>0.44507625272331153</v>
      </c>
      <c r="O471" s="791">
        <v>0.35</v>
      </c>
      <c r="P471" s="788" t="s">
        <v>4449</v>
      </c>
      <c r="Q471" s="792" t="s">
        <v>5753</v>
      </c>
      <c r="R471" s="793" t="s">
        <v>5787</v>
      </c>
      <c r="S471" s="793"/>
      <c r="T471" s="793"/>
    </row>
    <row r="472" spans="2:21" ht="13.5" customHeight="1">
      <c r="B472" s="1429"/>
      <c r="C472" s="774"/>
      <c r="D472" s="775" t="s">
        <v>4460</v>
      </c>
      <c r="E472" s="776" t="s">
        <v>910</v>
      </c>
      <c r="F472" s="776" t="s">
        <v>4454</v>
      </c>
      <c r="G472" s="777" t="s">
        <v>911</v>
      </c>
      <c r="H472" s="783">
        <v>202410140539</v>
      </c>
      <c r="I472" s="777" t="s">
        <v>5043</v>
      </c>
      <c r="J472" s="776" t="s">
        <v>5788</v>
      </c>
      <c r="K472" s="779"/>
      <c r="L472" s="779"/>
      <c r="M472" s="779"/>
      <c r="N472" s="780"/>
      <c r="O472" s="780">
        <v>0.18</v>
      </c>
      <c r="P472" s="777" t="s">
        <v>4449</v>
      </c>
      <c r="Q472" s="781" t="s">
        <v>5789</v>
      </c>
      <c r="R472" s="782"/>
      <c r="S472" s="782"/>
      <c r="T472" s="782"/>
    </row>
    <row r="473" spans="2:21" ht="13.5" customHeight="1">
      <c r="B473" s="1429"/>
      <c r="C473" s="774" t="s">
        <v>3247</v>
      </c>
      <c r="D473" s="775" t="s">
        <v>4474</v>
      </c>
      <c r="E473" s="776" t="s">
        <v>942</v>
      </c>
      <c r="F473" s="776" t="s">
        <v>4454</v>
      </c>
      <c r="G473" s="777" t="s">
        <v>5618</v>
      </c>
      <c r="H473" s="783">
        <v>202502202487</v>
      </c>
      <c r="I473" s="777">
        <v>30159831</v>
      </c>
      <c r="J473" s="776" t="s">
        <v>5619</v>
      </c>
      <c r="K473" s="779">
        <v>14900</v>
      </c>
      <c r="L473" s="779">
        <v>9900</v>
      </c>
      <c r="M473" s="779" t="s">
        <v>3247</v>
      </c>
      <c r="N473" s="780">
        <v>0.15</v>
      </c>
      <c r="O473" s="780">
        <v>0.1</v>
      </c>
      <c r="P473" s="777" t="s">
        <v>4449</v>
      </c>
      <c r="Q473" s="781" t="s">
        <v>4814</v>
      </c>
      <c r="R473" s="782" t="s">
        <v>5748</v>
      </c>
      <c r="S473" s="782" t="s">
        <v>5622</v>
      </c>
      <c r="T473" s="782"/>
    </row>
    <row r="474" spans="2:21" ht="13.5" customHeight="1">
      <c r="B474" s="1429"/>
      <c r="C474" s="774" t="s">
        <v>3247</v>
      </c>
      <c r="D474" s="775"/>
      <c r="E474" s="776" t="s">
        <v>417</v>
      </c>
      <c r="F474" s="776" t="s">
        <v>4461</v>
      </c>
      <c r="G474" s="777" t="s">
        <v>5790</v>
      </c>
      <c r="H474" s="783">
        <v>202502192468</v>
      </c>
      <c r="I474" s="777">
        <v>77978372</v>
      </c>
      <c r="J474" s="1013" t="s">
        <v>5791</v>
      </c>
      <c r="K474" s="779">
        <v>38900</v>
      </c>
      <c r="L474" s="779">
        <v>19900</v>
      </c>
      <c r="M474" s="779" t="s">
        <v>3247</v>
      </c>
      <c r="N474" s="780">
        <f>1-L474/K474</f>
        <v>0.48843187660668386</v>
      </c>
      <c r="O474" s="780">
        <v>0.1</v>
      </c>
      <c r="P474" s="777" t="s">
        <v>4449</v>
      </c>
      <c r="Q474" s="1025" t="s">
        <v>5792</v>
      </c>
      <c r="R474" s="782"/>
      <c r="S474" s="782" t="s">
        <v>5793</v>
      </c>
      <c r="T474" s="782">
        <v>50</v>
      </c>
    </row>
    <row r="475" spans="2:21" ht="13.5" customHeight="1">
      <c r="B475" s="1429"/>
      <c r="C475" s="774" t="s">
        <v>3247</v>
      </c>
      <c r="D475" s="775" t="s">
        <v>4444</v>
      </c>
      <c r="E475" s="776" t="s">
        <v>32</v>
      </c>
      <c r="F475" s="776" t="s">
        <v>4084</v>
      </c>
      <c r="G475" s="777" t="s">
        <v>54</v>
      </c>
      <c r="H475" s="783">
        <v>202502202492</v>
      </c>
      <c r="I475" s="889">
        <v>71399660</v>
      </c>
      <c r="J475" s="776" t="s">
        <v>5794</v>
      </c>
      <c r="K475" s="779">
        <v>79000</v>
      </c>
      <c r="L475" s="779">
        <v>30900</v>
      </c>
      <c r="M475" s="779" t="s">
        <v>3247</v>
      </c>
      <c r="N475" s="780">
        <f>1-L475/K475</f>
        <v>0.60886075949367091</v>
      </c>
      <c r="O475" s="780">
        <v>0.15</v>
      </c>
      <c r="P475" s="777" t="s">
        <v>4449</v>
      </c>
      <c r="Q475" s="781" t="s">
        <v>5795</v>
      </c>
      <c r="R475" s="782" t="s">
        <v>5796</v>
      </c>
      <c r="S475" s="782" t="s">
        <v>5797</v>
      </c>
      <c r="T475" s="782"/>
    </row>
    <row r="476" spans="2:21" ht="13.5" customHeight="1">
      <c r="B476" s="1429"/>
      <c r="C476" s="774"/>
      <c r="D476" s="775"/>
      <c r="E476" s="776" t="s">
        <v>185</v>
      </c>
      <c r="F476" s="776" t="s">
        <v>4829</v>
      </c>
      <c r="G476" s="777" t="s">
        <v>3657</v>
      </c>
      <c r="H476" s="798">
        <v>202501202105</v>
      </c>
      <c r="I476" s="810">
        <v>72847474</v>
      </c>
      <c r="J476" s="809" t="s">
        <v>5798</v>
      </c>
      <c r="K476" s="779">
        <v>38900</v>
      </c>
      <c r="L476" s="779">
        <v>19900</v>
      </c>
      <c r="M476" s="779" t="s">
        <v>3247</v>
      </c>
      <c r="N476" s="780">
        <f>1-L476/K476</f>
        <v>0.48843187660668386</v>
      </c>
      <c r="O476" s="780">
        <v>0.1</v>
      </c>
      <c r="P476" s="777" t="s">
        <v>4449</v>
      </c>
      <c r="Q476" s="781" t="s">
        <v>5799</v>
      </c>
      <c r="R476" s="782"/>
      <c r="S476" s="782"/>
      <c r="T476" s="782"/>
    </row>
    <row r="477" spans="2:21" ht="13.5" customHeight="1">
      <c r="B477" s="1429"/>
      <c r="C477" s="774" t="s">
        <v>3247</v>
      </c>
      <c r="D477" s="775"/>
      <c r="E477" s="776" t="s">
        <v>477</v>
      </c>
      <c r="F477" s="776" t="s">
        <v>4461</v>
      </c>
      <c r="G477" s="777" t="s">
        <v>5800</v>
      </c>
      <c r="H477" s="783">
        <v>202502202496</v>
      </c>
      <c r="I477" s="777">
        <v>46541643</v>
      </c>
      <c r="J477" s="776" t="s">
        <v>5801</v>
      </c>
      <c r="K477" s="779">
        <v>26500</v>
      </c>
      <c r="L477" s="779">
        <v>19100</v>
      </c>
      <c r="M477" s="779"/>
      <c r="N477" s="780">
        <f>1-L477/K477</f>
        <v>0.27924528301886797</v>
      </c>
      <c r="O477" s="780">
        <v>0.25</v>
      </c>
      <c r="P477" s="777" t="s">
        <v>4449</v>
      </c>
      <c r="Q477" s="781"/>
      <c r="R477" s="782"/>
      <c r="S477" s="782"/>
      <c r="T477" s="782"/>
    </row>
    <row r="478" spans="2:21" ht="13.5" customHeight="1">
      <c r="B478" s="1429"/>
      <c r="C478" s="774"/>
      <c r="D478" s="775"/>
      <c r="E478" s="776" t="s">
        <v>795</v>
      </c>
      <c r="F478" s="776" t="s">
        <v>4461</v>
      </c>
      <c r="G478" s="777" t="s">
        <v>4332</v>
      </c>
      <c r="H478" s="816">
        <v>202502202483</v>
      </c>
      <c r="I478" s="777">
        <v>30219360</v>
      </c>
      <c r="J478" s="776" t="s">
        <v>5802</v>
      </c>
      <c r="K478" s="779"/>
      <c r="L478" s="779">
        <v>14400</v>
      </c>
      <c r="M478" s="779"/>
      <c r="N478" s="780"/>
      <c r="O478" s="780"/>
      <c r="P478" s="777"/>
      <c r="Q478" s="781"/>
      <c r="R478" s="782"/>
      <c r="S478" s="782"/>
      <c r="T478" s="782"/>
    </row>
    <row r="479" spans="2:21" ht="13.5" customHeight="1">
      <c r="B479" s="1429"/>
      <c r="C479" s="774" t="s">
        <v>3247</v>
      </c>
      <c r="D479" s="775" t="s">
        <v>4469</v>
      </c>
      <c r="E479" s="776" t="s">
        <v>264</v>
      </c>
      <c r="F479" s="776" t="s">
        <v>4480</v>
      </c>
      <c r="G479" s="777" t="s">
        <v>4267</v>
      </c>
      <c r="H479" s="805">
        <v>202405238438</v>
      </c>
      <c r="I479" s="777">
        <v>77385424</v>
      </c>
      <c r="J479" s="776" t="s">
        <v>5803</v>
      </c>
      <c r="K479" s="779">
        <v>89000</v>
      </c>
      <c r="L479" s="779">
        <v>29900</v>
      </c>
      <c r="M479" s="779" t="s">
        <v>3247</v>
      </c>
      <c r="N479" s="780">
        <f>1-L479/K479</f>
        <v>0.66404494382022472</v>
      </c>
      <c r="O479" s="780">
        <v>0.16</v>
      </c>
      <c r="P479" s="777" t="s">
        <v>4449</v>
      </c>
      <c r="Q479" s="781" t="s">
        <v>5804</v>
      </c>
      <c r="R479" s="782" t="s">
        <v>5805</v>
      </c>
      <c r="S479" s="782" t="s">
        <v>5806</v>
      </c>
      <c r="T479" s="782"/>
    </row>
    <row r="480" spans="2:21" ht="13.5" customHeight="1">
      <c r="B480" s="1429"/>
      <c r="C480" s="774"/>
      <c r="D480" s="775"/>
      <c r="E480" s="776" t="s">
        <v>221</v>
      </c>
      <c r="F480" s="776" t="s">
        <v>4671</v>
      </c>
      <c r="G480" s="777" t="s">
        <v>3512</v>
      </c>
      <c r="H480" s="783">
        <v>202501172037</v>
      </c>
      <c r="I480" s="777">
        <v>58866247</v>
      </c>
      <c r="J480" s="776" t="s">
        <v>5807</v>
      </c>
      <c r="K480" s="779">
        <v>179000</v>
      </c>
      <c r="L480" s="779">
        <v>49900</v>
      </c>
      <c r="M480" s="779"/>
      <c r="N480" s="780"/>
      <c r="O480" s="780">
        <v>0.15</v>
      </c>
      <c r="P480" s="777" t="s">
        <v>4449</v>
      </c>
      <c r="Q480" s="781" t="s">
        <v>5808</v>
      </c>
      <c r="R480" s="782"/>
      <c r="S480" s="782" t="s">
        <v>4969</v>
      </c>
      <c r="T480" s="782"/>
    </row>
    <row r="481" spans="2:20" ht="13.5" customHeight="1">
      <c r="B481" s="1429" t="s">
        <v>5809</v>
      </c>
      <c r="C481" s="817" t="s">
        <v>3247</v>
      </c>
      <c r="D481" s="786"/>
      <c r="E481" s="787" t="s">
        <v>137</v>
      </c>
      <c r="F481" s="787" t="s">
        <v>4603</v>
      </c>
      <c r="G481" s="788" t="s">
        <v>5810</v>
      </c>
      <c r="H481" s="808">
        <v>202402216629</v>
      </c>
      <c r="I481" s="919">
        <v>30199354</v>
      </c>
      <c r="J481" s="815" t="s">
        <v>5811</v>
      </c>
      <c r="K481" s="790">
        <v>201000</v>
      </c>
      <c r="L481" s="790">
        <f>K481*0.9</f>
        <v>180900</v>
      </c>
      <c r="M481" s="790" t="s">
        <v>3247</v>
      </c>
      <c r="N481" s="791">
        <v>0.1</v>
      </c>
      <c r="O481" s="791">
        <v>0.2</v>
      </c>
      <c r="P481" s="788" t="s">
        <v>4449</v>
      </c>
      <c r="Q481" s="792"/>
      <c r="R481" s="793" t="s">
        <v>5812</v>
      </c>
      <c r="S481" s="793"/>
      <c r="T481" s="793"/>
    </row>
    <row r="482" spans="2:20" ht="13.5" customHeight="1">
      <c r="B482" s="1429"/>
      <c r="C482" s="774" t="s">
        <v>3247</v>
      </c>
      <c r="D482" s="775"/>
      <c r="E482" s="776" t="s">
        <v>1109</v>
      </c>
      <c r="F482" s="776" t="s">
        <v>4519</v>
      </c>
      <c r="G482" s="777" t="s">
        <v>3633</v>
      </c>
      <c r="H482" s="783">
        <v>202409230334</v>
      </c>
      <c r="I482" s="1026">
        <v>55229693</v>
      </c>
      <c r="J482" s="1027" t="s">
        <v>5813</v>
      </c>
      <c r="K482" s="779">
        <v>19900</v>
      </c>
      <c r="L482" s="779">
        <v>15920</v>
      </c>
      <c r="M482" s="779"/>
      <c r="N482" s="780">
        <f>1-L482/K482</f>
        <v>0.19999999999999996</v>
      </c>
      <c r="O482" s="780">
        <v>0.15</v>
      </c>
      <c r="P482" s="777" t="s">
        <v>4449</v>
      </c>
      <c r="Q482" s="781"/>
      <c r="R482" s="782"/>
      <c r="S482" s="782"/>
      <c r="T482" s="782"/>
    </row>
    <row r="483" spans="2:20" ht="13.5" customHeight="1">
      <c r="B483" s="1429"/>
      <c r="C483" s="774"/>
      <c r="D483" s="775"/>
      <c r="E483" s="776" t="s">
        <v>942</v>
      </c>
      <c r="F483" s="776" t="s">
        <v>4454</v>
      </c>
      <c r="G483" s="777" t="s">
        <v>5618</v>
      </c>
      <c r="H483" s="783">
        <v>202502202488</v>
      </c>
      <c r="I483" s="777">
        <v>30159831</v>
      </c>
      <c r="J483" s="776" t="s">
        <v>5619</v>
      </c>
      <c r="K483" s="779">
        <v>14900</v>
      </c>
      <c r="L483" s="779">
        <v>9900</v>
      </c>
      <c r="M483" s="779" t="s">
        <v>3247</v>
      </c>
      <c r="N483" s="780">
        <v>0.15</v>
      </c>
      <c r="O483" s="780">
        <v>0.1</v>
      </c>
      <c r="P483" s="777" t="s">
        <v>4449</v>
      </c>
      <c r="Q483" s="781" t="s">
        <v>4814</v>
      </c>
      <c r="R483" s="782" t="s">
        <v>5748</v>
      </c>
      <c r="S483" s="782" t="s">
        <v>5622</v>
      </c>
      <c r="T483" s="782"/>
    </row>
    <row r="484" spans="2:20" ht="13.5" customHeight="1">
      <c r="B484" s="1429"/>
      <c r="C484" s="774"/>
      <c r="D484" s="775" t="s">
        <v>4460</v>
      </c>
      <c r="E484" s="776" t="s">
        <v>32</v>
      </c>
      <c r="F484" s="776" t="s">
        <v>4519</v>
      </c>
      <c r="G484" s="777" t="s">
        <v>5814</v>
      </c>
      <c r="H484" s="803">
        <v>202502202505</v>
      </c>
      <c r="I484" s="777">
        <v>78068697</v>
      </c>
      <c r="J484" s="776" t="s">
        <v>5815</v>
      </c>
      <c r="K484" s="779">
        <v>39900</v>
      </c>
      <c r="L484" s="779">
        <v>19900</v>
      </c>
      <c r="M484" s="779" t="s">
        <v>3247</v>
      </c>
      <c r="N484" s="780">
        <v>0.15</v>
      </c>
      <c r="O484" s="780">
        <v>0.15</v>
      </c>
      <c r="P484" s="777" t="s">
        <v>4449</v>
      </c>
      <c r="Q484" s="781" t="s">
        <v>5816</v>
      </c>
      <c r="R484" s="782" t="s">
        <v>5817</v>
      </c>
      <c r="S484" s="782"/>
      <c r="T484" s="782"/>
    </row>
    <row r="485" spans="2:20" ht="13.5" customHeight="1">
      <c r="B485" s="1429"/>
      <c r="C485" s="774"/>
      <c r="D485" s="775"/>
      <c r="E485" s="776" t="s">
        <v>417</v>
      </c>
      <c r="F485" s="776" t="s">
        <v>4461</v>
      </c>
      <c r="G485" s="777" t="s">
        <v>3692</v>
      </c>
      <c r="H485" s="783">
        <v>202109166865</v>
      </c>
      <c r="I485" s="777">
        <v>10604529</v>
      </c>
      <c r="J485" s="776" t="s">
        <v>5818</v>
      </c>
      <c r="K485" s="779">
        <v>50000</v>
      </c>
      <c r="L485" s="779"/>
      <c r="M485" s="779"/>
      <c r="N485" s="780"/>
      <c r="O485" s="780"/>
      <c r="P485" s="777"/>
      <c r="Q485" s="781"/>
      <c r="R485" s="782"/>
      <c r="S485" s="782"/>
      <c r="T485" s="782"/>
    </row>
    <row r="486" spans="2:20" ht="13.5" customHeight="1">
      <c r="B486" s="1429"/>
      <c r="C486" s="774" t="s">
        <v>3247</v>
      </c>
      <c r="D486" s="775" t="s">
        <v>4474</v>
      </c>
      <c r="E486" s="776" t="s">
        <v>185</v>
      </c>
      <c r="F486" s="776" t="s">
        <v>4829</v>
      </c>
      <c r="G486" s="777" t="s">
        <v>3890</v>
      </c>
      <c r="H486" s="783">
        <v>202411251132</v>
      </c>
      <c r="I486" s="777">
        <v>30208402</v>
      </c>
      <c r="J486" s="887" t="s">
        <v>5819</v>
      </c>
      <c r="K486" s="779">
        <v>85900</v>
      </c>
      <c r="L486" s="779">
        <v>49900</v>
      </c>
      <c r="M486" s="779" t="s">
        <v>3247</v>
      </c>
      <c r="N486" s="780">
        <f>1-L486/K486</f>
        <v>0.41909196740395804</v>
      </c>
      <c r="O486" s="780">
        <v>0.15</v>
      </c>
      <c r="P486" s="777" t="s">
        <v>4449</v>
      </c>
      <c r="Q486" s="781" t="s">
        <v>5820</v>
      </c>
      <c r="R486" s="782"/>
      <c r="S486" s="782"/>
      <c r="T486" s="782"/>
    </row>
    <row r="487" spans="2:20" ht="13.5" customHeight="1">
      <c r="B487" s="1429"/>
      <c r="C487" s="774" t="s">
        <v>3247</v>
      </c>
      <c r="D487" s="775" t="s">
        <v>4469</v>
      </c>
      <c r="E487" s="776" t="s">
        <v>477</v>
      </c>
      <c r="F487" s="776" t="s">
        <v>4461</v>
      </c>
      <c r="G487" s="777" t="s">
        <v>3378</v>
      </c>
      <c r="H487" s="783">
        <v>202502202497</v>
      </c>
      <c r="I487" s="777">
        <v>48462570</v>
      </c>
      <c r="J487" s="776" t="s">
        <v>5821</v>
      </c>
      <c r="K487" s="779">
        <v>14900</v>
      </c>
      <c r="L487" s="1028">
        <v>11900</v>
      </c>
      <c r="M487" s="779"/>
      <c r="N487" s="780">
        <f>1-L487/K487</f>
        <v>0.20134228187919467</v>
      </c>
      <c r="O487" s="780">
        <v>0.25</v>
      </c>
      <c r="P487" s="777" t="s">
        <v>4449</v>
      </c>
      <c r="Q487" s="781"/>
      <c r="R487" s="782"/>
      <c r="S487" s="782"/>
      <c r="T487" s="782"/>
    </row>
    <row r="488" spans="2:20" ht="13.5" customHeight="1">
      <c r="B488" s="1429"/>
      <c r="C488" s="774"/>
      <c r="D488" s="775"/>
      <c r="E488" s="776" t="s">
        <v>795</v>
      </c>
      <c r="F488" s="776" t="s">
        <v>4461</v>
      </c>
      <c r="G488" s="777" t="s">
        <v>1237</v>
      </c>
      <c r="H488" s="816">
        <v>202502052306</v>
      </c>
      <c r="I488" s="777"/>
      <c r="J488" s="776"/>
      <c r="K488" s="779"/>
      <c r="L488" s="779"/>
      <c r="M488" s="779"/>
      <c r="N488" s="780"/>
      <c r="O488" s="780"/>
      <c r="P488" s="777"/>
      <c r="Q488" s="781"/>
      <c r="R488" s="782"/>
      <c r="S488" s="782"/>
      <c r="T488" s="782"/>
    </row>
    <row r="489" spans="2:20" ht="13.5" customHeight="1">
      <c r="B489" s="1429"/>
      <c r="C489" s="774" t="s">
        <v>3247</v>
      </c>
      <c r="D489" s="775" t="s">
        <v>4453</v>
      </c>
      <c r="E489" s="776" t="s">
        <v>264</v>
      </c>
      <c r="F489" s="776" t="s">
        <v>4480</v>
      </c>
      <c r="G489" s="777" t="s">
        <v>5703</v>
      </c>
      <c r="H489" s="805">
        <v>202411191033</v>
      </c>
      <c r="I489" s="777">
        <v>76633783</v>
      </c>
      <c r="J489" s="776" t="s">
        <v>5822</v>
      </c>
      <c r="K489" s="779">
        <v>239000</v>
      </c>
      <c r="L489" s="779">
        <v>69900</v>
      </c>
      <c r="M489" s="779" t="s">
        <v>3247</v>
      </c>
      <c r="N489" s="780">
        <f>1-L489/K489</f>
        <v>0.70753138075313804</v>
      </c>
      <c r="O489" s="780">
        <v>0.16</v>
      </c>
      <c r="P489" s="777" t="s">
        <v>4449</v>
      </c>
      <c r="Q489" s="781" t="s">
        <v>5823</v>
      </c>
      <c r="R489" s="782"/>
      <c r="S489" s="782" t="s">
        <v>5824</v>
      </c>
      <c r="T489" s="782"/>
    </row>
    <row r="490" spans="2:20" ht="13.5" customHeight="1">
      <c r="B490" s="1429"/>
      <c r="C490" s="774"/>
      <c r="D490" s="775" t="s">
        <v>4444</v>
      </c>
      <c r="E490" s="776" t="s">
        <v>221</v>
      </c>
      <c r="F490" s="776" t="s">
        <v>4671</v>
      </c>
      <c r="G490" s="777" t="s">
        <v>5528</v>
      </c>
      <c r="H490" s="1024">
        <v>202302158470</v>
      </c>
      <c r="I490" s="777">
        <v>30216283</v>
      </c>
      <c r="J490" s="776" t="s">
        <v>5529</v>
      </c>
      <c r="K490" s="779">
        <v>120000</v>
      </c>
      <c r="L490" s="779">
        <v>9900</v>
      </c>
      <c r="M490" s="779"/>
      <c r="N490" s="780"/>
      <c r="O490" s="780">
        <v>0.15</v>
      </c>
      <c r="P490" s="777" t="s">
        <v>4449</v>
      </c>
      <c r="Q490" s="781" t="s">
        <v>5825</v>
      </c>
      <c r="R490" s="782"/>
      <c r="S490" s="782" t="s">
        <v>5826</v>
      </c>
      <c r="T490" s="782"/>
    </row>
    <row r="491" spans="2:20" ht="13.5" customHeight="1">
      <c r="B491" s="1421" t="s">
        <v>5827</v>
      </c>
      <c r="C491" s="785"/>
      <c r="D491" s="786" t="s">
        <v>4444</v>
      </c>
      <c r="E491" s="809" t="s">
        <v>417</v>
      </c>
      <c r="F491" s="809" t="s">
        <v>4461</v>
      </c>
      <c r="G491" s="810" t="s">
        <v>4326</v>
      </c>
      <c r="H491" s="811">
        <v>202409260394</v>
      </c>
      <c r="I491" s="810">
        <v>30191614</v>
      </c>
      <c r="J491" s="1013" t="s">
        <v>5828</v>
      </c>
      <c r="K491" s="804">
        <v>18900</v>
      </c>
      <c r="L491" s="804">
        <v>14310</v>
      </c>
      <c r="M491" s="804" t="s">
        <v>3247</v>
      </c>
      <c r="N491" s="812">
        <f>1-L491/K491</f>
        <v>0.24285714285714288</v>
      </c>
      <c r="O491" s="812">
        <v>0.15</v>
      </c>
      <c r="P491" s="810" t="s">
        <v>4449</v>
      </c>
      <c r="Q491" s="1025" t="s">
        <v>5792</v>
      </c>
      <c r="R491" s="844"/>
      <c r="S491" s="844" t="s">
        <v>5829</v>
      </c>
      <c r="T491" s="844">
        <v>50</v>
      </c>
    </row>
    <row r="492" spans="2:20" ht="13.5" customHeight="1">
      <c r="B492" s="1421"/>
      <c r="C492" s="774" t="s">
        <v>3247</v>
      </c>
      <c r="D492" s="775" t="s">
        <v>4469</v>
      </c>
      <c r="E492" s="776" t="s">
        <v>1109</v>
      </c>
      <c r="F492" s="776" t="s">
        <v>4519</v>
      </c>
      <c r="G492" s="777" t="s">
        <v>4384</v>
      </c>
      <c r="H492" s="783">
        <v>202409030155</v>
      </c>
      <c r="I492" s="846">
        <v>30143814</v>
      </c>
      <c r="J492" s="847" t="s">
        <v>5141</v>
      </c>
      <c r="K492" s="779">
        <v>25800</v>
      </c>
      <c r="L492" s="779">
        <v>21890</v>
      </c>
      <c r="M492" s="804" t="s">
        <v>3247</v>
      </c>
      <c r="N492" s="780">
        <f>1-(L492/K492)</f>
        <v>0.15155038759689921</v>
      </c>
      <c r="O492" s="780">
        <v>0.3</v>
      </c>
      <c r="P492" s="777" t="s">
        <v>4449</v>
      </c>
      <c r="Q492" s="898" t="s">
        <v>5694</v>
      </c>
      <c r="R492" s="782"/>
      <c r="S492" s="782"/>
      <c r="T492" s="782"/>
    </row>
    <row r="493" spans="2:20" ht="13.5" customHeight="1">
      <c r="B493" s="1421"/>
      <c r="C493" s="774"/>
      <c r="D493" s="775" t="s">
        <v>4474</v>
      </c>
      <c r="E493" s="801" t="s">
        <v>165</v>
      </c>
      <c r="F493" s="801" t="s">
        <v>4560</v>
      </c>
      <c r="G493" s="802" t="s">
        <v>4216</v>
      </c>
      <c r="H493" s="783">
        <v>202502182454</v>
      </c>
      <c r="I493" s="777">
        <v>46485300</v>
      </c>
      <c r="J493" s="776" t="s">
        <v>5830</v>
      </c>
      <c r="K493" s="779">
        <v>7000000</v>
      </c>
      <c r="L493" s="779">
        <f>K493*(1-38%)</f>
        <v>4340000</v>
      </c>
      <c r="M493" s="779" t="s">
        <v>3247</v>
      </c>
      <c r="N493" s="780" t="s">
        <v>5831</v>
      </c>
      <c r="O493" s="780"/>
      <c r="P493" s="777" t="s">
        <v>4449</v>
      </c>
      <c r="Q493" s="781" t="s">
        <v>5832</v>
      </c>
      <c r="R493" s="782"/>
      <c r="S493" s="782"/>
      <c r="T493" s="782"/>
    </row>
    <row r="494" spans="2:20" ht="13.5" customHeight="1">
      <c r="B494" s="1421"/>
      <c r="C494" s="774"/>
      <c r="D494" s="775"/>
      <c r="E494" s="776" t="s">
        <v>942</v>
      </c>
      <c r="F494" s="776" t="s">
        <v>4454</v>
      </c>
      <c r="G494" s="777" t="s">
        <v>5618</v>
      </c>
      <c r="H494" s="783">
        <v>202502202489</v>
      </c>
      <c r="I494" s="777">
        <v>30159831</v>
      </c>
      <c r="J494" s="776" t="s">
        <v>5619</v>
      </c>
      <c r="K494" s="779">
        <v>14900</v>
      </c>
      <c r="L494" s="779">
        <v>9900</v>
      </c>
      <c r="M494" s="779" t="s">
        <v>3247</v>
      </c>
      <c r="N494" s="780">
        <v>0.15</v>
      </c>
      <c r="O494" s="780">
        <v>0.1</v>
      </c>
      <c r="P494" s="777" t="s">
        <v>4449</v>
      </c>
      <c r="Q494" s="781" t="s">
        <v>4814</v>
      </c>
      <c r="R494" s="782" t="s">
        <v>5748</v>
      </c>
      <c r="S494" s="782" t="s">
        <v>5622</v>
      </c>
      <c r="T494" s="782"/>
    </row>
    <row r="495" spans="2:20" ht="13.5" customHeight="1">
      <c r="B495" s="1421"/>
      <c r="C495" s="774"/>
      <c r="D495" s="775"/>
      <c r="E495" s="776" t="s">
        <v>185</v>
      </c>
      <c r="F495" s="776" t="s">
        <v>4829</v>
      </c>
      <c r="G495" s="777" t="s">
        <v>3665</v>
      </c>
      <c r="H495" s="783">
        <v>202501202106</v>
      </c>
      <c r="I495" s="1029">
        <v>72838082</v>
      </c>
      <c r="J495" s="1030" t="s">
        <v>5833</v>
      </c>
      <c r="K495" s="779">
        <v>54900</v>
      </c>
      <c r="L495" s="779">
        <v>26010</v>
      </c>
      <c r="M495" s="779" t="s">
        <v>3247</v>
      </c>
      <c r="N495" s="780">
        <f>1-L495/K495</f>
        <v>0.52622950819672132</v>
      </c>
      <c r="O495" s="780">
        <v>0.15</v>
      </c>
      <c r="P495" s="777" t="s">
        <v>4449</v>
      </c>
      <c r="Q495" s="781" t="s">
        <v>5834</v>
      </c>
      <c r="R495" s="782"/>
      <c r="S495" s="782"/>
      <c r="T495" s="782"/>
    </row>
    <row r="496" spans="2:20" ht="13.5" customHeight="1">
      <c r="B496" s="1421"/>
      <c r="C496" s="774" t="s">
        <v>3247</v>
      </c>
      <c r="D496" s="775"/>
      <c r="E496" s="776" t="s">
        <v>477</v>
      </c>
      <c r="F496" s="776" t="s">
        <v>4461</v>
      </c>
      <c r="G496" s="777" t="s">
        <v>3378</v>
      </c>
      <c r="H496" s="783">
        <v>202502202498</v>
      </c>
      <c r="I496" s="777">
        <v>76930411</v>
      </c>
      <c r="J496" s="776" t="s">
        <v>5835</v>
      </c>
      <c r="K496" s="779">
        <v>10900</v>
      </c>
      <c r="L496" s="779">
        <v>8700</v>
      </c>
      <c r="M496" s="779"/>
      <c r="N496" s="780">
        <f>1-L496/K496</f>
        <v>0.20183486238532111</v>
      </c>
      <c r="O496" s="780">
        <v>0.25</v>
      </c>
      <c r="P496" s="777" t="s">
        <v>4449</v>
      </c>
      <c r="Q496" s="781"/>
      <c r="R496" s="782"/>
      <c r="S496" s="782"/>
      <c r="T496" s="782"/>
    </row>
    <row r="497" spans="2:20" ht="13.5" customHeight="1">
      <c r="B497" s="1421"/>
      <c r="C497" s="774" t="s">
        <v>3247</v>
      </c>
      <c r="D497" s="775" t="s">
        <v>4453</v>
      </c>
      <c r="E497" s="776" t="s">
        <v>795</v>
      </c>
      <c r="F497" s="776" t="s">
        <v>4461</v>
      </c>
      <c r="G497" s="777" t="s">
        <v>3541</v>
      </c>
      <c r="H497" s="901">
        <v>202502202484</v>
      </c>
      <c r="I497" s="1031">
        <v>77692304</v>
      </c>
      <c r="J497" s="1031" t="s">
        <v>5836</v>
      </c>
      <c r="K497" s="779">
        <v>25900</v>
      </c>
      <c r="L497" s="779">
        <v>17800</v>
      </c>
      <c r="M497" s="779"/>
      <c r="N497" s="780">
        <f>1-L497/K497</f>
        <v>0.31274131274131278</v>
      </c>
      <c r="O497" s="780">
        <v>0.15</v>
      </c>
      <c r="P497" s="777" t="s">
        <v>4449</v>
      </c>
      <c r="Q497" s="781" t="s">
        <v>5837</v>
      </c>
      <c r="R497" s="782"/>
      <c r="S497" s="782"/>
      <c r="T497" s="782"/>
    </row>
    <row r="498" spans="2:20" ht="13.5" customHeight="1">
      <c r="B498" s="1421"/>
      <c r="C498" s="774"/>
      <c r="D498" s="775" t="s">
        <v>4460</v>
      </c>
      <c r="E498" s="776" t="s">
        <v>264</v>
      </c>
      <c r="F498" s="776" t="s">
        <v>4480</v>
      </c>
      <c r="G498" s="777" t="s">
        <v>3264</v>
      </c>
      <c r="H498" s="805">
        <v>202411281240</v>
      </c>
      <c r="I498" s="777" t="s">
        <v>5419</v>
      </c>
      <c r="J498" s="776" t="s">
        <v>5838</v>
      </c>
      <c r="K498" s="779"/>
      <c r="L498" s="779"/>
      <c r="M498" s="779" t="s">
        <v>3247</v>
      </c>
      <c r="N498" s="780"/>
      <c r="O498" s="780"/>
      <c r="P498" s="777" t="s">
        <v>4449</v>
      </c>
      <c r="Q498" s="781" t="s">
        <v>5839</v>
      </c>
      <c r="R498" s="782"/>
      <c r="S498" s="782"/>
      <c r="T498" s="782"/>
    </row>
    <row r="499" spans="2:20" ht="13.5" customHeight="1">
      <c r="B499" s="1421"/>
      <c r="C499" s="774"/>
      <c r="D499" s="775"/>
      <c r="E499" s="776" t="s">
        <v>221</v>
      </c>
      <c r="F499" s="776" t="s">
        <v>4671</v>
      </c>
      <c r="G499" s="777" t="s">
        <v>3512</v>
      </c>
      <c r="H499" s="1024">
        <v>202501232216</v>
      </c>
      <c r="I499" s="777" t="s">
        <v>5840</v>
      </c>
      <c r="J499" s="776" t="s">
        <v>5841</v>
      </c>
      <c r="K499" s="779"/>
      <c r="L499" s="779" t="s">
        <v>5842</v>
      </c>
      <c r="M499" s="779"/>
      <c r="N499" s="780"/>
      <c r="O499" s="780">
        <v>0.25</v>
      </c>
      <c r="P499" s="777" t="s">
        <v>4449</v>
      </c>
      <c r="Q499" s="781" t="s">
        <v>5843</v>
      </c>
      <c r="R499" s="782"/>
      <c r="S499" s="782" t="s">
        <v>5844</v>
      </c>
      <c r="T499" s="782"/>
    </row>
    <row r="500" spans="2:20" ht="13.5" customHeight="1">
      <c r="B500" s="1421"/>
      <c r="C500" s="774"/>
      <c r="D500" s="775"/>
      <c r="E500" s="776" t="s">
        <v>221</v>
      </c>
      <c r="F500" s="776" t="s">
        <v>4454</v>
      </c>
      <c r="G500" s="777" t="s">
        <v>5845</v>
      </c>
      <c r="H500" s="783">
        <v>202412041289</v>
      </c>
      <c r="I500" s="777">
        <v>30210023</v>
      </c>
      <c r="J500" s="776" t="s">
        <v>5846</v>
      </c>
      <c r="K500" s="779">
        <v>42900</v>
      </c>
      <c r="L500" s="779">
        <v>32210</v>
      </c>
      <c r="M500" s="779"/>
      <c r="N500" s="780"/>
      <c r="O500" s="780">
        <v>0.15</v>
      </c>
      <c r="P500" s="777" t="s">
        <v>4449</v>
      </c>
      <c r="Q500" s="781" t="s">
        <v>5847</v>
      </c>
      <c r="R500" s="782"/>
      <c r="S500" s="782" t="s">
        <v>5848</v>
      </c>
      <c r="T500" s="782"/>
    </row>
    <row r="501" spans="2:20" ht="13.5" customHeight="1">
      <c r="B501" s="1429" t="s">
        <v>5849</v>
      </c>
      <c r="C501" s="785" t="s">
        <v>3247</v>
      </c>
      <c r="D501" s="786" t="s">
        <v>4491</v>
      </c>
      <c r="E501" s="787" t="s">
        <v>137</v>
      </c>
      <c r="F501" s="787" t="s">
        <v>4445</v>
      </c>
      <c r="G501" s="788" t="s">
        <v>4414</v>
      </c>
      <c r="H501" s="808">
        <v>202409190299</v>
      </c>
      <c r="I501" s="788">
        <v>30199354</v>
      </c>
      <c r="J501" s="787" t="s">
        <v>4988</v>
      </c>
      <c r="K501" s="790">
        <v>119000</v>
      </c>
      <c r="L501" s="790">
        <v>49000</v>
      </c>
      <c r="M501" s="790" t="s">
        <v>3247</v>
      </c>
      <c r="N501" s="791">
        <v>0.59</v>
      </c>
      <c r="O501" s="791">
        <v>0.1</v>
      </c>
      <c r="P501" s="788" t="s">
        <v>4449</v>
      </c>
      <c r="Q501" s="792" t="s">
        <v>5422</v>
      </c>
      <c r="R501" s="793" t="s">
        <v>5423</v>
      </c>
      <c r="S501" s="793" t="s">
        <v>5424</v>
      </c>
      <c r="T501" s="793"/>
    </row>
    <row r="502" spans="2:20" ht="13.5" customHeight="1">
      <c r="B502" s="1429"/>
      <c r="C502" s="774"/>
      <c r="D502" s="775"/>
      <c r="E502" s="776" t="s">
        <v>942</v>
      </c>
      <c r="F502" s="776" t="s">
        <v>4454</v>
      </c>
      <c r="G502" s="777" t="s">
        <v>5618</v>
      </c>
      <c r="H502" s="783">
        <v>202502202490</v>
      </c>
      <c r="I502" s="777">
        <v>30159831</v>
      </c>
      <c r="J502" s="776" t="s">
        <v>5619</v>
      </c>
      <c r="K502" s="779">
        <v>14900</v>
      </c>
      <c r="L502" s="779">
        <v>9900</v>
      </c>
      <c r="M502" s="779" t="s">
        <v>3247</v>
      </c>
      <c r="N502" s="780">
        <v>0.15</v>
      </c>
      <c r="O502" s="780">
        <v>0.1</v>
      </c>
      <c r="P502" s="777" t="s">
        <v>4449</v>
      </c>
      <c r="Q502" s="781" t="s">
        <v>4814</v>
      </c>
      <c r="R502" s="782" t="s">
        <v>5748</v>
      </c>
      <c r="S502" s="782" t="s">
        <v>5622</v>
      </c>
      <c r="T502" s="782"/>
    </row>
    <row r="503" spans="2:20" ht="13.5" customHeight="1">
      <c r="B503" s="1429"/>
      <c r="C503" s="774"/>
      <c r="D503" s="775" t="s">
        <v>4460</v>
      </c>
      <c r="E503" s="776" t="s">
        <v>185</v>
      </c>
      <c r="F503" s="776" t="s">
        <v>4829</v>
      </c>
      <c r="G503" s="777" t="s">
        <v>4400</v>
      </c>
      <c r="H503" s="783">
        <v>202204180938</v>
      </c>
      <c r="I503" s="777">
        <v>30204020</v>
      </c>
      <c r="J503" s="776" t="s">
        <v>5237</v>
      </c>
      <c r="K503" s="779">
        <v>79000</v>
      </c>
      <c r="L503" s="779">
        <v>29900</v>
      </c>
      <c r="M503" s="779" t="s">
        <v>3247</v>
      </c>
      <c r="N503" s="780">
        <f>1-L503/K503</f>
        <v>0.62151898734177213</v>
      </c>
      <c r="O503" s="780">
        <v>0.2</v>
      </c>
      <c r="P503" s="777" t="s">
        <v>4449</v>
      </c>
      <c r="Q503" s="781" t="s">
        <v>5850</v>
      </c>
      <c r="R503" s="782"/>
      <c r="S503" s="782"/>
      <c r="T503" s="782"/>
    </row>
    <row r="504" spans="2:20" ht="13.5" customHeight="1">
      <c r="B504" s="1429"/>
      <c r="C504" s="774" t="s">
        <v>3247</v>
      </c>
      <c r="D504" s="775" t="s">
        <v>4444</v>
      </c>
      <c r="E504" s="776" t="s">
        <v>477</v>
      </c>
      <c r="F504" s="776" t="s">
        <v>5041</v>
      </c>
      <c r="G504" s="777" t="s">
        <v>3378</v>
      </c>
      <c r="H504" s="783">
        <v>202502202499</v>
      </c>
      <c r="I504" s="777">
        <v>72438711</v>
      </c>
      <c r="J504" s="776" t="s">
        <v>5851</v>
      </c>
      <c r="K504" s="779">
        <v>21900</v>
      </c>
      <c r="L504" s="779">
        <v>17500</v>
      </c>
      <c r="M504" s="779"/>
      <c r="N504" s="780">
        <f>1-L504/K504</f>
        <v>0.20091324200913241</v>
      </c>
      <c r="O504" s="780">
        <v>0.25</v>
      </c>
      <c r="P504" s="777" t="s">
        <v>4449</v>
      </c>
      <c r="Q504" s="781"/>
      <c r="R504" s="782"/>
      <c r="S504" s="782"/>
      <c r="T504" s="782"/>
    </row>
    <row r="505" spans="2:20" ht="13.5" customHeight="1">
      <c r="B505" s="1429"/>
      <c r="C505" s="774"/>
      <c r="D505" s="775" t="s">
        <v>4509</v>
      </c>
      <c r="E505" s="776" t="s">
        <v>795</v>
      </c>
      <c r="F505" s="776" t="s">
        <v>4461</v>
      </c>
      <c r="G505" s="777" t="s">
        <v>3539</v>
      </c>
      <c r="H505" s="816">
        <v>202411211077</v>
      </c>
      <c r="I505" s="777">
        <v>30164883</v>
      </c>
      <c r="J505" s="776" t="s">
        <v>5852</v>
      </c>
      <c r="K505" s="779">
        <v>36900</v>
      </c>
      <c r="L505" s="779" t="s">
        <v>5853</v>
      </c>
      <c r="M505" s="779"/>
      <c r="N505" s="780"/>
      <c r="O505" s="780"/>
      <c r="P505" s="777"/>
      <c r="Q505" s="781" t="s">
        <v>5854</v>
      </c>
      <c r="R505" s="782"/>
      <c r="S505" s="782"/>
      <c r="T505" s="782">
        <v>50</v>
      </c>
    </row>
    <row r="506" spans="2:20" ht="13.5" customHeight="1">
      <c r="B506" s="1429"/>
      <c r="C506" s="774"/>
      <c r="D506" s="775" t="s">
        <v>4474</v>
      </c>
      <c r="E506" s="776" t="s">
        <v>264</v>
      </c>
      <c r="F506" s="776" t="s">
        <v>4480</v>
      </c>
      <c r="G506" s="777" t="s">
        <v>5390</v>
      </c>
      <c r="H506" s="917">
        <v>202408089768</v>
      </c>
      <c r="I506" s="777">
        <v>77272053</v>
      </c>
      <c r="J506" s="776" t="s">
        <v>5855</v>
      </c>
      <c r="K506" s="779">
        <v>378000</v>
      </c>
      <c r="L506" s="779" t="s">
        <v>5856</v>
      </c>
      <c r="M506" s="779" t="s">
        <v>3247</v>
      </c>
      <c r="N506" s="780"/>
      <c r="O506" s="780">
        <v>0.18</v>
      </c>
      <c r="P506" s="777" t="s">
        <v>4449</v>
      </c>
      <c r="Q506" s="781" t="s">
        <v>5857</v>
      </c>
      <c r="R506" s="782" t="s">
        <v>5858</v>
      </c>
      <c r="S506" s="782" t="s">
        <v>5859</v>
      </c>
      <c r="T506" s="782"/>
    </row>
    <row r="507" spans="2:20" ht="13.5" customHeight="1">
      <c r="B507" s="1429"/>
      <c r="C507" s="774"/>
      <c r="D507" s="775"/>
      <c r="E507" s="776" t="s">
        <v>221</v>
      </c>
      <c r="F507" s="776" t="s">
        <v>4671</v>
      </c>
      <c r="G507" s="777" t="s">
        <v>5860</v>
      </c>
      <c r="H507" s="1024">
        <v>202306201665</v>
      </c>
      <c r="I507" s="777">
        <v>40403067</v>
      </c>
      <c r="J507" s="776" t="s">
        <v>5861</v>
      </c>
      <c r="K507" s="779">
        <v>44300</v>
      </c>
      <c r="L507" s="779">
        <v>37660</v>
      </c>
      <c r="M507" s="779"/>
      <c r="N507" s="780"/>
      <c r="O507" s="780">
        <v>0.25</v>
      </c>
      <c r="P507" s="777"/>
      <c r="Q507" s="781"/>
      <c r="R507" s="782"/>
      <c r="S507" s="782" t="s">
        <v>5862</v>
      </c>
      <c r="T507" s="782"/>
    </row>
    <row r="508" spans="2:20" ht="13.5" customHeight="1">
      <c r="B508" s="1429"/>
      <c r="C508" s="774"/>
      <c r="D508" s="775" t="s">
        <v>4469</v>
      </c>
      <c r="E508" s="776" t="s">
        <v>221</v>
      </c>
      <c r="F508" s="776" t="s">
        <v>4454</v>
      </c>
      <c r="G508" s="777" t="s">
        <v>4735</v>
      </c>
      <c r="H508" s="783">
        <v>202402016278</v>
      </c>
      <c r="I508" s="777">
        <v>10046695</v>
      </c>
      <c r="J508" s="776" t="s">
        <v>5863</v>
      </c>
      <c r="K508" s="779">
        <v>19000</v>
      </c>
      <c r="L508" s="779">
        <v>8460</v>
      </c>
      <c r="M508" s="779"/>
      <c r="N508" s="780"/>
      <c r="O508" s="780">
        <v>0.12</v>
      </c>
      <c r="P508" s="777" t="s">
        <v>4449</v>
      </c>
      <c r="Q508" s="781" t="s">
        <v>5864</v>
      </c>
      <c r="R508" s="782"/>
      <c r="S508" s="782" t="s">
        <v>5865</v>
      </c>
      <c r="T508" s="782"/>
    </row>
    <row r="509" spans="2:20" ht="13.5" customHeight="1">
      <c r="B509" s="1429" t="s">
        <v>5866</v>
      </c>
      <c r="C509" s="890"/>
      <c r="D509" s="891"/>
      <c r="E509" s="892" t="s">
        <v>137</v>
      </c>
      <c r="F509" s="892" t="s">
        <v>4757</v>
      </c>
      <c r="G509" s="893" t="s">
        <v>4248</v>
      </c>
      <c r="H509" s="1032"/>
      <c r="I509" s="893">
        <v>75265687</v>
      </c>
      <c r="J509" s="1033" t="s">
        <v>5867</v>
      </c>
      <c r="K509" s="894">
        <v>862000</v>
      </c>
      <c r="L509" s="894">
        <f>K509*0.9</f>
        <v>775800</v>
      </c>
      <c r="M509" s="1034" t="s">
        <v>3247</v>
      </c>
      <c r="N509" s="895">
        <v>0.1</v>
      </c>
      <c r="O509" s="895">
        <v>0.15</v>
      </c>
      <c r="P509" s="1005" t="s">
        <v>4449</v>
      </c>
      <c r="Q509" s="896" t="s">
        <v>5868</v>
      </c>
      <c r="R509" s="896" t="s">
        <v>5869</v>
      </c>
      <c r="S509" s="896"/>
      <c r="T509" s="896"/>
    </row>
    <row r="510" spans="2:20" ht="13.5" customHeight="1">
      <c r="B510" s="1429"/>
      <c r="C510" s="774" t="s">
        <v>3247</v>
      </c>
      <c r="D510" s="775" t="s">
        <v>4509</v>
      </c>
      <c r="E510" s="776" t="s">
        <v>417</v>
      </c>
      <c r="F510" s="776" t="s">
        <v>4461</v>
      </c>
      <c r="G510" s="777" t="s">
        <v>5870</v>
      </c>
      <c r="H510" s="783">
        <v>202404227872</v>
      </c>
      <c r="I510" s="777">
        <v>30012607</v>
      </c>
      <c r="J510" s="887" t="s">
        <v>5871</v>
      </c>
      <c r="K510" s="779">
        <v>45900</v>
      </c>
      <c r="L510" s="779">
        <v>39900</v>
      </c>
      <c r="M510" s="779" t="s">
        <v>3247</v>
      </c>
      <c r="N510" s="780">
        <f>1-L510/K510</f>
        <v>0.13071895424836599</v>
      </c>
      <c r="O510" s="780">
        <v>0.1</v>
      </c>
      <c r="P510" s="819" t="s">
        <v>4449</v>
      </c>
      <c r="Q510" s="781" t="s">
        <v>5872</v>
      </c>
      <c r="R510" s="782"/>
      <c r="S510" s="782" t="s">
        <v>5873</v>
      </c>
      <c r="T510" s="782">
        <v>50</v>
      </c>
    </row>
    <row r="511" spans="2:20" ht="13.5" customHeight="1">
      <c r="B511" s="1429"/>
      <c r="C511" s="774"/>
      <c r="D511" s="775" t="s">
        <v>4491</v>
      </c>
      <c r="E511" s="776" t="s">
        <v>795</v>
      </c>
      <c r="F511" s="776" t="s">
        <v>4461</v>
      </c>
      <c r="G511" s="777" t="s">
        <v>3540</v>
      </c>
      <c r="H511" s="816">
        <v>202502202485</v>
      </c>
      <c r="I511" s="777">
        <v>62699333</v>
      </c>
      <c r="J511" s="776" t="s">
        <v>5874</v>
      </c>
      <c r="K511" s="779">
        <v>39900</v>
      </c>
      <c r="L511" s="779">
        <f>32900*0.9</f>
        <v>29610</v>
      </c>
      <c r="M511" s="779"/>
      <c r="N511" s="780">
        <v>0.15</v>
      </c>
      <c r="O511" s="780">
        <v>0.15</v>
      </c>
      <c r="P511" s="777" t="s">
        <v>4449</v>
      </c>
      <c r="Q511" s="781" t="s">
        <v>5875</v>
      </c>
      <c r="R511" s="782" t="s">
        <v>5876</v>
      </c>
      <c r="S511" s="782" t="s">
        <v>3540</v>
      </c>
      <c r="T511" s="782">
        <v>50</v>
      </c>
    </row>
    <row r="512" spans="2:20" ht="13.5" customHeight="1">
      <c r="B512" s="1429"/>
      <c r="C512" s="774"/>
      <c r="D512" s="775"/>
      <c r="E512" s="776" t="s">
        <v>942</v>
      </c>
      <c r="F512" s="776" t="s">
        <v>4454</v>
      </c>
      <c r="G512" s="777" t="s">
        <v>5618</v>
      </c>
      <c r="H512" s="783">
        <v>202502202491</v>
      </c>
      <c r="I512" s="777">
        <v>30159831</v>
      </c>
      <c r="J512" s="776" t="s">
        <v>5619</v>
      </c>
      <c r="K512" s="779">
        <v>14900</v>
      </c>
      <c r="L512" s="779">
        <v>9900</v>
      </c>
      <c r="M512" s="779" t="s">
        <v>3247</v>
      </c>
      <c r="N512" s="780">
        <v>0.15</v>
      </c>
      <c r="O512" s="780">
        <v>0.1</v>
      </c>
      <c r="P512" s="777" t="s">
        <v>4449</v>
      </c>
      <c r="Q512" s="781" t="s">
        <v>4814</v>
      </c>
      <c r="R512" s="782" t="s">
        <v>5748</v>
      </c>
      <c r="S512" s="782" t="s">
        <v>5622</v>
      </c>
      <c r="T512" s="782"/>
    </row>
    <row r="513" spans="1:21" ht="13.5" customHeight="1">
      <c r="B513" s="1429"/>
      <c r="C513" s="774"/>
      <c r="D513" s="775" t="s">
        <v>4469</v>
      </c>
      <c r="E513" s="776" t="s">
        <v>185</v>
      </c>
      <c r="F513" s="776" t="s">
        <v>4829</v>
      </c>
      <c r="G513" s="777" t="s">
        <v>3885</v>
      </c>
      <c r="H513" s="798">
        <v>202501202107</v>
      </c>
      <c r="I513" s="777">
        <v>46404660</v>
      </c>
      <c r="J513" s="776" t="s">
        <v>5304</v>
      </c>
      <c r="K513" s="779">
        <v>210000</v>
      </c>
      <c r="L513" s="779">
        <v>161500</v>
      </c>
      <c r="M513" s="779" t="s">
        <v>3247</v>
      </c>
      <c r="N513" s="780">
        <f>1-L513/K513</f>
        <v>0.23095238095238091</v>
      </c>
      <c r="O513" s="780">
        <v>0.13</v>
      </c>
      <c r="P513" s="777" t="s">
        <v>4449</v>
      </c>
      <c r="Q513" s="781" t="s">
        <v>5877</v>
      </c>
      <c r="R513" s="782"/>
      <c r="S513" s="782"/>
      <c r="T513" s="782"/>
    </row>
    <row r="514" spans="1:21" ht="13.5" customHeight="1">
      <c r="B514" s="1429"/>
      <c r="C514" s="774" t="s">
        <v>3247</v>
      </c>
      <c r="D514" s="775" t="s">
        <v>4474</v>
      </c>
      <c r="E514" s="776" t="s">
        <v>477</v>
      </c>
      <c r="F514" s="776" t="s">
        <v>5041</v>
      </c>
      <c r="G514" s="777" t="s">
        <v>3378</v>
      </c>
      <c r="H514" s="783">
        <v>202502202500</v>
      </c>
      <c r="I514" s="777">
        <v>10220126</v>
      </c>
      <c r="J514" s="776" t="s">
        <v>5878</v>
      </c>
      <c r="K514" s="779">
        <v>20900</v>
      </c>
      <c r="L514" s="779">
        <v>16700</v>
      </c>
      <c r="M514" s="779"/>
      <c r="N514" s="780">
        <f>1-L514/K514</f>
        <v>0.20095693779904311</v>
      </c>
      <c r="O514" s="780">
        <v>0.25</v>
      </c>
      <c r="P514" s="777" t="s">
        <v>4449</v>
      </c>
      <c r="Q514" s="781"/>
      <c r="R514" s="782"/>
      <c r="S514" s="782"/>
      <c r="T514" s="782"/>
    </row>
    <row r="515" spans="1:21" ht="13.5" customHeight="1">
      <c r="B515" s="1429"/>
      <c r="C515" s="774" t="s">
        <v>3247</v>
      </c>
      <c r="D515" s="775" t="s">
        <v>4444</v>
      </c>
      <c r="E515" s="776" t="s">
        <v>264</v>
      </c>
      <c r="F515" s="776" t="s">
        <v>4480</v>
      </c>
      <c r="G515" s="777" t="s">
        <v>5879</v>
      </c>
      <c r="H515" s="798">
        <v>202410230662</v>
      </c>
      <c r="I515" s="777">
        <v>76933995</v>
      </c>
      <c r="J515" s="776" t="s">
        <v>5880</v>
      </c>
      <c r="K515" s="779">
        <v>158000</v>
      </c>
      <c r="L515" s="779">
        <v>18800</v>
      </c>
      <c r="M515" s="779" t="s">
        <v>3247</v>
      </c>
      <c r="N515" s="780">
        <f>1-L515/K515</f>
        <v>0.88101265822784813</v>
      </c>
      <c r="O515" s="780">
        <v>0.15</v>
      </c>
      <c r="P515" s="777" t="s">
        <v>4449</v>
      </c>
      <c r="Q515" s="781" t="s">
        <v>5881</v>
      </c>
      <c r="R515" s="782" t="s">
        <v>5882</v>
      </c>
      <c r="S515" s="782" t="s">
        <v>5883</v>
      </c>
      <c r="T515" s="782"/>
    </row>
    <row r="516" spans="1:21" ht="13.5" customHeight="1">
      <c r="B516" s="1429"/>
      <c r="C516" s="774"/>
      <c r="D516" s="775"/>
      <c r="E516" s="776" t="s">
        <v>221</v>
      </c>
      <c r="F516" s="776" t="s">
        <v>4671</v>
      </c>
      <c r="G516" s="777" t="s">
        <v>248</v>
      </c>
      <c r="H516" s="1024">
        <v>202412111435</v>
      </c>
      <c r="I516" s="777">
        <v>30174585</v>
      </c>
      <c r="J516" s="776" t="s">
        <v>5884</v>
      </c>
      <c r="K516" s="779">
        <v>32900</v>
      </c>
      <c r="L516" s="779">
        <v>29610</v>
      </c>
      <c r="M516" s="779"/>
      <c r="N516" s="780"/>
      <c r="O516" s="780">
        <v>0.1</v>
      </c>
      <c r="P516" s="777" t="s">
        <v>4449</v>
      </c>
      <c r="Q516" s="781"/>
      <c r="R516" s="782"/>
      <c r="S516" s="782" t="s">
        <v>5885</v>
      </c>
      <c r="T516" s="782"/>
    </row>
    <row r="517" spans="1:21" ht="13.5" customHeight="1">
      <c r="B517" s="1429"/>
      <c r="C517" s="774"/>
      <c r="D517" s="775" t="s">
        <v>4460</v>
      </c>
      <c r="E517" s="776" t="s">
        <v>221</v>
      </c>
      <c r="F517" s="776" t="s">
        <v>4454</v>
      </c>
      <c r="G517" s="777" t="s">
        <v>5886</v>
      </c>
      <c r="H517" s="951">
        <v>202502202502</v>
      </c>
      <c r="I517" s="777">
        <v>30196979</v>
      </c>
      <c r="J517" s="776" t="s">
        <v>5887</v>
      </c>
      <c r="K517" s="779">
        <v>26250</v>
      </c>
      <c r="L517" s="779">
        <v>22310</v>
      </c>
      <c r="M517" s="779"/>
      <c r="N517" s="780"/>
      <c r="O517" s="780">
        <v>0.25</v>
      </c>
      <c r="P517" s="777" t="s">
        <v>4449</v>
      </c>
      <c r="Q517" s="781" t="s">
        <v>5888</v>
      </c>
      <c r="R517" s="782"/>
      <c r="S517" s="782" t="s">
        <v>5889</v>
      </c>
      <c r="T517" s="782"/>
    </row>
    <row r="518" spans="1:21">
      <c r="B518" s="1428" t="s">
        <v>5890</v>
      </c>
      <c r="C518" s="1424"/>
      <c r="D518" s="1424"/>
      <c r="E518" s="1424"/>
      <c r="F518" s="1424"/>
      <c r="G518" s="1424"/>
      <c r="H518" s="1424"/>
      <c r="I518" s="1424"/>
      <c r="J518" s="1424"/>
      <c r="K518" s="864"/>
      <c r="L518" s="865"/>
      <c r="M518" s="865"/>
      <c r="N518" s="866"/>
      <c r="O518" s="867"/>
      <c r="P518" s="868"/>
      <c r="Q518" s="869"/>
      <c r="R518" s="870"/>
      <c r="S518" s="870"/>
      <c r="T518" s="870"/>
    </row>
    <row r="519" spans="1:21" ht="13.5" customHeight="1">
      <c r="B519" s="1420" t="s">
        <v>5891</v>
      </c>
      <c r="C519" s="785"/>
      <c r="D519" s="786"/>
      <c r="E519" s="787" t="s">
        <v>1109</v>
      </c>
      <c r="F519" s="787" t="s">
        <v>4519</v>
      </c>
      <c r="G519" s="788" t="s">
        <v>4107</v>
      </c>
      <c r="H519" s="797"/>
      <c r="I519" s="846">
        <v>30147382</v>
      </c>
      <c r="J519" s="847" t="s">
        <v>5682</v>
      </c>
      <c r="K519" s="790">
        <v>51000</v>
      </c>
      <c r="L519" s="1035">
        <v>40800</v>
      </c>
      <c r="M519" s="790"/>
      <c r="N519" s="780">
        <f>1-L519/K519</f>
        <v>0.19999999999999996</v>
      </c>
      <c r="O519" s="791"/>
      <c r="P519" s="788"/>
      <c r="Q519" s="792" t="s">
        <v>5892</v>
      </c>
      <c r="R519" s="793"/>
      <c r="S519" s="793"/>
      <c r="T519" s="793"/>
    </row>
    <row r="520" spans="1:21" ht="13.5" customHeight="1">
      <c r="B520" s="1421"/>
      <c r="C520" s="762"/>
      <c r="D520" s="763" t="s">
        <v>4453</v>
      </c>
      <c r="E520" s="764" t="s">
        <v>32</v>
      </c>
      <c r="F520" s="764" t="s">
        <v>4084</v>
      </c>
      <c r="G520" s="771" t="s">
        <v>5893</v>
      </c>
      <c r="H520" s="1020"/>
      <c r="I520" s="1036"/>
      <c r="J520" s="1037" t="s">
        <v>5894</v>
      </c>
      <c r="K520" s="1038"/>
      <c r="L520" s="1035"/>
      <c r="M520" s="769"/>
      <c r="N520" s="780"/>
      <c r="O520" s="1039"/>
      <c r="P520" s="771"/>
      <c r="Q520" s="853"/>
      <c r="R520" s="854"/>
      <c r="S520" s="854"/>
      <c r="T520" s="854"/>
    </row>
    <row r="521" spans="1:21" ht="13.5" customHeight="1">
      <c r="B521" s="1421"/>
      <c r="C521" s="774"/>
      <c r="D521" s="775"/>
      <c r="E521" s="776" t="s">
        <v>795</v>
      </c>
      <c r="F521" s="776" t="s">
        <v>4461</v>
      </c>
      <c r="G521" s="777" t="s">
        <v>5895</v>
      </c>
      <c r="H521" s="783"/>
      <c r="I521" s="1040">
        <v>72563611</v>
      </c>
      <c r="J521" s="1041" t="s">
        <v>5896</v>
      </c>
      <c r="K521" s="1042">
        <v>9900</v>
      </c>
      <c r="L521" s="1043">
        <v>9500</v>
      </c>
      <c r="M521" s="779"/>
      <c r="N521" s="780"/>
      <c r="O521" s="1044">
        <v>0.15</v>
      </c>
      <c r="P521" s="777"/>
      <c r="Q521" s="781"/>
      <c r="R521" s="782"/>
      <c r="S521" s="782"/>
      <c r="T521" s="782"/>
    </row>
    <row r="522" spans="1:21" ht="13.5" customHeight="1">
      <c r="B522" s="1421"/>
      <c r="C522" s="774"/>
      <c r="D522" s="775"/>
      <c r="E522" s="776" t="s">
        <v>185</v>
      </c>
      <c r="F522" s="776" t="s">
        <v>4829</v>
      </c>
      <c r="G522" s="777" t="s">
        <v>4133</v>
      </c>
      <c r="H522" s="783"/>
      <c r="I522" s="1045">
        <v>47164525</v>
      </c>
      <c r="J522" s="1045" t="s">
        <v>5897</v>
      </c>
      <c r="K522" s="1046">
        <v>65900</v>
      </c>
      <c r="L522" s="779">
        <v>49410</v>
      </c>
      <c r="M522" s="804" t="s">
        <v>3247</v>
      </c>
      <c r="N522" s="780">
        <f>1-L522/K522</f>
        <v>0.25022761760242795</v>
      </c>
      <c r="O522" s="780">
        <v>0.15</v>
      </c>
      <c r="P522" s="777" t="s">
        <v>4449</v>
      </c>
      <c r="Q522" s="781" t="s">
        <v>5898</v>
      </c>
      <c r="R522" s="782"/>
      <c r="S522" s="782"/>
      <c r="T522" s="782"/>
    </row>
    <row r="523" spans="1:21" ht="13.5" customHeight="1">
      <c r="B523" s="1421"/>
      <c r="C523" s="774"/>
      <c r="D523" s="775"/>
      <c r="E523" s="776" t="s">
        <v>417</v>
      </c>
      <c r="F523" s="776" t="s">
        <v>4461</v>
      </c>
      <c r="G523" s="777" t="s">
        <v>5899</v>
      </c>
      <c r="H523" s="783"/>
      <c r="I523" s="777">
        <v>30212897</v>
      </c>
      <c r="J523" s="776" t="s">
        <v>5900</v>
      </c>
      <c r="K523" s="779">
        <v>18900</v>
      </c>
      <c r="L523" s="779">
        <v>16900</v>
      </c>
      <c r="M523" s="804" t="s">
        <v>3247</v>
      </c>
      <c r="N523" s="780">
        <f>1-L523/K523</f>
        <v>0.10582010582010581</v>
      </c>
      <c r="O523" s="780">
        <v>0.1</v>
      </c>
      <c r="P523" s="777" t="s">
        <v>4449</v>
      </c>
      <c r="Q523" s="898" t="s">
        <v>5901</v>
      </c>
      <c r="R523" s="782"/>
      <c r="S523" s="782"/>
      <c r="T523" s="782"/>
    </row>
    <row r="524" spans="1:21" ht="13.5" customHeight="1">
      <c r="B524" s="1421"/>
      <c r="C524" s="774"/>
      <c r="D524" s="775"/>
      <c r="E524" s="776" t="s">
        <v>331</v>
      </c>
      <c r="F524" s="776" t="s">
        <v>4970</v>
      </c>
      <c r="G524" s="777" t="s">
        <v>5902</v>
      </c>
      <c r="H524" s="783"/>
      <c r="I524" s="810">
        <v>77593519</v>
      </c>
      <c r="J524" s="1047" t="s">
        <v>5903</v>
      </c>
      <c r="K524" s="804">
        <v>69000</v>
      </c>
      <c r="L524" s="1048">
        <v>6900</v>
      </c>
      <c r="M524" s="804" t="s">
        <v>3247</v>
      </c>
      <c r="N524" s="780">
        <v>0.9</v>
      </c>
      <c r="O524" s="780">
        <v>0.1</v>
      </c>
      <c r="P524" s="777" t="s">
        <v>4449</v>
      </c>
      <c r="Q524" s="781" t="s">
        <v>5904</v>
      </c>
      <c r="R524" s="782"/>
      <c r="S524" s="782"/>
      <c r="T524" s="782"/>
    </row>
    <row r="525" spans="1:21" ht="13.5" customHeight="1">
      <c r="B525" s="1421"/>
      <c r="C525" s="774"/>
      <c r="D525" s="775"/>
      <c r="E525" s="776" t="s">
        <v>910</v>
      </c>
      <c r="F525" s="776" t="s">
        <v>4454</v>
      </c>
      <c r="G525" s="777" t="s">
        <v>3598</v>
      </c>
      <c r="H525" s="783"/>
      <c r="I525" s="777">
        <v>47916909</v>
      </c>
      <c r="J525" s="776" t="s">
        <v>5905</v>
      </c>
      <c r="K525" s="779">
        <v>118000</v>
      </c>
      <c r="L525" s="779">
        <v>33900</v>
      </c>
      <c r="M525" s="779" t="s">
        <v>3247</v>
      </c>
      <c r="N525" s="780">
        <f>1-(L525/K525)</f>
        <v>0.71271186440677958</v>
      </c>
      <c r="O525" s="780">
        <v>0.13</v>
      </c>
      <c r="P525" s="777" t="s">
        <v>4449</v>
      </c>
      <c r="Q525" s="781" t="s">
        <v>5906</v>
      </c>
      <c r="R525" s="782" t="s">
        <v>5907</v>
      </c>
      <c r="S525" s="782" t="s">
        <v>5908</v>
      </c>
      <c r="T525" s="782"/>
    </row>
    <row r="526" spans="1:21" ht="13.5" customHeight="1">
      <c r="B526" s="1421"/>
      <c r="C526" s="774"/>
      <c r="D526" s="775"/>
      <c r="E526" s="776" t="s">
        <v>264</v>
      </c>
      <c r="F526" s="776" t="s">
        <v>4480</v>
      </c>
      <c r="G526" s="777" t="s">
        <v>5909</v>
      </c>
      <c r="H526" s="783"/>
      <c r="I526" s="777">
        <v>70058376</v>
      </c>
      <c r="J526" s="776" t="s">
        <v>5910</v>
      </c>
      <c r="K526" s="779"/>
      <c r="L526" s="779">
        <v>33000</v>
      </c>
      <c r="M526" s="779" t="s">
        <v>3247</v>
      </c>
      <c r="N526" s="780"/>
      <c r="O526" s="780">
        <v>0.15</v>
      </c>
      <c r="P526" s="738" t="s">
        <v>4449</v>
      </c>
      <c r="Q526" s="772" t="s">
        <v>5911</v>
      </c>
      <c r="R526" s="782" t="s">
        <v>5912</v>
      </c>
      <c r="S526" s="782" t="s">
        <v>5913</v>
      </c>
      <c r="T526" s="782"/>
    </row>
    <row r="527" spans="1:21" ht="13.5" customHeight="1">
      <c r="A527" s="825"/>
      <c r="B527" s="949"/>
      <c r="C527" s="795"/>
      <c r="D527" s="775"/>
      <c r="E527" s="809" t="s">
        <v>221</v>
      </c>
      <c r="F527" s="809" t="s">
        <v>4671</v>
      </c>
      <c r="G527" s="810" t="s">
        <v>4940</v>
      </c>
      <c r="H527" s="811"/>
      <c r="I527" s="810">
        <v>72339362</v>
      </c>
      <c r="J527" s="809" t="s">
        <v>5914</v>
      </c>
      <c r="K527" s="804">
        <v>22900</v>
      </c>
      <c r="L527" s="804">
        <v>9900</v>
      </c>
      <c r="M527" s="804" t="s">
        <v>3247</v>
      </c>
      <c r="N527" s="812"/>
      <c r="O527" s="812">
        <v>0.1</v>
      </c>
      <c r="P527" s="810" t="s">
        <v>4449</v>
      </c>
      <c r="Q527" s="813" t="s">
        <v>5915</v>
      </c>
      <c r="R527" s="844"/>
      <c r="S527" s="844" t="s">
        <v>5916</v>
      </c>
      <c r="T527" s="844"/>
      <c r="U527" s="825"/>
    </row>
    <row r="528" spans="1:21" ht="13.5" customHeight="1">
      <c r="B528" s="1420" t="s">
        <v>5917</v>
      </c>
      <c r="C528" s="785"/>
      <c r="D528" s="786"/>
      <c r="E528" s="787" t="s">
        <v>1109</v>
      </c>
      <c r="F528" s="787" t="s">
        <v>4519</v>
      </c>
      <c r="G528" s="788" t="s">
        <v>4100</v>
      </c>
      <c r="H528" s="797"/>
      <c r="I528" s="996">
        <v>30107003</v>
      </c>
      <c r="J528" s="997" t="s">
        <v>5918</v>
      </c>
      <c r="K528" s="821"/>
      <c r="L528" s="821"/>
      <c r="M528" s="790"/>
      <c r="N528" s="780" t="e">
        <f>1-L528/K528</f>
        <v>#DIV/0!</v>
      </c>
      <c r="O528" s="791"/>
      <c r="P528" s="788"/>
      <c r="Q528" s="792" t="s">
        <v>5919</v>
      </c>
      <c r="R528" s="793"/>
      <c r="S528" s="793"/>
      <c r="T528" s="793"/>
    </row>
    <row r="529" spans="1:21" ht="13.5" customHeight="1">
      <c r="B529" s="1421"/>
      <c r="C529" s="774"/>
      <c r="D529" s="775"/>
      <c r="E529" s="776" t="s">
        <v>137</v>
      </c>
      <c r="F529" s="776" t="s">
        <v>4624</v>
      </c>
      <c r="G529" s="777" t="s">
        <v>5920</v>
      </c>
      <c r="H529" s="783"/>
      <c r="I529" s="810">
        <v>77962822</v>
      </c>
      <c r="J529" s="809" t="s">
        <v>5921</v>
      </c>
      <c r="K529" s="779">
        <v>975000</v>
      </c>
      <c r="L529" s="779" t="s">
        <v>5922</v>
      </c>
      <c r="M529" s="779"/>
      <c r="N529" s="780">
        <v>0.05</v>
      </c>
      <c r="O529" s="780">
        <v>0.15</v>
      </c>
      <c r="P529" s="777" t="s">
        <v>4449</v>
      </c>
      <c r="Q529" s="781" t="s">
        <v>5923</v>
      </c>
      <c r="R529" s="782" t="s">
        <v>5924</v>
      </c>
      <c r="S529" s="782"/>
      <c r="T529" s="782"/>
    </row>
    <row r="530" spans="1:21" ht="13.5" customHeight="1">
      <c r="B530" s="1421"/>
      <c r="C530" s="774"/>
      <c r="D530" s="775"/>
      <c r="E530" s="776" t="s">
        <v>331</v>
      </c>
      <c r="F530" s="776" t="s">
        <v>4841</v>
      </c>
      <c r="G530" s="810" t="s">
        <v>5925</v>
      </c>
      <c r="H530" s="783"/>
      <c r="I530" s="1049">
        <v>77676044</v>
      </c>
      <c r="J530" s="1049" t="s">
        <v>5926</v>
      </c>
      <c r="K530" s="1050">
        <v>160000</v>
      </c>
      <c r="L530" s="1050">
        <v>24000</v>
      </c>
      <c r="M530" s="804" t="s">
        <v>3247</v>
      </c>
      <c r="N530" s="780">
        <v>0.85</v>
      </c>
      <c r="O530" s="780">
        <v>0.1</v>
      </c>
      <c r="P530" s="777" t="s">
        <v>4449</v>
      </c>
      <c r="Q530" s="781" t="s">
        <v>5904</v>
      </c>
      <c r="S530" s="782"/>
      <c r="T530" s="782"/>
    </row>
    <row r="531" spans="1:21" ht="13.5" customHeight="1">
      <c r="B531" s="1421"/>
      <c r="C531" s="774"/>
      <c r="D531" s="775"/>
      <c r="E531" s="776" t="s">
        <v>185</v>
      </c>
      <c r="F531" s="776" t="s">
        <v>4829</v>
      </c>
      <c r="G531" s="777" t="s">
        <v>3661</v>
      </c>
      <c r="H531" s="783"/>
      <c r="I531" s="810">
        <v>30221234</v>
      </c>
      <c r="J531" s="809" t="s">
        <v>5927</v>
      </c>
      <c r="K531" s="779">
        <v>177900</v>
      </c>
      <c r="L531" s="779">
        <v>115230</v>
      </c>
      <c r="M531" s="779" t="s">
        <v>3247</v>
      </c>
      <c r="N531" s="780">
        <f>1-L531/K531</f>
        <v>0.35227655986509276</v>
      </c>
      <c r="O531" s="780">
        <v>0.15</v>
      </c>
      <c r="P531" s="777" t="s">
        <v>4449</v>
      </c>
      <c r="Q531" s="781" t="s">
        <v>5928</v>
      </c>
      <c r="R531" s="782"/>
      <c r="S531" s="782"/>
      <c r="T531" s="782"/>
    </row>
    <row r="532" spans="1:21" ht="13.5" customHeight="1">
      <c r="B532" s="1421"/>
      <c r="C532" s="774"/>
      <c r="D532" s="775"/>
      <c r="E532" s="776" t="s">
        <v>910</v>
      </c>
      <c r="F532" s="776" t="s">
        <v>4454</v>
      </c>
      <c r="G532" s="777" t="s">
        <v>3445</v>
      </c>
      <c r="H532" s="783"/>
      <c r="I532" s="777">
        <v>30193222</v>
      </c>
      <c r="J532" s="776" t="s">
        <v>5929</v>
      </c>
      <c r="K532" s="779">
        <v>90000</v>
      </c>
      <c r="L532" s="779">
        <v>56700</v>
      </c>
      <c r="M532" s="779"/>
      <c r="N532" s="780">
        <v>0.37</v>
      </c>
      <c r="O532" s="780">
        <v>0.3</v>
      </c>
      <c r="P532" s="777" t="s">
        <v>4449</v>
      </c>
      <c r="Q532" s="781" t="s">
        <v>5930</v>
      </c>
      <c r="R532" s="782" t="s">
        <v>5931</v>
      </c>
      <c r="S532" s="782" t="s">
        <v>5932</v>
      </c>
      <c r="T532" s="782"/>
    </row>
    <row r="533" spans="1:21" ht="13.5" customHeight="1">
      <c r="B533" s="1421"/>
      <c r="C533" s="774"/>
      <c r="D533" s="775"/>
      <c r="E533" s="776" t="s">
        <v>795</v>
      </c>
      <c r="F533" s="776" t="s">
        <v>4475</v>
      </c>
      <c r="G533" s="777" t="s">
        <v>3540</v>
      </c>
      <c r="H533" s="783"/>
      <c r="I533" s="810">
        <v>78002078</v>
      </c>
      <c r="J533" s="776" t="s">
        <v>5933</v>
      </c>
      <c r="K533" s="779">
        <v>19900</v>
      </c>
      <c r="L533" s="956">
        <v>17900</v>
      </c>
      <c r="M533" s="779"/>
      <c r="N533" s="780"/>
      <c r="O533" s="780">
        <v>0.15</v>
      </c>
      <c r="P533" s="777" t="s">
        <v>4449</v>
      </c>
      <c r="Q533" s="781" t="s">
        <v>5934</v>
      </c>
      <c r="R533" s="782"/>
      <c r="S533" s="782"/>
      <c r="T533" s="782"/>
    </row>
    <row r="534" spans="1:21" ht="13.5" customHeight="1">
      <c r="B534" s="1421"/>
      <c r="C534" s="774"/>
      <c r="D534" s="775"/>
      <c r="E534" s="776" t="s">
        <v>417</v>
      </c>
      <c r="F534" s="776" t="s">
        <v>4461</v>
      </c>
      <c r="G534" s="777" t="s">
        <v>5935</v>
      </c>
      <c r="H534" s="783"/>
      <c r="I534" s="777">
        <v>30089115</v>
      </c>
      <c r="J534" s="776" t="s">
        <v>5936</v>
      </c>
      <c r="K534" s="779">
        <v>24500</v>
      </c>
      <c r="L534" s="779">
        <v>23990</v>
      </c>
      <c r="M534" s="779"/>
      <c r="N534" s="780"/>
      <c r="O534" s="780">
        <v>0.1</v>
      </c>
      <c r="P534" s="777" t="s">
        <v>4449</v>
      </c>
      <c r="Q534" s="781" t="s">
        <v>5937</v>
      </c>
      <c r="R534" s="782"/>
      <c r="S534" s="782"/>
      <c r="T534" s="782">
        <v>50</v>
      </c>
    </row>
    <row r="535" spans="1:21" ht="13.5" customHeight="1">
      <c r="A535" s="825"/>
      <c r="B535" s="1421"/>
      <c r="C535" s="795"/>
      <c r="D535" s="775"/>
      <c r="E535" s="809" t="s">
        <v>264</v>
      </c>
      <c r="F535" s="809" t="s">
        <v>4480</v>
      </c>
      <c r="G535" s="810" t="s">
        <v>3582</v>
      </c>
      <c r="H535" s="811"/>
      <c r="I535" s="810">
        <v>70158344</v>
      </c>
      <c r="J535" s="809" t="s">
        <v>5938</v>
      </c>
      <c r="K535" s="804"/>
      <c r="L535" s="804">
        <v>14000</v>
      </c>
      <c r="M535" s="804" t="s">
        <v>3247</v>
      </c>
      <c r="N535" s="812"/>
      <c r="O535" s="812">
        <v>0.16</v>
      </c>
      <c r="P535" s="1051" t="s">
        <v>4449</v>
      </c>
      <c r="Q535" s="1052" t="s">
        <v>5939</v>
      </c>
      <c r="R535" s="844" t="s">
        <v>5940</v>
      </c>
      <c r="S535" s="844" t="s">
        <v>5941</v>
      </c>
      <c r="T535" s="844"/>
      <c r="U535" s="825"/>
    </row>
    <row r="536" spans="1:21" ht="13.5" customHeight="1">
      <c r="B536" s="1421"/>
      <c r="C536" s="774"/>
      <c r="D536" s="775" t="s">
        <v>4453</v>
      </c>
      <c r="E536" s="776" t="s">
        <v>165</v>
      </c>
      <c r="F536" s="776" t="s">
        <v>4560</v>
      </c>
      <c r="G536" s="777" t="s">
        <v>4391</v>
      </c>
      <c r="H536" s="783"/>
      <c r="I536" s="777">
        <v>60033011</v>
      </c>
      <c r="J536" s="776" t="s">
        <v>5942</v>
      </c>
      <c r="K536" s="779">
        <v>2190000</v>
      </c>
      <c r="L536" s="779">
        <v>1314000</v>
      </c>
      <c r="M536" s="779" t="s">
        <v>3247</v>
      </c>
      <c r="N536" s="780"/>
      <c r="O536" s="780"/>
      <c r="P536" s="777"/>
      <c r="Q536" s="781" t="s">
        <v>5943</v>
      </c>
      <c r="R536" s="782"/>
      <c r="S536" s="782"/>
      <c r="T536" s="782"/>
    </row>
    <row r="537" spans="1:21" ht="13.5" customHeight="1">
      <c r="A537" s="825"/>
      <c r="B537" s="1421"/>
      <c r="C537" s="795"/>
      <c r="D537" s="775"/>
      <c r="E537" s="809" t="s">
        <v>221</v>
      </c>
      <c r="F537" s="809" t="s">
        <v>4671</v>
      </c>
      <c r="G537" s="810" t="s">
        <v>5944</v>
      </c>
      <c r="H537" s="811"/>
      <c r="I537" s="810">
        <v>45283443</v>
      </c>
      <c r="J537" s="809" t="s">
        <v>5945</v>
      </c>
      <c r="K537" s="804">
        <v>32200</v>
      </c>
      <c r="L537" s="804">
        <v>19900</v>
      </c>
      <c r="M537" s="804" t="s">
        <v>3247</v>
      </c>
      <c r="N537" s="812"/>
      <c r="O537" s="812">
        <v>0.17</v>
      </c>
      <c r="P537" s="810" t="s">
        <v>4449</v>
      </c>
      <c r="Q537" s="813"/>
      <c r="R537" s="844"/>
      <c r="S537" s="844" t="s">
        <v>5946</v>
      </c>
      <c r="T537" s="844"/>
      <c r="U537" s="825"/>
    </row>
    <row r="538" spans="1:21" ht="13.5" customHeight="1">
      <c r="A538" s="825"/>
      <c r="B538" s="1422"/>
      <c r="C538" s="795"/>
      <c r="D538" s="775"/>
      <c r="E538" s="809" t="s">
        <v>221</v>
      </c>
      <c r="F538" s="809" t="s">
        <v>4454</v>
      </c>
      <c r="G538" s="810" t="s">
        <v>5224</v>
      </c>
      <c r="H538" s="811">
        <v>202206212437</v>
      </c>
      <c r="I538" s="810">
        <v>30208685</v>
      </c>
      <c r="J538" s="809" t="s">
        <v>5715</v>
      </c>
      <c r="K538" s="804">
        <v>14800</v>
      </c>
      <c r="L538" s="804">
        <v>13900</v>
      </c>
      <c r="M538" s="804"/>
      <c r="N538" s="812">
        <v>6.0810810810810856E-2</v>
      </c>
      <c r="O538" s="812">
        <v>0.15</v>
      </c>
      <c r="P538" s="810" t="s">
        <v>4449</v>
      </c>
      <c r="Q538" s="813" t="s">
        <v>5226</v>
      </c>
      <c r="R538" s="844"/>
      <c r="S538" s="844" t="s">
        <v>5227</v>
      </c>
      <c r="T538" s="844"/>
      <c r="U538" s="825"/>
    </row>
    <row r="539" spans="1:21" ht="13.5" customHeight="1">
      <c r="B539" s="1420" t="s">
        <v>5947</v>
      </c>
      <c r="C539" s="785"/>
      <c r="D539" s="786"/>
      <c r="E539" s="787" t="s">
        <v>1109</v>
      </c>
      <c r="F539" s="787" t="s">
        <v>4519</v>
      </c>
      <c r="G539" s="788" t="s">
        <v>2404</v>
      </c>
      <c r="H539" s="797"/>
      <c r="I539" s="846">
        <v>30032919</v>
      </c>
      <c r="J539" s="847" t="s">
        <v>5948</v>
      </c>
      <c r="K539" s="790">
        <v>45000</v>
      </c>
      <c r="L539" s="790">
        <v>36500</v>
      </c>
      <c r="M539" s="790"/>
      <c r="N539" s="780">
        <f>1-L539/K539</f>
        <v>0.18888888888888888</v>
      </c>
      <c r="O539" s="791">
        <v>0.15</v>
      </c>
      <c r="P539" s="788" t="s">
        <v>4449</v>
      </c>
      <c r="Q539" s="792" t="s">
        <v>5949</v>
      </c>
      <c r="R539" s="793"/>
      <c r="S539" s="793"/>
      <c r="T539" s="793"/>
    </row>
    <row r="540" spans="1:21" ht="13.5" customHeight="1">
      <c r="B540" s="1421"/>
      <c r="C540" s="774"/>
      <c r="D540" s="775"/>
      <c r="E540" s="776" t="s">
        <v>185</v>
      </c>
      <c r="F540" s="776" t="s">
        <v>4829</v>
      </c>
      <c r="G540" s="777" t="s">
        <v>5950</v>
      </c>
      <c r="H540" s="783"/>
      <c r="I540" s="810">
        <v>30189006</v>
      </c>
      <c r="J540" s="1013" t="s">
        <v>5951</v>
      </c>
      <c r="K540" s="779">
        <v>126990</v>
      </c>
      <c r="L540" s="779">
        <v>100510</v>
      </c>
      <c r="M540" s="779" t="s">
        <v>3247</v>
      </c>
      <c r="N540" s="780">
        <f>1-L540/K540</f>
        <v>0.20852035593353813</v>
      </c>
      <c r="O540" s="780">
        <v>0.12</v>
      </c>
      <c r="P540" s="777" t="s">
        <v>4449</v>
      </c>
      <c r="Q540" s="898" t="s">
        <v>5952</v>
      </c>
      <c r="R540" s="782"/>
      <c r="S540" s="782"/>
      <c r="T540" s="782"/>
    </row>
    <row r="541" spans="1:21" ht="13.5" customHeight="1">
      <c r="B541" s="1421"/>
      <c r="C541" s="774"/>
      <c r="D541" s="775"/>
      <c r="E541" s="776" t="s">
        <v>795</v>
      </c>
      <c r="F541" s="776" t="s">
        <v>4475</v>
      </c>
      <c r="G541" s="777" t="s">
        <v>3403</v>
      </c>
      <c r="H541" s="783"/>
      <c r="I541" s="810">
        <v>30180145</v>
      </c>
      <c r="J541" s="1013" t="s">
        <v>5953</v>
      </c>
      <c r="K541" s="779"/>
      <c r="L541" s="779">
        <v>9900</v>
      </c>
      <c r="M541" s="779"/>
      <c r="N541" s="780"/>
      <c r="O541" s="780">
        <v>0.1</v>
      </c>
      <c r="P541" s="777"/>
      <c r="Q541" s="898" t="s">
        <v>5954</v>
      </c>
      <c r="R541" s="782"/>
      <c r="S541" s="782"/>
      <c r="T541" s="782"/>
    </row>
    <row r="542" spans="1:21" ht="13.5" customHeight="1">
      <c r="B542" s="1421"/>
      <c r="C542" s="774"/>
      <c r="D542" s="775"/>
      <c r="E542" s="776" t="s">
        <v>137</v>
      </c>
      <c r="F542" s="776" t="s">
        <v>4603</v>
      </c>
      <c r="G542" s="777" t="s">
        <v>4345</v>
      </c>
      <c r="H542" s="783"/>
      <c r="I542" s="777" t="s">
        <v>1555</v>
      </c>
      <c r="J542" s="776" t="s">
        <v>5955</v>
      </c>
      <c r="K542" s="779"/>
      <c r="L542" s="779"/>
      <c r="M542" s="779"/>
      <c r="N542" s="780"/>
      <c r="O542" s="780">
        <v>0.2</v>
      </c>
      <c r="P542" s="777" t="s">
        <v>4449</v>
      </c>
      <c r="Q542" s="781" t="s">
        <v>5956</v>
      </c>
      <c r="R542" s="782"/>
      <c r="S542" s="782"/>
      <c r="T542" s="782"/>
    </row>
    <row r="543" spans="1:21" ht="13.5" customHeight="1">
      <c r="B543" s="1421"/>
      <c r="C543" s="774"/>
      <c r="D543" s="775"/>
      <c r="E543" s="776" t="s">
        <v>331</v>
      </c>
      <c r="F543" s="776" t="s">
        <v>4970</v>
      </c>
      <c r="G543" s="777" t="s">
        <v>4261</v>
      </c>
      <c r="H543" s="783" t="s">
        <v>4714</v>
      </c>
      <c r="I543" s="1053">
        <v>76858596</v>
      </c>
      <c r="J543" s="1054" t="s">
        <v>5957</v>
      </c>
      <c r="K543" s="1046">
        <v>25900</v>
      </c>
      <c r="L543" s="779">
        <v>22020</v>
      </c>
      <c r="M543" s="780"/>
      <c r="N543" s="780">
        <v>0.15</v>
      </c>
      <c r="O543" s="780">
        <v>0.09</v>
      </c>
      <c r="P543" s="777"/>
      <c r="Q543" s="781" t="s">
        <v>5958</v>
      </c>
      <c r="R543" s="741" t="s">
        <v>5959</v>
      </c>
      <c r="S543" s="782"/>
      <c r="T543" s="782"/>
    </row>
    <row r="544" spans="1:21" ht="13.5" customHeight="1">
      <c r="B544" s="1421"/>
      <c r="C544" s="774"/>
      <c r="D544" s="775"/>
      <c r="E544" s="776" t="s">
        <v>910</v>
      </c>
      <c r="F544" s="776" t="s">
        <v>4454</v>
      </c>
      <c r="G544" s="777" t="s">
        <v>3279</v>
      </c>
      <c r="H544" s="783"/>
      <c r="I544" s="1055">
        <v>57443803</v>
      </c>
      <c r="J544" s="1055" t="s">
        <v>5960</v>
      </c>
      <c r="K544" s="779">
        <v>19000</v>
      </c>
      <c r="L544" s="779">
        <v>9900</v>
      </c>
      <c r="M544" s="779"/>
      <c r="N544" s="780">
        <f>L544/K544</f>
        <v>0.52105263157894732</v>
      </c>
      <c r="O544" s="780">
        <v>0.18</v>
      </c>
      <c r="P544" s="777" t="s">
        <v>4449</v>
      </c>
      <c r="Q544" s="781" t="s">
        <v>5906</v>
      </c>
      <c r="R544" s="782"/>
      <c r="S544" s="782" t="s">
        <v>3279</v>
      </c>
      <c r="T544" s="782"/>
    </row>
    <row r="545" spans="1:21" ht="13.5" customHeight="1">
      <c r="B545" s="1421"/>
      <c r="C545" s="774"/>
      <c r="D545" s="775"/>
      <c r="E545" s="776" t="s">
        <v>417</v>
      </c>
      <c r="F545" s="776" t="s">
        <v>4461</v>
      </c>
      <c r="G545" s="777" t="s">
        <v>3395</v>
      </c>
      <c r="H545" s="783"/>
      <c r="I545" s="777">
        <v>62050052</v>
      </c>
      <c r="J545" s="887" t="s">
        <v>5961</v>
      </c>
      <c r="K545" s="779">
        <v>15900</v>
      </c>
      <c r="L545" s="779">
        <v>12900</v>
      </c>
      <c r="M545" s="779"/>
      <c r="N545" s="780">
        <f>1-L545/K545</f>
        <v>0.18867924528301883</v>
      </c>
      <c r="O545" s="780">
        <v>0.1</v>
      </c>
      <c r="P545" s="777" t="s">
        <v>4449</v>
      </c>
      <c r="Q545" s="781" t="s">
        <v>5962</v>
      </c>
      <c r="R545" s="782"/>
      <c r="S545" s="782"/>
      <c r="T545" s="782">
        <v>50</v>
      </c>
    </row>
    <row r="546" spans="1:21" ht="13.5" customHeight="1">
      <c r="A546" s="825"/>
      <c r="B546" s="1421"/>
      <c r="C546" s="795"/>
      <c r="D546" s="775"/>
      <c r="E546" s="809" t="s">
        <v>264</v>
      </c>
      <c r="F546" s="809" t="s">
        <v>4480</v>
      </c>
      <c r="G546" s="810" t="s">
        <v>3431</v>
      </c>
      <c r="H546" s="811" t="s">
        <v>5963</v>
      </c>
      <c r="I546" s="810">
        <v>75288838</v>
      </c>
      <c r="J546" s="809" t="s">
        <v>5964</v>
      </c>
      <c r="K546" s="804"/>
      <c r="L546" s="804">
        <v>15900</v>
      </c>
      <c r="M546" s="804" t="s">
        <v>3247</v>
      </c>
      <c r="N546" s="812"/>
      <c r="O546" s="812">
        <v>0.18</v>
      </c>
      <c r="P546" s="1051" t="s">
        <v>4449</v>
      </c>
      <c r="Q546" s="1052" t="s">
        <v>5965</v>
      </c>
      <c r="R546" s="844" t="s">
        <v>5966</v>
      </c>
      <c r="S546" s="844" t="s">
        <v>5967</v>
      </c>
      <c r="T546" s="844"/>
      <c r="U546" s="825"/>
    </row>
    <row r="547" spans="1:21" ht="13.5" customHeight="1">
      <c r="B547" s="1421"/>
      <c r="C547" s="774"/>
      <c r="D547" s="775" t="s">
        <v>4453</v>
      </c>
      <c r="E547" s="776" t="s">
        <v>165</v>
      </c>
      <c r="F547" s="776" t="s">
        <v>4560</v>
      </c>
      <c r="G547" s="777" t="s">
        <v>4220</v>
      </c>
      <c r="H547" s="783">
        <v>202207113100</v>
      </c>
      <c r="I547" s="777">
        <v>30194969</v>
      </c>
      <c r="J547" s="776" t="s">
        <v>5725</v>
      </c>
      <c r="K547" s="779">
        <v>2990000</v>
      </c>
      <c r="L547" s="779">
        <f>K547*0.9</f>
        <v>2691000</v>
      </c>
      <c r="M547" s="779" t="s">
        <v>3247</v>
      </c>
      <c r="N547" s="780"/>
      <c r="O547" s="780"/>
      <c r="P547" s="777"/>
      <c r="Q547" s="781" t="s">
        <v>5968</v>
      </c>
      <c r="R547" s="782"/>
      <c r="S547" s="782"/>
      <c r="T547" s="782"/>
    </row>
    <row r="548" spans="1:21" ht="13.5" customHeight="1">
      <c r="A548" s="825"/>
      <c r="B548" s="1422"/>
      <c r="C548" s="795"/>
      <c r="D548" s="775"/>
      <c r="E548" s="809" t="s">
        <v>221</v>
      </c>
      <c r="F548" s="809" t="s">
        <v>4671</v>
      </c>
      <c r="G548" s="810" t="s">
        <v>3512</v>
      </c>
      <c r="H548" s="811"/>
      <c r="I548" s="810" t="s">
        <v>5385</v>
      </c>
      <c r="J548" s="809" t="s">
        <v>5386</v>
      </c>
      <c r="K548" s="804">
        <v>24600</v>
      </c>
      <c r="L548" s="804">
        <v>17900</v>
      </c>
      <c r="M548" s="804"/>
      <c r="N548" s="812"/>
      <c r="O548" s="812">
        <v>0.17</v>
      </c>
      <c r="P548" s="810" t="s">
        <v>4449</v>
      </c>
      <c r="Q548" s="813" t="s">
        <v>5969</v>
      </c>
      <c r="R548" s="844"/>
      <c r="S548" s="844" t="s">
        <v>5970</v>
      </c>
      <c r="T548" s="844"/>
      <c r="U548" s="825"/>
    </row>
    <row r="549" spans="1:21" ht="13.5" customHeight="1">
      <c r="B549" s="1425" t="s">
        <v>5971</v>
      </c>
      <c r="C549" s="785"/>
      <c r="D549" s="786"/>
      <c r="E549" s="787" t="s">
        <v>185</v>
      </c>
      <c r="F549" s="787" t="s">
        <v>4829</v>
      </c>
      <c r="G549" s="788" t="s">
        <v>3674</v>
      </c>
      <c r="H549" s="797"/>
      <c r="I549" s="819">
        <v>73913079</v>
      </c>
      <c r="J549" s="818" t="s">
        <v>5972</v>
      </c>
      <c r="K549" s="790">
        <v>22900</v>
      </c>
      <c r="L549" s="790">
        <v>17900</v>
      </c>
      <c r="M549" s="790" t="s">
        <v>3247</v>
      </c>
      <c r="N549" s="812">
        <f>1-L549/K549</f>
        <v>0.21834061135371174</v>
      </c>
      <c r="O549" s="791">
        <v>0.1</v>
      </c>
      <c r="P549" s="788" t="s">
        <v>4449</v>
      </c>
      <c r="Q549" s="792" t="s">
        <v>5973</v>
      </c>
      <c r="R549" s="793"/>
      <c r="S549" s="793"/>
      <c r="T549" s="793"/>
    </row>
    <row r="550" spans="1:21" ht="13.5" customHeight="1">
      <c r="B550" s="1426"/>
      <c r="C550" s="762"/>
      <c r="D550" s="763" t="s">
        <v>4453</v>
      </c>
      <c r="E550" s="764" t="s">
        <v>137</v>
      </c>
      <c r="F550" s="764" t="s">
        <v>4445</v>
      </c>
      <c r="G550" s="771" t="s">
        <v>4336</v>
      </c>
      <c r="H550" s="991"/>
      <c r="I550" s="810">
        <v>78066669</v>
      </c>
      <c r="J550" s="1013" t="s">
        <v>5974</v>
      </c>
      <c r="K550" s="804">
        <v>208000</v>
      </c>
      <c r="L550" s="804">
        <v>145900</v>
      </c>
      <c r="M550" s="804" t="s">
        <v>3247</v>
      </c>
      <c r="N550" s="812">
        <v>0.3</v>
      </c>
      <c r="O550" s="812">
        <v>0.2</v>
      </c>
      <c r="P550" s="810" t="s">
        <v>4449</v>
      </c>
      <c r="Q550" s="853" t="s">
        <v>3556</v>
      </c>
      <c r="R550" s="824" t="s">
        <v>5975</v>
      </c>
      <c r="S550" s="854"/>
      <c r="T550" s="854"/>
    </row>
    <row r="551" spans="1:21" ht="13.5" customHeight="1">
      <c r="B551" s="1426"/>
      <c r="C551" s="774"/>
      <c r="D551" s="775"/>
      <c r="E551" s="776" t="s">
        <v>1109</v>
      </c>
      <c r="F551" s="776" t="s">
        <v>5503</v>
      </c>
      <c r="G551" s="777" t="s">
        <v>5976</v>
      </c>
      <c r="H551" s="783"/>
      <c r="I551" s="810">
        <v>46484223</v>
      </c>
      <c r="J551" s="1013" t="s">
        <v>5977</v>
      </c>
      <c r="K551" s="779">
        <v>33900</v>
      </c>
      <c r="L551" s="779">
        <v>32210</v>
      </c>
      <c r="M551" s="779"/>
      <c r="N551" s="780">
        <f>1-L551/K551</f>
        <v>4.9852507374631316E-2</v>
      </c>
      <c r="O551" s="780"/>
      <c r="P551" s="777" t="s">
        <v>4449</v>
      </c>
      <c r="Q551" s="781" t="s">
        <v>5978</v>
      </c>
      <c r="R551" s="782"/>
      <c r="S551" s="782"/>
      <c r="T551" s="782"/>
    </row>
    <row r="552" spans="1:21" ht="13.5" customHeight="1">
      <c r="B552" s="1426"/>
      <c r="C552" s="774"/>
      <c r="D552" s="775"/>
      <c r="E552" s="776" t="s">
        <v>910</v>
      </c>
      <c r="F552" s="776" t="s">
        <v>4454</v>
      </c>
      <c r="G552" s="777" t="s">
        <v>5979</v>
      </c>
      <c r="H552" s="783"/>
      <c r="I552" s="810">
        <v>56719259</v>
      </c>
      <c r="J552" s="1013" t="s">
        <v>5980</v>
      </c>
      <c r="K552" s="779">
        <v>45000</v>
      </c>
      <c r="L552" s="779">
        <v>29610</v>
      </c>
      <c r="M552" s="779" t="s">
        <v>3247</v>
      </c>
      <c r="N552" s="780">
        <f>L552/K552</f>
        <v>0.65800000000000003</v>
      </c>
      <c r="O552" s="780">
        <v>0.15</v>
      </c>
      <c r="P552" s="777" t="s">
        <v>4449</v>
      </c>
      <c r="Q552" s="781" t="s">
        <v>5906</v>
      </c>
      <c r="R552" s="782" t="s">
        <v>5981</v>
      </c>
      <c r="S552" s="782"/>
      <c r="T552" s="782"/>
    </row>
    <row r="553" spans="1:21" ht="13.5" customHeight="1">
      <c r="B553" s="1426"/>
      <c r="C553" s="774"/>
      <c r="D553" s="775"/>
      <c r="E553" s="776" t="s">
        <v>417</v>
      </c>
      <c r="F553" s="776" t="s">
        <v>4461</v>
      </c>
      <c r="G553" s="777" t="s">
        <v>3393</v>
      </c>
      <c r="H553" s="783"/>
      <c r="I553" s="777"/>
      <c r="J553" s="776"/>
      <c r="K553" s="779"/>
      <c r="L553" s="779"/>
      <c r="M553" s="779"/>
      <c r="N553" s="780"/>
      <c r="O553" s="780"/>
      <c r="P553" s="777"/>
      <c r="Q553" s="781"/>
      <c r="R553" s="782"/>
      <c r="S553" s="782"/>
      <c r="T553" s="782"/>
    </row>
    <row r="554" spans="1:21" ht="13.5" customHeight="1">
      <c r="A554" s="825"/>
      <c r="B554" s="1426"/>
      <c r="C554" s="795"/>
      <c r="D554" s="775"/>
      <c r="E554" s="809" t="s">
        <v>264</v>
      </c>
      <c r="F554" s="809" t="s">
        <v>4480</v>
      </c>
      <c r="G554" s="810" t="s">
        <v>4362</v>
      </c>
      <c r="H554" s="811"/>
      <c r="I554" s="810">
        <v>62741280</v>
      </c>
      <c r="J554" s="809" t="s">
        <v>5982</v>
      </c>
      <c r="K554" s="804">
        <v>199000</v>
      </c>
      <c r="L554" s="804">
        <v>59900</v>
      </c>
      <c r="M554" s="804" t="s">
        <v>3247</v>
      </c>
      <c r="N554" s="812">
        <f>1-L554/K554</f>
        <v>0.69899497487437179</v>
      </c>
      <c r="O554" s="812">
        <v>0.17</v>
      </c>
      <c r="P554" s="1051" t="s">
        <v>4449</v>
      </c>
      <c r="Q554" s="1052" t="s">
        <v>5983</v>
      </c>
      <c r="R554" s="844" t="s">
        <v>5984</v>
      </c>
      <c r="S554" s="844" t="s">
        <v>5985</v>
      </c>
      <c r="T554" s="844"/>
      <c r="U554" s="825"/>
    </row>
    <row r="555" spans="1:21" ht="13.5" customHeight="1">
      <c r="A555" s="825"/>
      <c r="B555" s="1426"/>
      <c r="C555" s="795"/>
      <c r="D555" s="775"/>
      <c r="E555" s="809" t="s">
        <v>795</v>
      </c>
      <c r="F555" s="809" t="s">
        <v>4475</v>
      </c>
      <c r="G555" s="810" t="s">
        <v>3697</v>
      </c>
      <c r="H555" s="811"/>
      <c r="I555" s="810">
        <v>77688866</v>
      </c>
      <c r="J555" s="809" t="s">
        <v>5986</v>
      </c>
      <c r="K555" s="804"/>
      <c r="L555" s="804">
        <f>13900*0.9</f>
        <v>12510</v>
      </c>
      <c r="M555" s="804"/>
      <c r="N555" s="812"/>
      <c r="O555" s="812">
        <v>0.1</v>
      </c>
      <c r="P555" s="1051" t="s">
        <v>4449</v>
      </c>
      <c r="Q555" s="1052"/>
      <c r="R555" s="844"/>
      <c r="S555" s="844"/>
      <c r="T555" s="844"/>
      <c r="U555" s="825"/>
    </row>
    <row r="556" spans="1:21" ht="13.5" customHeight="1">
      <c r="A556" s="825"/>
      <c r="B556" s="1427"/>
      <c r="C556" s="795"/>
      <c r="D556" s="775"/>
      <c r="E556" s="976" t="s">
        <v>221</v>
      </c>
      <c r="F556" s="976" t="s">
        <v>4671</v>
      </c>
      <c r="G556" s="977" t="s">
        <v>5447</v>
      </c>
      <c r="H556" s="978"/>
      <c r="I556" s="977">
        <v>55017679</v>
      </c>
      <c r="J556" s="976" t="s">
        <v>5987</v>
      </c>
      <c r="K556" s="979">
        <v>19900</v>
      </c>
      <c r="L556" s="979">
        <v>9900</v>
      </c>
      <c r="M556" s="979" t="s">
        <v>3247</v>
      </c>
      <c r="N556" s="980"/>
      <c r="O556" s="980">
        <v>0.1</v>
      </c>
      <c r="P556" s="977" t="s">
        <v>4449</v>
      </c>
      <c r="Q556" s="981" t="s">
        <v>5988</v>
      </c>
      <c r="R556" s="982"/>
      <c r="S556" s="982" t="s">
        <v>5989</v>
      </c>
      <c r="T556" s="982"/>
      <c r="U556" s="825"/>
    </row>
    <row r="557" spans="1:21" ht="13.5" customHeight="1">
      <c r="B557" s="1420" t="s">
        <v>5990</v>
      </c>
      <c r="C557" s="785"/>
      <c r="D557" s="786" t="s">
        <v>4453</v>
      </c>
      <c r="E557" s="939" t="s">
        <v>137</v>
      </c>
      <c r="F557" s="939" t="s">
        <v>4445</v>
      </c>
      <c r="G557" s="871" t="s">
        <v>4341</v>
      </c>
      <c r="H557" s="961"/>
      <c r="I557" s="871">
        <v>77454036</v>
      </c>
      <c r="J557" s="939" t="s">
        <v>5991</v>
      </c>
      <c r="K557" s="964">
        <v>49000</v>
      </c>
      <c r="L557" s="964">
        <v>29000</v>
      </c>
      <c r="M557" s="964" t="s">
        <v>3247</v>
      </c>
      <c r="N557" s="899">
        <f>(K557-L557)/K557</f>
        <v>0.40816326530612246</v>
      </c>
      <c r="O557" s="899">
        <v>0.2</v>
      </c>
      <c r="P557" s="871" t="s">
        <v>4449</v>
      </c>
      <c r="Q557" s="904" t="s">
        <v>5992</v>
      </c>
      <c r="R557" s="965" t="s">
        <v>5993</v>
      </c>
      <c r="S557" s="965"/>
      <c r="T557" s="965">
        <v>50</v>
      </c>
    </row>
    <row r="558" spans="1:21" ht="13.5" customHeight="1">
      <c r="B558" s="1421"/>
      <c r="C558" s="774"/>
      <c r="D558" s="775"/>
      <c r="E558" s="776" t="s">
        <v>185</v>
      </c>
      <c r="F558" s="776" t="s">
        <v>4829</v>
      </c>
      <c r="G558" s="777" t="s">
        <v>3665</v>
      </c>
      <c r="H558" s="783"/>
      <c r="I558" s="810">
        <v>68197233</v>
      </c>
      <c r="J558" s="1013" t="s">
        <v>4901</v>
      </c>
      <c r="K558" s="779">
        <v>46900</v>
      </c>
      <c r="L558" s="779">
        <v>29900</v>
      </c>
      <c r="M558" s="779" t="s">
        <v>3247</v>
      </c>
      <c r="N558" s="780">
        <f>1-L558/K558</f>
        <v>0.36247334754797444</v>
      </c>
      <c r="O558" s="780">
        <v>0.15</v>
      </c>
      <c r="P558" s="777" t="s">
        <v>4449</v>
      </c>
      <c r="Q558" s="781" t="s">
        <v>5994</v>
      </c>
      <c r="R558" s="782"/>
      <c r="S558" s="782"/>
      <c r="T558" s="782"/>
    </row>
    <row r="559" spans="1:21" ht="13.5" customHeight="1">
      <c r="B559" s="1421"/>
      <c r="C559" s="774"/>
      <c r="D559" s="775"/>
      <c r="E559" s="776" t="s">
        <v>1109</v>
      </c>
      <c r="F559" s="776" t="s">
        <v>4519</v>
      </c>
      <c r="G559" s="777" t="s">
        <v>4384</v>
      </c>
      <c r="H559" s="783"/>
      <c r="I559" s="996">
        <v>30143814</v>
      </c>
      <c r="J559" s="997" t="s">
        <v>5141</v>
      </c>
      <c r="K559" s="779">
        <v>25800</v>
      </c>
      <c r="L559" s="779">
        <v>21850</v>
      </c>
      <c r="M559" s="779"/>
      <c r="N559" s="780">
        <f>1-L559/K559</f>
        <v>0.1531007751937985</v>
      </c>
      <c r="O559" s="780">
        <v>0.28999999999999998</v>
      </c>
      <c r="P559" s="777" t="s">
        <v>4449</v>
      </c>
      <c r="Q559" s="781" t="s">
        <v>5995</v>
      </c>
      <c r="R559" s="782"/>
      <c r="S559" s="782"/>
      <c r="T559" s="782"/>
    </row>
    <row r="560" spans="1:21" ht="13.5" customHeight="1">
      <c r="B560" s="1421"/>
      <c r="C560" s="774"/>
      <c r="D560" s="775"/>
      <c r="E560" s="776" t="s">
        <v>910</v>
      </c>
      <c r="F560" s="776" t="s">
        <v>4454</v>
      </c>
      <c r="G560" s="777" t="s">
        <v>5996</v>
      </c>
      <c r="H560" s="783"/>
      <c r="I560" s="777">
        <v>30150664</v>
      </c>
      <c r="J560" s="776" t="s">
        <v>5997</v>
      </c>
      <c r="K560" s="779"/>
      <c r="L560" s="779">
        <v>18630</v>
      </c>
      <c r="M560" s="779" t="s">
        <v>3247</v>
      </c>
      <c r="N560" s="780">
        <v>0.15</v>
      </c>
      <c r="O560" s="780">
        <v>0.15</v>
      </c>
      <c r="P560" s="777" t="s">
        <v>4449</v>
      </c>
      <c r="Q560" s="781" t="s">
        <v>5906</v>
      </c>
      <c r="R560" s="782"/>
      <c r="S560" s="782"/>
      <c r="T560" s="782"/>
    </row>
    <row r="561" spans="1:21" ht="13.5" customHeight="1">
      <c r="B561" s="1421"/>
      <c r="C561" s="774"/>
      <c r="D561" s="775"/>
      <c r="E561" s="776" t="s">
        <v>417</v>
      </c>
      <c r="F561" s="776" t="s">
        <v>4461</v>
      </c>
      <c r="G561" s="777"/>
      <c r="H561" s="783"/>
      <c r="I561" s="777"/>
      <c r="J561" s="776"/>
      <c r="K561" s="779"/>
      <c r="L561" s="779"/>
      <c r="M561" s="779"/>
      <c r="N561" s="780"/>
      <c r="O561" s="780"/>
      <c r="P561" s="777"/>
      <c r="Q561" s="781"/>
      <c r="R561" s="782"/>
      <c r="S561" s="782"/>
      <c r="T561" s="782"/>
    </row>
    <row r="562" spans="1:21" ht="13.5" customHeight="1">
      <c r="A562" s="825"/>
      <c r="B562" s="1421"/>
      <c r="C562" s="795"/>
      <c r="D562" s="775"/>
      <c r="E562" s="809" t="s">
        <v>264</v>
      </c>
      <c r="F562" s="809" t="s">
        <v>4480</v>
      </c>
      <c r="G562" s="810" t="s">
        <v>5998</v>
      </c>
      <c r="H562" s="811"/>
      <c r="I562" s="810">
        <v>77746950</v>
      </c>
      <c r="J562" s="809" t="s">
        <v>5999</v>
      </c>
      <c r="K562" s="804"/>
      <c r="L562" s="804">
        <v>35000</v>
      </c>
      <c r="M562" s="804" t="s">
        <v>3247</v>
      </c>
      <c r="N562" s="812"/>
      <c r="O562" s="812">
        <v>0.16</v>
      </c>
      <c r="P562" s="1051" t="s">
        <v>4449</v>
      </c>
      <c r="Q562" s="1052" t="s">
        <v>3433</v>
      </c>
      <c r="R562" s="844" t="s">
        <v>6000</v>
      </c>
      <c r="S562" s="844" t="s">
        <v>6001</v>
      </c>
      <c r="T562" s="844"/>
      <c r="U562" s="825"/>
    </row>
    <row r="563" spans="1:21" ht="13.5" customHeight="1">
      <c r="A563" s="825"/>
      <c r="B563" s="1422"/>
      <c r="C563" s="795"/>
      <c r="D563" s="775"/>
      <c r="E563" s="809" t="s">
        <v>221</v>
      </c>
      <c r="F563" s="809" t="s">
        <v>4671</v>
      </c>
      <c r="G563" s="810" t="s">
        <v>222</v>
      </c>
      <c r="H563" s="811"/>
      <c r="I563" s="810">
        <v>30219863</v>
      </c>
      <c r="J563" s="809" t="s">
        <v>6002</v>
      </c>
      <c r="K563" s="804">
        <v>49900</v>
      </c>
      <c r="L563" s="804">
        <v>29900</v>
      </c>
      <c r="M563" s="804" t="s">
        <v>3247</v>
      </c>
      <c r="N563" s="812"/>
      <c r="O563" s="812">
        <v>0.1</v>
      </c>
      <c r="P563" s="810" t="s">
        <v>4449</v>
      </c>
      <c r="Q563" s="813" t="s">
        <v>6003</v>
      </c>
      <c r="R563" s="844"/>
      <c r="S563" s="844" t="s">
        <v>6004</v>
      </c>
      <c r="T563" s="844"/>
      <c r="U563" s="825"/>
    </row>
    <row r="564" spans="1:21" ht="13.5" customHeight="1">
      <c r="B564" s="1420" t="s">
        <v>6005</v>
      </c>
      <c r="C564" s="785"/>
      <c r="D564" s="786"/>
      <c r="E564" s="787" t="s">
        <v>1109</v>
      </c>
      <c r="F564" s="787"/>
      <c r="G564" s="788" t="s">
        <v>6006</v>
      </c>
      <c r="H564" s="797"/>
      <c r="I564" s="996">
        <v>44693350</v>
      </c>
      <c r="J564" s="997" t="s">
        <v>6007</v>
      </c>
      <c r="K564" s="790">
        <v>94000</v>
      </c>
      <c r="L564" s="790">
        <v>83720</v>
      </c>
      <c r="M564" s="790"/>
      <c r="N564" s="780">
        <f>1-L564/K564</f>
        <v>0.10936170212765961</v>
      </c>
      <c r="O564" s="791">
        <v>0.15</v>
      </c>
      <c r="P564" s="788" t="s">
        <v>4449</v>
      </c>
      <c r="Q564" s="993" t="s">
        <v>6008</v>
      </c>
      <c r="R564" s="793"/>
      <c r="S564" s="793"/>
      <c r="T564" s="793"/>
    </row>
    <row r="565" spans="1:21" ht="13.5" customHeight="1">
      <c r="B565" s="1421"/>
      <c r="C565" s="762"/>
      <c r="D565" s="763" t="s">
        <v>4453</v>
      </c>
      <c r="E565" s="764" t="s">
        <v>942</v>
      </c>
      <c r="F565" s="764" t="s">
        <v>4454</v>
      </c>
      <c r="G565" s="771" t="s">
        <v>4089</v>
      </c>
      <c r="H565" s="991">
        <v>202411271210</v>
      </c>
      <c r="I565" s="1056">
        <v>30188697</v>
      </c>
      <c r="J565" s="1057" t="s">
        <v>6009</v>
      </c>
      <c r="K565" s="769">
        <v>62900</v>
      </c>
      <c r="L565" s="769">
        <v>52900</v>
      </c>
      <c r="M565" s="769">
        <v>51900</v>
      </c>
      <c r="N565" s="780">
        <v>0.15</v>
      </c>
      <c r="O565" s="770">
        <v>0.15</v>
      </c>
      <c r="P565" s="771" t="s">
        <v>4449</v>
      </c>
      <c r="Q565" s="994" t="s">
        <v>6010</v>
      </c>
      <c r="R565" s="854" t="s">
        <v>6011</v>
      </c>
      <c r="S565" s="854" t="s">
        <v>6012</v>
      </c>
      <c r="T565" s="854"/>
    </row>
    <row r="566" spans="1:21" ht="13.5" customHeight="1">
      <c r="B566" s="1421"/>
      <c r="C566" s="774"/>
      <c r="D566" s="775"/>
      <c r="E566" s="776" t="s">
        <v>185</v>
      </c>
      <c r="F566" s="776" t="s">
        <v>4829</v>
      </c>
      <c r="G566" s="777" t="s">
        <v>2565</v>
      </c>
      <c r="H566" s="783"/>
      <c r="I566" s="810">
        <v>73960966</v>
      </c>
      <c r="J566" s="809" t="s">
        <v>6013</v>
      </c>
      <c r="K566" s="779">
        <v>20900</v>
      </c>
      <c r="L566" s="779">
        <v>16900</v>
      </c>
      <c r="M566" s="779" t="s">
        <v>3247</v>
      </c>
      <c r="N566" s="780">
        <f>1-L566/K566</f>
        <v>0.19138755980861244</v>
      </c>
      <c r="O566" s="780">
        <v>0.12</v>
      </c>
      <c r="P566" s="777" t="s">
        <v>4449</v>
      </c>
      <c r="Q566" s="781" t="s">
        <v>6014</v>
      </c>
      <c r="R566" s="782"/>
      <c r="S566" s="782"/>
      <c r="T566" s="782"/>
    </row>
    <row r="567" spans="1:21" ht="13.5" customHeight="1">
      <c r="B567" s="1421"/>
      <c r="C567" s="774"/>
      <c r="D567" s="775"/>
      <c r="E567" s="776" t="s">
        <v>910</v>
      </c>
      <c r="F567" s="776" t="s">
        <v>4454</v>
      </c>
      <c r="G567" s="777" t="s">
        <v>6015</v>
      </c>
      <c r="H567" s="783"/>
      <c r="I567" s="1058">
        <v>70158010</v>
      </c>
      <c r="J567" s="1059" t="s">
        <v>6016</v>
      </c>
      <c r="K567" s="779">
        <v>35900</v>
      </c>
      <c r="L567" s="779">
        <v>24570</v>
      </c>
      <c r="M567" s="779" t="s">
        <v>3247</v>
      </c>
      <c r="N567" s="780">
        <f>1-L567/K567</f>
        <v>0.31559888579387185</v>
      </c>
      <c r="O567" s="780">
        <v>0.25</v>
      </c>
      <c r="P567" s="777" t="s">
        <v>4449</v>
      </c>
      <c r="Q567" s="781" t="s">
        <v>5906</v>
      </c>
      <c r="R567" s="782" t="s">
        <v>6017</v>
      </c>
      <c r="S567" s="782"/>
      <c r="T567" s="782"/>
    </row>
    <row r="568" spans="1:21" ht="13.5" customHeight="1">
      <c r="B568" s="1421"/>
      <c r="C568" s="774"/>
      <c r="D568" s="775"/>
      <c r="E568" s="776" t="s">
        <v>417</v>
      </c>
      <c r="F568" s="776" t="s">
        <v>4461</v>
      </c>
      <c r="G568" s="777" t="s">
        <v>3387</v>
      </c>
      <c r="H568" s="783"/>
      <c r="I568" s="777"/>
      <c r="J568" s="776"/>
      <c r="K568" s="779"/>
      <c r="L568" s="779"/>
      <c r="M568" s="779"/>
      <c r="N568" s="780"/>
      <c r="O568" s="780"/>
      <c r="P568" s="777"/>
      <c r="Q568" s="781"/>
      <c r="R568" s="782"/>
      <c r="S568" s="782"/>
      <c r="T568" s="782"/>
    </row>
    <row r="569" spans="1:21" ht="13.5" customHeight="1">
      <c r="B569" s="1421"/>
      <c r="C569" s="774"/>
      <c r="D569" s="775"/>
      <c r="E569" s="776" t="s">
        <v>795</v>
      </c>
      <c r="F569" s="776" t="s">
        <v>4475</v>
      </c>
      <c r="G569" s="777" t="s">
        <v>6018</v>
      </c>
      <c r="H569" s="783"/>
      <c r="I569" s="777">
        <v>72842802</v>
      </c>
      <c r="J569" s="776" t="s">
        <v>6019</v>
      </c>
      <c r="K569" s="779">
        <v>35800</v>
      </c>
      <c r="L569" s="779">
        <v>29900</v>
      </c>
      <c r="M569" s="779" t="s">
        <v>3247</v>
      </c>
      <c r="N569" s="780"/>
      <c r="O569" s="780">
        <v>0.15</v>
      </c>
      <c r="P569" s="810" t="s">
        <v>4449</v>
      </c>
      <c r="Q569" s="772" t="s">
        <v>6020</v>
      </c>
      <c r="R569" s="782"/>
      <c r="S569" s="782"/>
      <c r="T569" s="782"/>
    </row>
    <row r="570" spans="1:21" ht="13.5" customHeight="1">
      <c r="A570" s="825"/>
      <c r="B570" s="1421"/>
      <c r="C570" s="795"/>
      <c r="D570" s="775"/>
      <c r="E570" s="809" t="s">
        <v>264</v>
      </c>
      <c r="F570" s="809" t="s">
        <v>4480</v>
      </c>
      <c r="G570" s="810" t="s">
        <v>5373</v>
      </c>
      <c r="H570" s="811"/>
      <c r="I570" s="810">
        <v>30201222</v>
      </c>
      <c r="J570" s="809" t="s">
        <v>2752</v>
      </c>
      <c r="K570" s="804"/>
      <c r="L570" s="804">
        <v>15900</v>
      </c>
      <c r="M570" s="804" t="s">
        <v>3247</v>
      </c>
      <c r="N570" s="812"/>
      <c r="O570" s="812">
        <v>0.16</v>
      </c>
      <c r="P570" s="1051" t="s">
        <v>4449</v>
      </c>
      <c r="Q570" s="1052" t="s">
        <v>6021</v>
      </c>
      <c r="R570" s="844" t="s">
        <v>6022</v>
      </c>
      <c r="S570" s="844" t="s">
        <v>6023</v>
      </c>
      <c r="T570" s="844"/>
      <c r="U570" s="825"/>
    </row>
    <row r="571" spans="1:21" ht="13.5" customHeight="1">
      <c r="B571" s="1421"/>
      <c r="C571" s="1060"/>
      <c r="D571" s="1061"/>
      <c r="E571" s="1062" t="s">
        <v>165</v>
      </c>
      <c r="F571" s="1062" t="s">
        <v>4560</v>
      </c>
      <c r="G571" s="833" t="s">
        <v>4220</v>
      </c>
      <c r="H571" s="1063">
        <v>202207113100</v>
      </c>
      <c r="I571" s="833">
        <v>30194969</v>
      </c>
      <c r="J571" s="1062" t="s">
        <v>5725</v>
      </c>
      <c r="K571" s="1000">
        <v>2990000</v>
      </c>
      <c r="L571" s="1000">
        <f>K571*0.9</f>
        <v>2691000</v>
      </c>
      <c r="M571" s="1000" t="s">
        <v>3247</v>
      </c>
      <c r="N571" s="832"/>
      <c r="O571" s="832"/>
      <c r="P571" s="833"/>
      <c r="Q571" s="834" t="s">
        <v>6024</v>
      </c>
      <c r="R571" s="835"/>
      <c r="S571" s="835"/>
      <c r="T571" s="835"/>
    </row>
    <row r="572" spans="1:21" ht="13.5" customHeight="1">
      <c r="A572" s="825"/>
      <c r="B572" s="1421"/>
      <c r="C572" s="795"/>
      <c r="D572" s="775"/>
      <c r="E572" s="809" t="s">
        <v>221</v>
      </c>
      <c r="F572" s="809" t="s">
        <v>4671</v>
      </c>
      <c r="G572" s="810" t="s">
        <v>6025</v>
      </c>
      <c r="H572" s="811"/>
      <c r="I572" s="810">
        <v>76420717</v>
      </c>
      <c r="J572" s="809" t="s">
        <v>6026</v>
      </c>
      <c r="K572" s="804">
        <v>44900</v>
      </c>
      <c r="L572" s="804">
        <v>29900</v>
      </c>
      <c r="M572" s="804"/>
      <c r="N572" s="812"/>
      <c r="O572" s="812">
        <v>0.1</v>
      </c>
      <c r="P572" s="810" t="s">
        <v>4449</v>
      </c>
      <c r="Q572" s="813" t="s">
        <v>6027</v>
      </c>
      <c r="R572" s="844"/>
      <c r="S572" s="844" t="s">
        <v>6028</v>
      </c>
      <c r="T572" s="844"/>
      <c r="U572" s="825"/>
    </row>
    <row r="573" spans="1:21" ht="13.5" customHeight="1">
      <c r="A573" s="825"/>
      <c r="B573" s="1422"/>
      <c r="C573" s="795"/>
      <c r="D573" s="775"/>
      <c r="E573" s="809" t="s">
        <v>221</v>
      </c>
      <c r="F573" s="809" t="s">
        <v>4454</v>
      </c>
      <c r="G573" s="810" t="s">
        <v>6029</v>
      </c>
      <c r="H573" s="811"/>
      <c r="I573" s="810">
        <v>30195490</v>
      </c>
      <c r="J573" s="809" t="s">
        <v>6030</v>
      </c>
      <c r="K573" s="804">
        <v>39900</v>
      </c>
      <c r="L573" s="804">
        <v>37910</v>
      </c>
      <c r="M573" s="804"/>
      <c r="N573" s="812"/>
      <c r="O573" s="812">
        <v>0.45</v>
      </c>
      <c r="P573" s="810" t="s">
        <v>4449</v>
      </c>
      <c r="Q573" s="813" t="s">
        <v>5429</v>
      </c>
      <c r="R573" s="844"/>
      <c r="S573" s="844" t="s">
        <v>6031</v>
      </c>
      <c r="T573" s="844"/>
      <c r="U573" s="825"/>
    </row>
    <row r="574" spans="1:21" s="1064" customFormat="1" ht="13.5" customHeight="1">
      <c r="B574" s="1425" t="s">
        <v>6032</v>
      </c>
      <c r="C574" s="1065"/>
      <c r="D574" s="967" t="s">
        <v>4453</v>
      </c>
      <c r="E574" s="1066" t="s">
        <v>1109</v>
      </c>
      <c r="F574" s="1066"/>
      <c r="G574" s="1067" t="s">
        <v>4520</v>
      </c>
      <c r="H574" s="1068"/>
      <c r="I574" s="1069">
        <v>30068625</v>
      </c>
      <c r="J574" s="1070" t="s">
        <v>5160</v>
      </c>
      <c r="K574" s="1071">
        <v>51000</v>
      </c>
      <c r="L574" s="1071">
        <v>37230</v>
      </c>
      <c r="M574" s="1071"/>
      <c r="N574" s="1072">
        <f>1-L574/K574</f>
        <v>0.27</v>
      </c>
      <c r="O574" s="1072">
        <v>0.15</v>
      </c>
      <c r="P574" s="1067" t="s">
        <v>4449</v>
      </c>
      <c r="Q574" s="1073"/>
      <c r="R574" s="1074"/>
      <c r="S574" s="1074"/>
      <c r="T574" s="1074"/>
    </row>
    <row r="575" spans="1:21" ht="13.5" customHeight="1">
      <c r="B575" s="1426"/>
      <c r="C575" s="774"/>
      <c r="D575" s="775"/>
      <c r="E575" s="776" t="s">
        <v>185</v>
      </c>
      <c r="F575" s="776" t="s">
        <v>4829</v>
      </c>
      <c r="G575" s="777" t="s">
        <v>4400</v>
      </c>
      <c r="H575" s="783"/>
      <c r="I575" s="810">
        <v>30204020</v>
      </c>
      <c r="J575" s="809" t="s">
        <v>6033</v>
      </c>
      <c r="K575" s="779">
        <v>79000</v>
      </c>
      <c r="L575" s="779">
        <v>29900</v>
      </c>
      <c r="M575" s="779" t="s">
        <v>3247</v>
      </c>
      <c r="N575" s="780">
        <f>1-L575/K575</f>
        <v>0.62151898734177213</v>
      </c>
      <c r="O575" s="780">
        <v>0.18</v>
      </c>
      <c r="P575" s="777" t="s">
        <v>4449</v>
      </c>
      <c r="Q575" s="781" t="s">
        <v>6034</v>
      </c>
      <c r="R575" s="782"/>
      <c r="S575" s="782"/>
      <c r="T575" s="782"/>
    </row>
    <row r="576" spans="1:21" ht="13.5" customHeight="1">
      <c r="B576" s="1426"/>
      <c r="C576" s="774"/>
      <c r="D576" s="775"/>
      <c r="E576" s="776" t="s">
        <v>910</v>
      </c>
      <c r="F576" s="776" t="s">
        <v>4454</v>
      </c>
      <c r="G576" s="777" t="s">
        <v>5224</v>
      </c>
      <c r="H576" s="783"/>
      <c r="I576" s="777">
        <v>30204641</v>
      </c>
      <c r="J576" s="776" t="s">
        <v>6035</v>
      </c>
      <c r="K576" s="779">
        <v>29900</v>
      </c>
      <c r="L576" s="779">
        <v>19980</v>
      </c>
      <c r="M576" s="779" t="s">
        <v>3247</v>
      </c>
      <c r="N576" s="780">
        <f>1-L576/K576</f>
        <v>0.33177257525083614</v>
      </c>
      <c r="O576" s="780">
        <v>0.18</v>
      </c>
      <c r="P576" s="777" t="s">
        <v>4449</v>
      </c>
      <c r="Q576" s="781" t="s">
        <v>5906</v>
      </c>
      <c r="R576" s="782" t="s">
        <v>6036</v>
      </c>
      <c r="S576" s="782"/>
      <c r="T576" s="782"/>
    </row>
    <row r="577" spans="1:21" ht="13.5" customHeight="1">
      <c r="A577" s="825"/>
      <c r="B577" s="1426"/>
      <c r="C577" s="795"/>
      <c r="D577" s="775"/>
      <c r="E577" s="809" t="s">
        <v>264</v>
      </c>
      <c r="F577" s="809" t="s">
        <v>4480</v>
      </c>
      <c r="G577" s="810" t="s">
        <v>6037</v>
      </c>
      <c r="H577" s="811"/>
      <c r="I577" s="810">
        <v>48677211</v>
      </c>
      <c r="J577" s="809" t="s">
        <v>6038</v>
      </c>
      <c r="K577" s="804"/>
      <c r="L577" s="804" t="s">
        <v>6039</v>
      </c>
      <c r="M577" s="804" t="s">
        <v>3247</v>
      </c>
      <c r="N577" s="812"/>
      <c r="O577" s="812">
        <v>0.15</v>
      </c>
      <c r="P577" s="1051" t="s">
        <v>4449</v>
      </c>
      <c r="Q577" s="1052" t="s">
        <v>6040</v>
      </c>
      <c r="R577" s="844"/>
      <c r="S577" s="844" t="s">
        <v>6041</v>
      </c>
      <c r="T577" s="844"/>
      <c r="U577" s="825"/>
    </row>
    <row r="578" spans="1:21" ht="13.5" customHeight="1">
      <c r="A578" s="825"/>
      <c r="B578" s="1426"/>
      <c r="C578" s="795"/>
      <c r="D578" s="775"/>
      <c r="E578" s="809" t="s">
        <v>221</v>
      </c>
      <c r="F578" s="809" t="s">
        <v>4671</v>
      </c>
      <c r="G578" s="810" t="s">
        <v>222</v>
      </c>
      <c r="H578" s="811"/>
      <c r="I578" s="810">
        <v>30219864</v>
      </c>
      <c r="J578" s="809" t="s">
        <v>6042</v>
      </c>
      <c r="K578" s="804">
        <v>17900</v>
      </c>
      <c r="L578" s="804">
        <v>17010</v>
      </c>
      <c r="M578" s="804"/>
      <c r="N578" s="812"/>
      <c r="O578" s="812">
        <v>0.12</v>
      </c>
      <c r="P578" s="810" t="s">
        <v>4449</v>
      </c>
      <c r="Q578" s="813" t="s">
        <v>6043</v>
      </c>
      <c r="R578" s="844"/>
      <c r="S578" s="844" t="s">
        <v>6044</v>
      </c>
      <c r="T578" s="844"/>
      <c r="U578" s="825"/>
    </row>
    <row r="579" spans="1:21" ht="13.5" customHeight="1">
      <c r="A579" s="825"/>
      <c r="B579" s="1427"/>
      <c r="C579" s="795"/>
      <c r="D579" s="775"/>
      <c r="E579" s="809" t="s">
        <v>795</v>
      </c>
      <c r="F579" s="809" t="s">
        <v>4461</v>
      </c>
      <c r="G579" s="810" t="s">
        <v>3540</v>
      </c>
      <c r="H579" s="811"/>
      <c r="I579" s="810">
        <v>47633319</v>
      </c>
      <c r="J579" s="809" t="s">
        <v>6045</v>
      </c>
      <c r="K579" s="804"/>
      <c r="L579" s="956">
        <v>63900</v>
      </c>
      <c r="M579" s="804"/>
      <c r="N579" s="812"/>
      <c r="O579" s="812">
        <v>0.15</v>
      </c>
      <c r="P579" s="810" t="s">
        <v>4449</v>
      </c>
      <c r="Q579" s="813"/>
      <c r="R579" s="844"/>
      <c r="S579" s="844" t="s">
        <v>6044</v>
      </c>
      <c r="T579" s="844"/>
      <c r="U579" s="825"/>
    </row>
    <row r="580" spans="1:21">
      <c r="B580" s="1428" t="s">
        <v>6046</v>
      </c>
      <c r="C580" s="1424"/>
      <c r="D580" s="1424"/>
      <c r="E580" s="1424"/>
      <c r="F580" s="1424"/>
      <c r="G580" s="1424"/>
      <c r="H580" s="1424"/>
      <c r="I580" s="1424"/>
      <c r="J580" s="1424"/>
      <c r="K580" s="864"/>
      <c r="L580" s="865"/>
      <c r="M580" s="865"/>
      <c r="N580" s="866"/>
      <c r="O580" s="867"/>
      <c r="P580" s="868"/>
      <c r="Q580" s="869"/>
      <c r="R580" s="870"/>
      <c r="S580" s="870"/>
      <c r="T580" s="870"/>
    </row>
    <row r="581" spans="1:21">
      <c r="B581" s="1420" t="s">
        <v>6047</v>
      </c>
      <c r="C581" s="785"/>
      <c r="D581" s="786"/>
      <c r="E581" s="787" t="s">
        <v>137</v>
      </c>
      <c r="F581" s="787" t="s">
        <v>6048</v>
      </c>
      <c r="G581" s="788" t="s">
        <v>4414</v>
      </c>
      <c r="H581" s="797"/>
      <c r="I581" s="788"/>
      <c r="J581" s="787"/>
      <c r="K581" s="790"/>
      <c r="L581" s="790"/>
      <c r="M581" s="790"/>
      <c r="N581" s="791"/>
      <c r="O581" s="972"/>
      <c r="P581" s="1051" t="s">
        <v>4449</v>
      </c>
      <c r="Q581" s="792" t="s">
        <v>3556</v>
      </c>
      <c r="R581" s="793"/>
      <c r="S581" s="793"/>
      <c r="T581" s="793"/>
    </row>
    <row r="582" spans="1:21">
      <c r="B582" s="1421"/>
      <c r="C582" s="774"/>
      <c r="D582" s="775"/>
      <c r="E582" s="776"/>
      <c r="F582" s="776"/>
      <c r="G582" s="777"/>
      <c r="H582" s="783"/>
      <c r="I582" s="777"/>
      <c r="J582" s="776"/>
      <c r="K582" s="779"/>
      <c r="L582" s="779"/>
      <c r="M582" s="779"/>
      <c r="N582" s="780"/>
      <c r="O582" s="780"/>
      <c r="P582" s="777"/>
      <c r="Q582" s="781"/>
      <c r="R582" s="782"/>
      <c r="S582" s="782"/>
      <c r="T582" s="782"/>
    </row>
    <row r="583" spans="1:21">
      <c r="B583" s="1421"/>
      <c r="C583" s="774"/>
      <c r="D583" s="775"/>
      <c r="E583" s="776"/>
      <c r="F583" s="776"/>
      <c r="G583" s="777"/>
      <c r="H583" s="783"/>
      <c r="I583" s="777"/>
      <c r="J583" s="776"/>
      <c r="K583" s="779"/>
      <c r="L583" s="779"/>
      <c r="M583" s="779"/>
      <c r="N583" s="780"/>
      <c r="O583" s="780"/>
      <c r="P583" s="777"/>
      <c r="Q583" s="781"/>
      <c r="R583" s="782"/>
      <c r="S583" s="782"/>
      <c r="T583" s="782"/>
    </row>
    <row r="584" spans="1:21">
      <c r="B584" s="1421"/>
      <c r="C584" s="774"/>
      <c r="D584" s="775"/>
      <c r="E584" s="776"/>
      <c r="F584" s="776"/>
      <c r="G584" s="777"/>
      <c r="H584" s="783"/>
      <c r="I584" s="777"/>
      <c r="J584" s="776"/>
      <c r="K584" s="779"/>
      <c r="L584" s="779"/>
      <c r="M584" s="779"/>
      <c r="N584" s="780"/>
      <c r="O584" s="780"/>
      <c r="P584" s="777"/>
      <c r="Q584" s="781"/>
      <c r="R584" s="782"/>
      <c r="S584" s="782"/>
      <c r="T584" s="782"/>
    </row>
    <row r="585" spans="1:21">
      <c r="B585" s="1421"/>
      <c r="C585" s="774"/>
      <c r="D585" s="775"/>
      <c r="E585" s="776"/>
      <c r="F585" s="776"/>
      <c r="G585" s="777"/>
      <c r="H585" s="783"/>
      <c r="I585" s="777"/>
      <c r="J585" s="776"/>
      <c r="K585" s="779"/>
      <c r="L585" s="779"/>
      <c r="M585" s="779"/>
      <c r="N585" s="780"/>
      <c r="O585" s="780"/>
      <c r="P585" s="777"/>
      <c r="Q585" s="781"/>
      <c r="R585" s="782"/>
      <c r="S585" s="782"/>
      <c r="T585" s="782"/>
    </row>
    <row r="586" spans="1:21">
      <c r="B586" s="1421"/>
      <c r="C586" s="774"/>
      <c r="D586" s="775"/>
      <c r="E586" s="776"/>
      <c r="F586" s="776"/>
      <c r="G586" s="777"/>
      <c r="H586" s="783"/>
      <c r="I586" s="777"/>
      <c r="J586" s="776"/>
      <c r="K586" s="779"/>
      <c r="L586" s="779"/>
      <c r="M586" s="779"/>
      <c r="N586" s="780"/>
      <c r="O586" s="780"/>
      <c r="P586" s="777"/>
      <c r="Q586" s="781"/>
      <c r="R586" s="782"/>
      <c r="S586" s="782"/>
      <c r="T586" s="782"/>
    </row>
    <row r="587" spans="1:21">
      <c r="B587" s="1421"/>
      <c r="C587" s="774"/>
      <c r="D587" s="775"/>
      <c r="E587" s="776"/>
      <c r="F587" s="776"/>
      <c r="G587" s="777"/>
      <c r="H587" s="783"/>
      <c r="I587" s="777"/>
      <c r="J587" s="776"/>
      <c r="K587" s="779"/>
      <c r="L587" s="779"/>
      <c r="M587" s="779"/>
      <c r="N587" s="780"/>
      <c r="O587" s="780"/>
      <c r="P587" s="777"/>
      <c r="Q587" s="781"/>
      <c r="R587" s="782"/>
      <c r="S587" s="782"/>
      <c r="T587" s="782"/>
    </row>
    <row r="588" spans="1:21">
      <c r="B588" s="1421"/>
      <c r="C588" s="774"/>
      <c r="D588" s="775"/>
      <c r="E588" s="776"/>
      <c r="F588" s="776"/>
      <c r="G588" s="777"/>
      <c r="H588" s="783"/>
      <c r="I588" s="777"/>
      <c r="J588" s="776"/>
      <c r="K588" s="779"/>
      <c r="L588" s="779"/>
      <c r="M588" s="779"/>
      <c r="N588" s="780"/>
      <c r="O588" s="780"/>
      <c r="P588" s="777"/>
      <c r="Q588" s="781"/>
      <c r="R588" s="782"/>
      <c r="S588" s="782"/>
      <c r="T588" s="782"/>
    </row>
    <row r="589" spans="1:21">
      <c r="B589" s="1421"/>
      <c r="C589" s="774"/>
      <c r="D589" s="775"/>
      <c r="E589" s="776"/>
      <c r="F589" s="776"/>
      <c r="G589" s="777"/>
      <c r="H589" s="783"/>
      <c r="I589" s="777"/>
      <c r="J589" s="776"/>
      <c r="K589" s="779"/>
      <c r="L589" s="779"/>
      <c r="M589" s="779"/>
      <c r="N589" s="780"/>
      <c r="O589" s="780"/>
      <c r="P589" s="777"/>
      <c r="Q589" s="781"/>
      <c r="R589" s="782"/>
      <c r="S589" s="782"/>
      <c r="T589" s="782"/>
    </row>
    <row r="590" spans="1:21">
      <c r="B590" s="1422"/>
      <c r="C590" s="873"/>
      <c r="D590" s="874"/>
      <c r="E590" s="875"/>
      <c r="F590" s="875"/>
      <c r="G590" s="876"/>
      <c r="H590" s="877"/>
      <c r="I590" s="876"/>
      <c r="J590" s="875"/>
      <c r="K590" s="878"/>
      <c r="L590" s="878"/>
      <c r="M590" s="878"/>
      <c r="N590" s="879"/>
      <c r="O590" s="879"/>
      <c r="P590" s="876"/>
      <c r="Q590" s="880"/>
      <c r="R590" s="881"/>
      <c r="S590" s="881"/>
      <c r="T590" s="881"/>
    </row>
    <row r="591" spans="1:21">
      <c r="B591" s="1420" t="s">
        <v>6049</v>
      </c>
      <c r="C591" s="785"/>
      <c r="D591" s="786"/>
      <c r="E591" s="787" t="s">
        <v>137</v>
      </c>
      <c r="F591" s="787" t="s">
        <v>6048</v>
      </c>
      <c r="G591" s="788" t="s">
        <v>6050</v>
      </c>
      <c r="H591" s="797"/>
      <c r="I591" s="788">
        <v>10613040</v>
      </c>
      <c r="J591" s="787" t="s">
        <v>6051</v>
      </c>
      <c r="K591" s="790">
        <v>19900</v>
      </c>
      <c r="L591" s="790">
        <v>7900</v>
      </c>
      <c r="M591" s="790"/>
      <c r="N591" s="791"/>
      <c r="O591" s="972">
        <v>0.15</v>
      </c>
      <c r="P591" s="1051" t="s">
        <v>4449</v>
      </c>
      <c r="Q591" s="792"/>
      <c r="R591" s="793"/>
      <c r="S591" s="793"/>
      <c r="T591" s="793"/>
    </row>
    <row r="592" spans="1:21">
      <c r="B592" s="1421"/>
      <c r="C592" s="774"/>
      <c r="D592" s="775"/>
      <c r="E592" s="776"/>
      <c r="F592" s="776"/>
      <c r="G592" s="777"/>
      <c r="H592" s="783"/>
      <c r="I592" s="777"/>
      <c r="J592" s="776"/>
      <c r="K592" s="779"/>
      <c r="L592" s="779"/>
      <c r="M592" s="779"/>
      <c r="N592" s="780"/>
      <c r="O592" s="780"/>
      <c r="P592" s="777"/>
      <c r="Q592" s="781"/>
      <c r="R592" s="782"/>
      <c r="S592" s="782"/>
      <c r="T592" s="782"/>
    </row>
    <row r="593" spans="2:20">
      <c r="B593" s="1421"/>
      <c r="C593" s="774"/>
      <c r="D593" s="775"/>
      <c r="E593" s="776"/>
      <c r="F593" s="776"/>
      <c r="G593" s="777"/>
      <c r="H593" s="783"/>
      <c r="I593" s="777"/>
      <c r="J593" s="776"/>
      <c r="K593" s="779"/>
      <c r="L593" s="779"/>
      <c r="M593" s="779"/>
      <c r="N593" s="780"/>
      <c r="O593" s="780"/>
      <c r="P593" s="777"/>
      <c r="Q593" s="781"/>
      <c r="R593" s="782"/>
      <c r="S593" s="782"/>
      <c r="T593" s="782"/>
    </row>
    <row r="594" spans="2:20">
      <c r="B594" s="1421"/>
      <c r="C594" s="774"/>
      <c r="D594" s="775"/>
      <c r="E594" s="776"/>
      <c r="F594" s="776"/>
      <c r="G594" s="777"/>
      <c r="H594" s="783"/>
      <c r="I594" s="777"/>
      <c r="J594" s="776"/>
      <c r="K594" s="779"/>
      <c r="L594" s="779"/>
      <c r="M594" s="779"/>
      <c r="N594" s="780"/>
      <c r="O594" s="780"/>
      <c r="P594" s="777"/>
      <c r="Q594" s="781"/>
      <c r="R594" s="782"/>
      <c r="S594" s="782"/>
      <c r="T594" s="782"/>
    </row>
    <row r="595" spans="2:20">
      <c r="B595" s="1421"/>
      <c r="C595" s="774"/>
      <c r="D595" s="775"/>
      <c r="E595" s="776"/>
      <c r="F595" s="776"/>
      <c r="G595" s="777"/>
      <c r="H595" s="783"/>
      <c r="I595" s="777"/>
      <c r="J595" s="776"/>
      <c r="K595" s="779"/>
      <c r="L595" s="779"/>
      <c r="M595" s="779"/>
      <c r="N595" s="780"/>
      <c r="O595" s="780"/>
      <c r="P595" s="777"/>
      <c r="Q595" s="781"/>
      <c r="R595" s="782"/>
      <c r="S595" s="782"/>
      <c r="T595" s="782"/>
    </row>
    <row r="596" spans="2:20">
      <c r="B596" s="1421"/>
      <c r="C596" s="774"/>
      <c r="D596" s="775"/>
      <c r="E596" s="776"/>
      <c r="F596" s="776"/>
      <c r="G596" s="777"/>
      <c r="H596" s="783"/>
      <c r="I596" s="777"/>
      <c r="J596" s="776"/>
      <c r="K596" s="779"/>
      <c r="L596" s="779"/>
      <c r="M596" s="779"/>
      <c r="N596" s="780"/>
      <c r="O596" s="780"/>
      <c r="P596" s="777"/>
      <c r="Q596" s="781"/>
      <c r="R596" s="782"/>
      <c r="S596" s="782"/>
      <c r="T596" s="782"/>
    </row>
    <row r="597" spans="2:20">
      <c r="B597" s="1421"/>
      <c r="C597" s="774"/>
      <c r="D597" s="775"/>
      <c r="E597" s="776"/>
      <c r="F597" s="776"/>
      <c r="G597" s="777"/>
      <c r="H597" s="783"/>
      <c r="I597" s="777"/>
      <c r="J597" s="776"/>
      <c r="K597" s="779"/>
      <c r="L597" s="779"/>
      <c r="M597" s="779"/>
      <c r="N597" s="780"/>
      <c r="O597" s="780"/>
      <c r="P597" s="777"/>
      <c r="Q597" s="781"/>
      <c r="R597" s="782"/>
      <c r="S597" s="782"/>
      <c r="T597" s="782"/>
    </row>
    <row r="598" spans="2:20">
      <c r="B598" s="1421"/>
      <c r="C598" s="774"/>
      <c r="D598" s="775"/>
      <c r="E598" s="776"/>
      <c r="F598" s="776"/>
      <c r="G598" s="777"/>
      <c r="H598" s="783"/>
      <c r="I598" s="777"/>
      <c r="J598" s="776"/>
      <c r="K598" s="779"/>
      <c r="L598" s="779"/>
      <c r="M598" s="779"/>
      <c r="N598" s="780"/>
      <c r="O598" s="780"/>
      <c r="P598" s="777"/>
      <c r="Q598" s="781"/>
      <c r="R598" s="782"/>
      <c r="S598" s="782"/>
      <c r="T598" s="782"/>
    </row>
    <row r="599" spans="2:20">
      <c r="B599" s="1421"/>
      <c r="C599" s="774"/>
      <c r="D599" s="775"/>
      <c r="E599" s="776"/>
      <c r="F599" s="776"/>
      <c r="G599" s="777"/>
      <c r="H599" s="783"/>
      <c r="I599" s="777"/>
      <c r="J599" s="776"/>
      <c r="K599" s="779"/>
      <c r="L599" s="779"/>
      <c r="M599" s="779"/>
      <c r="N599" s="780"/>
      <c r="O599" s="780"/>
      <c r="P599" s="777"/>
      <c r="Q599" s="781"/>
      <c r="R599" s="782"/>
      <c r="S599" s="782"/>
      <c r="T599" s="782"/>
    </row>
    <row r="600" spans="2:20">
      <c r="B600" s="1422"/>
      <c r="C600" s="873"/>
      <c r="D600" s="874"/>
      <c r="E600" s="875"/>
      <c r="F600" s="875"/>
      <c r="G600" s="876"/>
      <c r="H600" s="877"/>
      <c r="I600" s="876"/>
      <c r="J600" s="875"/>
      <c r="K600" s="878"/>
      <c r="L600" s="878"/>
      <c r="M600" s="878"/>
      <c r="N600" s="879"/>
      <c r="O600" s="879"/>
      <c r="P600" s="876"/>
      <c r="Q600" s="880"/>
      <c r="R600" s="881"/>
      <c r="S600" s="881"/>
      <c r="T600" s="881"/>
    </row>
    <row r="601" spans="2:20">
      <c r="B601" s="1420" t="s">
        <v>6052</v>
      </c>
      <c r="C601" s="785"/>
      <c r="D601" s="786"/>
      <c r="E601" s="787" t="s">
        <v>137</v>
      </c>
      <c r="F601" s="787" t="s">
        <v>6053</v>
      </c>
      <c r="G601" s="788" t="s">
        <v>4446</v>
      </c>
      <c r="H601" s="797"/>
      <c r="I601" s="819">
        <v>77263428</v>
      </c>
      <c r="J601" s="818" t="s">
        <v>6054</v>
      </c>
      <c r="K601" s="790">
        <v>24900</v>
      </c>
      <c r="L601" s="790"/>
      <c r="M601" s="790"/>
      <c r="N601" s="791"/>
      <c r="O601" s="791">
        <v>0.12</v>
      </c>
      <c r="P601" s="1051" t="s">
        <v>4449</v>
      </c>
      <c r="Q601" s="792" t="s">
        <v>6055</v>
      </c>
      <c r="R601" s="793"/>
      <c r="S601" s="793"/>
      <c r="T601" s="793"/>
    </row>
    <row r="602" spans="2:20">
      <c r="B602" s="1421"/>
      <c r="C602" s="774"/>
      <c r="D602" s="775"/>
      <c r="E602" s="776"/>
      <c r="F602" s="776"/>
      <c r="G602" s="777"/>
      <c r="H602" s="783"/>
      <c r="I602" s="777"/>
      <c r="J602" s="776"/>
      <c r="K602" s="779"/>
      <c r="L602" s="779"/>
      <c r="M602" s="779"/>
      <c r="N602" s="780"/>
      <c r="O602" s="780"/>
      <c r="P602" s="777"/>
      <c r="Q602" s="781"/>
      <c r="R602" s="782"/>
      <c r="S602" s="782"/>
      <c r="T602" s="782"/>
    </row>
    <row r="603" spans="2:20">
      <c r="B603" s="1421"/>
      <c r="C603" s="774"/>
      <c r="D603" s="775"/>
      <c r="E603" s="776"/>
      <c r="F603" s="776"/>
      <c r="G603" s="777"/>
      <c r="H603" s="783"/>
      <c r="I603" s="777"/>
      <c r="J603" s="776"/>
      <c r="K603" s="779"/>
      <c r="L603" s="779"/>
      <c r="M603" s="779"/>
      <c r="N603" s="780"/>
      <c r="O603" s="780"/>
      <c r="P603" s="777"/>
      <c r="Q603" s="781"/>
      <c r="R603" s="782"/>
      <c r="S603" s="782"/>
      <c r="T603" s="782"/>
    </row>
    <row r="604" spans="2:20">
      <c r="B604" s="1421"/>
      <c r="C604" s="774"/>
      <c r="D604" s="775"/>
      <c r="E604" s="776"/>
      <c r="F604" s="776"/>
      <c r="G604" s="777"/>
      <c r="H604" s="783"/>
      <c r="I604" s="777"/>
      <c r="J604" s="776"/>
      <c r="K604" s="779"/>
      <c r="L604" s="779"/>
      <c r="M604" s="779"/>
      <c r="N604" s="780"/>
      <c r="O604" s="780"/>
      <c r="P604" s="777"/>
      <c r="Q604" s="781"/>
      <c r="R604" s="782"/>
      <c r="S604" s="782"/>
      <c r="T604" s="782"/>
    </row>
    <row r="605" spans="2:20">
      <c r="B605" s="1421"/>
      <c r="C605" s="774"/>
      <c r="D605" s="775"/>
      <c r="E605" s="776"/>
      <c r="F605" s="776"/>
      <c r="G605" s="777"/>
      <c r="H605" s="783"/>
      <c r="I605" s="777"/>
      <c r="J605" s="776"/>
      <c r="K605" s="779"/>
      <c r="L605" s="779"/>
      <c r="M605" s="779"/>
      <c r="N605" s="780"/>
      <c r="O605" s="780"/>
      <c r="P605" s="777"/>
      <c r="Q605" s="781"/>
      <c r="R605" s="782"/>
      <c r="S605" s="782"/>
      <c r="T605" s="782"/>
    </row>
    <row r="606" spans="2:20">
      <c r="B606" s="1421"/>
      <c r="C606" s="774"/>
      <c r="D606" s="775"/>
      <c r="E606" s="776"/>
      <c r="F606" s="776"/>
      <c r="G606" s="777"/>
      <c r="H606" s="783"/>
      <c r="I606" s="777"/>
      <c r="J606" s="776"/>
      <c r="K606" s="779"/>
      <c r="L606" s="779"/>
      <c r="M606" s="779"/>
      <c r="N606" s="780"/>
      <c r="O606" s="780"/>
      <c r="P606" s="777"/>
      <c r="Q606" s="781"/>
      <c r="R606" s="782"/>
      <c r="S606" s="782"/>
      <c r="T606" s="782"/>
    </row>
    <row r="607" spans="2:20">
      <c r="B607" s="1421"/>
      <c r="C607" s="774"/>
      <c r="D607" s="775"/>
      <c r="E607" s="776"/>
      <c r="F607" s="776"/>
      <c r="G607" s="777"/>
      <c r="H607" s="783"/>
      <c r="I607" s="777"/>
      <c r="J607" s="776"/>
      <c r="K607" s="779"/>
      <c r="L607" s="779"/>
      <c r="M607" s="779"/>
      <c r="N607" s="780"/>
      <c r="O607" s="780"/>
      <c r="P607" s="777"/>
      <c r="Q607" s="781"/>
      <c r="R607" s="782"/>
      <c r="S607" s="782"/>
      <c r="T607" s="782"/>
    </row>
    <row r="608" spans="2:20">
      <c r="B608" s="1421"/>
      <c r="C608" s="774"/>
      <c r="D608" s="775"/>
      <c r="E608" s="776"/>
      <c r="F608" s="776"/>
      <c r="G608" s="777"/>
      <c r="H608" s="783"/>
      <c r="I608" s="777"/>
      <c r="J608" s="776"/>
      <c r="K608" s="779"/>
      <c r="L608" s="779"/>
      <c r="M608" s="779"/>
      <c r="N608" s="780"/>
      <c r="O608" s="780"/>
      <c r="P608" s="777"/>
      <c r="Q608" s="781"/>
      <c r="R608" s="782"/>
      <c r="S608" s="782"/>
      <c r="T608" s="782"/>
    </row>
    <row r="609" spans="2:20">
      <c r="B609" s="1421"/>
      <c r="C609" s="774"/>
      <c r="D609" s="775"/>
      <c r="E609" s="776"/>
      <c r="F609" s="776"/>
      <c r="G609" s="777"/>
      <c r="H609" s="783"/>
      <c r="I609" s="777"/>
      <c r="J609" s="776"/>
      <c r="K609" s="779"/>
      <c r="L609" s="779"/>
      <c r="M609" s="779"/>
      <c r="N609" s="780"/>
      <c r="O609" s="780"/>
      <c r="P609" s="777"/>
      <c r="Q609" s="781"/>
      <c r="R609" s="782"/>
      <c r="S609" s="782"/>
      <c r="T609" s="782"/>
    </row>
    <row r="610" spans="2:20">
      <c r="B610" s="1422"/>
      <c r="C610" s="873"/>
      <c r="D610" s="874"/>
      <c r="E610" s="875"/>
      <c r="F610" s="875"/>
      <c r="G610" s="876"/>
      <c r="H610" s="877"/>
      <c r="I610" s="876"/>
      <c r="J610" s="875"/>
      <c r="K610" s="878"/>
      <c r="L610" s="878"/>
      <c r="M610" s="878"/>
      <c r="N610" s="879"/>
      <c r="O610" s="879"/>
      <c r="P610" s="876"/>
      <c r="Q610" s="880"/>
      <c r="R610" s="881"/>
      <c r="S610" s="881"/>
      <c r="T610" s="881"/>
    </row>
    <row r="611" spans="2:20">
      <c r="B611" s="1420" t="s">
        <v>6056</v>
      </c>
      <c r="C611" s="785"/>
      <c r="D611" s="786"/>
      <c r="E611" s="787"/>
      <c r="F611" s="787"/>
      <c r="G611" s="788"/>
      <c r="H611" s="797"/>
      <c r="I611" s="788"/>
      <c r="J611" s="787"/>
      <c r="K611" s="790"/>
      <c r="L611" s="790"/>
      <c r="M611" s="790"/>
      <c r="N611" s="791"/>
      <c r="O611" s="791"/>
      <c r="P611" s="788"/>
      <c r="Q611" s="792"/>
      <c r="R611" s="793"/>
      <c r="S611" s="793"/>
      <c r="T611" s="793"/>
    </row>
    <row r="612" spans="2:20">
      <c r="B612" s="1421"/>
      <c r="C612" s="774"/>
      <c r="D612" s="775"/>
      <c r="E612" s="776"/>
      <c r="F612" s="776"/>
      <c r="G612" s="777"/>
      <c r="H612" s="783"/>
      <c r="I612" s="777"/>
      <c r="J612" s="776"/>
      <c r="K612" s="779"/>
      <c r="L612" s="779"/>
      <c r="M612" s="779"/>
      <c r="N612" s="780"/>
      <c r="O612" s="780"/>
      <c r="P612" s="777"/>
      <c r="Q612" s="781"/>
      <c r="R612" s="782"/>
      <c r="S612" s="782"/>
      <c r="T612" s="782"/>
    </row>
    <row r="613" spans="2:20">
      <c r="B613" s="1421"/>
      <c r="C613" s="774"/>
      <c r="D613" s="775"/>
      <c r="E613" s="776"/>
      <c r="F613" s="776"/>
      <c r="G613" s="777"/>
      <c r="H613" s="783"/>
      <c r="I613" s="777"/>
      <c r="J613" s="776"/>
      <c r="K613" s="779"/>
      <c r="L613" s="779"/>
      <c r="M613" s="779"/>
      <c r="N613" s="780"/>
      <c r="O613" s="780"/>
      <c r="P613" s="777"/>
      <c r="Q613" s="781"/>
      <c r="R613" s="782"/>
      <c r="S613" s="782"/>
      <c r="T613" s="782"/>
    </row>
    <row r="614" spans="2:20">
      <c r="B614" s="1421"/>
      <c r="C614" s="774"/>
      <c r="D614" s="775"/>
      <c r="E614" s="776"/>
      <c r="F614" s="776"/>
      <c r="G614" s="777"/>
      <c r="H614" s="783"/>
      <c r="I614" s="777"/>
      <c r="J614" s="776"/>
      <c r="K614" s="779"/>
      <c r="L614" s="779"/>
      <c r="M614" s="779"/>
      <c r="N614" s="780"/>
      <c r="O614" s="780"/>
      <c r="P614" s="777"/>
      <c r="Q614" s="781"/>
      <c r="R614" s="782"/>
      <c r="S614" s="782"/>
      <c r="T614" s="782"/>
    </row>
    <row r="615" spans="2:20">
      <c r="B615" s="1421"/>
      <c r="C615" s="774"/>
      <c r="D615" s="775"/>
      <c r="E615" s="776"/>
      <c r="F615" s="776"/>
      <c r="G615" s="777"/>
      <c r="H615" s="783"/>
      <c r="I615" s="777"/>
      <c r="J615" s="776"/>
      <c r="K615" s="779"/>
      <c r="L615" s="779"/>
      <c r="M615" s="779"/>
      <c r="N615" s="780"/>
      <c r="O615" s="780"/>
      <c r="P615" s="777"/>
      <c r="Q615" s="781"/>
      <c r="R615" s="782"/>
      <c r="S615" s="782"/>
      <c r="T615" s="782"/>
    </row>
    <row r="616" spans="2:20">
      <c r="B616" s="1421"/>
      <c r="C616" s="774"/>
      <c r="D616" s="775"/>
      <c r="E616" s="776"/>
      <c r="F616" s="776"/>
      <c r="G616" s="777"/>
      <c r="H616" s="783"/>
      <c r="I616" s="777"/>
      <c r="J616" s="776"/>
      <c r="K616" s="779"/>
      <c r="L616" s="779"/>
      <c r="M616" s="779"/>
      <c r="N616" s="780"/>
      <c r="O616" s="780"/>
      <c r="P616" s="777"/>
      <c r="Q616" s="781"/>
      <c r="R616" s="782"/>
      <c r="S616" s="782"/>
      <c r="T616" s="782"/>
    </row>
    <row r="617" spans="2:20">
      <c r="B617" s="1421"/>
      <c r="C617" s="774"/>
      <c r="D617" s="775"/>
      <c r="E617" s="776"/>
      <c r="F617" s="776"/>
      <c r="G617" s="777"/>
      <c r="H617" s="783"/>
      <c r="I617" s="777"/>
      <c r="J617" s="776"/>
      <c r="K617" s="779"/>
      <c r="L617" s="779"/>
      <c r="M617" s="779"/>
      <c r="N617" s="780"/>
      <c r="O617" s="780"/>
      <c r="P617" s="777"/>
      <c r="Q617" s="781"/>
      <c r="R617" s="782"/>
      <c r="S617" s="782"/>
      <c r="T617" s="782"/>
    </row>
    <row r="618" spans="2:20">
      <c r="B618" s="1421"/>
      <c r="C618" s="774"/>
      <c r="D618" s="775"/>
      <c r="E618" s="776"/>
      <c r="F618" s="776"/>
      <c r="G618" s="777"/>
      <c r="H618" s="783"/>
      <c r="I618" s="777"/>
      <c r="J618" s="776"/>
      <c r="K618" s="779"/>
      <c r="L618" s="779"/>
      <c r="M618" s="779"/>
      <c r="N618" s="780"/>
      <c r="O618" s="780"/>
      <c r="P618" s="777"/>
      <c r="Q618" s="781"/>
      <c r="R618" s="782"/>
      <c r="S618" s="782"/>
      <c r="T618" s="782"/>
    </row>
    <row r="619" spans="2:20">
      <c r="B619" s="1421"/>
      <c r="C619" s="774"/>
      <c r="D619" s="775"/>
      <c r="E619" s="776"/>
      <c r="F619" s="776"/>
      <c r="G619" s="777"/>
      <c r="H619" s="783"/>
      <c r="I619" s="777"/>
      <c r="J619" s="776"/>
      <c r="K619" s="779"/>
      <c r="L619" s="779"/>
      <c r="M619" s="779"/>
      <c r="N619" s="780"/>
      <c r="O619" s="780"/>
      <c r="P619" s="777"/>
      <c r="Q619" s="781"/>
      <c r="R619" s="782"/>
      <c r="S619" s="782"/>
      <c r="T619" s="782"/>
    </row>
    <row r="620" spans="2:20">
      <c r="B620" s="1422"/>
      <c r="C620" s="873"/>
      <c r="D620" s="874"/>
      <c r="E620" s="875"/>
      <c r="F620" s="875"/>
      <c r="G620" s="876"/>
      <c r="H620" s="877"/>
      <c r="I620" s="876"/>
      <c r="J620" s="875"/>
      <c r="K620" s="878"/>
      <c r="L620" s="878"/>
      <c r="M620" s="878"/>
      <c r="N620" s="879"/>
      <c r="O620" s="879"/>
      <c r="P620" s="876"/>
      <c r="Q620" s="880"/>
      <c r="R620" s="881"/>
      <c r="S620" s="881"/>
      <c r="T620" s="881"/>
    </row>
    <row r="621" spans="2:20">
      <c r="B621" s="1420" t="s">
        <v>6057</v>
      </c>
      <c r="C621" s="785"/>
      <c r="D621" s="786"/>
      <c r="E621" s="818" t="s">
        <v>137</v>
      </c>
      <c r="F621" s="818" t="s">
        <v>4603</v>
      </c>
      <c r="G621" s="819" t="s">
        <v>3705</v>
      </c>
      <c r="H621" s="797"/>
      <c r="I621" s="788"/>
      <c r="J621" s="787"/>
      <c r="K621" s="790"/>
      <c r="L621" s="790"/>
      <c r="M621" s="790"/>
      <c r="N621" s="791"/>
      <c r="O621" s="791"/>
      <c r="P621" s="1051" t="s">
        <v>4449</v>
      </c>
      <c r="Q621" s="792" t="s">
        <v>3556</v>
      </c>
      <c r="R621" s="793"/>
      <c r="S621" s="793"/>
      <c r="T621" s="793"/>
    </row>
    <row r="622" spans="2:20">
      <c r="B622" s="1421"/>
      <c r="C622" s="774"/>
      <c r="D622" s="775"/>
      <c r="E622" s="776"/>
      <c r="F622" s="776"/>
      <c r="G622" s="777"/>
      <c r="H622" s="783"/>
      <c r="I622" s="777"/>
      <c r="J622" s="776"/>
      <c r="K622" s="779"/>
      <c r="L622" s="779"/>
      <c r="M622" s="779"/>
      <c r="N622" s="780"/>
      <c r="O622" s="780"/>
      <c r="P622" s="777"/>
      <c r="Q622" s="781"/>
      <c r="R622" s="782"/>
      <c r="S622" s="782"/>
      <c r="T622" s="782"/>
    </row>
    <row r="623" spans="2:20">
      <c r="B623" s="1421"/>
      <c r="C623" s="774"/>
      <c r="D623" s="775"/>
      <c r="E623" s="776"/>
      <c r="F623" s="776"/>
      <c r="G623" s="777"/>
      <c r="H623" s="783"/>
      <c r="I623" s="777"/>
      <c r="J623" s="776"/>
      <c r="K623" s="779"/>
      <c r="L623" s="779"/>
      <c r="M623" s="779"/>
      <c r="N623" s="780"/>
      <c r="O623" s="780"/>
      <c r="P623" s="777"/>
      <c r="Q623" s="781"/>
      <c r="R623" s="782"/>
      <c r="S623" s="782"/>
      <c r="T623" s="782"/>
    </row>
    <row r="624" spans="2:20">
      <c r="B624" s="1421"/>
      <c r="C624" s="774"/>
      <c r="D624" s="775"/>
      <c r="E624" s="776"/>
      <c r="F624" s="776"/>
      <c r="G624" s="777"/>
      <c r="H624" s="783"/>
      <c r="I624" s="777"/>
      <c r="J624" s="776"/>
      <c r="K624" s="779"/>
      <c r="L624" s="779"/>
      <c r="M624" s="779"/>
      <c r="N624" s="780"/>
      <c r="O624" s="780"/>
      <c r="P624" s="777"/>
      <c r="Q624" s="781"/>
      <c r="R624" s="782"/>
      <c r="S624" s="782"/>
      <c r="T624" s="782"/>
    </row>
    <row r="625" spans="2:20">
      <c r="B625" s="1421"/>
      <c r="C625" s="774"/>
      <c r="D625" s="775"/>
      <c r="E625" s="776"/>
      <c r="F625" s="776"/>
      <c r="G625" s="777"/>
      <c r="H625" s="783"/>
      <c r="I625" s="777"/>
      <c r="J625" s="776"/>
      <c r="K625" s="779"/>
      <c r="L625" s="779"/>
      <c r="M625" s="779"/>
      <c r="N625" s="780"/>
      <c r="O625" s="780"/>
      <c r="P625" s="777"/>
      <c r="Q625" s="781"/>
      <c r="R625" s="782"/>
      <c r="S625" s="782"/>
      <c r="T625" s="782"/>
    </row>
    <row r="626" spans="2:20">
      <c r="B626" s="1421"/>
      <c r="C626" s="774"/>
      <c r="D626" s="775"/>
      <c r="E626" s="776"/>
      <c r="F626" s="776"/>
      <c r="G626" s="777"/>
      <c r="H626" s="783"/>
      <c r="I626" s="777"/>
      <c r="J626" s="776"/>
      <c r="K626" s="779"/>
      <c r="L626" s="779"/>
      <c r="M626" s="779"/>
      <c r="N626" s="780"/>
      <c r="O626" s="780"/>
      <c r="P626" s="777"/>
      <c r="Q626" s="781"/>
      <c r="R626" s="782"/>
      <c r="S626" s="782"/>
      <c r="T626" s="782"/>
    </row>
    <row r="627" spans="2:20">
      <c r="B627" s="1421"/>
      <c r="C627" s="774"/>
      <c r="D627" s="775"/>
      <c r="E627" s="776"/>
      <c r="F627" s="776"/>
      <c r="G627" s="777"/>
      <c r="H627" s="783"/>
      <c r="I627" s="777"/>
      <c r="J627" s="776"/>
      <c r="K627" s="779"/>
      <c r="L627" s="779"/>
      <c r="M627" s="779"/>
      <c r="N627" s="780"/>
      <c r="O627" s="780"/>
      <c r="P627" s="777"/>
      <c r="Q627" s="781"/>
      <c r="R627" s="782"/>
      <c r="S627" s="782"/>
      <c r="T627" s="782"/>
    </row>
    <row r="628" spans="2:20">
      <c r="B628" s="1421"/>
      <c r="C628" s="774"/>
      <c r="D628" s="775"/>
      <c r="E628" s="776"/>
      <c r="F628" s="776"/>
      <c r="G628" s="777"/>
      <c r="H628" s="783"/>
      <c r="I628" s="777"/>
      <c r="J628" s="776"/>
      <c r="K628" s="779"/>
      <c r="L628" s="779"/>
      <c r="M628" s="779"/>
      <c r="N628" s="780"/>
      <c r="O628" s="780"/>
      <c r="P628" s="777"/>
      <c r="Q628" s="781"/>
      <c r="R628" s="782"/>
      <c r="S628" s="782"/>
      <c r="T628" s="782"/>
    </row>
    <row r="629" spans="2:20">
      <c r="B629" s="1421"/>
      <c r="C629" s="774"/>
      <c r="D629" s="775"/>
      <c r="E629" s="776"/>
      <c r="F629" s="776"/>
      <c r="G629" s="777"/>
      <c r="H629" s="783"/>
      <c r="I629" s="777"/>
      <c r="J629" s="776"/>
      <c r="K629" s="779"/>
      <c r="L629" s="779"/>
      <c r="M629" s="779"/>
      <c r="N629" s="780"/>
      <c r="O629" s="780"/>
      <c r="P629" s="777"/>
      <c r="Q629" s="781"/>
      <c r="R629" s="782"/>
      <c r="S629" s="782"/>
      <c r="T629" s="782"/>
    </row>
    <row r="630" spans="2:20">
      <c r="B630" s="1422"/>
      <c r="C630" s="873"/>
      <c r="D630" s="874"/>
      <c r="E630" s="875"/>
      <c r="F630" s="875"/>
      <c r="G630" s="876"/>
      <c r="H630" s="877"/>
      <c r="I630" s="876"/>
      <c r="J630" s="875"/>
      <c r="K630" s="878"/>
      <c r="L630" s="878"/>
      <c r="M630" s="878"/>
      <c r="N630" s="879"/>
      <c r="O630" s="879"/>
      <c r="P630" s="876"/>
      <c r="Q630" s="880"/>
      <c r="R630" s="881"/>
      <c r="S630" s="881"/>
      <c r="T630" s="881"/>
    </row>
    <row r="631" spans="2:20">
      <c r="B631" s="1420" t="s">
        <v>6058</v>
      </c>
      <c r="C631" s="785"/>
      <c r="D631" s="786"/>
      <c r="E631" s="787"/>
      <c r="F631" s="787"/>
      <c r="G631" s="788"/>
      <c r="H631" s="797"/>
      <c r="I631" s="788"/>
      <c r="J631" s="787"/>
      <c r="K631" s="790"/>
      <c r="L631" s="790"/>
      <c r="M631" s="790"/>
      <c r="N631" s="791"/>
      <c r="O631" s="791"/>
      <c r="P631" s="788"/>
      <c r="Q631" s="792"/>
      <c r="R631" s="793"/>
      <c r="S631" s="793"/>
      <c r="T631" s="793"/>
    </row>
    <row r="632" spans="2:20">
      <c r="B632" s="1421"/>
      <c r="C632" s="774"/>
      <c r="D632" s="775"/>
      <c r="E632" s="776"/>
      <c r="F632" s="776"/>
      <c r="G632" s="777"/>
      <c r="H632" s="783"/>
      <c r="I632" s="777"/>
      <c r="J632" s="776"/>
      <c r="K632" s="779"/>
      <c r="L632" s="779"/>
      <c r="M632" s="779"/>
      <c r="N632" s="780"/>
      <c r="O632" s="780"/>
      <c r="P632" s="777"/>
      <c r="Q632" s="781"/>
      <c r="R632" s="782"/>
      <c r="S632" s="782"/>
      <c r="T632" s="782"/>
    </row>
    <row r="633" spans="2:20">
      <c r="B633" s="1421"/>
      <c r="C633" s="774"/>
      <c r="D633" s="775"/>
      <c r="E633" s="776"/>
      <c r="F633" s="776"/>
      <c r="G633" s="777"/>
      <c r="H633" s="783"/>
      <c r="I633" s="777"/>
      <c r="J633" s="776"/>
      <c r="K633" s="779"/>
      <c r="L633" s="779"/>
      <c r="M633" s="779"/>
      <c r="N633" s="780"/>
      <c r="O633" s="780"/>
      <c r="P633" s="777"/>
      <c r="Q633" s="781"/>
      <c r="R633" s="782"/>
      <c r="S633" s="782"/>
      <c r="T633" s="782"/>
    </row>
    <row r="634" spans="2:20">
      <c r="B634" s="1421"/>
      <c r="C634" s="774"/>
      <c r="D634" s="775"/>
      <c r="E634" s="776"/>
      <c r="F634" s="776"/>
      <c r="G634" s="777"/>
      <c r="H634" s="783"/>
      <c r="I634" s="777"/>
      <c r="J634" s="776"/>
      <c r="K634" s="779"/>
      <c r="L634" s="779"/>
      <c r="M634" s="779"/>
      <c r="N634" s="780"/>
      <c r="O634" s="780"/>
      <c r="P634" s="777"/>
      <c r="Q634" s="781"/>
      <c r="R634" s="782"/>
      <c r="S634" s="782"/>
      <c r="T634" s="782"/>
    </row>
    <row r="635" spans="2:20">
      <c r="B635" s="1421"/>
      <c r="C635" s="774"/>
      <c r="D635" s="775"/>
      <c r="E635" s="776"/>
      <c r="F635" s="776"/>
      <c r="G635" s="777"/>
      <c r="H635" s="783"/>
      <c r="I635" s="777"/>
      <c r="J635" s="776"/>
      <c r="K635" s="779"/>
      <c r="L635" s="779"/>
      <c r="M635" s="779"/>
      <c r="N635" s="780"/>
      <c r="O635" s="780"/>
      <c r="P635" s="777"/>
      <c r="Q635" s="781"/>
      <c r="R635" s="782"/>
      <c r="S635" s="782"/>
      <c r="T635" s="782"/>
    </row>
    <row r="636" spans="2:20">
      <c r="B636" s="1421"/>
      <c r="C636" s="774"/>
      <c r="D636" s="775"/>
      <c r="E636" s="776"/>
      <c r="F636" s="776"/>
      <c r="G636" s="777"/>
      <c r="H636" s="783"/>
      <c r="I636" s="777"/>
      <c r="J636" s="776"/>
      <c r="K636" s="779"/>
      <c r="L636" s="779"/>
      <c r="M636" s="779"/>
      <c r="N636" s="780"/>
      <c r="O636" s="780"/>
      <c r="P636" s="777"/>
      <c r="Q636" s="781"/>
      <c r="R636" s="782"/>
      <c r="S636" s="782"/>
      <c r="T636" s="782"/>
    </row>
    <row r="637" spans="2:20">
      <c r="B637" s="1421"/>
      <c r="C637" s="774"/>
      <c r="D637" s="775"/>
      <c r="E637" s="776"/>
      <c r="F637" s="776"/>
      <c r="G637" s="777"/>
      <c r="H637" s="783"/>
      <c r="I637" s="777"/>
      <c r="J637" s="776"/>
      <c r="K637" s="779"/>
      <c r="L637" s="779"/>
      <c r="M637" s="779"/>
      <c r="N637" s="780"/>
      <c r="O637" s="780"/>
      <c r="P637" s="777"/>
      <c r="Q637" s="781"/>
      <c r="R637" s="782"/>
      <c r="S637" s="782"/>
      <c r="T637" s="782"/>
    </row>
    <row r="638" spans="2:20">
      <c r="B638" s="1421"/>
      <c r="C638" s="774"/>
      <c r="D638" s="775"/>
      <c r="E638" s="776"/>
      <c r="F638" s="776"/>
      <c r="G638" s="777"/>
      <c r="H638" s="783"/>
      <c r="I638" s="777"/>
      <c r="J638" s="776"/>
      <c r="K638" s="779"/>
      <c r="L638" s="779"/>
      <c r="M638" s="779"/>
      <c r="N638" s="780"/>
      <c r="O638" s="780"/>
      <c r="P638" s="777"/>
      <c r="Q638" s="781"/>
      <c r="R638" s="782"/>
      <c r="S638" s="782"/>
      <c r="T638" s="782"/>
    </row>
    <row r="639" spans="2:20">
      <c r="B639" s="1421"/>
      <c r="C639" s="774"/>
      <c r="D639" s="775"/>
      <c r="E639" s="776"/>
      <c r="F639" s="776"/>
      <c r="G639" s="777"/>
      <c r="H639" s="783"/>
      <c r="I639" s="777"/>
      <c r="J639" s="776"/>
      <c r="K639" s="779"/>
      <c r="L639" s="779"/>
      <c r="M639" s="779"/>
      <c r="N639" s="780"/>
      <c r="O639" s="780"/>
      <c r="P639" s="777"/>
      <c r="Q639" s="781"/>
      <c r="R639" s="782"/>
      <c r="S639" s="782"/>
      <c r="T639" s="782"/>
    </row>
    <row r="640" spans="2:20">
      <c r="B640" s="1422"/>
      <c r="C640" s="873"/>
      <c r="D640" s="874"/>
      <c r="E640" s="875"/>
      <c r="F640" s="875"/>
      <c r="G640" s="876"/>
      <c r="H640" s="877"/>
      <c r="I640" s="876"/>
      <c r="J640" s="875"/>
      <c r="K640" s="878"/>
      <c r="L640" s="878"/>
      <c r="M640" s="878"/>
      <c r="N640" s="879"/>
      <c r="O640" s="879"/>
      <c r="P640" s="876"/>
      <c r="Q640" s="880"/>
      <c r="R640" s="881"/>
      <c r="S640" s="881"/>
      <c r="T640" s="881"/>
    </row>
    <row r="641" spans="2:20">
      <c r="B641" s="1420" t="s">
        <v>6059</v>
      </c>
      <c r="C641" s="774"/>
      <c r="D641" s="775"/>
      <c r="E641" s="776" t="s">
        <v>137</v>
      </c>
      <c r="F641" s="776" t="s">
        <v>4445</v>
      </c>
      <c r="G641" s="777" t="s">
        <v>6060</v>
      </c>
      <c r="H641" s="783"/>
      <c r="I641" s="777">
        <v>77285575</v>
      </c>
      <c r="J641" s="776" t="s">
        <v>6061</v>
      </c>
      <c r="K641" s="779">
        <v>54860</v>
      </c>
      <c r="L641" s="779"/>
      <c r="M641" s="779"/>
      <c r="N641" s="780"/>
      <c r="O641" s="780">
        <v>0.12</v>
      </c>
      <c r="P641" s="777"/>
      <c r="Q641" s="781" t="s">
        <v>6055</v>
      </c>
      <c r="R641" s="782"/>
      <c r="S641" s="782"/>
      <c r="T641" s="782"/>
    </row>
    <row r="642" spans="2:20">
      <c r="B642" s="1421"/>
      <c r="C642" s="774"/>
      <c r="D642" s="775"/>
      <c r="E642" s="776"/>
      <c r="F642" s="776"/>
      <c r="G642" s="777"/>
      <c r="H642" s="783"/>
      <c r="I642" s="777"/>
      <c r="J642" s="776"/>
      <c r="K642" s="779"/>
      <c r="L642" s="779"/>
      <c r="M642" s="779"/>
      <c r="N642" s="780"/>
      <c r="O642" s="780"/>
      <c r="P642" s="777"/>
      <c r="Q642" s="781"/>
      <c r="R642" s="782"/>
      <c r="S642" s="782"/>
      <c r="T642" s="782"/>
    </row>
    <row r="643" spans="2:20">
      <c r="B643" s="1421"/>
      <c r="C643" s="774"/>
      <c r="D643" s="775"/>
      <c r="E643" s="776"/>
      <c r="F643" s="776"/>
      <c r="G643" s="777"/>
      <c r="H643" s="783"/>
      <c r="I643" s="777"/>
      <c r="J643" s="776"/>
      <c r="K643" s="779"/>
      <c r="L643" s="779"/>
      <c r="M643" s="779"/>
      <c r="N643" s="780"/>
      <c r="O643" s="780"/>
      <c r="P643" s="777"/>
      <c r="Q643" s="781"/>
      <c r="R643" s="782"/>
      <c r="S643" s="782"/>
      <c r="T643" s="782"/>
    </row>
    <row r="644" spans="2:20">
      <c r="B644" s="1421"/>
      <c r="C644" s="774"/>
      <c r="D644" s="775"/>
      <c r="E644" s="776"/>
      <c r="F644" s="776"/>
      <c r="G644" s="777"/>
      <c r="H644" s="783"/>
      <c r="I644" s="777"/>
      <c r="J644" s="776"/>
      <c r="K644" s="779"/>
      <c r="L644" s="779"/>
      <c r="M644" s="779"/>
      <c r="N644" s="780"/>
      <c r="O644" s="780"/>
      <c r="P644" s="777"/>
      <c r="Q644" s="781"/>
      <c r="R644" s="782"/>
      <c r="S644" s="782"/>
      <c r="T644" s="782"/>
    </row>
    <row r="645" spans="2:20">
      <c r="B645" s="1421"/>
      <c r="C645" s="774"/>
      <c r="D645" s="775"/>
      <c r="E645" s="776"/>
      <c r="F645" s="776"/>
      <c r="G645" s="777"/>
      <c r="H645" s="783"/>
      <c r="I645" s="777"/>
      <c r="J645" s="776"/>
      <c r="K645" s="779"/>
      <c r="L645" s="779"/>
      <c r="M645" s="779"/>
      <c r="N645" s="780"/>
      <c r="O645" s="780"/>
      <c r="P645" s="777"/>
      <c r="Q645" s="781"/>
      <c r="R645" s="782"/>
      <c r="S645" s="782"/>
      <c r="T645" s="782"/>
    </row>
    <row r="646" spans="2:20">
      <c r="B646" s="1421"/>
      <c r="C646" s="774"/>
      <c r="D646" s="775"/>
      <c r="E646" s="776"/>
      <c r="F646" s="776"/>
      <c r="G646" s="777"/>
      <c r="H646" s="783"/>
      <c r="I646" s="777"/>
      <c r="J646" s="776"/>
      <c r="K646" s="779"/>
      <c r="L646" s="779"/>
      <c r="M646" s="779"/>
      <c r="N646" s="780"/>
      <c r="O646" s="780"/>
      <c r="P646" s="777"/>
      <c r="Q646" s="781"/>
      <c r="R646" s="782"/>
      <c r="S646" s="782"/>
      <c r="T646" s="782"/>
    </row>
    <row r="647" spans="2:20">
      <c r="B647" s="1421"/>
      <c r="C647" s="774"/>
      <c r="D647" s="775"/>
      <c r="E647" s="776"/>
      <c r="F647" s="776"/>
      <c r="G647" s="777"/>
      <c r="H647" s="783"/>
      <c r="I647" s="777"/>
      <c r="J647" s="776"/>
      <c r="K647" s="779"/>
      <c r="L647" s="779"/>
      <c r="M647" s="779"/>
      <c r="N647" s="780"/>
      <c r="O647" s="780"/>
      <c r="P647" s="777"/>
      <c r="Q647" s="781"/>
      <c r="R647" s="782"/>
      <c r="S647" s="782"/>
      <c r="T647" s="782"/>
    </row>
    <row r="648" spans="2:20">
      <c r="B648" s="1421"/>
      <c r="C648" s="774"/>
      <c r="D648" s="775"/>
      <c r="E648" s="776"/>
      <c r="F648" s="776"/>
      <c r="G648" s="777"/>
      <c r="H648" s="783"/>
      <c r="I648" s="777"/>
      <c r="J648" s="776"/>
      <c r="K648" s="779"/>
      <c r="L648" s="779"/>
      <c r="M648" s="779"/>
      <c r="N648" s="780"/>
      <c r="O648" s="780"/>
      <c r="P648" s="777"/>
      <c r="Q648" s="781"/>
      <c r="R648" s="782"/>
      <c r="S648" s="782"/>
      <c r="T648" s="782"/>
    </row>
    <row r="649" spans="2:20">
      <c r="B649" s="1421"/>
      <c r="C649" s="774"/>
      <c r="D649" s="775"/>
      <c r="E649" s="776"/>
      <c r="F649" s="776"/>
      <c r="G649" s="777"/>
      <c r="H649" s="783"/>
      <c r="I649" s="777"/>
      <c r="J649" s="776"/>
      <c r="K649" s="779"/>
      <c r="L649" s="779"/>
      <c r="M649" s="779"/>
      <c r="N649" s="780"/>
      <c r="O649" s="780"/>
      <c r="P649" s="777"/>
      <c r="Q649" s="781"/>
      <c r="R649" s="782"/>
      <c r="S649" s="782"/>
      <c r="T649" s="782"/>
    </row>
    <row r="650" spans="2:20">
      <c r="B650" s="1422"/>
      <c r="C650" s="774"/>
      <c r="D650" s="775"/>
      <c r="E650" s="776"/>
      <c r="F650" s="776"/>
      <c r="G650" s="777"/>
      <c r="H650" s="783"/>
      <c r="I650" s="777"/>
      <c r="J650" s="776"/>
      <c r="K650" s="779"/>
      <c r="L650" s="779"/>
      <c r="M650" s="779"/>
      <c r="N650" s="780"/>
      <c r="O650" s="780"/>
      <c r="P650" s="777"/>
      <c r="Q650" s="781"/>
      <c r="R650" s="782"/>
      <c r="S650" s="782"/>
      <c r="T650" s="782"/>
    </row>
    <row r="651" spans="2:20" ht="16.899999999999999" customHeight="1">
      <c r="B651" s="1423" t="s">
        <v>6062</v>
      </c>
      <c r="C651" s="1424"/>
      <c r="D651" s="1424"/>
      <c r="E651" s="1424"/>
      <c r="F651" s="1424"/>
      <c r="G651" s="1424"/>
      <c r="H651" s="1424"/>
      <c r="I651" s="1424"/>
      <c r="J651" s="1424"/>
      <c r="K651" s="864"/>
      <c r="L651" s="865"/>
      <c r="M651" s="865"/>
      <c r="N651" s="866"/>
      <c r="O651" s="867"/>
      <c r="P651" s="868"/>
      <c r="Q651" s="869"/>
      <c r="R651" s="870"/>
      <c r="S651" s="870"/>
      <c r="T651" s="870"/>
    </row>
    <row r="652" spans="2:20" ht="16.899999999999999" customHeight="1">
      <c r="B652" s="1420" t="s">
        <v>6063</v>
      </c>
      <c r="C652" s="785"/>
      <c r="D652" s="786"/>
      <c r="E652" s="787"/>
      <c r="F652" s="787"/>
      <c r="G652" s="788"/>
      <c r="H652" s="797"/>
      <c r="I652" s="788"/>
      <c r="J652" s="787"/>
      <c r="K652" s="790"/>
      <c r="L652" s="790"/>
      <c r="M652" s="790"/>
      <c r="N652" s="791"/>
      <c r="O652" s="791"/>
      <c r="P652" s="788"/>
      <c r="Q652" s="792"/>
      <c r="R652" s="793"/>
      <c r="S652" s="793"/>
      <c r="T652" s="793"/>
    </row>
    <row r="653" spans="2:20" ht="16.899999999999999" customHeight="1">
      <c r="B653" s="1421"/>
      <c r="C653" s="774"/>
      <c r="D653" s="775"/>
      <c r="E653" s="776"/>
      <c r="F653" s="776"/>
      <c r="G653" s="777"/>
      <c r="H653" s="783"/>
      <c r="I653" s="777"/>
      <c r="J653" s="776"/>
      <c r="K653" s="779"/>
      <c r="L653" s="779"/>
      <c r="M653" s="779"/>
      <c r="N653" s="780"/>
      <c r="O653" s="780"/>
      <c r="P653" s="777"/>
      <c r="Q653" s="781"/>
      <c r="R653" s="782"/>
      <c r="S653" s="782"/>
      <c r="T653" s="782"/>
    </row>
    <row r="654" spans="2:20" ht="16.899999999999999" customHeight="1">
      <c r="B654" s="1421"/>
      <c r="C654" s="774"/>
      <c r="D654" s="775"/>
      <c r="E654" s="776"/>
      <c r="F654" s="776"/>
      <c r="G654" s="777"/>
      <c r="H654" s="783"/>
      <c r="I654" s="777"/>
      <c r="J654" s="776"/>
      <c r="K654" s="779"/>
      <c r="L654" s="779"/>
      <c r="M654" s="779"/>
      <c r="N654" s="780"/>
      <c r="O654" s="780"/>
      <c r="P654" s="777"/>
      <c r="Q654" s="781"/>
      <c r="R654" s="782"/>
      <c r="S654" s="782"/>
      <c r="T654" s="782"/>
    </row>
    <row r="655" spans="2:20" ht="16.899999999999999" customHeight="1">
      <c r="B655" s="1421"/>
      <c r="C655" s="774"/>
      <c r="D655" s="775"/>
      <c r="E655" s="776"/>
      <c r="F655" s="776"/>
      <c r="G655" s="777"/>
      <c r="H655" s="783"/>
      <c r="I655" s="777"/>
      <c r="J655" s="776"/>
      <c r="K655" s="779"/>
      <c r="L655" s="779"/>
      <c r="M655" s="779"/>
      <c r="N655" s="780"/>
      <c r="O655" s="780"/>
      <c r="P655" s="777"/>
      <c r="Q655" s="781"/>
      <c r="R655" s="782"/>
      <c r="S655" s="782"/>
      <c r="T655" s="782"/>
    </row>
    <row r="656" spans="2:20" ht="16.899999999999999" customHeight="1">
      <c r="B656" s="1421"/>
      <c r="C656" s="774"/>
      <c r="D656" s="775"/>
      <c r="E656" s="776"/>
      <c r="F656" s="776"/>
      <c r="G656" s="777"/>
      <c r="H656" s="783"/>
      <c r="I656" s="777"/>
      <c r="J656" s="776"/>
      <c r="K656" s="779"/>
      <c r="L656" s="779"/>
      <c r="M656" s="779"/>
      <c r="N656" s="780"/>
      <c r="O656" s="780"/>
      <c r="P656" s="777"/>
      <c r="Q656" s="781"/>
      <c r="R656" s="782"/>
      <c r="S656" s="782"/>
      <c r="T656" s="782"/>
    </row>
    <row r="657" spans="2:20" ht="16.899999999999999" customHeight="1">
      <c r="B657" s="1421"/>
      <c r="C657" s="774"/>
      <c r="D657" s="775"/>
      <c r="E657" s="776"/>
      <c r="F657" s="776"/>
      <c r="G657" s="777"/>
      <c r="H657" s="783"/>
      <c r="I657" s="777"/>
      <c r="J657" s="776"/>
      <c r="K657" s="779"/>
      <c r="L657" s="779"/>
      <c r="M657" s="779"/>
      <c r="N657" s="780"/>
      <c r="O657" s="780"/>
      <c r="P657" s="777"/>
      <c r="Q657" s="781"/>
      <c r="R657" s="782"/>
      <c r="S657" s="782"/>
      <c r="T657" s="782"/>
    </row>
    <row r="658" spans="2:20" ht="16.899999999999999" customHeight="1">
      <c r="B658" s="1421"/>
      <c r="C658" s="774"/>
      <c r="D658" s="775"/>
      <c r="E658" s="776"/>
      <c r="F658" s="776"/>
      <c r="G658" s="777"/>
      <c r="H658" s="783"/>
      <c r="I658" s="777"/>
      <c r="J658" s="776"/>
      <c r="K658" s="779"/>
      <c r="L658" s="779"/>
      <c r="M658" s="779"/>
      <c r="N658" s="780"/>
      <c r="O658" s="780"/>
      <c r="P658" s="777"/>
      <c r="Q658" s="781"/>
      <c r="R658" s="782"/>
      <c r="S658" s="782"/>
      <c r="T658" s="782"/>
    </row>
    <row r="659" spans="2:20" ht="16.899999999999999" customHeight="1">
      <c r="B659" s="1421"/>
      <c r="C659" s="774"/>
      <c r="D659" s="775"/>
      <c r="E659" s="776"/>
      <c r="F659" s="776"/>
      <c r="G659" s="777"/>
      <c r="H659" s="783"/>
      <c r="I659" s="777"/>
      <c r="J659" s="776"/>
      <c r="K659" s="779"/>
      <c r="L659" s="779"/>
      <c r="M659" s="779"/>
      <c r="N659" s="780"/>
      <c r="O659" s="780"/>
      <c r="P659" s="777"/>
      <c r="Q659" s="781"/>
      <c r="R659" s="782"/>
      <c r="S659" s="782"/>
      <c r="T659" s="782"/>
    </row>
    <row r="660" spans="2:20" ht="16.899999999999999" customHeight="1">
      <c r="B660" s="1421"/>
      <c r="C660" s="774"/>
      <c r="D660" s="775"/>
      <c r="E660" s="776"/>
      <c r="F660" s="776"/>
      <c r="G660" s="777"/>
      <c r="H660" s="783"/>
      <c r="I660" s="777"/>
      <c r="J660" s="776"/>
      <c r="K660" s="779"/>
      <c r="L660" s="779"/>
      <c r="M660" s="779"/>
      <c r="N660" s="780"/>
      <c r="O660" s="780"/>
      <c r="P660" s="777"/>
      <c r="Q660" s="781"/>
      <c r="R660" s="782"/>
      <c r="S660" s="782"/>
      <c r="T660" s="782"/>
    </row>
    <row r="661" spans="2:20" ht="16.899999999999999" customHeight="1">
      <c r="B661" s="1422"/>
      <c r="C661" s="873"/>
      <c r="D661" s="874"/>
      <c r="E661" s="875"/>
      <c r="F661" s="875"/>
      <c r="G661" s="876"/>
      <c r="H661" s="877"/>
      <c r="I661" s="876"/>
      <c r="J661" s="875"/>
      <c r="K661" s="878"/>
      <c r="L661" s="878"/>
      <c r="M661" s="878"/>
      <c r="N661" s="879"/>
      <c r="O661" s="879"/>
      <c r="P661" s="876"/>
      <c r="Q661" s="880"/>
      <c r="R661" s="881"/>
      <c r="S661" s="881"/>
      <c r="T661" s="881"/>
    </row>
    <row r="662" spans="2:20" ht="16.899999999999999" customHeight="1">
      <c r="B662" s="1420" t="s">
        <v>6064</v>
      </c>
      <c r="C662" s="785"/>
      <c r="D662" s="786"/>
      <c r="E662" s="787"/>
      <c r="F662" s="787"/>
      <c r="G662" s="788"/>
      <c r="H662" s="797"/>
      <c r="I662" s="788"/>
      <c r="J662" s="787"/>
      <c r="K662" s="790"/>
      <c r="L662" s="790"/>
      <c r="M662" s="790"/>
      <c r="N662" s="791"/>
      <c r="O662" s="791"/>
      <c r="P662" s="788"/>
      <c r="Q662" s="792"/>
      <c r="R662" s="793"/>
      <c r="S662" s="793"/>
      <c r="T662" s="793"/>
    </row>
    <row r="663" spans="2:20" ht="16.899999999999999" customHeight="1">
      <c r="B663" s="1421"/>
      <c r="C663" s="774"/>
      <c r="D663" s="775"/>
      <c r="E663" s="776"/>
      <c r="F663" s="776"/>
      <c r="G663" s="777"/>
      <c r="H663" s="783"/>
      <c r="I663" s="777"/>
      <c r="J663" s="776"/>
      <c r="K663" s="779"/>
      <c r="L663" s="779"/>
      <c r="M663" s="779"/>
      <c r="N663" s="780"/>
      <c r="O663" s="780"/>
      <c r="P663" s="777"/>
      <c r="Q663" s="781"/>
      <c r="R663" s="782"/>
      <c r="S663" s="782"/>
      <c r="T663" s="782"/>
    </row>
    <row r="664" spans="2:20" ht="16.899999999999999" customHeight="1">
      <c r="B664" s="1421"/>
      <c r="C664" s="774"/>
      <c r="D664" s="775"/>
      <c r="E664" s="776"/>
      <c r="F664" s="776"/>
      <c r="G664" s="777"/>
      <c r="H664" s="783"/>
      <c r="I664" s="777"/>
      <c r="J664" s="776"/>
      <c r="K664" s="779"/>
      <c r="L664" s="779"/>
      <c r="M664" s="779"/>
      <c r="N664" s="780"/>
      <c r="O664" s="780"/>
      <c r="P664" s="777"/>
      <c r="Q664" s="781"/>
      <c r="R664" s="782"/>
      <c r="S664" s="782"/>
      <c r="T664" s="782"/>
    </row>
    <row r="665" spans="2:20" ht="16.899999999999999" customHeight="1">
      <c r="B665" s="1421"/>
      <c r="C665" s="774"/>
      <c r="D665" s="775"/>
      <c r="E665" s="776"/>
      <c r="F665" s="776"/>
      <c r="G665" s="777"/>
      <c r="H665" s="783"/>
      <c r="I665" s="777"/>
      <c r="J665" s="776"/>
      <c r="K665" s="779"/>
      <c r="L665" s="779"/>
      <c r="M665" s="779"/>
      <c r="N665" s="780"/>
      <c r="O665" s="780"/>
      <c r="P665" s="777"/>
      <c r="Q665" s="781"/>
      <c r="R665" s="782"/>
      <c r="S665" s="782"/>
      <c r="T665" s="782"/>
    </row>
    <row r="666" spans="2:20" ht="16.899999999999999" customHeight="1">
      <c r="B666" s="1421"/>
      <c r="C666" s="774"/>
      <c r="D666" s="775"/>
      <c r="E666" s="776"/>
      <c r="F666" s="776"/>
      <c r="G666" s="777"/>
      <c r="H666" s="783"/>
      <c r="I666" s="777"/>
      <c r="J666" s="776"/>
      <c r="K666" s="779"/>
      <c r="L666" s="779"/>
      <c r="M666" s="779"/>
      <c r="N666" s="780"/>
      <c r="O666" s="780"/>
      <c r="P666" s="777"/>
      <c r="Q666" s="781"/>
      <c r="R666" s="782"/>
      <c r="S666" s="782"/>
      <c r="T666" s="782"/>
    </row>
    <row r="667" spans="2:20" ht="16.899999999999999" customHeight="1">
      <c r="B667" s="1421"/>
      <c r="C667" s="774"/>
      <c r="D667" s="775"/>
      <c r="E667" s="776"/>
      <c r="F667" s="776"/>
      <c r="G667" s="777"/>
      <c r="H667" s="783"/>
      <c r="I667" s="777"/>
      <c r="J667" s="776"/>
      <c r="K667" s="779"/>
      <c r="L667" s="779"/>
      <c r="M667" s="779"/>
      <c r="N667" s="780"/>
      <c r="O667" s="780"/>
      <c r="P667" s="777"/>
      <c r="Q667" s="781"/>
      <c r="R667" s="782"/>
      <c r="S667" s="782"/>
      <c r="T667" s="782"/>
    </row>
    <row r="668" spans="2:20" ht="16.899999999999999" customHeight="1">
      <c r="B668" s="1421"/>
      <c r="C668" s="774"/>
      <c r="D668" s="775"/>
      <c r="E668" s="776"/>
      <c r="F668" s="776"/>
      <c r="G668" s="777"/>
      <c r="H668" s="783"/>
      <c r="I668" s="777"/>
      <c r="J668" s="776"/>
      <c r="K668" s="779"/>
      <c r="L668" s="779"/>
      <c r="M668" s="779"/>
      <c r="N668" s="780"/>
      <c r="O668" s="780"/>
      <c r="P668" s="777"/>
      <c r="Q668" s="781"/>
      <c r="R668" s="782"/>
      <c r="S668" s="782"/>
      <c r="T668" s="782"/>
    </row>
    <row r="669" spans="2:20" ht="16.899999999999999" customHeight="1">
      <c r="B669" s="1421"/>
      <c r="C669" s="774"/>
      <c r="D669" s="775"/>
      <c r="E669" s="776"/>
      <c r="F669" s="776"/>
      <c r="G669" s="777"/>
      <c r="H669" s="783"/>
      <c r="I669" s="777"/>
      <c r="J669" s="776"/>
      <c r="K669" s="779"/>
      <c r="L669" s="779"/>
      <c r="M669" s="779"/>
      <c r="N669" s="780"/>
      <c r="O669" s="780"/>
      <c r="P669" s="777"/>
      <c r="Q669" s="781"/>
      <c r="R669" s="782"/>
      <c r="S669" s="782"/>
      <c r="T669" s="782"/>
    </row>
    <row r="670" spans="2:20" ht="16.899999999999999" customHeight="1">
      <c r="B670" s="1421"/>
      <c r="C670" s="774"/>
      <c r="D670" s="775"/>
      <c r="E670" s="776"/>
      <c r="F670" s="776"/>
      <c r="G670" s="777"/>
      <c r="H670" s="783"/>
      <c r="I670" s="777"/>
      <c r="J670" s="776"/>
      <c r="K670" s="779"/>
      <c r="L670" s="779"/>
      <c r="M670" s="779"/>
      <c r="N670" s="780"/>
      <c r="O670" s="780"/>
      <c r="P670" s="777"/>
      <c r="Q670" s="781"/>
      <c r="R670" s="782"/>
      <c r="S670" s="782"/>
      <c r="T670" s="782"/>
    </row>
    <row r="671" spans="2:20" ht="16.899999999999999" customHeight="1">
      <c r="B671" s="1422"/>
      <c r="C671" s="873"/>
      <c r="D671" s="874"/>
      <c r="E671" s="875"/>
      <c r="F671" s="875"/>
      <c r="G671" s="876"/>
      <c r="H671" s="877"/>
      <c r="I671" s="876"/>
      <c r="J671" s="875"/>
      <c r="K671" s="878"/>
      <c r="L671" s="878"/>
      <c r="M671" s="878"/>
      <c r="N671" s="879"/>
      <c r="O671" s="879"/>
      <c r="P671" s="876"/>
      <c r="Q671" s="880"/>
      <c r="R671" s="881"/>
      <c r="S671" s="881"/>
      <c r="T671" s="881"/>
    </row>
    <row r="672" spans="2:20" ht="16.899999999999999" customHeight="1">
      <c r="B672" s="1420" t="s">
        <v>6065</v>
      </c>
      <c r="C672" s="785"/>
      <c r="D672" s="786"/>
      <c r="E672" s="787"/>
      <c r="F672" s="787"/>
      <c r="G672" s="788"/>
      <c r="H672" s="797"/>
      <c r="I672" s="788"/>
      <c r="J672" s="787"/>
      <c r="K672" s="790"/>
      <c r="L672" s="790"/>
      <c r="M672" s="790"/>
      <c r="N672" s="791"/>
      <c r="O672" s="791"/>
      <c r="P672" s="788"/>
      <c r="Q672" s="792"/>
      <c r="R672" s="793"/>
      <c r="S672" s="793"/>
      <c r="T672" s="793"/>
    </row>
    <row r="673" spans="2:20" ht="16.899999999999999" customHeight="1">
      <c r="B673" s="1421"/>
      <c r="C673" s="774"/>
      <c r="D673" s="775"/>
      <c r="E673" s="776"/>
      <c r="F673" s="776"/>
      <c r="G673" s="777"/>
      <c r="H673" s="783"/>
      <c r="I673" s="777"/>
      <c r="J673" s="776"/>
      <c r="K673" s="779"/>
      <c r="L673" s="779"/>
      <c r="M673" s="779"/>
      <c r="N673" s="780"/>
      <c r="O673" s="780"/>
      <c r="P673" s="777"/>
      <c r="Q673" s="781"/>
      <c r="R673" s="782"/>
      <c r="S673" s="782"/>
      <c r="T673" s="782"/>
    </row>
    <row r="674" spans="2:20" ht="16.899999999999999" customHeight="1">
      <c r="B674" s="1421"/>
      <c r="C674" s="774"/>
      <c r="D674" s="775"/>
      <c r="E674" s="776"/>
      <c r="F674" s="776"/>
      <c r="G674" s="777"/>
      <c r="H674" s="783"/>
      <c r="I674" s="777"/>
      <c r="J674" s="776"/>
      <c r="K674" s="779"/>
      <c r="L674" s="779"/>
      <c r="M674" s="779"/>
      <c r="N674" s="780"/>
      <c r="O674" s="780"/>
      <c r="P674" s="777"/>
      <c r="Q674" s="781"/>
      <c r="R674" s="782"/>
      <c r="S674" s="782"/>
      <c r="T674" s="782"/>
    </row>
    <row r="675" spans="2:20" ht="16.899999999999999" customHeight="1">
      <c r="B675" s="1421"/>
      <c r="C675" s="774"/>
      <c r="D675" s="775"/>
      <c r="E675" s="776"/>
      <c r="F675" s="776"/>
      <c r="G675" s="777"/>
      <c r="H675" s="783"/>
      <c r="I675" s="777"/>
      <c r="J675" s="776"/>
      <c r="K675" s="779"/>
      <c r="L675" s="779"/>
      <c r="M675" s="779"/>
      <c r="N675" s="780"/>
      <c r="O675" s="780"/>
      <c r="P675" s="777"/>
      <c r="Q675" s="781"/>
      <c r="R675" s="782"/>
      <c r="S675" s="782"/>
      <c r="T675" s="782"/>
    </row>
    <row r="676" spans="2:20" ht="16.899999999999999" customHeight="1">
      <c r="B676" s="1421"/>
      <c r="C676" s="774"/>
      <c r="D676" s="775"/>
      <c r="E676" s="776"/>
      <c r="F676" s="776"/>
      <c r="G676" s="777"/>
      <c r="H676" s="783"/>
      <c r="I676" s="777"/>
      <c r="J676" s="776"/>
      <c r="K676" s="779"/>
      <c r="L676" s="779"/>
      <c r="M676" s="779"/>
      <c r="N676" s="780"/>
      <c r="O676" s="780"/>
      <c r="P676" s="777"/>
      <c r="Q676" s="781"/>
      <c r="R676" s="782"/>
      <c r="S676" s="782"/>
      <c r="T676" s="782"/>
    </row>
    <row r="677" spans="2:20" ht="16.899999999999999" customHeight="1">
      <c r="B677" s="1421"/>
      <c r="C677" s="774"/>
      <c r="D677" s="775"/>
      <c r="E677" s="776"/>
      <c r="F677" s="776"/>
      <c r="G677" s="777"/>
      <c r="H677" s="783"/>
      <c r="I677" s="777"/>
      <c r="J677" s="776"/>
      <c r="K677" s="779"/>
      <c r="L677" s="779"/>
      <c r="M677" s="779"/>
      <c r="N677" s="780"/>
      <c r="O677" s="780"/>
      <c r="P677" s="777"/>
      <c r="Q677" s="781"/>
      <c r="R677" s="782"/>
      <c r="S677" s="782"/>
      <c r="T677" s="782"/>
    </row>
    <row r="678" spans="2:20" ht="16.899999999999999" customHeight="1">
      <c r="B678" s="1421"/>
      <c r="C678" s="774"/>
      <c r="D678" s="775"/>
      <c r="E678" s="776"/>
      <c r="F678" s="776"/>
      <c r="G678" s="777"/>
      <c r="H678" s="783"/>
      <c r="I678" s="777"/>
      <c r="J678" s="776"/>
      <c r="K678" s="779"/>
      <c r="L678" s="779"/>
      <c r="M678" s="779"/>
      <c r="N678" s="780"/>
      <c r="O678" s="780"/>
      <c r="P678" s="777"/>
      <c r="Q678" s="781"/>
      <c r="R678" s="782"/>
      <c r="S678" s="782"/>
      <c r="T678" s="782"/>
    </row>
    <row r="679" spans="2:20" ht="16.899999999999999" customHeight="1">
      <c r="B679" s="1421"/>
      <c r="C679" s="774"/>
      <c r="D679" s="775"/>
      <c r="E679" s="776"/>
      <c r="F679" s="776"/>
      <c r="G679" s="777"/>
      <c r="H679" s="783"/>
      <c r="I679" s="777"/>
      <c r="J679" s="776"/>
      <c r="K679" s="779"/>
      <c r="L679" s="779"/>
      <c r="M679" s="779"/>
      <c r="N679" s="780"/>
      <c r="O679" s="780"/>
      <c r="P679" s="777"/>
      <c r="Q679" s="781"/>
      <c r="R679" s="782"/>
      <c r="S679" s="782"/>
      <c r="T679" s="782"/>
    </row>
    <row r="680" spans="2:20" ht="16.899999999999999" customHeight="1">
      <c r="B680" s="1421"/>
      <c r="C680" s="774"/>
      <c r="D680" s="775"/>
      <c r="E680" s="776"/>
      <c r="F680" s="776"/>
      <c r="G680" s="777"/>
      <c r="H680" s="783"/>
      <c r="I680" s="777"/>
      <c r="J680" s="776"/>
      <c r="K680" s="779"/>
      <c r="L680" s="779"/>
      <c r="M680" s="779"/>
      <c r="N680" s="780"/>
      <c r="O680" s="780"/>
      <c r="P680" s="777"/>
      <c r="Q680" s="781"/>
      <c r="R680" s="782"/>
      <c r="S680" s="782"/>
      <c r="T680" s="782"/>
    </row>
    <row r="681" spans="2:20" ht="16.899999999999999" customHeight="1">
      <c r="B681" s="1422"/>
      <c r="C681" s="873"/>
      <c r="D681" s="874"/>
      <c r="E681" s="875"/>
      <c r="F681" s="875"/>
      <c r="G681" s="876"/>
      <c r="H681" s="877"/>
      <c r="I681" s="876"/>
      <c r="J681" s="875"/>
      <c r="K681" s="878"/>
      <c r="L681" s="878"/>
      <c r="M681" s="878"/>
      <c r="N681" s="879"/>
      <c r="O681" s="879"/>
      <c r="P681" s="876"/>
      <c r="Q681" s="880"/>
      <c r="R681" s="881"/>
      <c r="S681" s="881"/>
      <c r="T681" s="881"/>
    </row>
    <row r="682" spans="2:20" ht="16.899999999999999" customHeight="1">
      <c r="B682" s="1420" t="s">
        <v>6066</v>
      </c>
      <c r="C682" s="785"/>
      <c r="D682" s="786"/>
      <c r="E682" s="787"/>
      <c r="F682" s="787"/>
      <c r="G682" s="788"/>
      <c r="H682" s="797"/>
      <c r="I682" s="788"/>
      <c r="J682" s="787"/>
      <c r="K682" s="790"/>
      <c r="L682" s="790"/>
      <c r="M682" s="790"/>
      <c r="N682" s="791"/>
      <c r="O682" s="791"/>
      <c r="P682" s="788"/>
      <c r="Q682" s="792"/>
      <c r="R682" s="793"/>
      <c r="S682" s="793"/>
      <c r="T682" s="793"/>
    </row>
    <row r="683" spans="2:20" ht="16.899999999999999" customHeight="1">
      <c r="B683" s="1421"/>
      <c r="C683" s="774"/>
      <c r="D683" s="775"/>
      <c r="E683" s="776"/>
      <c r="F683" s="776"/>
      <c r="G683" s="777"/>
      <c r="H683" s="783"/>
      <c r="I683" s="777"/>
      <c r="J683" s="776"/>
      <c r="K683" s="779"/>
      <c r="L683" s="779"/>
      <c r="M683" s="779"/>
      <c r="N683" s="780"/>
      <c r="O683" s="780"/>
      <c r="P683" s="777"/>
      <c r="Q683" s="781"/>
      <c r="R683" s="782"/>
      <c r="S683" s="782"/>
      <c r="T683" s="782"/>
    </row>
    <row r="684" spans="2:20" ht="16.899999999999999" customHeight="1">
      <c r="B684" s="1421"/>
      <c r="C684" s="774"/>
      <c r="D684" s="775"/>
      <c r="E684" s="776"/>
      <c r="F684" s="776"/>
      <c r="G684" s="777"/>
      <c r="H684" s="783"/>
      <c r="I684" s="777"/>
      <c r="J684" s="776"/>
      <c r="K684" s="779"/>
      <c r="L684" s="779"/>
      <c r="M684" s="779"/>
      <c r="N684" s="780"/>
      <c r="O684" s="780"/>
      <c r="P684" s="777"/>
      <c r="Q684" s="781"/>
      <c r="R684" s="782"/>
      <c r="S684" s="782"/>
      <c r="T684" s="782"/>
    </row>
    <row r="685" spans="2:20" ht="16.899999999999999" customHeight="1">
      <c r="B685" s="1421"/>
      <c r="C685" s="774"/>
      <c r="D685" s="775"/>
      <c r="E685" s="776"/>
      <c r="F685" s="776"/>
      <c r="G685" s="777"/>
      <c r="H685" s="783"/>
      <c r="I685" s="777"/>
      <c r="J685" s="776"/>
      <c r="K685" s="779"/>
      <c r="L685" s="779"/>
      <c r="M685" s="779"/>
      <c r="N685" s="780"/>
      <c r="O685" s="780"/>
      <c r="P685" s="777"/>
      <c r="Q685" s="781"/>
      <c r="R685" s="782"/>
      <c r="S685" s="782"/>
      <c r="T685" s="782"/>
    </row>
    <row r="686" spans="2:20" ht="16.899999999999999" customHeight="1">
      <c r="B686" s="1421"/>
      <c r="C686" s="774"/>
      <c r="D686" s="775"/>
      <c r="E686" s="776"/>
      <c r="F686" s="776"/>
      <c r="G686" s="777"/>
      <c r="H686" s="783"/>
      <c r="I686" s="777"/>
      <c r="J686" s="776"/>
      <c r="K686" s="779"/>
      <c r="L686" s="779"/>
      <c r="M686" s="779"/>
      <c r="N686" s="780"/>
      <c r="O686" s="780"/>
      <c r="P686" s="777"/>
      <c r="Q686" s="781"/>
      <c r="R686" s="782"/>
      <c r="S686" s="782"/>
      <c r="T686" s="782"/>
    </row>
    <row r="687" spans="2:20" ht="16.899999999999999" customHeight="1">
      <c r="B687" s="1421"/>
      <c r="C687" s="774"/>
      <c r="D687" s="775"/>
      <c r="E687" s="776"/>
      <c r="F687" s="776"/>
      <c r="G687" s="777"/>
      <c r="H687" s="783"/>
      <c r="I687" s="777"/>
      <c r="J687" s="776"/>
      <c r="K687" s="779"/>
      <c r="L687" s="779"/>
      <c r="M687" s="779"/>
      <c r="N687" s="780"/>
      <c r="O687" s="780"/>
      <c r="P687" s="777"/>
      <c r="Q687" s="781"/>
      <c r="R687" s="782"/>
      <c r="S687" s="782"/>
      <c r="T687" s="782"/>
    </row>
    <row r="688" spans="2:20" ht="16.899999999999999" customHeight="1">
      <c r="B688" s="1421"/>
      <c r="C688" s="774"/>
      <c r="D688" s="775"/>
      <c r="E688" s="776"/>
      <c r="F688" s="776"/>
      <c r="G688" s="777"/>
      <c r="H688" s="783"/>
      <c r="I688" s="777"/>
      <c r="J688" s="776"/>
      <c r="K688" s="779"/>
      <c r="L688" s="779"/>
      <c r="M688" s="779"/>
      <c r="N688" s="780"/>
      <c r="O688" s="780"/>
      <c r="P688" s="777"/>
      <c r="Q688" s="781"/>
      <c r="R688" s="782"/>
      <c r="S688" s="782"/>
      <c r="T688" s="782"/>
    </row>
    <row r="689" spans="2:20" ht="16.899999999999999" customHeight="1">
      <c r="B689" s="1421"/>
      <c r="C689" s="774"/>
      <c r="D689" s="775"/>
      <c r="E689" s="776"/>
      <c r="F689" s="776"/>
      <c r="G689" s="777"/>
      <c r="H689" s="783"/>
      <c r="I689" s="777"/>
      <c r="J689" s="776"/>
      <c r="K689" s="779"/>
      <c r="L689" s="779"/>
      <c r="M689" s="779"/>
      <c r="N689" s="780"/>
      <c r="O689" s="780"/>
      <c r="P689" s="777"/>
      <c r="Q689" s="781"/>
      <c r="R689" s="782"/>
      <c r="S689" s="782"/>
      <c r="T689" s="782"/>
    </row>
    <row r="690" spans="2:20" ht="16.899999999999999" customHeight="1">
      <c r="B690" s="1421"/>
      <c r="C690" s="774"/>
      <c r="D690" s="775"/>
      <c r="E690" s="776"/>
      <c r="F690" s="776"/>
      <c r="G690" s="777"/>
      <c r="H690" s="783"/>
      <c r="I690" s="777"/>
      <c r="J690" s="776"/>
      <c r="K690" s="779"/>
      <c r="L690" s="779"/>
      <c r="M690" s="779"/>
      <c r="N690" s="780"/>
      <c r="O690" s="780"/>
      <c r="P690" s="777"/>
      <c r="Q690" s="781"/>
      <c r="R690" s="782"/>
      <c r="S690" s="782"/>
      <c r="T690" s="782"/>
    </row>
    <row r="691" spans="2:20" ht="16.899999999999999" customHeight="1">
      <c r="B691" s="1422"/>
      <c r="C691" s="873"/>
      <c r="D691" s="874"/>
      <c r="E691" s="875"/>
      <c r="F691" s="875"/>
      <c r="G691" s="876"/>
      <c r="H691" s="877"/>
      <c r="I691" s="876"/>
      <c r="J691" s="875"/>
      <c r="K691" s="878"/>
      <c r="L691" s="878"/>
      <c r="M691" s="878"/>
      <c r="N691" s="879"/>
      <c r="O691" s="879"/>
      <c r="P691" s="876"/>
      <c r="Q691" s="880"/>
      <c r="R691" s="881"/>
      <c r="S691" s="881"/>
      <c r="T691" s="881"/>
    </row>
    <row r="692" spans="2:20" ht="16.899999999999999" customHeight="1">
      <c r="B692" s="1420" t="s">
        <v>6067</v>
      </c>
      <c r="C692" s="785"/>
      <c r="D692" s="786"/>
      <c r="E692" s="787"/>
      <c r="F692" s="787"/>
      <c r="G692" s="788"/>
      <c r="H692" s="797"/>
      <c r="I692" s="788"/>
      <c r="J692" s="787"/>
      <c r="K692" s="790"/>
      <c r="L692" s="790"/>
      <c r="M692" s="790"/>
      <c r="N692" s="791"/>
      <c r="O692" s="791"/>
      <c r="P692" s="788"/>
      <c r="Q692" s="792"/>
      <c r="R692" s="793"/>
      <c r="S692" s="793"/>
      <c r="T692" s="793"/>
    </row>
    <row r="693" spans="2:20" ht="16.899999999999999" customHeight="1">
      <c r="B693" s="1421"/>
      <c r="C693" s="774"/>
      <c r="D693" s="775"/>
      <c r="E693" s="776"/>
      <c r="F693" s="776"/>
      <c r="G693" s="777"/>
      <c r="H693" s="783"/>
      <c r="I693" s="777"/>
      <c r="J693" s="776"/>
      <c r="K693" s="779"/>
      <c r="L693" s="779"/>
      <c r="M693" s="779"/>
      <c r="N693" s="780"/>
      <c r="O693" s="780"/>
      <c r="P693" s="777"/>
      <c r="Q693" s="781"/>
      <c r="R693" s="782"/>
      <c r="S693" s="782"/>
      <c r="T693" s="782"/>
    </row>
    <row r="694" spans="2:20" ht="16.899999999999999" customHeight="1">
      <c r="B694" s="1421"/>
      <c r="C694" s="774"/>
      <c r="D694" s="775"/>
      <c r="E694" s="776"/>
      <c r="F694" s="776"/>
      <c r="G694" s="777"/>
      <c r="H694" s="783"/>
      <c r="I694" s="777"/>
      <c r="J694" s="776"/>
      <c r="K694" s="779"/>
      <c r="L694" s="779"/>
      <c r="M694" s="779"/>
      <c r="N694" s="780"/>
      <c r="O694" s="780"/>
      <c r="P694" s="777"/>
      <c r="Q694" s="781"/>
      <c r="R694" s="782"/>
      <c r="S694" s="782"/>
      <c r="T694" s="782"/>
    </row>
    <row r="695" spans="2:20" ht="16.899999999999999" customHeight="1">
      <c r="B695" s="1421"/>
      <c r="C695" s="774"/>
      <c r="D695" s="775"/>
      <c r="E695" s="776"/>
      <c r="F695" s="776"/>
      <c r="G695" s="777"/>
      <c r="H695" s="783"/>
      <c r="I695" s="777"/>
      <c r="J695" s="776"/>
      <c r="K695" s="779"/>
      <c r="L695" s="779"/>
      <c r="M695" s="779"/>
      <c r="N695" s="780"/>
      <c r="O695" s="780"/>
      <c r="P695" s="777"/>
      <c r="Q695" s="781"/>
      <c r="R695" s="782"/>
      <c r="S695" s="782"/>
      <c r="T695" s="782"/>
    </row>
    <row r="696" spans="2:20" ht="16.899999999999999" customHeight="1">
      <c r="B696" s="1421"/>
      <c r="C696" s="774"/>
      <c r="D696" s="775"/>
      <c r="E696" s="776"/>
      <c r="F696" s="776"/>
      <c r="G696" s="777"/>
      <c r="H696" s="783"/>
      <c r="I696" s="777"/>
      <c r="J696" s="776"/>
      <c r="K696" s="779"/>
      <c r="L696" s="779"/>
      <c r="M696" s="779"/>
      <c r="N696" s="780"/>
      <c r="O696" s="780"/>
      <c r="P696" s="777"/>
      <c r="Q696" s="781"/>
      <c r="R696" s="782"/>
      <c r="S696" s="782"/>
      <c r="T696" s="782"/>
    </row>
    <row r="697" spans="2:20" ht="16.899999999999999" customHeight="1">
      <c r="B697" s="1421"/>
      <c r="C697" s="774"/>
      <c r="D697" s="775"/>
      <c r="E697" s="776"/>
      <c r="F697" s="776"/>
      <c r="G697" s="777"/>
      <c r="H697" s="783"/>
      <c r="I697" s="777"/>
      <c r="J697" s="776"/>
      <c r="K697" s="779"/>
      <c r="L697" s="779"/>
      <c r="M697" s="779"/>
      <c r="N697" s="780"/>
      <c r="O697" s="780"/>
      <c r="P697" s="777"/>
      <c r="Q697" s="781"/>
      <c r="R697" s="782"/>
      <c r="S697" s="782"/>
      <c r="T697" s="782"/>
    </row>
    <row r="698" spans="2:20" ht="16.899999999999999" customHeight="1">
      <c r="B698" s="1421"/>
      <c r="C698" s="774"/>
      <c r="D698" s="775"/>
      <c r="E698" s="776"/>
      <c r="F698" s="776"/>
      <c r="G698" s="777"/>
      <c r="H698" s="783"/>
      <c r="I698" s="777"/>
      <c r="J698" s="776"/>
      <c r="K698" s="779"/>
      <c r="L698" s="779"/>
      <c r="M698" s="779"/>
      <c r="N698" s="780"/>
      <c r="O698" s="780"/>
      <c r="P698" s="777"/>
      <c r="Q698" s="781"/>
      <c r="R698" s="782"/>
      <c r="S698" s="782"/>
      <c r="T698" s="782"/>
    </row>
    <row r="699" spans="2:20" ht="16.899999999999999" customHeight="1">
      <c r="B699" s="1421"/>
      <c r="C699" s="774"/>
      <c r="D699" s="775"/>
      <c r="E699" s="776"/>
      <c r="F699" s="776"/>
      <c r="G699" s="777"/>
      <c r="H699" s="783"/>
      <c r="I699" s="777"/>
      <c r="J699" s="776"/>
      <c r="K699" s="779"/>
      <c r="L699" s="779"/>
      <c r="M699" s="779"/>
      <c r="N699" s="780"/>
      <c r="O699" s="780"/>
      <c r="P699" s="777"/>
      <c r="Q699" s="781"/>
      <c r="R699" s="782"/>
      <c r="S699" s="782"/>
      <c r="T699" s="782"/>
    </row>
    <row r="700" spans="2:20" ht="16.899999999999999" customHeight="1">
      <c r="B700" s="1421"/>
      <c r="C700" s="774"/>
      <c r="D700" s="775"/>
      <c r="E700" s="776"/>
      <c r="F700" s="776"/>
      <c r="G700" s="777"/>
      <c r="H700" s="783"/>
      <c r="I700" s="777"/>
      <c r="J700" s="776"/>
      <c r="K700" s="779"/>
      <c r="L700" s="779"/>
      <c r="M700" s="779"/>
      <c r="N700" s="780"/>
      <c r="O700" s="780"/>
      <c r="P700" s="777"/>
      <c r="Q700" s="781"/>
      <c r="R700" s="782"/>
      <c r="S700" s="782"/>
      <c r="T700" s="782"/>
    </row>
    <row r="701" spans="2:20" ht="16.899999999999999" customHeight="1">
      <c r="B701" s="1422"/>
      <c r="C701" s="873"/>
      <c r="D701" s="874"/>
      <c r="E701" s="875"/>
      <c r="F701" s="875"/>
      <c r="G701" s="876"/>
      <c r="H701" s="877"/>
      <c r="I701" s="876"/>
      <c r="J701" s="875"/>
      <c r="K701" s="878"/>
      <c r="L701" s="878"/>
      <c r="M701" s="878"/>
      <c r="N701" s="879"/>
      <c r="O701" s="879"/>
      <c r="P701" s="876"/>
      <c r="Q701" s="880"/>
      <c r="R701" s="881"/>
      <c r="S701" s="881"/>
      <c r="T701" s="881"/>
    </row>
    <row r="702" spans="2:20" ht="16.899999999999999" customHeight="1">
      <c r="B702" s="1420" t="s">
        <v>6068</v>
      </c>
      <c r="C702" s="785"/>
      <c r="D702" s="786"/>
      <c r="E702" s="787"/>
      <c r="F702" s="787"/>
      <c r="G702" s="788"/>
      <c r="H702" s="797"/>
      <c r="I702" s="788"/>
      <c r="J702" s="787"/>
      <c r="K702" s="790"/>
      <c r="L702" s="790"/>
      <c r="M702" s="790"/>
      <c r="N702" s="791"/>
      <c r="O702" s="791"/>
      <c r="P702" s="788"/>
      <c r="Q702" s="792"/>
      <c r="R702" s="793"/>
      <c r="S702" s="793"/>
      <c r="T702" s="793"/>
    </row>
    <row r="703" spans="2:20" ht="16.899999999999999" customHeight="1">
      <c r="B703" s="1421"/>
      <c r="C703" s="774"/>
      <c r="D703" s="775"/>
      <c r="E703" s="776"/>
      <c r="F703" s="776"/>
      <c r="G703" s="777"/>
      <c r="H703" s="783"/>
      <c r="I703" s="777"/>
      <c r="J703" s="776"/>
      <c r="K703" s="779"/>
      <c r="L703" s="779"/>
      <c r="M703" s="779"/>
      <c r="N703" s="780"/>
      <c r="O703" s="780"/>
      <c r="P703" s="777"/>
      <c r="Q703" s="781"/>
      <c r="R703" s="782"/>
      <c r="S703" s="782"/>
      <c r="T703" s="782"/>
    </row>
    <row r="704" spans="2:20" ht="16.899999999999999" customHeight="1">
      <c r="B704" s="1421"/>
      <c r="C704" s="774"/>
      <c r="D704" s="775"/>
      <c r="E704" s="776"/>
      <c r="F704" s="776"/>
      <c r="G704" s="777"/>
      <c r="H704" s="783"/>
      <c r="I704" s="777"/>
      <c r="J704" s="776"/>
      <c r="K704" s="779"/>
      <c r="L704" s="779"/>
      <c r="M704" s="779"/>
      <c r="N704" s="780"/>
      <c r="O704" s="780"/>
      <c r="P704" s="777"/>
      <c r="Q704" s="781"/>
      <c r="R704" s="782"/>
      <c r="S704" s="782"/>
      <c r="T704" s="782"/>
    </row>
    <row r="705" spans="2:20" ht="16.899999999999999" customHeight="1">
      <c r="B705" s="1421"/>
      <c r="C705" s="774"/>
      <c r="D705" s="775"/>
      <c r="E705" s="776"/>
      <c r="F705" s="776"/>
      <c r="G705" s="777"/>
      <c r="H705" s="783"/>
      <c r="I705" s="777"/>
      <c r="J705" s="776"/>
      <c r="K705" s="779"/>
      <c r="L705" s="779"/>
      <c r="M705" s="779"/>
      <c r="N705" s="780"/>
      <c r="O705" s="780"/>
      <c r="P705" s="777"/>
      <c r="Q705" s="781"/>
      <c r="R705" s="782"/>
      <c r="S705" s="782"/>
      <c r="T705" s="782"/>
    </row>
    <row r="706" spans="2:20" ht="16.899999999999999" customHeight="1">
      <c r="B706" s="1421"/>
      <c r="C706" s="774"/>
      <c r="D706" s="775"/>
      <c r="E706" s="776"/>
      <c r="F706" s="776"/>
      <c r="G706" s="777"/>
      <c r="H706" s="783"/>
      <c r="I706" s="777"/>
      <c r="J706" s="776"/>
      <c r="K706" s="779"/>
      <c r="L706" s="779"/>
      <c r="M706" s="779"/>
      <c r="N706" s="780"/>
      <c r="O706" s="780"/>
      <c r="P706" s="777"/>
      <c r="Q706" s="781"/>
      <c r="R706" s="782"/>
      <c r="S706" s="782"/>
      <c r="T706" s="782"/>
    </row>
    <row r="707" spans="2:20" ht="16.899999999999999" customHeight="1">
      <c r="B707" s="1421"/>
      <c r="C707" s="774"/>
      <c r="D707" s="775"/>
      <c r="E707" s="776"/>
      <c r="F707" s="776"/>
      <c r="G707" s="777"/>
      <c r="H707" s="783"/>
      <c r="I707" s="777"/>
      <c r="J707" s="776"/>
      <c r="K707" s="779"/>
      <c r="L707" s="779"/>
      <c r="M707" s="779"/>
      <c r="N707" s="780"/>
      <c r="O707" s="780"/>
      <c r="P707" s="777"/>
      <c r="Q707" s="781"/>
      <c r="R707" s="782"/>
      <c r="S707" s="782"/>
      <c r="T707" s="782"/>
    </row>
    <row r="708" spans="2:20" ht="16.899999999999999" customHeight="1">
      <c r="B708" s="1421"/>
      <c r="C708" s="774"/>
      <c r="D708" s="775"/>
      <c r="E708" s="776"/>
      <c r="F708" s="776"/>
      <c r="G708" s="777"/>
      <c r="H708" s="783"/>
      <c r="I708" s="777"/>
      <c r="J708" s="776"/>
      <c r="K708" s="779"/>
      <c r="L708" s="779"/>
      <c r="M708" s="779"/>
      <c r="N708" s="780"/>
      <c r="O708" s="780"/>
      <c r="P708" s="777"/>
      <c r="Q708" s="781"/>
      <c r="R708" s="782"/>
      <c r="S708" s="782"/>
      <c r="T708" s="782"/>
    </row>
    <row r="709" spans="2:20" ht="16.899999999999999" customHeight="1">
      <c r="B709" s="1421"/>
      <c r="C709" s="774"/>
      <c r="D709" s="775"/>
      <c r="E709" s="776"/>
      <c r="F709" s="776"/>
      <c r="G709" s="777"/>
      <c r="H709" s="783"/>
      <c r="I709" s="777"/>
      <c r="J709" s="776"/>
      <c r="K709" s="779"/>
      <c r="L709" s="779"/>
      <c r="M709" s="779"/>
      <c r="N709" s="780"/>
      <c r="O709" s="780"/>
      <c r="P709" s="777"/>
      <c r="Q709" s="781"/>
      <c r="R709" s="782"/>
      <c r="S709" s="782"/>
      <c r="T709" s="782"/>
    </row>
    <row r="710" spans="2:20" ht="16.899999999999999" customHeight="1">
      <c r="B710" s="1421"/>
      <c r="C710" s="774"/>
      <c r="D710" s="775"/>
      <c r="E710" s="776"/>
      <c r="F710" s="776"/>
      <c r="G710" s="777"/>
      <c r="H710" s="783"/>
      <c r="I710" s="777"/>
      <c r="J710" s="776"/>
      <c r="K710" s="779"/>
      <c r="L710" s="779"/>
      <c r="M710" s="779"/>
      <c r="N710" s="780"/>
      <c r="O710" s="780"/>
      <c r="P710" s="777"/>
      <c r="Q710" s="781"/>
      <c r="R710" s="782"/>
      <c r="S710" s="782"/>
      <c r="T710" s="782"/>
    </row>
    <row r="711" spans="2:20" ht="16.899999999999999" customHeight="1">
      <c r="B711" s="1422"/>
      <c r="C711" s="873"/>
      <c r="D711" s="874"/>
      <c r="E711" s="875"/>
      <c r="F711" s="875"/>
      <c r="G711" s="876"/>
      <c r="H711" s="877"/>
      <c r="I711" s="876"/>
      <c r="J711" s="875"/>
      <c r="K711" s="878"/>
      <c r="L711" s="878"/>
      <c r="M711" s="878"/>
      <c r="N711" s="879"/>
      <c r="O711" s="879"/>
      <c r="P711" s="876"/>
      <c r="Q711" s="880"/>
      <c r="R711" s="881"/>
      <c r="S711" s="881"/>
      <c r="T711" s="881"/>
    </row>
    <row r="712" spans="2:20" ht="16.899999999999999" customHeight="1">
      <c r="B712" s="1420" t="s">
        <v>6069</v>
      </c>
      <c r="C712" s="774"/>
      <c r="D712" s="775"/>
      <c r="E712" s="776"/>
      <c r="F712" s="776"/>
      <c r="G712" s="777"/>
      <c r="H712" s="783"/>
      <c r="I712" s="777"/>
      <c r="J712" s="776"/>
      <c r="K712" s="779"/>
      <c r="L712" s="779"/>
      <c r="M712" s="779"/>
      <c r="N712" s="780"/>
      <c r="O712" s="780"/>
      <c r="P712" s="777"/>
      <c r="Q712" s="781"/>
      <c r="R712" s="782"/>
      <c r="S712" s="782"/>
      <c r="T712" s="782"/>
    </row>
    <row r="713" spans="2:20" ht="16.899999999999999" customHeight="1">
      <c r="B713" s="1421"/>
      <c r="C713" s="774"/>
      <c r="D713" s="775"/>
      <c r="E713" s="776"/>
      <c r="F713" s="776"/>
      <c r="G713" s="777"/>
      <c r="H713" s="783"/>
      <c r="I713" s="777"/>
      <c r="J713" s="776"/>
      <c r="K713" s="779"/>
      <c r="L713" s="779"/>
      <c r="M713" s="779"/>
      <c r="N713" s="780"/>
      <c r="O713" s="780"/>
      <c r="P713" s="777"/>
      <c r="Q713" s="781"/>
      <c r="R713" s="782"/>
      <c r="S713" s="782"/>
      <c r="T713" s="782"/>
    </row>
    <row r="714" spans="2:20" ht="16.899999999999999" customHeight="1">
      <c r="B714" s="1421"/>
      <c r="C714" s="774"/>
      <c r="D714" s="775"/>
      <c r="E714" s="776"/>
      <c r="F714" s="776"/>
      <c r="G714" s="777"/>
      <c r="H714" s="783"/>
      <c r="I714" s="777"/>
      <c r="J714" s="776"/>
      <c r="K714" s="779"/>
      <c r="L714" s="779"/>
      <c r="M714" s="779"/>
      <c r="N714" s="780"/>
      <c r="O714" s="780"/>
      <c r="P714" s="777"/>
      <c r="Q714" s="781"/>
      <c r="R714" s="782"/>
      <c r="S714" s="782"/>
      <c r="T714" s="782"/>
    </row>
    <row r="715" spans="2:20" ht="16.899999999999999" customHeight="1">
      <c r="B715" s="1421"/>
      <c r="C715" s="774"/>
      <c r="D715" s="775"/>
      <c r="E715" s="776"/>
      <c r="F715" s="776"/>
      <c r="G715" s="777"/>
      <c r="H715" s="783"/>
      <c r="I715" s="777"/>
      <c r="J715" s="776"/>
      <c r="K715" s="779"/>
      <c r="L715" s="779"/>
      <c r="M715" s="779"/>
      <c r="N715" s="780"/>
      <c r="O715" s="780"/>
      <c r="P715" s="777"/>
      <c r="Q715" s="781"/>
      <c r="R715" s="782"/>
      <c r="S715" s="782"/>
      <c r="T715" s="782"/>
    </row>
    <row r="716" spans="2:20" ht="16.899999999999999" customHeight="1">
      <c r="B716" s="1421"/>
      <c r="C716" s="774"/>
      <c r="D716" s="775"/>
      <c r="E716" s="776"/>
      <c r="F716" s="776"/>
      <c r="G716" s="777"/>
      <c r="H716" s="783"/>
      <c r="I716" s="777"/>
      <c r="J716" s="776"/>
      <c r="K716" s="779"/>
      <c r="L716" s="779"/>
      <c r="M716" s="779"/>
      <c r="N716" s="780"/>
      <c r="O716" s="780"/>
      <c r="P716" s="777"/>
      <c r="Q716" s="781"/>
      <c r="R716" s="782"/>
      <c r="S716" s="782"/>
      <c r="T716" s="782"/>
    </row>
    <row r="717" spans="2:20" ht="16.899999999999999" customHeight="1">
      <c r="B717" s="1421"/>
      <c r="C717" s="774"/>
      <c r="D717" s="775"/>
      <c r="E717" s="776"/>
      <c r="F717" s="776"/>
      <c r="G717" s="777"/>
      <c r="H717" s="783"/>
      <c r="I717" s="777"/>
      <c r="J717" s="776"/>
      <c r="K717" s="779"/>
      <c r="L717" s="779"/>
      <c r="M717" s="779"/>
      <c r="N717" s="780"/>
      <c r="O717" s="780"/>
      <c r="P717" s="777"/>
      <c r="Q717" s="781"/>
      <c r="R717" s="782"/>
      <c r="S717" s="782"/>
      <c r="T717" s="782"/>
    </row>
    <row r="718" spans="2:20" ht="16.899999999999999" customHeight="1">
      <c r="B718" s="1421"/>
      <c r="C718" s="774"/>
      <c r="D718" s="775"/>
      <c r="E718" s="776"/>
      <c r="F718" s="776"/>
      <c r="G718" s="777"/>
      <c r="H718" s="783"/>
      <c r="I718" s="777"/>
      <c r="J718" s="776"/>
      <c r="K718" s="779"/>
      <c r="L718" s="779"/>
      <c r="M718" s="779"/>
      <c r="N718" s="780"/>
      <c r="O718" s="780"/>
      <c r="P718" s="777"/>
      <c r="Q718" s="781"/>
      <c r="R718" s="782"/>
      <c r="S718" s="782"/>
      <c r="T718" s="782"/>
    </row>
    <row r="719" spans="2:20" ht="16.899999999999999" customHeight="1">
      <c r="B719" s="1421"/>
      <c r="C719" s="774"/>
      <c r="D719" s="775"/>
      <c r="E719" s="776"/>
      <c r="F719" s="776"/>
      <c r="G719" s="777"/>
      <c r="H719" s="783"/>
      <c r="I719" s="777"/>
      <c r="J719" s="776"/>
      <c r="K719" s="779"/>
      <c r="L719" s="779"/>
      <c r="M719" s="779"/>
      <c r="N719" s="780"/>
      <c r="O719" s="780"/>
      <c r="P719" s="777"/>
      <c r="Q719" s="781"/>
      <c r="R719" s="782"/>
      <c r="S719" s="782"/>
      <c r="T719" s="782"/>
    </row>
    <row r="720" spans="2:20" ht="16.899999999999999" customHeight="1">
      <c r="B720" s="1421"/>
      <c r="C720" s="774"/>
      <c r="D720" s="775"/>
      <c r="E720" s="776"/>
      <c r="F720" s="776"/>
      <c r="G720" s="777"/>
      <c r="H720" s="783"/>
      <c r="I720" s="777"/>
      <c r="J720" s="776"/>
      <c r="K720" s="779"/>
      <c r="L720" s="779"/>
      <c r="M720" s="779"/>
      <c r="N720" s="780"/>
      <c r="O720" s="780"/>
      <c r="P720" s="777"/>
      <c r="Q720" s="781"/>
      <c r="R720" s="782"/>
      <c r="S720" s="782"/>
      <c r="T720" s="782"/>
    </row>
    <row r="721" spans="2:20" ht="16.899999999999999" customHeight="1">
      <c r="B721" s="1422"/>
      <c r="C721" s="774"/>
      <c r="D721" s="775"/>
      <c r="E721" s="776"/>
      <c r="F721" s="776"/>
      <c r="G721" s="777"/>
      <c r="H721" s="783"/>
      <c r="I721" s="777"/>
      <c r="J721" s="776"/>
      <c r="K721" s="779"/>
      <c r="L721" s="779"/>
      <c r="M721" s="779"/>
      <c r="N721" s="780"/>
      <c r="O721" s="780"/>
      <c r="P721" s="777"/>
      <c r="Q721" s="781"/>
      <c r="R721" s="782"/>
      <c r="S721" s="782"/>
      <c r="T721" s="782"/>
    </row>
    <row r="722" spans="2:20">
      <c r="B722" s="1423" t="s">
        <v>6070</v>
      </c>
      <c r="C722" s="1424"/>
      <c r="D722" s="1424"/>
      <c r="E722" s="1424"/>
      <c r="F722" s="1424"/>
      <c r="G722" s="1424"/>
      <c r="H722" s="1424"/>
      <c r="I722" s="1424"/>
      <c r="J722" s="1424"/>
      <c r="K722" s="864"/>
      <c r="L722" s="865"/>
      <c r="M722" s="865"/>
      <c r="N722" s="866"/>
      <c r="O722" s="867"/>
      <c r="P722" s="868"/>
      <c r="Q722" s="869"/>
      <c r="R722" s="870"/>
      <c r="S722" s="870"/>
      <c r="T722" s="870"/>
    </row>
    <row r="723" spans="2:20">
      <c r="B723" s="1420" t="s">
        <v>6071</v>
      </c>
      <c r="C723" s="785"/>
      <c r="D723" s="786"/>
      <c r="E723" s="787"/>
      <c r="F723" s="787"/>
      <c r="G723" s="788"/>
      <c r="H723" s="797"/>
      <c r="I723" s="788"/>
      <c r="J723" s="787"/>
      <c r="K723" s="790"/>
      <c r="L723" s="790"/>
      <c r="M723" s="790"/>
      <c r="N723" s="791"/>
      <c r="O723" s="791"/>
      <c r="P723" s="788"/>
      <c r="Q723" s="792"/>
      <c r="R723" s="793"/>
      <c r="S723" s="793"/>
      <c r="T723" s="793"/>
    </row>
    <row r="724" spans="2:20">
      <c r="B724" s="1421"/>
      <c r="C724" s="774"/>
      <c r="D724" s="775"/>
      <c r="E724" s="776"/>
      <c r="F724" s="776"/>
      <c r="G724" s="777"/>
      <c r="H724" s="783"/>
      <c r="I724" s="777"/>
      <c r="J724" s="776"/>
      <c r="K724" s="779"/>
      <c r="L724" s="779"/>
      <c r="M724" s="779"/>
      <c r="N724" s="780"/>
      <c r="O724" s="780"/>
      <c r="P724" s="777"/>
      <c r="Q724" s="781"/>
      <c r="R724" s="782"/>
      <c r="S724" s="782"/>
      <c r="T724" s="782"/>
    </row>
    <row r="725" spans="2:20">
      <c r="B725" s="1421"/>
      <c r="C725" s="774"/>
      <c r="D725" s="775"/>
      <c r="E725" s="776"/>
      <c r="F725" s="776"/>
      <c r="G725" s="777"/>
      <c r="H725" s="783"/>
      <c r="I725" s="777"/>
      <c r="J725" s="776"/>
      <c r="K725" s="779"/>
      <c r="L725" s="779"/>
      <c r="M725" s="779"/>
      <c r="N725" s="780"/>
      <c r="O725" s="780"/>
      <c r="P725" s="777"/>
      <c r="Q725" s="781"/>
      <c r="R725" s="782"/>
      <c r="S725" s="782"/>
      <c r="T725" s="782"/>
    </row>
    <row r="726" spans="2:20">
      <c r="B726" s="1421"/>
      <c r="C726" s="774"/>
      <c r="D726" s="775"/>
      <c r="E726" s="776"/>
      <c r="F726" s="776"/>
      <c r="G726" s="777"/>
      <c r="H726" s="783"/>
      <c r="I726" s="777"/>
      <c r="J726" s="776"/>
      <c r="K726" s="779"/>
      <c r="L726" s="779"/>
      <c r="M726" s="779"/>
      <c r="N726" s="780"/>
      <c r="O726" s="780"/>
      <c r="P726" s="777"/>
      <c r="Q726" s="781"/>
      <c r="R726" s="782"/>
      <c r="S726" s="782"/>
      <c r="T726" s="782"/>
    </row>
    <row r="727" spans="2:20">
      <c r="B727" s="1421"/>
      <c r="C727" s="774"/>
      <c r="D727" s="775"/>
      <c r="E727" s="776"/>
      <c r="F727" s="776"/>
      <c r="G727" s="777"/>
      <c r="H727" s="783"/>
      <c r="I727" s="777"/>
      <c r="J727" s="776"/>
      <c r="K727" s="779"/>
      <c r="L727" s="779"/>
      <c r="M727" s="779"/>
      <c r="N727" s="780"/>
      <c r="O727" s="780"/>
      <c r="P727" s="777"/>
      <c r="Q727" s="781"/>
      <c r="R727" s="782"/>
      <c r="S727" s="782"/>
      <c r="T727" s="782"/>
    </row>
    <row r="728" spans="2:20">
      <c r="B728" s="1421"/>
      <c r="C728" s="774"/>
      <c r="D728" s="775"/>
      <c r="E728" s="776"/>
      <c r="F728" s="776"/>
      <c r="G728" s="777"/>
      <c r="H728" s="783"/>
      <c r="I728" s="777"/>
      <c r="J728" s="776"/>
      <c r="K728" s="779"/>
      <c r="L728" s="779"/>
      <c r="M728" s="779"/>
      <c r="N728" s="780"/>
      <c r="O728" s="780"/>
      <c r="P728" s="777"/>
      <c r="Q728" s="781"/>
      <c r="R728" s="782"/>
      <c r="S728" s="782"/>
      <c r="T728" s="782"/>
    </row>
    <row r="729" spans="2:20">
      <c r="B729" s="1421"/>
      <c r="C729" s="774"/>
      <c r="D729" s="775"/>
      <c r="E729" s="776"/>
      <c r="F729" s="776"/>
      <c r="G729" s="777"/>
      <c r="H729" s="783"/>
      <c r="I729" s="777"/>
      <c r="J729" s="776"/>
      <c r="K729" s="779"/>
      <c r="L729" s="779"/>
      <c r="M729" s="779"/>
      <c r="N729" s="780"/>
      <c r="O729" s="780"/>
      <c r="P729" s="777"/>
      <c r="Q729" s="781"/>
      <c r="R729" s="782"/>
      <c r="S729" s="782"/>
      <c r="T729" s="782"/>
    </row>
    <row r="730" spans="2:20">
      <c r="B730" s="1421"/>
      <c r="C730" s="774"/>
      <c r="D730" s="775"/>
      <c r="E730" s="776"/>
      <c r="F730" s="776"/>
      <c r="G730" s="777"/>
      <c r="H730" s="783"/>
      <c r="I730" s="777"/>
      <c r="J730" s="776"/>
      <c r="K730" s="779"/>
      <c r="L730" s="779"/>
      <c r="M730" s="779"/>
      <c r="N730" s="780"/>
      <c r="O730" s="780"/>
      <c r="P730" s="777"/>
      <c r="Q730" s="781"/>
      <c r="R730" s="782"/>
      <c r="S730" s="782"/>
      <c r="T730" s="782"/>
    </row>
    <row r="731" spans="2:20">
      <c r="B731" s="1421"/>
      <c r="C731" s="774"/>
      <c r="D731" s="775"/>
      <c r="E731" s="776"/>
      <c r="F731" s="776"/>
      <c r="G731" s="777"/>
      <c r="H731" s="783"/>
      <c r="I731" s="777"/>
      <c r="J731" s="776"/>
      <c r="K731" s="779"/>
      <c r="L731" s="779"/>
      <c r="M731" s="779"/>
      <c r="N731" s="780"/>
      <c r="O731" s="780"/>
      <c r="P731" s="777"/>
      <c r="Q731" s="781"/>
      <c r="R731" s="782"/>
      <c r="S731" s="782"/>
      <c r="T731" s="782"/>
    </row>
    <row r="732" spans="2:20">
      <c r="B732" s="1422"/>
      <c r="C732" s="873"/>
      <c r="D732" s="874"/>
      <c r="E732" s="875"/>
      <c r="F732" s="875"/>
      <c r="G732" s="876"/>
      <c r="H732" s="877"/>
      <c r="I732" s="876"/>
      <c r="J732" s="875"/>
      <c r="K732" s="878"/>
      <c r="L732" s="878"/>
      <c r="M732" s="878"/>
      <c r="N732" s="879"/>
      <c r="O732" s="879"/>
      <c r="P732" s="876"/>
      <c r="Q732" s="880"/>
      <c r="R732" s="881"/>
      <c r="S732" s="881"/>
      <c r="T732" s="881"/>
    </row>
    <row r="733" spans="2:20">
      <c r="B733" s="1420" t="s">
        <v>6072</v>
      </c>
      <c r="C733" s="785"/>
      <c r="D733" s="786"/>
      <c r="E733" s="787"/>
      <c r="F733" s="787"/>
      <c r="G733" s="788"/>
      <c r="H733" s="797"/>
      <c r="I733" s="788"/>
      <c r="J733" s="787"/>
      <c r="K733" s="790"/>
      <c r="L733" s="790"/>
      <c r="M733" s="790"/>
      <c r="N733" s="791"/>
      <c r="O733" s="791"/>
      <c r="P733" s="788"/>
      <c r="Q733" s="792"/>
      <c r="R733" s="793"/>
      <c r="S733" s="793"/>
      <c r="T733" s="793"/>
    </row>
    <row r="734" spans="2:20">
      <c r="B734" s="1421"/>
      <c r="C734" s="774"/>
      <c r="D734" s="775"/>
      <c r="E734" s="776"/>
      <c r="F734" s="776"/>
      <c r="G734" s="777"/>
      <c r="H734" s="783"/>
      <c r="I734" s="777"/>
      <c r="J734" s="776"/>
      <c r="K734" s="779"/>
      <c r="L734" s="779"/>
      <c r="M734" s="779"/>
      <c r="N734" s="780"/>
      <c r="O734" s="780"/>
      <c r="P734" s="777"/>
      <c r="Q734" s="781"/>
      <c r="R734" s="782"/>
      <c r="S734" s="782"/>
      <c r="T734" s="782"/>
    </row>
    <row r="735" spans="2:20">
      <c r="B735" s="1421"/>
      <c r="C735" s="774"/>
      <c r="D735" s="775"/>
      <c r="E735" s="776"/>
      <c r="F735" s="776"/>
      <c r="G735" s="777"/>
      <c r="H735" s="783"/>
      <c r="I735" s="777"/>
      <c r="J735" s="776"/>
      <c r="K735" s="779"/>
      <c r="L735" s="779"/>
      <c r="M735" s="779"/>
      <c r="N735" s="780"/>
      <c r="O735" s="780"/>
      <c r="P735" s="777"/>
      <c r="Q735" s="781"/>
      <c r="R735" s="782"/>
      <c r="S735" s="782"/>
      <c r="T735" s="782"/>
    </row>
    <row r="736" spans="2:20">
      <c r="B736" s="1421"/>
      <c r="C736" s="774"/>
      <c r="D736" s="775"/>
      <c r="E736" s="776"/>
      <c r="F736" s="776"/>
      <c r="G736" s="777"/>
      <c r="H736" s="783"/>
      <c r="I736" s="777"/>
      <c r="J736" s="776"/>
      <c r="K736" s="779"/>
      <c r="L736" s="779"/>
      <c r="M736" s="779"/>
      <c r="N736" s="780"/>
      <c r="O736" s="780"/>
      <c r="P736" s="777"/>
      <c r="Q736" s="781"/>
      <c r="R736" s="782"/>
      <c r="S736" s="782"/>
      <c r="T736" s="782"/>
    </row>
    <row r="737" spans="2:20">
      <c r="B737" s="1421"/>
      <c r="C737" s="774"/>
      <c r="D737" s="775"/>
      <c r="E737" s="776"/>
      <c r="F737" s="776"/>
      <c r="G737" s="777"/>
      <c r="H737" s="783"/>
      <c r="I737" s="777"/>
      <c r="J737" s="776"/>
      <c r="K737" s="779"/>
      <c r="L737" s="779"/>
      <c r="M737" s="779"/>
      <c r="N737" s="780"/>
      <c r="O737" s="780"/>
      <c r="P737" s="777"/>
      <c r="Q737" s="781"/>
      <c r="R737" s="782"/>
      <c r="S737" s="782"/>
      <c r="T737" s="782"/>
    </row>
    <row r="738" spans="2:20">
      <c r="B738" s="1421"/>
      <c r="C738" s="774"/>
      <c r="D738" s="775"/>
      <c r="E738" s="776"/>
      <c r="F738" s="776"/>
      <c r="G738" s="777"/>
      <c r="H738" s="783"/>
      <c r="I738" s="777"/>
      <c r="J738" s="776"/>
      <c r="K738" s="779"/>
      <c r="L738" s="779"/>
      <c r="M738" s="779"/>
      <c r="N738" s="780"/>
      <c r="O738" s="780"/>
      <c r="P738" s="777"/>
      <c r="Q738" s="781"/>
      <c r="R738" s="782"/>
      <c r="S738" s="782"/>
      <c r="T738" s="782"/>
    </row>
    <row r="739" spans="2:20">
      <c r="B739" s="1421"/>
      <c r="C739" s="774"/>
      <c r="D739" s="775"/>
      <c r="E739" s="776"/>
      <c r="F739" s="776"/>
      <c r="G739" s="777"/>
      <c r="H739" s="783"/>
      <c r="I739" s="777"/>
      <c r="J739" s="776"/>
      <c r="K739" s="779"/>
      <c r="L739" s="779"/>
      <c r="M739" s="779"/>
      <c r="N739" s="780"/>
      <c r="O739" s="780"/>
      <c r="P739" s="777"/>
      <c r="Q739" s="781"/>
      <c r="R739" s="782"/>
      <c r="S739" s="782"/>
      <c r="T739" s="782"/>
    </row>
    <row r="740" spans="2:20">
      <c r="B740" s="1421"/>
      <c r="C740" s="774"/>
      <c r="D740" s="775"/>
      <c r="E740" s="776"/>
      <c r="F740" s="776"/>
      <c r="G740" s="777"/>
      <c r="H740" s="783"/>
      <c r="I740" s="777"/>
      <c r="J740" s="776"/>
      <c r="K740" s="779"/>
      <c r="L740" s="779"/>
      <c r="M740" s="779"/>
      <c r="N740" s="780"/>
      <c r="O740" s="780"/>
      <c r="P740" s="777"/>
      <c r="Q740" s="781"/>
      <c r="R740" s="782"/>
      <c r="S740" s="782"/>
      <c r="T740" s="782"/>
    </row>
    <row r="741" spans="2:20">
      <c r="B741" s="1421"/>
      <c r="C741" s="774"/>
      <c r="D741" s="775"/>
      <c r="E741" s="776"/>
      <c r="F741" s="776"/>
      <c r="G741" s="777"/>
      <c r="H741" s="783"/>
      <c r="I741" s="777"/>
      <c r="J741" s="776"/>
      <c r="K741" s="779"/>
      <c r="L741" s="779"/>
      <c r="M741" s="779"/>
      <c r="N741" s="780"/>
      <c r="O741" s="780"/>
      <c r="P741" s="777"/>
      <c r="Q741" s="781"/>
      <c r="R741" s="782"/>
      <c r="S741" s="782"/>
      <c r="T741" s="782"/>
    </row>
    <row r="742" spans="2:20">
      <c r="B742" s="1422"/>
      <c r="C742" s="873"/>
      <c r="D742" s="874"/>
      <c r="E742" s="875"/>
      <c r="F742" s="875"/>
      <c r="G742" s="876"/>
      <c r="H742" s="877"/>
      <c r="I742" s="876"/>
      <c r="J742" s="875"/>
      <c r="K742" s="878"/>
      <c r="L742" s="878"/>
      <c r="M742" s="878"/>
      <c r="N742" s="879"/>
      <c r="O742" s="879"/>
      <c r="P742" s="876"/>
      <c r="Q742" s="880"/>
      <c r="R742" s="881"/>
      <c r="S742" s="881"/>
      <c r="T742" s="881"/>
    </row>
    <row r="743" spans="2:20">
      <c r="B743" s="1420" t="s">
        <v>6073</v>
      </c>
      <c r="C743" s="785"/>
      <c r="D743" s="786"/>
      <c r="E743" s="787"/>
      <c r="F743" s="787"/>
      <c r="G743" s="788"/>
      <c r="H743" s="797"/>
      <c r="I743" s="788"/>
      <c r="J743" s="787"/>
      <c r="K743" s="790"/>
      <c r="L743" s="790"/>
      <c r="M743" s="790"/>
      <c r="N743" s="791"/>
      <c r="O743" s="791"/>
      <c r="P743" s="788"/>
      <c r="Q743" s="792"/>
      <c r="R743" s="793"/>
      <c r="S743" s="793"/>
      <c r="T743" s="793"/>
    </row>
    <row r="744" spans="2:20">
      <c r="B744" s="1421"/>
      <c r="C744" s="774"/>
      <c r="D744" s="775"/>
      <c r="E744" s="776"/>
      <c r="F744" s="776"/>
      <c r="G744" s="777"/>
      <c r="H744" s="783"/>
      <c r="I744" s="777"/>
      <c r="J744" s="776"/>
      <c r="K744" s="779"/>
      <c r="L744" s="779"/>
      <c r="M744" s="779"/>
      <c r="N744" s="780"/>
      <c r="O744" s="780"/>
      <c r="P744" s="777"/>
      <c r="Q744" s="781"/>
      <c r="R744" s="782"/>
      <c r="S744" s="782"/>
      <c r="T744" s="782"/>
    </row>
    <row r="745" spans="2:20">
      <c r="B745" s="1421"/>
      <c r="C745" s="774"/>
      <c r="D745" s="775"/>
      <c r="E745" s="776"/>
      <c r="F745" s="776"/>
      <c r="G745" s="777"/>
      <c r="H745" s="783"/>
      <c r="I745" s="777"/>
      <c r="J745" s="776"/>
      <c r="K745" s="779"/>
      <c r="L745" s="779"/>
      <c r="M745" s="779"/>
      <c r="N745" s="780"/>
      <c r="O745" s="780"/>
      <c r="P745" s="777"/>
      <c r="Q745" s="781"/>
      <c r="R745" s="782"/>
      <c r="S745" s="782"/>
      <c r="T745" s="782"/>
    </row>
    <row r="746" spans="2:20">
      <c r="B746" s="1421"/>
      <c r="C746" s="774"/>
      <c r="D746" s="775"/>
      <c r="E746" s="776"/>
      <c r="F746" s="776"/>
      <c r="G746" s="777"/>
      <c r="H746" s="783"/>
      <c r="I746" s="777"/>
      <c r="J746" s="776"/>
      <c r="K746" s="779"/>
      <c r="L746" s="779"/>
      <c r="M746" s="779"/>
      <c r="N746" s="780"/>
      <c r="O746" s="780"/>
      <c r="P746" s="777"/>
      <c r="Q746" s="781"/>
      <c r="R746" s="782"/>
      <c r="S746" s="782"/>
      <c r="T746" s="782"/>
    </row>
    <row r="747" spans="2:20">
      <c r="B747" s="1421"/>
      <c r="C747" s="774"/>
      <c r="D747" s="775"/>
      <c r="E747" s="776"/>
      <c r="F747" s="776"/>
      <c r="G747" s="777"/>
      <c r="H747" s="783"/>
      <c r="I747" s="777"/>
      <c r="J747" s="776"/>
      <c r="K747" s="779"/>
      <c r="L747" s="779"/>
      <c r="M747" s="779"/>
      <c r="N747" s="780"/>
      <c r="O747" s="780"/>
      <c r="P747" s="777"/>
      <c r="Q747" s="781"/>
      <c r="R747" s="782"/>
      <c r="S747" s="782"/>
      <c r="T747" s="782"/>
    </row>
    <row r="748" spans="2:20">
      <c r="B748" s="1421"/>
      <c r="C748" s="774"/>
      <c r="D748" s="775"/>
      <c r="E748" s="776"/>
      <c r="F748" s="776"/>
      <c r="G748" s="777"/>
      <c r="H748" s="783"/>
      <c r="I748" s="777"/>
      <c r="J748" s="776"/>
      <c r="K748" s="779"/>
      <c r="L748" s="779"/>
      <c r="M748" s="779"/>
      <c r="N748" s="780"/>
      <c r="O748" s="780"/>
      <c r="P748" s="777"/>
      <c r="Q748" s="781"/>
      <c r="R748" s="782"/>
      <c r="S748" s="782"/>
      <c r="T748" s="782"/>
    </row>
    <row r="749" spans="2:20">
      <c r="B749" s="1421"/>
      <c r="C749" s="774"/>
      <c r="D749" s="775"/>
      <c r="E749" s="776"/>
      <c r="F749" s="776"/>
      <c r="G749" s="777"/>
      <c r="H749" s="783"/>
      <c r="I749" s="777"/>
      <c r="J749" s="776"/>
      <c r="K749" s="779"/>
      <c r="L749" s="779"/>
      <c r="M749" s="779"/>
      <c r="N749" s="780"/>
      <c r="O749" s="780"/>
      <c r="P749" s="777"/>
      <c r="Q749" s="781"/>
      <c r="R749" s="782"/>
      <c r="S749" s="782"/>
      <c r="T749" s="782"/>
    </row>
    <row r="750" spans="2:20">
      <c r="B750" s="1421"/>
      <c r="C750" s="774"/>
      <c r="D750" s="775"/>
      <c r="E750" s="776"/>
      <c r="F750" s="776"/>
      <c r="G750" s="777"/>
      <c r="H750" s="783"/>
      <c r="I750" s="777"/>
      <c r="J750" s="776"/>
      <c r="K750" s="779"/>
      <c r="L750" s="779"/>
      <c r="M750" s="779"/>
      <c r="N750" s="780"/>
      <c r="O750" s="780"/>
      <c r="P750" s="777"/>
      <c r="Q750" s="781"/>
      <c r="R750" s="782"/>
      <c r="S750" s="782"/>
      <c r="T750" s="782"/>
    </row>
    <row r="751" spans="2:20">
      <c r="B751" s="1421"/>
      <c r="C751" s="774"/>
      <c r="D751" s="775"/>
      <c r="E751" s="776"/>
      <c r="F751" s="776"/>
      <c r="G751" s="777"/>
      <c r="H751" s="783"/>
      <c r="I751" s="777"/>
      <c r="J751" s="776"/>
      <c r="K751" s="779"/>
      <c r="L751" s="779"/>
      <c r="M751" s="779"/>
      <c r="N751" s="780"/>
      <c r="O751" s="780"/>
      <c r="P751" s="777"/>
      <c r="Q751" s="781"/>
      <c r="R751" s="782"/>
      <c r="S751" s="782"/>
      <c r="T751" s="782"/>
    </row>
    <row r="752" spans="2:20">
      <c r="B752" s="1422"/>
      <c r="C752" s="873"/>
      <c r="D752" s="874"/>
      <c r="E752" s="875"/>
      <c r="F752" s="875"/>
      <c r="G752" s="876"/>
      <c r="H752" s="877"/>
      <c r="I752" s="876"/>
      <c r="J752" s="875"/>
      <c r="K752" s="878"/>
      <c r="L752" s="878"/>
      <c r="M752" s="878"/>
      <c r="N752" s="879"/>
      <c r="O752" s="879"/>
      <c r="P752" s="876"/>
      <c r="Q752" s="880"/>
      <c r="R752" s="881"/>
      <c r="S752" s="881"/>
      <c r="T752" s="881"/>
    </row>
    <row r="753" spans="2:20">
      <c r="B753" s="1420" t="s">
        <v>6074</v>
      </c>
      <c r="C753" s="785"/>
      <c r="D753" s="786"/>
      <c r="E753" s="787"/>
      <c r="F753" s="787"/>
      <c r="G753" s="788"/>
      <c r="H753" s="797"/>
      <c r="I753" s="788"/>
      <c r="J753" s="787"/>
      <c r="K753" s="790"/>
      <c r="L753" s="790"/>
      <c r="M753" s="790"/>
      <c r="N753" s="791"/>
      <c r="O753" s="791"/>
      <c r="P753" s="788"/>
      <c r="Q753" s="792"/>
      <c r="R753" s="793"/>
      <c r="S753" s="793"/>
      <c r="T753" s="793"/>
    </row>
    <row r="754" spans="2:20">
      <c r="B754" s="1421"/>
      <c r="C754" s="774"/>
      <c r="D754" s="775"/>
      <c r="E754" s="776"/>
      <c r="F754" s="776"/>
      <c r="G754" s="777"/>
      <c r="H754" s="783"/>
      <c r="I754" s="777"/>
      <c r="J754" s="776"/>
      <c r="K754" s="779"/>
      <c r="L754" s="779"/>
      <c r="M754" s="779"/>
      <c r="N754" s="780"/>
      <c r="O754" s="780"/>
      <c r="P754" s="777"/>
      <c r="Q754" s="781"/>
      <c r="R754" s="782"/>
      <c r="S754" s="782"/>
      <c r="T754" s="782"/>
    </row>
    <row r="755" spans="2:20">
      <c r="B755" s="1421"/>
      <c r="C755" s="774"/>
      <c r="D755" s="775"/>
      <c r="E755" s="776"/>
      <c r="F755" s="776"/>
      <c r="G755" s="777"/>
      <c r="H755" s="783"/>
      <c r="I755" s="777"/>
      <c r="J755" s="776"/>
      <c r="K755" s="779"/>
      <c r="L755" s="779"/>
      <c r="M755" s="779"/>
      <c r="N755" s="780"/>
      <c r="O755" s="780"/>
      <c r="P755" s="777"/>
      <c r="Q755" s="781"/>
      <c r="R755" s="782"/>
      <c r="S755" s="782"/>
      <c r="T755" s="782"/>
    </row>
    <row r="756" spans="2:20">
      <c r="B756" s="1421"/>
      <c r="C756" s="774"/>
      <c r="D756" s="775"/>
      <c r="E756" s="776"/>
      <c r="F756" s="776"/>
      <c r="G756" s="777"/>
      <c r="H756" s="783"/>
      <c r="I756" s="777"/>
      <c r="J756" s="776"/>
      <c r="K756" s="779"/>
      <c r="L756" s="779"/>
      <c r="M756" s="779"/>
      <c r="N756" s="780"/>
      <c r="O756" s="780"/>
      <c r="P756" s="777"/>
      <c r="Q756" s="781"/>
      <c r="R756" s="782"/>
      <c r="S756" s="782"/>
      <c r="T756" s="782"/>
    </row>
    <row r="757" spans="2:20">
      <c r="B757" s="1421"/>
      <c r="C757" s="774"/>
      <c r="D757" s="775"/>
      <c r="E757" s="776"/>
      <c r="F757" s="776"/>
      <c r="G757" s="777"/>
      <c r="H757" s="783"/>
      <c r="I757" s="777"/>
      <c r="J757" s="776"/>
      <c r="K757" s="779"/>
      <c r="L757" s="779"/>
      <c r="M757" s="779"/>
      <c r="N757" s="780"/>
      <c r="O757" s="780"/>
      <c r="P757" s="777"/>
      <c r="Q757" s="781"/>
      <c r="R757" s="782"/>
      <c r="S757" s="782"/>
      <c r="T757" s="782"/>
    </row>
    <row r="758" spans="2:20">
      <c r="B758" s="1421"/>
      <c r="C758" s="774"/>
      <c r="D758" s="775"/>
      <c r="E758" s="776"/>
      <c r="F758" s="776"/>
      <c r="G758" s="777"/>
      <c r="H758" s="783"/>
      <c r="I758" s="777"/>
      <c r="J758" s="776"/>
      <c r="K758" s="779"/>
      <c r="L758" s="779"/>
      <c r="M758" s="779"/>
      <c r="N758" s="780"/>
      <c r="O758" s="780"/>
      <c r="P758" s="777"/>
      <c r="Q758" s="781"/>
      <c r="R758" s="782"/>
      <c r="S758" s="782"/>
      <c r="T758" s="782"/>
    </row>
    <row r="759" spans="2:20">
      <c r="B759" s="1421"/>
      <c r="C759" s="774"/>
      <c r="D759" s="775"/>
      <c r="E759" s="776"/>
      <c r="F759" s="776"/>
      <c r="G759" s="777"/>
      <c r="H759" s="783"/>
      <c r="I759" s="777"/>
      <c r="J759" s="776"/>
      <c r="K759" s="779"/>
      <c r="L759" s="779"/>
      <c r="M759" s="779"/>
      <c r="N759" s="780"/>
      <c r="O759" s="780"/>
      <c r="P759" s="777"/>
      <c r="Q759" s="781"/>
      <c r="R759" s="782"/>
      <c r="S759" s="782"/>
      <c r="T759" s="782"/>
    </row>
    <row r="760" spans="2:20">
      <c r="B760" s="1421"/>
      <c r="C760" s="774"/>
      <c r="D760" s="775"/>
      <c r="E760" s="776"/>
      <c r="F760" s="776"/>
      <c r="G760" s="777"/>
      <c r="H760" s="783"/>
      <c r="I760" s="777"/>
      <c r="J760" s="776"/>
      <c r="K760" s="779"/>
      <c r="L760" s="779"/>
      <c r="M760" s="779"/>
      <c r="N760" s="780"/>
      <c r="O760" s="780"/>
      <c r="P760" s="777"/>
      <c r="Q760" s="781"/>
      <c r="R760" s="782"/>
      <c r="S760" s="782"/>
      <c r="T760" s="782"/>
    </row>
    <row r="761" spans="2:20">
      <c r="B761" s="1421"/>
      <c r="C761" s="774"/>
      <c r="D761" s="775"/>
      <c r="E761" s="776"/>
      <c r="F761" s="776"/>
      <c r="G761" s="777"/>
      <c r="H761" s="783"/>
      <c r="I761" s="777"/>
      <c r="J761" s="776"/>
      <c r="K761" s="779"/>
      <c r="L761" s="779"/>
      <c r="M761" s="779"/>
      <c r="N761" s="780"/>
      <c r="O761" s="780"/>
      <c r="P761" s="777"/>
      <c r="Q761" s="781"/>
      <c r="R761" s="782"/>
      <c r="S761" s="782"/>
      <c r="T761" s="782"/>
    </row>
    <row r="762" spans="2:20">
      <c r="B762" s="1422"/>
      <c r="C762" s="873"/>
      <c r="D762" s="874"/>
      <c r="E762" s="875"/>
      <c r="F762" s="875"/>
      <c r="G762" s="876"/>
      <c r="H762" s="877"/>
      <c r="I762" s="876"/>
      <c r="J762" s="875"/>
      <c r="K762" s="878"/>
      <c r="L762" s="878"/>
      <c r="M762" s="878"/>
      <c r="N762" s="879"/>
      <c r="O762" s="879"/>
      <c r="P762" s="876"/>
      <c r="Q762" s="880"/>
      <c r="R762" s="881"/>
      <c r="S762" s="881"/>
      <c r="T762" s="881"/>
    </row>
    <row r="763" spans="2:20">
      <c r="B763" s="1420" t="s">
        <v>6075</v>
      </c>
      <c r="C763" s="785"/>
      <c r="D763" s="786"/>
      <c r="E763" s="787"/>
      <c r="F763" s="787"/>
      <c r="G763" s="788"/>
      <c r="H763" s="797"/>
      <c r="I763" s="788"/>
      <c r="J763" s="787"/>
      <c r="K763" s="790"/>
      <c r="L763" s="790"/>
      <c r="M763" s="790"/>
      <c r="N763" s="791"/>
      <c r="O763" s="791"/>
      <c r="P763" s="788"/>
      <c r="Q763" s="792"/>
      <c r="R763" s="793"/>
      <c r="S763" s="793"/>
      <c r="T763" s="793"/>
    </row>
    <row r="764" spans="2:20">
      <c r="B764" s="1421"/>
      <c r="C764" s="774"/>
      <c r="D764" s="775"/>
      <c r="E764" s="776"/>
      <c r="F764" s="776"/>
      <c r="G764" s="777"/>
      <c r="H764" s="783"/>
      <c r="I764" s="777"/>
      <c r="J764" s="776"/>
      <c r="K764" s="779"/>
      <c r="L764" s="779"/>
      <c r="M764" s="779"/>
      <c r="N764" s="780"/>
      <c r="O764" s="780"/>
      <c r="P764" s="777"/>
      <c r="Q764" s="781"/>
      <c r="R764" s="782"/>
      <c r="S764" s="782"/>
      <c r="T764" s="782"/>
    </row>
    <row r="765" spans="2:20">
      <c r="B765" s="1421"/>
      <c r="C765" s="774"/>
      <c r="D765" s="775"/>
      <c r="E765" s="776"/>
      <c r="F765" s="776"/>
      <c r="G765" s="777"/>
      <c r="H765" s="783"/>
      <c r="I765" s="777"/>
      <c r="J765" s="776"/>
      <c r="K765" s="779"/>
      <c r="L765" s="779"/>
      <c r="M765" s="779"/>
      <c r="N765" s="780"/>
      <c r="O765" s="780"/>
      <c r="P765" s="777"/>
      <c r="Q765" s="781"/>
      <c r="R765" s="782"/>
      <c r="S765" s="782"/>
      <c r="T765" s="782"/>
    </row>
    <row r="766" spans="2:20">
      <c r="B766" s="1421"/>
      <c r="C766" s="774"/>
      <c r="D766" s="775"/>
      <c r="E766" s="776"/>
      <c r="F766" s="776"/>
      <c r="G766" s="777"/>
      <c r="H766" s="783"/>
      <c r="I766" s="777"/>
      <c r="J766" s="776"/>
      <c r="K766" s="779"/>
      <c r="L766" s="779"/>
      <c r="M766" s="779"/>
      <c r="N766" s="780"/>
      <c r="O766" s="780"/>
      <c r="P766" s="777"/>
      <c r="Q766" s="781"/>
      <c r="R766" s="782"/>
      <c r="S766" s="782"/>
      <c r="T766" s="782"/>
    </row>
    <row r="767" spans="2:20">
      <c r="B767" s="1421"/>
      <c r="C767" s="774"/>
      <c r="D767" s="775"/>
      <c r="E767" s="776"/>
      <c r="F767" s="776"/>
      <c r="G767" s="777"/>
      <c r="H767" s="783"/>
      <c r="I767" s="777"/>
      <c r="J767" s="776"/>
      <c r="K767" s="779"/>
      <c r="L767" s="779"/>
      <c r="M767" s="779"/>
      <c r="N767" s="780"/>
      <c r="O767" s="780"/>
      <c r="P767" s="777"/>
      <c r="Q767" s="781"/>
      <c r="R767" s="782"/>
      <c r="S767" s="782"/>
      <c r="T767" s="782"/>
    </row>
    <row r="768" spans="2:20">
      <c r="B768" s="1421"/>
      <c r="C768" s="774"/>
      <c r="D768" s="775"/>
      <c r="E768" s="776"/>
      <c r="F768" s="776"/>
      <c r="G768" s="777"/>
      <c r="H768" s="783"/>
      <c r="I768" s="777"/>
      <c r="J768" s="776"/>
      <c r="K768" s="779"/>
      <c r="L768" s="779"/>
      <c r="M768" s="779"/>
      <c r="N768" s="780"/>
      <c r="O768" s="780"/>
      <c r="P768" s="777"/>
      <c r="Q768" s="781"/>
      <c r="R768" s="782"/>
      <c r="S768" s="782"/>
      <c r="T768" s="782"/>
    </row>
    <row r="769" spans="2:20">
      <c r="B769" s="1421"/>
      <c r="C769" s="774"/>
      <c r="D769" s="775"/>
      <c r="E769" s="776"/>
      <c r="F769" s="776"/>
      <c r="G769" s="777"/>
      <c r="H769" s="783"/>
      <c r="I769" s="777"/>
      <c r="J769" s="776"/>
      <c r="K769" s="779"/>
      <c r="L769" s="779"/>
      <c r="M769" s="779"/>
      <c r="N769" s="780"/>
      <c r="O769" s="780"/>
      <c r="P769" s="777"/>
      <c r="Q769" s="781"/>
      <c r="R769" s="782"/>
      <c r="S769" s="782"/>
      <c r="T769" s="782"/>
    </row>
    <row r="770" spans="2:20">
      <c r="B770" s="1421"/>
      <c r="C770" s="774"/>
      <c r="D770" s="775"/>
      <c r="E770" s="776"/>
      <c r="F770" s="776"/>
      <c r="G770" s="777"/>
      <c r="H770" s="783"/>
      <c r="I770" s="777"/>
      <c r="J770" s="776"/>
      <c r="K770" s="779"/>
      <c r="L770" s="779"/>
      <c r="M770" s="779"/>
      <c r="N770" s="780"/>
      <c r="O770" s="780"/>
      <c r="P770" s="777"/>
      <c r="Q770" s="781"/>
      <c r="R770" s="782"/>
      <c r="S770" s="782"/>
      <c r="T770" s="782"/>
    </row>
    <row r="771" spans="2:20">
      <c r="B771" s="1421"/>
      <c r="C771" s="774"/>
      <c r="D771" s="775"/>
      <c r="E771" s="776"/>
      <c r="F771" s="776"/>
      <c r="G771" s="777"/>
      <c r="H771" s="783"/>
      <c r="I771" s="777"/>
      <c r="J771" s="776"/>
      <c r="K771" s="779"/>
      <c r="L771" s="779"/>
      <c r="M771" s="779"/>
      <c r="N771" s="780"/>
      <c r="O771" s="780"/>
      <c r="P771" s="777"/>
      <c r="Q771" s="781"/>
      <c r="R771" s="782"/>
      <c r="S771" s="782"/>
      <c r="T771" s="782"/>
    </row>
    <row r="772" spans="2:20">
      <c r="B772" s="1422"/>
      <c r="C772" s="873"/>
      <c r="D772" s="874"/>
      <c r="E772" s="875"/>
      <c r="F772" s="875"/>
      <c r="G772" s="876"/>
      <c r="H772" s="877"/>
      <c r="I772" s="876"/>
      <c r="J772" s="875"/>
      <c r="K772" s="878"/>
      <c r="L772" s="878"/>
      <c r="M772" s="878"/>
      <c r="N772" s="879"/>
      <c r="O772" s="879"/>
      <c r="P772" s="876"/>
      <c r="Q772" s="880"/>
      <c r="R772" s="881"/>
      <c r="S772" s="881"/>
      <c r="T772" s="881"/>
    </row>
    <row r="773" spans="2:20">
      <c r="B773" s="1420" t="s">
        <v>6076</v>
      </c>
      <c r="C773" s="785"/>
      <c r="D773" s="786"/>
      <c r="E773" s="787"/>
      <c r="F773" s="787"/>
      <c r="G773" s="788"/>
      <c r="H773" s="797"/>
      <c r="I773" s="788"/>
      <c r="J773" s="787"/>
      <c r="K773" s="790"/>
      <c r="L773" s="790"/>
      <c r="M773" s="790"/>
      <c r="N773" s="791"/>
      <c r="O773" s="791"/>
      <c r="P773" s="788"/>
      <c r="Q773" s="792"/>
      <c r="R773" s="793"/>
      <c r="S773" s="793"/>
      <c r="T773" s="793"/>
    </row>
    <row r="774" spans="2:20">
      <c r="B774" s="1421"/>
      <c r="C774" s="774"/>
      <c r="D774" s="775"/>
      <c r="E774" s="776"/>
      <c r="F774" s="776"/>
      <c r="G774" s="777"/>
      <c r="H774" s="783"/>
      <c r="I774" s="777"/>
      <c r="J774" s="776"/>
      <c r="K774" s="779"/>
      <c r="L774" s="779"/>
      <c r="M774" s="779"/>
      <c r="N774" s="780"/>
      <c r="O774" s="780"/>
      <c r="P774" s="777"/>
      <c r="Q774" s="781"/>
      <c r="R774" s="782"/>
      <c r="S774" s="782"/>
      <c r="T774" s="782"/>
    </row>
    <row r="775" spans="2:20">
      <c r="B775" s="1421"/>
      <c r="C775" s="774"/>
      <c r="D775" s="775"/>
      <c r="E775" s="776"/>
      <c r="F775" s="776"/>
      <c r="G775" s="777"/>
      <c r="H775" s="783"/>
      <c r="I775" s="777"/>
      <c r="J775" s="776"/>
      <c r="K775" s="779"/>
      <c r="L775" s="779"/>
      <c r="M775" s="779"/>
      <c r="N775" s="780"/>
      <c r="O775" s="780"/>
      <c r="P775" s="777"/>
      <c r="Q775" s="781"/>
      <c r="R775" s="782"/>
      <c r="S775" s="782"/>
      <c r="T775" s="782"/>
    </row>
    <row r="776" spans="2:20">
      <c r="B776" s="1421"/>
      <c r="C776" s="774"/>
      <c r="D776" s="775"/>
      <c r="E776" s="776"/>
      <c r="F776" s="776"/>
      <c r="G776" s="777"/>
      <c r="H776" s="783"/>
      <c r="I776" s="777"/>
      <c r="J776" s="776"/>
      <c r="K776" s="779"/>
      <c r="L776" s="779"/>
      <c r="M776" s="779"/>
      <c r="N776" s="780"/>
      <c r="O776" s="780"/>
      <c r="P776" s="777"/>
      <c r="Q776" s="781"/>
      <c r="R776" s="782"/>
      <c r="S776" s="782"/>
      <c r="T776" s="782"/>
    </row>
    <row r="777" spans="2:20">
      <c r="B777" s="1421"/>
      <c r="C777" s="774"/>
      <c r="D777" s="775"/>
      <c r="E777" s="776"/>
      <c r="F777" s="776"/>
      <c r="G777" s="777"/>
      <c r="H777" s="783"/>
      <c r="I777" s="777"/>
      <c r="J777" s="776"/>
      <c r="K777" s="779"/>
      <c r="L777" s="779"/>
      <c r="M777" s="779"/>
      <c r="N777" s="780"/>
      <c r="O777" s="780"/>
      <c r="P777" s="777"/>
      <c r="Q777" s="781"/>
      <c r="R777" s="782"/>
      <c r="S777" s="782"/>
      <c r="T777" s="782"/>
    </row>
    <row r="778" spans="2:20">
      <c r="B778" s="1421"/>
      <c r="C778" s="774"/>
      <c r="D778" s="775"/>
      <c r="E778" s="776"/>
      <c r="F778" s="776"/>
      <c r="G778" s="777"/>
      <c r="H778" s="783"/>
      <c r="I778" s="777"/>
      <c r="J778" s="776"/>
      <c r="K778" s="779"/>
      <c r="L778" s="779"/>
      <c r="M778" s="779"/>
      <c r="N778" s="780"/>
      <c r="O778" s="780"/>
      <c r="P778" s="777"/>
      <c r="Q778" s="781"/>
      <c r="R778" s="782"/>
      <c r="S778" s="782"/>
      <c r="T778" s="782"/>
    </row>
    <row r="779" spans="2:20">
      <c r="B779" s="1421"/>
      <c r="C779" s="774"/>
      <c r="D779" s="775"/>
      <c r="E779" s="776"/>
      <c r="F779" s="776"/>
      <c r="G779" s="777"/>
      <c r="H779" s="783"/>
      <c r="I779" s="777"/>
      <c r="J779" s="776"/>
      <c r="K779" s="779"/>
      <c r="L779" s="779"/>
      <c r="M779" s="779"/>
      <c r="N779" s="780"/>
      <c r="O779" s="780"/>
      <c r="P779" s="777"/>
      <c r="Q779" s="781"/>
      <c r="R779" s="782"/>
      <c r="S779" s="782"/>
      <c r="T779" s="782"/>
    </row>
    <row r="780" spans="2:20">
      <c r="B780" s="1421"/>
      <c r="C780" s="774"/>
      <c r="D780" s="775"/>
      <c r="E780" s="776"/>
      <c r="F780" s="776"/>
      <c r="G780" s="777"/>
      <c r="H780" s="783"/>
      <c r="I780" s="777"/>
      <c r="J780" s="776"/>
      <c r="K780" s="779"/>
      <c r="L780" s="779"/>
      <c r="M780" s="779"/>
      <c r="N780" s="780"/>
      <c r="O780" s="780"/>
      <c r="P780" s="777"/>
      <c r="Q780" s="781"/>
      <c r="R780" s="782"/>
      <c r="S780" s="782"/>
      <c r="T780" s="782"/>
    </row>
    <row r="781" spans="2:20">
      <c r="B781" s="1421"/>
      <c r="C781" s="774"/>
      <c r="D781" s="775"/>
      <c r="E781" s="776"/>
      <c r="F781" s="776"/>
      <c r="G781" s="777"/>
      <c r="H781" s="783"/>
      <c r="I781" s="777"/>
      <c r="J781" s="776"/>
      <c r="K781" s="779"/>
      <c r="L781" s="779"/>
      <c r="M781" s="779"/>
      <c r="N781" s="780"/>
      <c r="O781" s="780"/>
      <c r="P781" s="777"/>
      <c r="Q781" s="781"/>
      <c r="R781" s="782"/>
      <c r="S781" s="782"/>
      <c r="T781" s="782"/>
    </row>
    <row r="782" spans="2:20">
      <c r="B782" s="1422"/>
      <c r="C782" s="873"/>
      <c r="D782" s="874"/>
      <c r="E782" s="875"/>
      <c r="F782" s="875"/>
      <c r="G782" s="876"/>
      <c r="H782" s="877"/>
      <c r="I782" s="876"/>
      <c r="J782" s="875"/>
      <c r="K782" s="878"/>
      <c r="L782" s="878"/>
      <c r="M782" s="878"/>
      <c r="N782" s="879"/>
      <c r="O782" s="879"/>
      <c r="P782" s="876"/>
      <c r="Q782" s="880"/>
      <c r="R782" s="881"/>
      <c r="S782" s="881"/>
      <c r="T782" s="881"/>
    </row>
    <row r="783" spans="2:20">
      <c r="B783" s="1420" t="s">
        <v>6077</v>
      </c>
      <c r="C783" s="774"/>
      <c r="D783" s="775"/>
      <c r="E783" s="776"/>
      <c r="F783" s="776"/>
      <c r="G783" s="777"/>
      <c r="H783" s="783"/>
      <c r="I783" s="777"/>
      <c r="J783" s="776"/>
      <c r="K783" s="779"/>
      <c r="L783" s="779"/>
      <c r="M783" s="779"/>
      <c r="N783" s="780"/>
      <c r="O783" s="780"/>
      <c r="P783" s="777"/>
      <c r="Q783" s="781"/>
      <c r="R783" s="782"/>
      <c r="S783" s="782"/>
      <c r="T783" s="782"/>
    </row>
    <row r="784" spans="2:20">
      <c r="B784" s="1421"/>
      <c r="C784" s="774"/>
      <c r="D784" s="775"/>
      <c r="E784" s="776"/>
      <c r="F784" s="776"/>
      <c r="G784" s="777"/>
      <c r="H784" s="783"/>
      <c r="I784" s="777"/>
      <c r="J784" s="776"/>
      <c r="K784" s="779"/>
      <c r="L784" s="779"/>
      <c r="M784" s="779"/>
      <c r="N784" s="780"/>
      <c r="O784" s="780"/>
      <c r="P784" s="777"/>
      <c r="Q784" s="781"/>
      <c r="R784" s="782"/>
      <c r="S784" s="782"/>
      <c r="T784" s="782"/>
    </row>
    <row r="785" spans="2:20">
      <c r="B785" s="1421"/>
      <c r="C785" s="774"/>
      <c r="D785" s="775"/>
      <c r="E785" s="776"/>
      <c r="F785" s="776"/>
      <c r="G785" s="777"/>
      <c r="H785" s="783"/>
      <c r="I785" s="777"/>
      <c r="J785" s="776"/>
      <c r="K785" s="779"/>
      <c r="L785" s="779"/>
      <c r="M785" s="779"/>
      <c r="N785" s="780"/>
      <c r="O785" s="780"/>
      <c r="P785" s="777"/>
      <c r="Q785" s="781"/>
      <c r="R785" s="782"/>
      <c r="S785" s="782"/>
      <c r="T785" s="782"/>
    </row>
    <row r="786" spans="2:20">
      <c r="B786" s="1421"/>
      <c r="C786" s="774"/>
      <c r="D786" s="775"/>
      <c r="E786" s="776"/>
      <c r="F786" s="776"/>
      <c r="G786" s="777"/>
      <c r="H786" s="783"/>
      <c r="I786" s="777"/>
      <c r="J786" s="776"/>
      <c r="K786" s="779"/>
      <c r="L786" s="779"/>
      <c r="M786" s="779"/>
      <c r="N786" s="780"/>
      <c r="O786" s="780"/>
      <c r="P786" s="777"/>
      <c r="Q786" s="781"/>
      <c r="R786" s="782"/>
      <c r="S786" s="782"/>
      <c r="T786" s="782"/>
    </row>
    <row r="787" spans="2:20">
      <c r="B787" s="1421"/>
      <c r="C787" s="774"/>
      <c r="D787" s="775"/>
      <c r="E787" s="776"/>
      <c r="F787" s="776"/>
      <c r="G787" s="777"/>
      <c r="H787" s="783"/>
      <c r="I787" s="777"/>
      <c r="J787" s="776"/>
      <c r="K787" s="779"/>
      <c r="L787" s="779"/>
      <c r="M787" s="779"/>
      <c r="N787" s="780"/>
      <c r="O787" s="780"/>
      <c r="P787" s="777"/>
      <c r="Q787" s="781"/>
      <c r="R787" s="782"/>
      <c r="S787" s="782"/>
      <c r="T787" s="782"/>
    </row>
    <row r="788" spans="2:20">
      <c r="B788" s="1421"/>
      <c r="C788" s="774"/>
      <c r="D788" s="775"/>
      <c r="E788" s="776"/>
      <c r="F788" s="776"/>
      <c r="G788" s="777"/>
      <c r="H788" s="783"/>
      <c r="I788" s="777"/>
      <c r="J788" s="776"/>
      <c r="K788" s="779"/>
      <c r="L788" s="779"/>
      <c r="M788" s="779"/>
      <c r="N788" s="780"/>
      <c r="O788" s="780"/>
      <c r="P788" s="777"/>
      <c r="Q788" s="781"/>
      <c r="R788" s="782"/>
      <c r="S788" s="782"/>
      <c r="T788" s="782"/>
    </row>
    <row r="789" spans="2:20">
      <c r="B789" s="1421"/>
      <c r="C789" s="774"/>
      <c r="D789" s="775"/>
      <c r="E789" s="776"/>
      <c r="F789" s="776"/>
      <c r="G789" s="777"/>
      <c r="H789" s="783"/>
      <c r="I789" s="777"/>
      <c r="J789" s="776"/>
      <c r="K789" s="779"/>
      <c r="L789" s="779"/>
      <c r="M789" s="779"/>
      <c r="N789" s="780"/>
      <c r="O789" s="780"/>
      <c r="P789" s="777"/>
      <c r="Q789" s="781"/>
      <c r="R789" s="782"/>
      <c r="S789" s="782"/>
      <c r="T789" s="782"/>
    </row>
    <row r="790" spans="2:20">
      <c r="B790" s="1421"/>
      <c r="C790" s="774"/>
      <c r="D790" s="775"/>
      <c r="E790" s="776"/>
      <c r="F790" s="776"/>
      <c r="G790" s="777"/>
      <c r="H790" s="783"/>
      <c r="I790" s="777"/>
      <c r="J790" s="776"/>
      <c r="K790" s="779"/>
      <c r="L790" s="779"/>
      <c r="M790" s="779"/>
      <c r="N790" s="780"/>
      <c r="O790" s="780"/>
      <c r="P790" s="777"/>
      <c r="Q790" s="781"/>
      <c r="R790" s="782"/>
      <c r="S790" s="782"/>
      <c r="T790" s="782"/>
    </row>
    <row r="791" spans="2:20">
      <c r="B791" s="1421"/>
      <c r="C791" s="774"/>
      <c r="D791" s="775"/>
      <c r="E791" s="776"/>
      <c r="F791" s="776"/>
      <c r="G791" s="777"/>
      <c r="H791" s="783"/>
      <c r="I791" s="777"/>
      <c r="J791" s="776"/>
      <c r="K791" s="779"/>
      <c r="L791" s="779"/>
      <c r="M791" s="779"/>
      <c r="N791" s="780"/>
      <c r="O791" s="780"/>
      <c r="P791" s="777"/>
      <c r="Q791" s="781"/>
      <c r="R791" s="782"/>
      <c r="S791" s="782"/>
      <c r="T791" s="782"/>
    </row>
    <row r="792" spans="2:20">
      <c r="B792" s="1422"/>
      <c r="C792" s="774"/>
      <c r="D792" s="775"/>
      <c r="E792" s="776"/>
      <c r="F792" s="776"/>
      <c r="G792" s="777"/>
      <c r="H792" s="783"/>
      <c r="I792" s="777"/>
      <c r="J792" s="776"/>
      <c r="K792" s="779"/>
      <c r="L792" s="779"/>
      <c r="M792" s="779"/>
      <c r="N792" s="780"/>
      <c r="O792" s="780"/>
      <c r="P792" s="777"/>
      <c r="Q792" s="781"/>
      <c r="R792" s="782"/>
      <c r="S792" s="782"/>
      <c r="T792" s="782"/>
    </row>
    <row r="793" spans="2:20">
      <c r="B793" s="1423" t="s">
        <v>6078</v>
      </c>
      <c r="C793" s="1424"/>
      <c r="D793" s="1424"/>
      <c r="E793" s="1424"/>
      <c r="F793" s="1424"/>
      <c r="G793" s="1424"/>
      <c r="H793" s="1424"/>
      <c r="I793" s="1424"/>
      <c r="J793" s="1424"/>
      <c r="K793" s="864"/>
      <c r="L793" s="865"/>
      <c r="M793" s="865"/>
      <c r="N793" s="866"/>
      <c r="O793" s="867"/>
      <c r="P793" s="868"/>
      <c r="Q793" s="869"/>
      <c r="R793" s="870"/>
      <c r="S793" s="870"/>
      <c r="T793" s="870"/>
    </row>
    <row r="794" spans="2:20">
      <c r="B794" s="1420" t="s">
        <v>6079</v>
      </c>
      <c r="C794" s="785"/>
      <c r="D794" s="786"/>
      <c r="E794" s="787"/>
      <c r="F794" s="787"/>
      <c r="G794" s="788"/>
      <c r="H794" s="797"/>
      <c r="I794" s="788"/>
      <c r="J794" s="787"/>
      <c r="K794" s="790"/>
      <c r="L794" s="790"/>
      <c r="M794" s="790"/>
      <c r="N794" s="791"/>
      <c r="O794" s="791"/>
      <c r="P794" s="788"/>
      <c r="Q794" s="792"/>
      <c r="R794" s="793"/>
      <c r="S794" s="793"/>
      <c r="T794" s="793"/>
    </row>
    <row r="795" spans="2:20">
      <c r="B795" s="1421"/>
      <c r="C795" s="774"/>
      <c r="D795" s="775"/>
      <c r="E795" s="776"/>
      <c r="F795" s="776"/>
      <c r="G795" s="777"/>
      <c r="H795" s="783"/>
      <c r="I795" s="777"/>
      <c r="J795" s="776"/>
      <c r="K795" s="779"/>
      <c r="L795" s="779"/>
      <c r="M795" s="779"/>
      <c r="N795" s="780"/>
      <c r="O795" s="780"/>
      <c r="P795" s="777"/>
      <c r="Q795" s="781"/>
      <c r="R795" s="782"/>
      <c r="S795" s="782"/>
      <c r="T795" s="782"/>
    </row>
    <row r="796" spans="2:20">
      <c r="B796" s="1421"/>
      <c r="C796" s="774"/>
      <c r="D796" s="775"/>
      <c r="E796" s="776"/>
      <c r="F796" s="776"/>
      <c r="G796" s="777"/>
      <c r="H796" s="783"/>
      <c r="I796" s="777"/>
      <c r="J796" s="776"/>
      <c r="K796" s="779"/>
      <c r="L796" s="779"/>
      <c r="M796" s="779"/>
      <c r="N796" s="780"/>
      <c r="O796" s="780"/>
      <c r="P796" s="777"/>
      <c r="Q796" s="781"/>
      <c r="R796" s="782"/>
      <c r="S796" s="782"/>
      <c r="T796" s="782"/>
    </row>
    <row r="797" spans="2:20">
      <c r="B797" s="1421"/>
      <c r="C797" s="774"/>
      <c r="D797" s="775"/>
      <c r="E797" s="776"/>
      <c r="F797" s="776"/>
      <c r="G797" s="777"/>
      <c r="H797" s="783"/>
      <c r="I797" s="777"/>
      <c r="J797" s="776"/>
      <c r="K797" s="779"/>
      <c r="L797" s="779"/>
      <c r="M797" s="779"/>
      <c r="N797" s="780"/>
      <c r="O797" s="780"/>
      <c r="P797" s="777"/>
      <c r="Q797" s="781"/>
      <c r="R797" s="782"/>
      <c r="S797" s="782"/>
      <c r="T797" s="782"/>
    </row>
    <row r="798" spans="2:20">
      <c r="B798" s="1421"/>
      <c r="C798" s="774"/>
      <c r="D798" s="775"/>
      <c r="E798" s="776"/>
      <c r="F798" s="776"/>
      <c r="G798" s="777"/>
      <c r="H798" s="783"/>
      <c r="I798" s="777"/>
      <c r="J798" s="776"/>
      <c r="K798" s="779"/>
      <c r="L798" s="779"/>
      <c r="M798" s="779"/>
      <c r="N798" s="780"/>
      <c r="O798" s="780"/>
      <c r="P798" s="777"/>
      <c r="Q798" s="781"/>
      <c r="R798" s="782"/>
      <c r="S798" s="782"/>
      <c r="T798" s="782"/>
    </row>
    <row r="799" spans="2:20">
      <c r="B799" s="1421"/>
      <c r="C799" s="774"/>
      <c r="D799" s="775"/>
      <c r="E799" s="776"/>
      <c r="F799" s="776"/>
      <c r="G799" s="777"/>
      <c r="H799" s="783"/>
      <c r="I799" s="777"/>
      <c r="J799" s="776"/>
      <c r="K799" s="779"/>
      <c r="L799" s="779"/>
      <c r="M799" s="779"/>
      <c r="N799" s="780"/>
      <c r="O799" s="780"/>
      <c r="P799" s="777"/>
      <c r="Q799" s="781"/>
      <c r="R799" s="782"/>
      <c r="S799" s="782"/>
      <c r="T799" s="782"/>
    </row>
    <row r="800" spans="2:20">
      <c r="B800" s="1421"/>
      <c r="C800" s="774"/>
      <c r="D800" s="775"/>
      <c r="E800" s="776"/>
      <c r="F800" s="776"/>
      <c r="G800" s="777"/>
      <c r="H800" s="783"/>
      <c r="I800" s="777"/>
      <c r="J800" s="776"/>
      <c r="K800" s="779"/>
      <c r="L800" s="779"/>
      <c r="M800" s="779"/>
      <c r="N800" s="780"/>
      <c r="O800" s="780"/>
      <c r="P800" s="777"/>
      <c r="Q800" s="781"/>
      <c r="R800" s="782"/>
      <c r="S800" s="782"/>
      <c r="T800" s="782"/>
    </row>
    <row r="801" spans="2:20">
      <c r="B801" s="1421"/>
      <c r="C801" s="774"/>
      <c r="D801" s="775"/>
      <c r="E801" s="776"/>
      <c r="F801" s="776"/>
      <c r="G801" s="777"/>
      <c r="H801" s="783"/>
      <c r="I801" s="777"/>
      <c r="J801" s="776"/>
      <c r="K801" s="779"/>
      <c r="L801" s="779"/>
      <c r="M801" s="779"/>
      <c r="N801" s="780"/>
      <c r="O801" s="780"/>
      <c r="P801" s="777"/>
      <c r="Q801" s="781"/>
      <c r="R801" s="782"/>
      <c r="S801" s="782"/>
      <c r="T801" s="782"/>
    </row>
    <row r="802" spans="2:20">
      <c r="B802" s="1421"/>
      <c r="C802" s="774"/>
      <c r="D802" s="775"/>
      <c r="E802" s="776"/>
      <c r="F802" s="776"/>
      <c r="G802" s="777"/>
      <c r="H802" s="783"/>
      <c r="I802" s="777"/>
      <c r="J802" s="776"/>
      <c r="K802" s="779"/>
      <c r="L802" s="779"/>
      <c r="M802" s="779"/>
      <c r="N802" s="780"/>
      <c r="O802" s="780"/>
      <c r="P802" s="777"/>
      <c r="Q802" s="781"/>
      <c r="R802" s="782"/>
      <c r="S802" s="782"/>
      <c r="T802" s="782"/>
    </row>
    <row r="803" spans="2:20">
      <c r="B803" s="1422"/>
      <c r="C803" s="873"/>
      <c r="D803" s="874"/>
      <c r="E803" s="875"/>
      <c r="F803" s="875"/>
      <c r="G803" s="876"/>
      <c r="H803" s="877"/>
      <c r="I803" s="876"/>
      <c r="J803" s="875"/>
      <c r="K803" s="878"/>
      <c r="L803" s="878"/>
      <c r="M803" s="878"/>
      <c r="N803" s="879"/>
      <c r="O803" s="879"/>
      <c r="P803" s="876"/>
      <c r="Q803" s="880"/>
      <c r="R803" s="881"/>
      <c r="S803" s="881"/>
      <c r="T803" s="881"/>
    </row>
    <row r="804" spans="2:20">
      <c r="B804" s="1420" t="s">
        <v>6080</v>
      </c>
      <c r="C804" s="785"/>
      <c r="D804" s="786"/>
      <c r="E804" s="787"/>
      <c r="F804" s="787"/>
      <c r="G804" s="788"/>
      <c r="H804" s="797"/>
      <c r="I804" s="788"/>
      <c r="J804" s="787"/>
      <c r="K804" s="790"/>
      <c r="L804" s="790"/>
      <c r="M804" s="790"/>
      <c r="N804" s="791"/>
      <c r="O804" s="791"/>
      <c r="P804" s="788"/>
      <c r="Q804" s="792"/>
      <c r="R804" s="793"/>
      <c r="S804" s="793"/>
      <c r="T804" s="793"/>
    </row>
    <row r="805" spans="2:20">
      <c r="B805" s="1421"/>
      <c r="C805" s="774"/>
      <c r="D805" s="775"/>
      <c r="E805" s="776"/>
      <c r="F805" s="776"/>
      <c r="G805" s="777"/>
      <c r="H805" s="783"/>
      <c r="I805" s="777"/>
      <c r="J805" s="776"/>
      <c r="K805" s="779"/>
      <c r="L805" s="779"/>
      <c r="M805" s="779"/>
      <c r="N805" s="780"/>
      <c r="O805" s="780"/>
      <c r="P805" s="777"/>
      <c r="Q805" s="781"/>
      <c r="R805" s="782"/>
      <c r="S805" s="782"/>
      <c r="T805" s="782"/>
    </row>
    <row r="806" spans="2:20">
      <c r="B806" s="1421"/>
      <c r="C806" s="774"/>
      <c r="D806" s="775"/>
      <c r="E806" s="776"/>
      <c r="F806" s="776"/>
      <c r="G806" s="777"/>
      <c r="H806" s="783"/>
      <c r="I806" s="777"/>
      <c r="J806" s="776"/>
      <c r="K806" s="779"/>
      <c r="L806" s="779"/>
      <c r="M806" s="779"/>
      <c r="N806" s="780"/>
      <c r="O806" s="780"/>
      <c r="P806" s="777"/>
      <c r="Q806" s="781"/>
      <c r="R806" s="782"/>
      <c r="S806" s="782"/>
      <c r="T806" s="782"/>
    </row>
    <row r="807" spans="2:20">
      <c r="B807" s="1421"/>
      <c r="C807" s="774"/>
      <c r="D807" s="775"/>
      <c r="E807" s="776"/>
      <c r="F807" s="776"/>
      <c r="G807" s="777"/>
      <c r="H807" s="783"/>
      <c r="I807" s="777"/>
      <c r="J807" s="776"/>
      <c r="K807" s="779"/>
      <c r="L807" s="779"/>
      <c r="M807" s="779"/>
      <c r="N807" s="780"/>
      <c r="O807" s="780"/>
      <c r="P807" s="777"/>
      <c r="Q807" s="781"/>
      <c r="R807" s="782"/>
      <c r="S807" s="782"/>
      <c r="T807" s="782"/>
    </row>
    <row r="808" spans="2:20">
      <c r="B808" s="1421"/>
      <c r="C808" s="774"/>
      <c r="D808" s="775"/>
      <c r="E808" s="776"/>
      <c r="F808" s="776"/>
      <c r="G808" s="777"/>
      <c r="H808" s="783"/>
      <c r="I808" s="777"/>
      <c r="J808" s="776"/>
      <c r="K808" s="779"/>
      <c r="L808" s="779"/>
      <c r="M808" s="779"/>
      <c r="N808" s="780"/>
      <c r="O808" s="780"/>
      <c r="P808" s="777"/>
      <c r="Q808" s="781"/>
      <c r="R808" s="782"/>
      <c r="S808" s="782"/>
      <c r="T808" s="782"/>
    </row>
    <row r="809" spans="2:20">
      <c r="B809" s="1421"/>
      <c r="C809" s="774"/>
      <c r="D809" s="775"/>
      <c r="E809" s="776"/>
      <c r="F809" s="776"/>
      <c r="G809" s="777"/>
      <c r="H809" s="783"/>
      <c r="I809" s="777"/>
      <c r="J809" s="776"/>
      <c r="K809" s="779"/>
      <c r="L809" s="779"/>
      <c r="M809" s="779"/>
      <c r="N809" s="780"/>
      <c r="O809" s="780"/>
      <c r="P809" s="777"/>
      <c r="Q809" s="781"/>
      <c r="R809" s="782"/>
      <c r="S809" s="782"/>
      <c r="T809" s="782"/>
    </row>
    <row r="810" spans="2:20">
      <c r="B810" s="1421"/>
      <c r="C810" s="774"/>
      <c r="D810" s="775"/>
      <c r="E810" s="776"/>
      <c r="F810" s="776"/>
      <c r="G810" s="777"/>
      <c r="H810" s="783"/>
      <c r="I810" s="777"/>
      <c r="J810" s="776"/>
      <c r="K810" s="779"/>
      <c r="L810" s="779"/>
      <c r="M810" s="779"/>
      <c r="N810" s="780"/>
      <c r="O810" s="780"/>
      <c r="P810" s="777"/>
      <c r="Q810" s="781"/>
      <c r="R810" s="782"/>
      <c r="S810" s="782"/>
      <c r="T810" s="782"/>
    </row>
    <row r="811" spans="2:20">
      <c r="B811" s="1421"/>
      <c r="C811" s="774"/>
      <c r="D811" s="775"/>
      <c r="E811" s="776"/>
      <c r="F811" s="776"/>
      <c r="G811" s="777"/>
      <c r="H811" s="783"/>
      <c r="I811" s="777"/>
      <c r="J811" s="776"/>
      <c r="K811" s="779"/>
      <c r="L811" s="779"/>
      <c r="M811" s="779"/>
      <c r="N811" s="780"/>
      <c r="O811" s="780"/>
      <c r="P811" s="777"/>
      <c r="Q811" s="781"/>
      <c r="R811" s="782"/>
      <c r="S811" s="782"/>
      <c r="T811" s="782"/>
    </row>
    <row r="812" spans="2:20">
      <c r="B812" s="1421"/>
      <c r="C812" s="774"/>
      <c r="D812" s="775"/>
      <c r="E812" s="776"/>
      <c r="F812" s="776"/>
      <c r="G812" s="777"/>
      <c r="H812" s="783"/>
      <c r="I812" s="777"/>
      <c r="J812" s="776"/>
      <c r="K812" s="779"/>
      <c r="L812" s="779"/>
      <c r="M812" s="779"/>
      <c r="N812" s="780"/>
      <c r="O812" s="780"/>
      <c r="P812" s="777"/>
      <c r="Q812" s="781"/>
      <c r="R812" s="782"/>
      <c r="S812" s="782"/>
      <c r="T812" s="782"/>
    </row>
    <row r="813" spans="2:20">
      <c r="B813" s="1422"/>
      <c r="C813" s="873"/>
      <c r="D813" s="874"/>
      <c r="E813" s="875"/>
      <c r="F813" s="875"/>
      <c r="G813" s="876"/>
      <c r="H813" s="877"/>
      <c r="I813" s="876"/>
      <c r="J813" s="875"/>
      <c r="K813" s="878"/>
      <c r="L813" s="878"/>
      <c r="M813" s="878"/>
      <c r="N813" s="879"/>
      <c r="O813" s="879"/>
      <c r="P813" s="876"/>
      <c r="Q813" s="880"/>
      <c r="R813" s="881"/>
      <c r="S813" s="881"/>
      <c r="T813" s="881"/>
    </row>
    <row r="814" spans="2:20">
      <c r="B814" s="1420" t="s">
        <v>6081</v>
      </c>
      <c r="C814" s="785"/>
      <c r="D814" s="786"/>
      <c r="E814" s="787"/>
      <c r="F814" s="787"/>
      <c r="G814" s="788"/>
      <c r="H814" s="797"/>
      <c r="I814" s="788"/>
      <c r="J814" s="787"/>
      <c r="K814" s="790"/>
      <c r="L814" s="790"/>
      <c r="M814" s="790"/>
      <c r="N814" s="791"/>
      <c r="O814" s="791"/>
      <c r="P814" s="788"/>
      <c r="Q814" s="792"/>
      <c r="R814" s="793"/>
      <c r="S814" s="793"/>
      <c r="T814" s="793"/>
    </row>
    <row r="815" spans="2:20">
      <c r="B815" s="1421"/>
      <c r="C815" s="774"/>
      <c r="D815" s="775"/>
      <c r="E815" s="776"/>
      <c r="F815" s="776"/>
      <c r="G815" s="777"/>
      <c r="H815" s="783"/>
      <c r="I815" s="777"/>
      <c r="J815" s="776"/>
      <c r="K815" s="779"/>
      <c r="L815" s="779"/>
      <c r="M815" s="779"/>
      <c r="N815" s="780"/>
      <c r="O815" s="780"/>
      <c r="P815" s="777"/>
      <c r="Q815" s="781"/>
      <c r="R815" s="782"/>
      <c r="S815" s="782"/>
      <c r="T815" s="782"/>
    </row>
    <row r="816" spans="2:20">
      <c r="B816" s="1421"/>
      <c r="C816" s="774"/>
      <c r="D816" s="775"/>
      <c r="E816" s="776"/>
      <c r="F816" s="776"/>
      <c r="G816" s="777"/>
      <c r="H816" s="783"/>
      <c r="I816" s="777"/>
      <c r="J816" s="776"/>
      <c r="K816" s="779"/>
      <c r="L816" s="779"/>
      <c r="M816" s="779"/>
      <c r="N816" s="780"/>
      <c r="O816" s="780"/>
      <c r="P816" s="777"/>
      <c r="Q816" s="781"/>
      <c r="R816" s="782"/>
      <c r="S816" s="782"/>
      <c r="T816" s="782"/>
    </row>
    <row r="817" spans="2:20">
      <c r="B817" s="1421"/>
      <c r="C817" s="774"/>
      <c r="D817" s="775"/>
      <c r="E817" s="776"/>
      <c r="F817" s="776"/>
      <c r="G817" s="777"/>
      <c r="H817" s="783"/>
      <c r="I817" s="777"/>
      <c r="J817" s="776"/>
      <c r="K817" s="779"/>
      <c r="L817" s="779"/>
      <c r="M817" s="779"/>
      <c r="N817" s="780"/>
      <c r="O817" s="780"/>
      <c r="P817" s="777"/>
      <c r="Q817" s="781"/>
      <c r="R817" s="782"/>
      <c r="S817" s="782"/>
      <c r="T817" s="782"/>
    </row>
    <row r="818" spans="2:20">
      <c r="B818" s="1421"/>
      <c r="C818" s="774"/>
      <c r="D818" s="775"/>
      <c r="E818" s="776"/>
      <c r="F818" s="776"/>
      <c r="G818" s="777"/>
      <c r="H818" s="783"/>
      <c r="I818" s="777"/>
      <c r="J818" s="776"/>
      <c r="K818" s="779"/>
      <c r="L818" s="779"/>
      <c r="M818" s="779"/>
      <c r="N818" s="780"/>
      <c r="O818" s="780"/>
      <c r="P818" s="777"/>
      <c r="Q818" s="781"/>
      <c r="R818" s="782"/>
      <c r="S818" s="782"/>
      <c r="T818" s="782"/>
    </row>
    <row r="819" spans="2:20">
      <c r="B819" s="1421"/>
      <c r="C819" s="774"/>
      <c r="D819" s="775"/>
      <c r="E819" s="776"/>
      <c r="F819" s="776"/>
      <c r="G819" s="777"/>
      <c r="H819" s="783"/>
      <c r="I819" s="777"/>
      <c r="J819" s="776"/>
      <c r="K819" s="779"/>
      <c r="L819" s="779"/>
      <c r="M819" s="779"/>
      <c r="N819" s="780"/>
      <c r="O819" s="780"/>
      <c r="P819" s="777"/>
      <c r="Q819" s="781"/>
      <c r="R819" s="782"/>
      <c r="S819" s="782"/>
      <c r="T819" s="782"/>
    </row>
    <row r="820" spans="2:20">
      <c r="B820" s="1421"/>
      <c r="C820" s="774"/>
      <c r="D820" s="775"/>
      <c r="E820" s="776"/>
      <c r="F820" s="776"/>
      <c r="G820" s="777"/>
      <c r="H820" s="783"/>
      <c r="I820" s="777"/>
      <c r="J820" s="776"/>
      <c r="K820" s="779"/>
      <c r="L820" s="779"/>
      <c r="M820" s="779"/>
      <c r="N820" s="780"/>
      <c r="O820" s="780"/>
      <c r="P820" s="777"/>
      <c r="Q820" s="781"/>
      <c r="R820" s="782"/>
      <c r="S820" s="782"/>
      <c r="T820" s="782"/>
    </row>
    <row r="821" spans="2:20">
      <c r="B821" s="1421"/>
      <c r="C821" s="774"/>
      <c r="D821" s="775"/>
      <c r="E821" s="776"/>
      <c r="F821" s="776"/>
      <c r="G821" s="777"/>
      <c r="H821" s="783"/>
      <c r="I821" s="777"/>
      <c r="J821" s="776"/>
      <c r="K821" s="779"/>
      <c r="L821" s="779"/>
      <c r="M821" s="779"/>
      <c r="N821" s="780"/>
      <c r="O821" s="780"/>
      <c r="P821" s="777"/>
      <c r="Q821" s="781"/>
      <c r="R821" s="782"/>
      <c r="S821" s="782"/>
      <c r="T821" s="782"/>
    </row>
    <row r="822" spans="2:20">
      <c r="B822" s="1421"/>
      <c r="C822" s="774"/>
      <c r="D822" s="775"/>
      <c r="E822" s="776"/>
      <c r="F822" s="776"/>
      <c r="G822" s="777"/>
      <c r="H822" s="783"/>
      <c r="I822" s="777"/>
      <c r="J822" s="776"/>
      <c r="K822" s="779"/>
      <c r="L822" s="779"/>
      <c r="M822" s="779"/>
      <c r="N822" s="780"/>
      <c r="O822" s="780"/>
      <c r="P822" s="777"/>
      <c r="Q822" s="781"/>
      <c r="R822" s="782"/>
      <c r="S822" s="782"/>
      <c r="T822" s="782"/>
    </row>
    <row r="823" spans="2:20">
      <c r="B823" s="1422"/>
      <c r="C823" s="873"/>
      <c r="D823" s="874"/>
      <c r="E823" s="875"/>
      <c r="F823" s="875"/>
      <c r="G823" s="876"/>
      <c r="H823" s="877"/>
      <c r="I823" s="876"/>
      <c r="J823" s="875"/>
      <c r="K823" s="878"/>
      <c r="L823" s="878"/>
      <c r="M823" s="878"/>
      <c r="N823" s="879"/>
      <c r="O823" s="879"/>
      <c r="P823" s="876"/>
      <c r="Q823" s="880"/>
      <c r="R823" s="881"/>
      <c r="S823" s="881"/>
      <c r="T823" s="881"/>
    </row>
    <row r="824" spans="2:20">
      <c r="B824" s="1420" t="s">
        <v>6082</v>
      </c>
      <c r="C824" s="785"/>
      <c r="D824" s="786"/>
      <c r="E824" s="787"/>
      <c r="F824" s="787"/>
      <c r="G824" s="788"/>
      <c r="H824" s="797"/>
      <c r="I824" s="788"/>
      <c r="J824" s="787"/>
      <c r="K824" s="790"/>
      <c r="L824" s="790"/>
      <c r="M824" s="790"/>
      <c r="N824" s="791"/>
      <c r="O824" s="791"/>
      <c r="P824" s="788"/>
      <c r="Q824" s="792"/>
      <c r="R824" s="793"/>
      <c r="S824" s="793"/>
      <c r="T824" s="793"/>
    </row>
    <row r="825" spans="2:20">
      <c r="B825" s="1421"/>
      <c r="C825" s="774"/>
      <c r="D825" s="775"/>
      <c r="E825" s="776"/>
      <c r="F825" s="776"/>
      <c r="G825" s="777"/>
      <c r="H825" s="783"/>
      <c r="I825" s="777"/>
      <c r="J825" s="776"/>
      <c r="K825" s="779"/>
      <c r="L825" s="779"/>
      <c r="M825" s="779"/>
      <c r="N825" s="780"/>
      <c r="O825" s="780"/>
      <c r="P825" s="777"/>
      <c r="Q825" s="781"/>
      <c r="R825" s="782"/>
      <c r="S825" s="782"/>
      <c r="T825" s="782"/>
    </row>
    <row r="826" spans="2:20">
      <c r="B826" s="1421"/>
      <c r="C826" s="774"/>
      <c r="D826" s="775"/>
      <c r="E826" s="776"/>
      <c r="F826" s="776"/>
      <c r="G826" s="777"/>
      <c r="H826" s="783"/>
      <c r="I826" s="777"/>
      <c r="J826" s="776"/>
      <c r="K826" s="779"/>
      <c r="L826" s="779"/>
      <c r="M826" s="779"/>
      <c r="N826" s="780"/>
      <c r="O826" s="780"/>
      <c r="P826" s="777"/>
      <c r="Q826" s="781"/>
      <c r="R826" s="782"/>
      <c r="S826" s="782"/>
      <c r="T826" s="782"/>
    </row>
    <row r="827" spans="2:20">
      <c r="B827" s="1421"/>
      <c r="C827" s="774"/>
      <c r="D827" s="775"/>
      <c r="E827" s="776"/>
      <c r="F827" s="776"/>
      <c r="G827" s="777"/>
      <c r="H827" s="783"/>
      <c r="I827" s="777"/>
      <c r="J827" s="776"/>
      <c r="K827" s="779"/>
      <c r="L827" s="779"/>
      <c r="M827" s="779"/>
      <c r="N827" s="780"/>
      <c r="O827" s="780"/>
      <c r="P827" s="777"/>
      <c r="Q827" s="781"/>
      <c r="R827" s="782"/>
      <c r="S827" s="782"/>
      <c r="T827" s="782"/>
    </row>
    <row r="828" spans="2:20">
      <c r="B828" s="1421"/>
      <c r="C828" s="774"/>
      <c r="D828" s="775"/>
      <c r="E828" s="776"/>
      <c r="F828" s="776"/>
      <c r="G828" s="777"/>
      <c r="H828" s="783"/>
      <c r="I828" s="777"/>
      <c r="J828" s="776"/>
      <c r="K828" s="779"/>
      <c r="L828" s="779"/>
      <c r="M828" s="779"/>
      <c r="N828" s="780"/>
      <c r="O828" s="780"/>
      <c r="P828" s="777"/>
      <c r="Q828" s="781"/>
      <c r="R828" s="782"/>
      <c r="S828" s="782"/>
      <c r="T828" s="782"/>
    </row>
    <row r="829" spans="2:20">
      <c r="B829" s="1421"/>
      <c r="C829" s="774"/>
      <c r="D829" s="775"/>
      <c r="E829" s="776"/>
      <c r="F829" s="776"/>
      <c r="G829" s="777"/>
      <c r="H829" s="783"/>
      <c r="I829" s="777"/>
      <c r="J829" s="776"/>
      <c r="K829" s="779"/>
      <c r="L829" s="779"/>
      <c r="M829" s="779"/>
      <c r="N829" s="780"/>
      <c r="O829" s="780"/>
      <c r="P829" s="777"/>
      <c r="Q829" s="781"/>
      <c r="R829" s="782"/>
      <c r="S829" s="782"/>
      <c r="T829" s="782"/>
    </row>
    <row r="830" spans="2:20">
      <c r="B830" s="1421"/>
      <c r="C830" s="774"/>
      <c r="D830" s="775"/>
      <c r="E830" s="776"/>
      <c r="F830" s="776"/>
      <c r="G830" s="777"/>
      <c r="H830" s="783"/>
      <c r="I830" s="777"/>
      <c r="J830" s="776"/>
      <c r="K830" s="779"/>
      <c r="L830" s="779"/>
      <c r="M830" s="779"/>
      <c r="N830" s="780"/>
      <c r="O830" s="780"/>
      <c r="P830" s="777"/>
      <c r="Q830" s="781"/>
      <c r="R830" s="782"/>
      <c r="S830" s="782"/>
      <c r="T830" s="782"/>
    </row>
    <row r="831" spans="2:20">
      <c r="B831" s="1421"/>
      <c r="C831" s="774"/>
      <c r="D831" s="775"/>
      <c r="E831" s="776"/>
      <c r="F831" s="776"/>
      <c r="G831" s="777"/>
      <c r="H831" s="783"/>
      <c r="I831" s="777"/>
      <c r="J831" s="776"/>
      <c r="K831" s="779"/>
      <c r="L831" s="779"/>
      <c r="M831" s="779"/>
      <c r="N831" s="780"/>
      <c r="O831" s="780"/>
      <c r="P831" s="777"/>
      <c r="Q831" s="781"/>
      <c r="R831" s="782"/>
      <c r="S831" s="782"/>
      <c r="T831" s="782"/>
    </row>
    <row r="832" spans="2:20">
      <c r="B832" s="1421"/>
      <c r="C832" s="774"/>
      <c r="D832" s="775"/>
      <c r="E832" s="776"/>
      <c r="F832" s="776"/>
      <c r="G832" s="777"/>
      <c r="H832" s="783"/>
      <c r="I832" s="777"/>
      <c r="J832" s="776"/>
      <c r="K832" s="779"/>
      <c r="L832" s="779"/>
      <c r="M832" s="779"/>
      <c r="N832" s="780"/>
      <c r="O832" s="780"/>
      <c r="P832" s="777"/>
      <c r="Q832" s="781"/>
      <c r="R832" s="782"/>
      <c r="S832" s="782"/>
      <c r="T832" s="782"/>
    </row>
    <row r="833" spans="2:20">
      <c r="B833" s="1422"/>
      <c r="C833" s="873"/>
      <c r="D833" s="874"/>
      <c r="E833" s="875"/>
      <c r="F833" s="875"/>
      <c r="G833" s="876"/>
      <c r="H833" s="877"/>
      <c r="I833" s="876"/>
      <c r="J833" s="875"/>
      <c r="K833" s="878"/>
      <c r="L833" s="878"/>
      <c r="M833" s="878"/>
      <c r="N833" s="879"/>
      <c r="O833" s="879"/>
      <c r="P833" s="876"/>
      <c r="Q833" s="880"/>
      <c r="R833" s="881"/>
      <c r="S833" s="881"/>
      <c r="T833" s="881"/>
    </row>
    <row r="834" spans="2:20">
      <c r="B834" s="1420" t="s">
        <v>6083</v>
      </c>
      <c r="C834" s="785"/>
      <c r="D834" s="786"/>
      <c r="E834" s="787"/>
      <c r="F834" s="787"/>
      <c r="G834" s="788"/>
      <c r="H834" s="797"/>
      <c r="I834" s="788"/>
      <c r="J834" s="787"/>
      <c r="K834" s="790"/>
      <c r="L834" s="790"/>
      <c r="M834" s="790"/>
      <c r="N834" s="791"/>
      <c r="O834" s="791"/>
      <c r="P834" s="788"/>
      <c r="Q834" s="792"/>
      <c r="R834" s="793"/>
      <c r="S834" s="793"/>
      <c r="T834" s="793"/>
    </row>
    <row r="835" spans="2:20">
      <c r="B835" s="1421"/>
      <c r="C835" s="774"/>
      <c r="D835" s="775"/>
      <c r="E835" s="776"/>
      <c r="F835" s="776"/>
      <c r="G835" s="777"/>
      <c r="H835" s="783"/>
      <c r="I835" s="777"/>
      <c r="J835" s="776"/>
      <c r="K835" s="779"/>
      <c r="L835" s="779"/>
      <c r="M835" s="779"/>
      <c r="N835" s="780"/>
      <c r="O835" s="780"/>
      <c r="P835" s="777"/>
      <c r="Q835" s="781"/>
      <c r="R835" s="782"/>
      <c r="S835" s="782"/>
      <c r="T835" s="782"/>
    </row>
    <row r="836" spans="2:20">
      <c r="B836" s="1421"/>
      <c r="C836" s="774"/>
      <c r="D836" s="775"/>
      <c r="E836" s="776"/>
      <c r="F836" s="776"/>
      <c r="G836" s="777"/>
      <c r="H836" s="783"/>
      <c r="I836" s="777"/>
      <c r="J836" s="776"/>
      <c r="K836" s="779"/>
      <c r="L836" s="779"/>
      <c r="M836" s="779"/>
      <c r="N836" s="780"/>
      <c r="O836" s="780"/>
      <c r="P836" s="777"/>
      <c r="Q836" s="781"/>
      <c r="R836" s="782"/>
      <c r="S836" s="782"/>
      <c r="T836" s="782"/>
    </row>
    <row r="837" spans="2:20">
      <c r="B837" s="1421"/>
      <c r="C837" s="774"/>
      <c r="D837" s="775"/>
      <c r="E837" s="776"/>
      <c r="F837" s="776"/>
      <c r="G837" s="777"/>
      <c r="H837" s="783"/>
      <c r="I837" s="777"/>
      <c r="J837" s="776"/>
      <c r="K837" s="779"/>
      <c r="L837" s="779"/>
      <c r="M837" s="779"/>
      <c r="N837" s="780"/>
      <c r="O837" s="780"/>
      <c r="P837" s="777"/>
      <c r="Q837" s="781"/>
      <c r="R837" s="782"/>
      <c r="S837" s="782"/>
      <c r="T837" s="782"/>
    </row>
    <row r="838" spans="2:20">
      <c r="B838" s="1421"/>
      <c r="C838" s="774"/>
      <c r="D838" s="775"/>
      <c r="E838" s="776"/>
      <c r="F838" s="776"/>
      <c r="G838" s="777"/>
      <c r="H838" s="783"/>
      <c r="I838" s="777"/>
      <c r="J838" s="776"/>
      <c r="K838" s="779"/>
      <c r="L838" s="779"/>
      <c r="M838" s="779"/>
      <c r="N838" s="780"/>
      <c r="O838" s="780"/>
      <c r="P838" s="777"/>
      <c r="Q838" s="781"/>
      <c r="R838" s="782"/>
      <c r="S838" s="782"/>
      <c r="T838" s="782"/>
    </row>
    <row r="839" spans="2:20">
      <c r="B839" s="1421"/>
      <c r="C839" s="774"/>
      <c r="D839" s="775"/>
      <c r="E839" s="776"/>
      <c r="F839" s="776"/>
      <c r="G839" s="777"/>
      <c r="H839" s="783"/>
      <c r="I839" s="777"/>
      <c r="J839" s="776"/>
      <c r="K839" s="779"/>
      <c r="L839" s="779"/>
      <c r="M839" s="779"/>
      <c r="N839" s="780"/>
      <c r="O839" s="780"/>
      <c r="P839" s="777"/>
      <c r="Q839" s="781"/>
      <c r="R839" s="782"/>
      <c r="S839" s="782"/>
      <c r="T839" s="782"/>
    </row>
    <row r="840" spans="2:20">
      <c r="B840" s="1421"/>
      <c r="C840" s="774"/>
      <c r="D840" s="775"/>
      <c r="E840" s="776"/>
      <c r="F840" s="776"/>
      <c r="G840" s="777"/>
      <c r="H840" s="783"/>
      <c r="I840" s="777"/>
      <c r="J840" s="776"/>
      <c r="K840" s="779"/>
      <c r="L840" s="779"/>
      <c r="M840" s="779"/>
      <c r="N840" s="780"/>
      <c r="O840" s="780"/>
      <c r="P840" s="777"/>
      <c r="Q840" s="781"/>
      <c r="R840" s="782"/>
      <c r="S840" s="782"/>
      <c r="T840" s="782"/>
    </row>
    <row r="841" spans="2:20">
      <c r="B841" s="1421"/>
      <c r="C841" s="774"/>
      <c r="D841" s="775"/>
      <c r="E841" s="776"/>
      <c r="F841" s="776"/>
      <c r="G841" s="777"/>
      <c r="H841" s="783"/>
      <c r="I841" s="777"/>
      <c r="J841" s="776"/>
      <c r="K841" s="779"/>
      <c r="L841" s="779"/>
      <c r="M841" s="779"/>
      <c r="N841" s="780"/>
      <c r="O841" s="780"/>
      <c r="P841" s="777"/>
      <c r="Q841" s="781"/>
      <c r="R841" s="782"/>
      <c r="S841" s="782"/>
      <c r="T841" s="782"/>
    </row>
    <row r="842" spans="2:20">
      <c r="B842" s="1421"/>
      <c r="C842" s="774"/>
      <c r="D842" s="775"/>
      <c r="E842" s="776"/>
      <c r="F842" s="776"/>
      <c r="G842" s="777"/>
      <c r="H842" s="783"/>
      <c r="I842" s="777"/>
      <c r="J842" s="776"/>
      <c r="K842" s="779"/>
      <c r="L842" s="779"/>
      <c r="M842" s="779"/>
      <c r="N842" s="780"/>
      <c r="O842" s="780"/>
      <c r="P842" s="777"/>
      <c r="Q842" s="781"/>
      <c r="R842" s="782"/>
      <c r="S842" s="782"/>
      <c r="T842" s="782"/>
    </row>
    <row r="843" spans="2:20">
      <c r="B843" s="1422"/>
      <c r="C843" s="873"/>
      <c r="D843" s="874"/>
      <c r="E843" s="875"/>
      <c r="F843" s="875"/>
      <c r="G843" s="876"/>
      <c r="H843" s="877"/>
      <c r="I843" s="876"/>
      <c r="J843" s="875"/>
      <c r="K843" s="878"/>
      <c r="L843" s="878"/>
      <c r="M843" s="878"/>
      <c r="N843" s="879"/>
      <c r="O843" s="879"/>
      <c r="P843" s="876"/>
      <c r="Q843" s="880"/>
      <c r="R843" s="881"/>
      <c r="S843" s="881"/>
      <c r="T843" s="881"/>
    </row>
    <row r="844" spans="2:20">
      <c r="B844" s="1420" t="s">
        <v>6084</v>
      </c>
      <c r="C844" s="785"/>
      <c r="D844" s="786"/>
      <c r="E844" s="787"/>
      <c r="F844" s="787"/>
      <c r="G844" s="788"/>
      <c r="H844" s="797"/>
      <c r="I844" s="788"/>
      <c r="J844" s="787"/>
      <c r="K844" s="790"/>
      <c r="L844" s="790"/>
      <c r="M844" s="790"/>
      <c r="N844" s="791"/>
      <c r="O844" s="791"/>
      <c r="P844" s="788"/>
      <c r="Q844" s="792"/>
      <c r="R844" s="793"/>
      <c r="S844" s="793"/>
      <c r="T844" s="793"/>
    </row>
    <row r="845" spans="2:20">
      <c r="B845" s="1421"/>
      <c r="C845" s="774"/>
      <c r="D845" s="775"/>
      <c r="E845" s="776"/>
      <c r="F845" s="776"/>
      <c r="G845" s="777"/>
      <c r="H845" s="783"/>
      <c r="I845" s="777"/>
      <c r="J845" s="776"/>
      <c r="K845" s="779"/>
      <c r="L845" s="779"/>
      <c r="M845" s="779"/>
      <c r="N845" s="780"/>
      <c r="O845" s="780"/>
      <c r="P845" s="777"/>
      <c r="Q845" s="781"/>
      <c r="R845" s="782"/>
      <c r="S845" s="782"/>
      <c r="T845" s="782"/>
    </row>
    <row r="846" spans="2:20">
      <c r="B846" s="1421"/>
      <c r="C846" s="774"/>
      <c r="D846" s="775"/>
      <c r="E846" s="776"/>
      <c r="F846" s="776"/>
      <c r="G846" s="777"/>
      <c r="H846" s="783"/>
      <c r="I846" s="777"/>
      <c r="J846" s="776"/>
      <c r="K846" s="779"/>
      <c r="L846" s="779"/>
      <c r="M846" s="779"/>
      <c r="N846" s="780"/>
      <c r="O846" s="780"/>
      <c r="P846" s="777"/>
      <c r="Q846" s="781"/>
      <c r="R846" s="782"/>
      <c r="S846" s="782"/>
      <c r="T846" s="782"/>
    </row>
    <row r="847" spans="2:20">
      <c r="B847" s="1421"/>
      <c r="C847" s="774"/>
      <c r="D847" s="775"/>
      <c r="E847" s="776"/>
      <c r="F847" s="776"/>
      <c r="G847" s="777"/>
      <c r="H847" s="783"/>
      <c r="I847" s="777"/>
      <c r="J847" s="776"/>
      <c r="K847" s="779"/>
      <c r="L847" s="779"/>
      <c r="M847" s="779"/>
      <c r="N847" s="780"/>
      <c r="O847" s="780"/>
      <c r="P847" s="777"/>
      <c r="Q847" s="781"/>
      <c r="R847" s="782"/>
      <c r="S847" s="782"/>
      <c r="T847" s="782"/>
    </row>
    <row r="848" spans="2:20">
      <c r="B848" s="1421"/>
      <c r="C848" s="774"/>
      <c r="D848" s="775"/>
      <c r="E848" s="776"/>
      <c r="F848" s="776"/>
      <c r="G848" s="777"/>
      <c r="H848" s="783"/>
      <c r="I848" s="777"/>
      <c r="J848" s="776"/>
      <c r="K848" s="779"/>
      <c r="L848" s="779"/>
      <c r="M848" s="779"/>
      <c r="N848" s="780"/>
      <c r="O848" s="780"/>
      <c r="P848" s="777"/>
      <c r="Q848" s="781"/>
      <c r="R848" s="782"/>
      <c r="S848" s="782"/>
      <c r="T848" s="782"/>
    </row>
    <row r="849" spans="2:20">
      <c r="B849" s="1421"/>
      <c r="C849" s="774"/>
      <c r="D849" s="775"/>
      <c r="E849" s="776"/>
      <c r="F849" s="776"/>
      <c r="G849" s="777"/>
      <c r="H849" s="783"/>
      <c r="I849" s="777"/>
      <c r="J849" s="776"/>
      <c r="K849" s="779"/>
      <c r="L849" s="779"/>
      <c r="M849" s="779"/>
      <c r="N849" s="780"/>
      <c r="O849" s="780"/>
      <c r="P849" s="777"/>
      <c r="Q849" s="781"/>
      <c r="R849" s="782"/>
      <c r="S849" s="782"/>
      <c r="T849" s="782"/>
    </row>
    <row r="850" spans="2:20">
      <c r="B850" s="1421"/>
      <c r="C850" s="774"/>
      <c r="D850" s="775"/>
      <c r="E850" s="776"/>
      <c r="F850" s="776"/>
      <c r="G850" s="777"/>
      <c r="H850" s="783"/>
      <c r="I850" s="777"/>
      <c r="J850" s="776"/>
      <c r="K850" s="779"/>
      <c r="L850" s="779"/>
      <c r="M850" s="779"/>
      <c r="N850" s="780"/>
      <c r="O850" s="780"/>
      <c r="P850" s="777"/>
      <c r="Q850" s="781"/>
      <c r="R850" s="782"/>
      <c r="S850" s="782"/>
      <c r="T850" s="782"/>
    </row>
    <row r="851" spans="2:20">
      <c r="B851" s="1421"/>
      <c r="C851" s="774"/>
      <c r="D851" s="775"/>
      <c r="E851" s="776"/>
      <c r="F851" s="776"/>
      <c r="G851" s="777"/>
      <c r="H851" s="783"/>
      <c r="I851" s="777"/>
      <c r="J851" s="776"/>
      <c r="K851" s="779"/>
      <c r="L851" s="779"/>
      <c r="M851" s="779"/>
      <c r="N851" s="780"/>
      <c r="O851" s="780"/>
      <c r="P851" s="777"/>
      <c r="Q851" s="781"/>
      <c r="R851" s="782"/>
      <c r="S851" s="782"/>
      <c r="T851" s="782"/>
    </row>
    <row r="852" spans="2:20">
      <c r="B852" s="1421"/>
      <c r="C852" s="774"/>
      <c r="D852" s="775"/>
      <c r="E852" s="776"/>
      <c r="F852" s="776"/>
      <c r="G852" s="777"/>
      <c r="H852" s="783"/>
      <c r="I852" s="777"/>
      <c r="J852" s="776"/>
      <c r="K852" s="779"/>
      <c r="L852" s="779"/>
      <c r="M852" s="779"/>
      <c r="N852" s="780"/>
      <c r="O852" s="780"/>
      <c r="P852" s="777"/>
      <c r="Q852" s="781"/>
      <c r="R852" s="782"/>
      <c r="S852" s="782"/>
      <c r="T852" s="782"/>
    </row>
    <row r="853" spans="2:20">
      <c r="B853" s="1422"/>
      <c r="C853" s="873"/>
      <c r="D853" s="874"/>
      <c r="E853" s="875"/>
      <c r="F853" s="875"/>
      <c r="G853" s="876"/>
      <c r="H853" s="877"/>
      <c r="I853" s="876"/>
      <c r="J853" s="875"/>
      <c r="K853" s="878"/>
      <c r="L853" s="878"/>
      <c r="M853" s="878"/>
      <c r="N853" s="879"/>
      <c r="O853" s="879"/>
      <c r="P853" s="876"/>
      <c r="Q853" s="880"/>
      <c r="R853" s="881"/>
      <c r="S853" s="881"/>
      <c r="T853" s="881"/>
    </row>
    <row r="854" spans="2:20">
      <c r="B854" s="1420" t="s">
        <v>6085</v>
      </c>
      <c r="C854" s="774"/>
      <c r="D854" s="775"/>
      <c r="E854" s="776"/>
      <c r="F854" s="776"/>
      <c r="G854" s="777"/>
      <c r="H854" s="783"/>
      <c r="I854" s="777"/>
      <c r="J854" s="776"/>
      <c r="K854" s="779"/>
      <c r="L854" s="779"/>
      <c r="M854" s="779"/>
      <c r="N854" s="780"/>
      <c r="O854" s="780"/>
      <c r="P854" s="777"/>
      <c r="Q854" s="781"/>
      <c r="R854" s="782"/>
      <c r="S854" s="782"/>
      <c r="T854" s="782"/>
    </row>
    <row r="855" spans="2:20">
      <c r="B855" s="1421"/>
      <c r="C855" s="774"/>
      <c r="D855" s="775"/>
      <c r="E855" s="776"/>
      <c r="F855" s="776"/>
      <c r="G855" s="777"/>
      <c r="H855" s="783"/>
      <c r="I855" s="777"/>
      <c r="J855" s="776"/>
      <c r="K855" s="779"/>
      <c r="L855" s="779"/>
      <c r="M855" s="779"/>
      <c r="N855" s="780"/>
      <c r="O855" s="780"/>
      <c r="P855" s="777"/>
      <c r="Q855" s="781"/>
      <c r="R855" s="782"/>
      <c r="S855" s="782"/>
      <c r="T855" s="782"/>
    </row>
    <row r="856" spans="2:20">
      <c r="B856" s="1421"/>
      <c r="C856" s="774"/>
      <c r="D856" s="775"/>
      <c r="E856" s="776"/>
      <c r="F856" s="776"/>
      <c r="G856" s="777"/>
      <c r="H856" s="783"/>
      <c r="I856" s="777"/>
      <c r="J856" s="776"/>
      <c r="K856" s="779"/>
      <c r="L856" s="779"/>
      <c r="M856" s="779"/>
      <c r="N856" s="780"/>
      <c r="O856" s="780"/>
      <c r="P856" s="777"/>
      <c r="Q856" s="781"/>
      <c r="R856" s="782"/>
      <c r="S856" s="782"/>
      <c r="T856" s="782"/>
    </row>
    <row r="857" spans="2:20">
      <c r="B857" s="1421"/>
      <c r="C857" s="774"/>
      <c r="D857" s="775"/>
      <c r="E857" s="776"/>
      <c r="F857" s="776"/>
      <c r="G857" s="777"/>
      <c r="H857" s="783"/>
      <c r="I857" s="777"/>
      <c r="J857" s="776"/>
      <c r="K857" s="779"/>
      <c r="L857" s="779"/>
      <c r="M857" s="779"/>
      <c r="N857" s="780"/>
      <c r="O857" s="780"/>
      <c r="P857" s="777"/>
      <c r="Q857" s="781"/>
      <c r="R857" s="782"/>
      <c r="S857" s="782"/>
      <c r="T857" s="782"/>
    </row>
    <row r="858" spans="2:20">
      <c r="B858" s="1421"/>
      <c r="C858" s="774"/>
      <c r="D858" s="775"/>
      <c r="E858" s="776"/>
      <c r="F858" s="776"/>
      <c r="G858" s="777"/>
      <c r="H858" s="783"/>
      <c r="I858" s="777"/>
      <c r="J858" s="776"/>
      <c r="K858" s="779"/>
      <c r="L858" s="779"/>
      <c r="M858" s="779"/>
      <c r="N858" s="780"/>
      <c r="O858" s="780"/>
      <c r="P858" s="777"/>
      <c r="Q858" s="781"/>
      <c r="R858" s="782"/>
      <c r="S858" s="782"/>
      <c r="T858" s="782"/>
    </row>
    <row r="859" spans="2:20">
      <c r="B859" s="1421"/>
      <c r="C859" s="774"/>
      <c r="D859" s="775"/>
      <c r="E859" s="776"/>
      <c r="F859" s="776"/>
      <c r="G859" s="777"/>
      <c r="H859" s="783"/>
      <c r="I859" s="777"/>
      <c r="J859" s="776"/>
      <c r="K859" s="779"/>
      <c r="L859" s="779"/>
      <c r="M859" s="779"/>
      <c r="N859" s="780"/>
      <c r="O859" s="780"/>
      <c r="P859" s="777"/>
      <c r="Q859" s="781"/>
      <c r="R859" s="782"/>
      <c r="S859" s="782"/>
      <c r="T859" s="782"/>
    </row>
    <row r="860" spans="2:20">
      <c r="B860" s="1421"/>
      <c r="C860" s="774"/>
      <c r="D860" s="775"/>
      <c r="E860" s="776"/>
      <c r="F860" s="776"/>
      <c r="G860" s="777"/>
      <c r="H860" s="783"/>
      <c r="I860" s="777"/>
      <c r="J860" s="776"/>
      <c r="K860" s="779"/>
      <c r="L860" s="779"/>
      <c r="M860" s="779"/>
      <c r="N860" s="780"/>
      <c r="O860" s="780"/>
      <c r="P860" s="777"/>
      <c r="Q860" s="781"/>
      <c r="R860" s="782"/>
      <c r="S860" s="782"/>
      <c r="T860" s="782"/>
    </row>
    <row r="861" spans="2:20">
      <c r="B861" s="1421"/>
      <c r="C861" s="774"/>
      <c r="D861" s="775"/>
      <c r="E861" s="776"/>
      <c r="F861" s="776"/>
      <c r="G861" s="777"/>
      <c r="H861" s="783"/>
      <c r="I861" s="777"/>
      <c r="J861" s="776"/>
      <c r="K861" s="779"/>
      <c r="L861" s="779"/>
      <c r="M861" s="779"/>
      <c r="N861" s="780"/>
      <c r="O861" s="780"/>
      <c r="P861" s="777"/>
      <c r="Q861" s="781"/>
      <c r="R861" s="782"/>
      <c r="S861" s="782"/>
      <c r="T861" s="782"/>
    </row>
    <row r="862" spans="2:20">
      <c r="B862" s="1421"/>
      <c r="C862" s="774"/>
      <c r="D862" s="775"/>
      <c r="E862" s="776"/>
      <c r="F862" s="776"/>
      <c r="G862" s="777"/>
      <c r="H862" s="783"/>
      <c r="I862" s="777"/>
      <c r="J862" s="776"/>
      <c r="K862" s="779"/>
      <c r="L862" s="779"/>
      <c r="M862" s="779"/>
      <c r="N862" s="780"/>
      <c r="O862" s="780"/>
      <c r="P862" s="777"/>
      <c r="Q862" s="781"/>
      <c r="R862" s="782"/>
      <c r="S862" s="782"/>
      <c r="T862" s="782"/>
    </row>
    <row r="863" spans="2:20">
      <c r="B863" s="1422"/>
      <c r="C863" s="774"/>
      <c r="D863" s="775"/>
      <c r="E863" s="776"/>
      <c r="F863" s="776"/>
      <c r="G863" s="777"/>
      <c r="H863" s="783"/>
      <c r="I863" s="777"/>
      <c r="J863" s="776"/>
      <c r="K863" s="779"/>
      <c r="L863" s="779"/>
      <c r="M863" s="779"/>
      <c r="N863" s="780"/>
      <c r="O863" s="780"/>
      <c r="P863" s="777"/>
      <c r="Q863" s="781"/>
      <c r="R863" s="782"/>
      <c r="S863" s="782"/>
      <c r="T863" s="782"/>
    </row>
    <row r="864" spans="2:20">
      <c r="B864" s="1423" t="s">
        <v>6086</v>
      </c>
      <c r="C864" s="1424"/>
      <c r="D864" s="1424"/>
      <c r="E864" s="1424"/>
      <c r="F864" s="1424"/>
      <c r="G864" s="1424"/>
      <c r="H864" s="1424"/>
      <c r="I864" s="1424"/>
      <c r="J864" s="1424"/>
      <c r="K864" s="864"/>
      <c r="L864" s="865"/>
      <c r="M864" s="865"/>
      <c r="N864" s="866"/>
      <c r="O864" s="867"/>
      <c r="P864" s="868"/>
      <c r="Q864" s="869"/>
      <c r="R864" s="870"/>
      <c r="S864" s="870"/>
      <c r="T864" s="870"/>
    </row>
    <row r="865" spans="2:20">
      <c r="B865" s="1075"/>
      <c r="C865" s="785"/>
      <c r="D865" s="786"/>
      <c r="E865" s="787"/>
      <c r="F865" s="787"/>
      <c r="G865" s="788"/>
      <c r="H865" s="797"/>
      <c r="I865" s="788"/>
      <c r="J865" s="787"/>
      <c r="K865" s="790"/>
      <c r="L865" s="790"/>
      <c r="M865" s="790"/>
      <c r="N865" s="791"/>
      <c r="O865" s="791"/>
      <c r="P865" s="788"/>
      <c r="Q865" s="792"/>
      <c r="R865" s="793"/>
      <c r="S865" s="793"/>
      <c r="T865" s="793"/>
    </row>
    <row r="866" spans="2:20">
      <c r="B866" s="1076"/>
      <c r="C866" s="774"/>
      <c r="D866" s="775"/>
      <c r="E866" s="776"/>
      <c r="F866" s="776"/>
      <c r="G866" s="777"/>
      <c r="H866" s="783"/>
      <c r="I866" s="777"/>
      <c r="J866" s="776"/>
      <c r="K866" s="779"/>
      <c r="L866" s="779"/>
      <c r="M866" s="779"/>
      <c r="N866" s="780"/>
      <c r="O866" s="780"/>
      <c r="P866" s="777"/>
      <c r="Q866" s="781"/>
      <c r="R866" s="782"/>
      <c r="S866" s="782"/>
      <c r="T866" s="782"/>
    </row>
    <row r="867" spans="2:20">
      <c r="B867" s="1076"/>
      <c r="C867" s="774"/>
      <c r="D867" s="775"/>
      <c r="E867" s="776"/>
      <c r="F867" s="776"/>
      <c r="G867" s="777"/>
      <c r="H867" s="783"/>
      <c r="I867" s="777"/>
      <c r="J867" s="776"/>
      <c r="K867" s="779"/>
      <c r="L867" s="779"/>
      <c r="M867" s="779"/>
      <c r="N867" s="780"/>
      <c r="O867" s="780"/>
      <c r="P867" s="777"/>
      <c r="Q867" s="781"/>
      <c r="R867" s="782"/>
      <c r="S867" s="782"/>
      <c r="T867" s="782"/>
    </row>
    <row r="868" spans="2:20">
      <c r="B868" s="1076"/>
      <c r="C868" s="774"/>
      <c r="D868" s="775"/>
      <c r="E868" s="776"/>
      <c r="F868" s="776"/>
      <c r="G868" s="777"/>
      <c r="H868" s="783"/>
      <c r="I868" s="777"/>
      <c r="J868" s="776"/>
      <c r="K868" s="779"/>
      <c r="L868" s="779"/>
      <c r="M868" s="779"/>
      <c r="N868" s="780"/>
      <c r="O868" s="780"/>
      <c r="P868" s="777"/>
      <c r="Q868" s="781"/>
      <c r="R868" s="782"/>
      <c r="S868" s="782"/>
      <c r="T868" s="782"/>
    </row>
    <row r="869" spans="2:20">
      <c r="B869" s="1076"/>
      <c r="C869" s="774"/>
      <c r="D869" s="775"/>
      <c r="E869" s="776"/>
      <c r="F869" s="776"/>
      <c r="G869" s="777"/>
      <c r="H869" s="783"/>
      <c r="I869" s="777"/>
      <c r="J869" s="776"/>
      <c r="K869" s="779"/>
      <c r="L869" s="779"/>
      <c r="M869" s="779"/>
      <c r="N869" s="780"/>
      <c r="O869" s="780"/>
      <c r="P869" s="777"/>
      <c r="Q869" s="781"/>
      <c r="R869" s="782"/>
      <c r="S869" s="782"/>
      <c r="T869" s="782"/>
    </row>
    <row r="870" spans="2:20">
      <c r="B870" s="1076"/>
      <c r="C870" s="774"/>
      <c r="D870" s="775"/>
      <c r="E870" s="776"/>
      <c r="F870" s="776"/>
      <c r="G870" s="777"/>
      <c r="H870" s="783"/>
      <c r="I870" s="777"/>
      <c r="J870" s="776"/>
      <c r="K870" s="779"/>
      <c r="L870" s="779"/>
      <c r="M870" s="779"/>
      <c r="N870" s="780"/>
      <c r="O870" s="780"/>
      <c r="P870" s="777"/>
      <c r="Q870" s="781"/>
      <c r="R870" s="782"/>
      <c r="S870" s="782"/>
      <c r="T870" s="782"/>
    </row>
    <row r="871" spans="2:20">
      <c r="B871" s="1076"/>
      <c r="C871" s="774"/>
      <c r="D871" s="775"/>
      <c r="E871" s="776"/>
      <c r="F871" s="776"/>
      <c r="G871" s="777"/>
      <c r="H871" s="783"/>
      <c r="I871" s="777"/>
      <c r="J871" s="776"/>
      <c r="K871" s="779"/>
      <c r="L871" s="779"/>
      <c r="M871" s="779"/>
      <c r="N871" s="780"/>
      <c r="O871" s="780"/>
      <c r="P871" s="777"/>
      <c r="Q871" s="781"/>
      <c r="R871" s="782"/>
      <c r="S871" s="782"/>
      <c r="T871" s="782"/>
    </row>
    <row r="872" spans="2:20">
      <c r="B872" s="1076"/>
      <c r="C872" s="774"/>
      <c r="D872" s="775"/>
      <c r="E872" s="776"/>
      <c r="F872" s="776"/>
      <c r="G872" s="777"/>
      <c r="H872" s="783"/>
      <c r="I872" s="777"/>
      <c r="J872" s="776"/>
      <c r="K872" s="779"/>
      <c r="L872" s="779"/>
      <c r="M872" s="779"/>
      <c r="N872" s="780"/>
      <c r="O872" s="780"/>
      <c r="P872" s="777"/>
      <c r="Q872" s="781"/>
      <c r="R872" s="782"/>
      <c r="S872" s="782"/>
      <c r="T872" s="782"/>
    </row>
    <row r="873" spans="2:20">
      <c r="B873" s="1076"/>
      <c r="C873" s="774"/>
      <c r="D873" s="775"/>
      <c r="E873" s="776"/>
      <c r="F873" s="776"/>
      <c r="G873" s="777"/>
      <c r="H873" s="783"/>
      <c r="I873" s="777"/>
      <c r="J873" s="776"/>
      <c r="K873" s="779"/>
      <c r="L873" s="779"/>
      <c r="M873" s="779"/>
      <c r="N873" s="780"/>
      <c r="O873" s="780"/>
      <c r="P873" s="777"/>
      <c r="Q873" s="781"/>
      <c r="R873" s="782"/>
      <c r="S873" s="782"/>
      <c r="T873" s="782"/>
    </row>
    <row r="874" spans="2:20">
      <c r="B874" s="1077"/>
      <c r="C874" s="873"/>
      <c r="D874" s="874"/>
      <c r="E874" s="875"/>
      <c r="F874" s="875"/>
      <c r="G874" s="876"/>
      <c r="H874" s="877"/>
      <c r="I874" s="876"/>
      <c r="J874" s="875"/>
      <c r="K874" s="878"/>
      <c r="L874" s="878"/>
      <c r="M874" s="878"/>
      <c r="N874" s="879"/>
      <c r="O874" s="879"/>
      <c r="P874" s="876"/>
      <c r="Q874" s="880"/>
      <c r="R874" s="881"/>
      <c r="S874" s="881"/>
      <c r="T874" s="881"/>
    </row>
    <row r="875" spans="2:20">
      <c r="B875" s="1075"/>
      <c r="C875" s="785"/>
      <c r="D875" s="786"/>
      <c r="E875" s="787"/>
      <c r="F875" s="787"/>
      <c r="G875" s="788"/>
      <c r="H875" s="797"/>
      <c r="I875" s="788"/>
      <c r="J875" s="787"/>
      <c r="K875" s="790"/>
      <c r="L875" s="790"/>
      <c r="M875" s="790"/>
      <c r="N875" s="791"/>
      <c r="O875" s="791"/>
      <c r="P875" s="788"/>
      <c r="Q875" s="792"/>
      <c r="R875" s="793"/>
      <c r="S875" s="793"/>
      <c r="T875" s="793"/>
    </row>
    <row r="876" spans="2:20">
      <c r="B876" s="1076"/>
      <c r="C876" s="774"/>
      <c r="D876" s="775"/>
      <c r="E876" s="776"/>
      <c r="F876" s="776"/>
      <c r="G876" s="777"/>
      <c r="H876" s="783"/>
      <c r="I876" s="777"/>
      <c r="J876" s="776"/>
      <c r="K876" s="779"/>
      <c r="L876" s="779"/>
      <c r="M876" s="779"/>
      <c r="N876" s="780"/>
      <c r="O876" s="780"/>
      <c r="P876" s="777"/>
      <c r="Q876" s="781"/>
      <c r="R876" s="782"/>
      <c r="S876" s="782"/>
      <c r="T876" s="782"/>
    </row>
    <row r="877" spans="2:20">
      <c r="B877" s="1076"/>
      <c r="C877" s="774"/>
      <c r="D877" s="775"/>
      <c r="E877" s="776"/>
      <c r="F877" s="776"/>
      <c r="G877" s="777"/>
      <c r="H877" s="783"/>
      <c r="I877" s="777"/>
      <c r="J877" s="776"/>
      <c r="K877" s="779"/>
      <c r="L877" s="779"/>
      <c r="M877" s="779"/>
      <c r="N877" s="780"/>
      <c r="O877" s="780"/>
      <c r="P877" s="777"/>
      <c r="Q877" s="781"/>
      <c r="R877" s="782"/>
      <c r="S877" s="782"/>
      <c r="T877" s="782"/>
    </row>
    <row r="878" spans="2:20">
      <c r="B878" s="1076"/>
      <c r="C878" s="774"/>
      <c r="D878" s="775"/>
      <c r="E878" s="776"/>
      <c r="F878" s="776"/>
      <c r="G878" s="777"/>
      <c r="H878" s="783"/>
      <c r="I878" s="777"/>
      <c r="J878" s="776"/>
      <c r="K878" s="779"/>
      <c r="L878" s="779"/>
      <c r="M878" s="779"/>
      <c r="N878" s="780"/>
      <c r="O878" s="780"/>
      <c r="P878" s="777"/>
      <c r="Q878" s="781"/>
      <c r="R878" s="782"/>
      <c r="S878" s="782"/>
      <c r="T878" s="782"/>
    </row>
    <row r="879" spans="2:20">
      <c r="B879" s="1076"/>
      <c r="C879" s="774"/>
      <c r="D879" s="775"/>
      <c r="E879" s="776"/>
      <c r="F879" s="776"/>
      <c r="G879" s="777"/>
      <c r="H879" s="783"/>
      <c r="I879" s="777"/>
      <c r="J879" s="776"/>
      <c r="K879" s="779"/>
      <c r="L879" s="779"/>
      <c r="M879" s="779"/>
      <c r="N879" s="780"/>
      <c r="O879" s="780"/>
      <c r="P879" s="777"/>
      <c r="Q879" s="781"/>
      <c r="R879" s="782"/>
      <c r="S879" s="782"/>
      <c r="T879" s="782"/>
    </row>
    <row r="880" spans="2:20">
      <c r="B880" s="1076"/>
      <c r="C880" s="774"/>
      <c r="D880" s="775"/>
      <c r="E880" s="776"/>
      <c r="F880" s="776"/>
      <c r="G880" s="777"/>
      <c r="H880" s="783"/>
      <c r="I880" s="777"/>
      <c r="J880" s="776"/>
      <c r="K880" s="779"/>
      <c r="L880" s="779"/>
      <c r="M880" s="779"/>
      <c r="N880" s="780"/>
      <c r="O880" s="780"/>
      <c r="P880" s="777"/>
      <c r="Q880" s="781"/>
      <c r="R880" s="782"/>
      <c r="S880" s="782"/>
      <c r="T880" s="782"/>
    </row>
    <row r="881" spans="2:20">
      <c r="B881" s="1076"/>
      <c r="C881" s="774"/>
      <c r="D881" s="775"/>
      <c r="E881" s="776"/>
      <c r="F881" s="776"/>
      <c r="G881" s="777"/>
      <c r="H881" s="783"/>
      <c r="I881" s="777"/>
      <c r="J881" s="776"/>
      <c r="K881" s="779"/>
      <c r="L881" s="779"/>
      <c r="M881" s="779"/>
      <c r="N881" s="780"/>
      <c r="O881" s="780"/>
      <c r="P881" s="777"/>
      <c r="Q881" s="781"/>
      <c r="R881" s="782"/>
      <c r="S881" s="782"/>
      <c r="T881" s="782"/>
    </row>
    <row r="882" spans="2:20">
      <c r="B882" s="1076"/>
      <c r="C882" s="774"/>
      <c r="D882" s="775"/>
      <c r="E882" s="776"/>
      <c r="F882" s="776"/>
      <c r="G882" s="777"/>
      <c r="H882" s="783"/>
      <c r="I882" s="777"/>
      <c r="J882" s="776"/>
      <c r="K882" s="779"/>
      <c r="L882" s="779"/>
      <c r="M882" s="779"/>
      <c r="N882" s="780"/>
      <c r="O882" s="780"/>
      <c r="P882" s="777"/>
      <c r="Q882" s="781"/>
      <c r="R882" s="782"/>
      <c r="S882" s="782"/>
      <c r="T882" s="782"/>
    </row>
    <row r="883" spans="2:20">
      <c r="B883" s="1076"/>
      <c r="C883" s="774"/>
      <c r="D883" s="775"/>
      <c r="E883" s="776"/>
      <c r="F883" s="776"/>
      <c r="G883" s="777"/>
      <c r="H883" s="783"/>
      <c r="I883" s="777"/>
      <c r="J883" s="776"/>
      <c r="K883" s="779"/>
      <c r="L883" s="779"/>
      <c r="M883" s="779"/>
      <c r="N883" s="780"/>
      <c r="O883" s="780"/>
      <c r="P883" s="777"/>
      <c r="Q883" s="781"/>
      <c r="R883" s="782"/>
      <c r="S883" s="782"/>
      <c r="T883" s="782"/>
    </row>
    <row r="884" spans="2:20">
      <c r="B884" s="1077"/>
      <c r="C884" s="873"/>
      <c r="D884" s="874"/>
      <c r="E884" s="875"/>
      <c r="F884" s="875"/>
      <c r="G884" s="876"/>
      <c r="H884" s="877"/>
      <c r="I884" s="876"/>
      <c r="J884" s="875"/>
      <c r="K884" s="878"/>
      <c r="L884" s="878"/>
      <c r="M884" s="878"/>
      <c r="N884" s="879"/>
      <c r="O884" s="879"/>
      <c r="P884" s="876"/>
      <c r="Q884" s="880"/>
      <c r="R884" s="881"/>
      <c r="S884" s="881"/>
      <c r="T884" s="881"/>
    </row>
    <row r="885" spans="2:20">
      <c r="B885" s="1075"/>
      <c r="C885" s="785"/>
      <c r="D885" s="786"/>
      <c r="E885" s="787"/>
      <c r="F885" s="787"/>
      <c r="G885" s="788"/>
      <c r="H885" s="797"/>
      <c r="I885" s="788"/>
      <c r="J885" s="787"/>
      <c r="K885" s="790"/>
      <c r="L885" s="790"/>
      <c r="M885" s="790"/>
      <c r="N885" s="791"/>
      <c r="O885" s="791"/>
      <c r="P885" s="788"/>
      <c r="Q885" s="792"/>
      <c r="R885" s="793"/>
      <c r="S885" s="793"/>
      <c r="T885" s="793"/>
    </row>
    <row r="886" spans="2:20">
      <c r="B886" s="1076"/>
      <c r="C886" s="774"/>
      <c r="D886" s="775"/>
      <c r="E886" s="776"/>
      <c r="F886" s="776"/>
      <c r="G886" s="777"/>
      <c r="H886" s="783"/>
      <c r="I886" s="777"/>
      <c r="J886" s="776"/>
      <c r="K886" s="779"/>
      <c r="L886" s="779"/>
      <c r="M886" s="779"/>
      <c r="N886" s="780"/>
      <c r="O886" s="780"/>
      <c r="P886" s="777"/>
      <c r="Q886" s="781"/>
      <c r="R886" s="782"/>
      <c r="S886" s="782"/>
      <c r="T886" s="782"/>
    </row>
    <row r="887" spans="2:20">
      <c r="B887" s="1076"/>
      <c r="C887" s="774"/>
      <c r="D887" s="775"/>
      <c r="E887" s="776"/>
      <c r="F887" s="776"/>
      <c r="G887" s="777"/>
      <c r="H887" s="783"/>
      <c r="I887" s="777"/>
      <c r="J887" s="776"/>
      <c r="K887" s="779"/>
      <c r="L887" s="779"/>
      <c r="M887" s="779"/>
      <c r="N887" s="780"/>
      <c r="O887" s="780"/>
      <c r="P887" s="777"/>
      <c r="Q887" s="781"/>
      <c r="R887" s="782"/>
      <c r="S887" s="782"/>
      <c r="T887" s="782"/>
    </row>
    <row r="888" spans="2:20">
      <c r="B888" s="1076"/>
      <c r="C888" s="774"/>
      <c r="D888" s="775"/>
      <c r="E888" s="776"/>
      <c r="F888" s="776"/>
      <c r="G888" s="777"/>
      <c r="H888" s="783"/>
      <c r="I888" s="777"/>
      <c r="J888" s="776"/>
      <c r="K888" s="779"/>
      <c r="L888" s="779"/>
      <c r="M888" s="779"/>
      <c r="N888" s="780"/>
      <c r="O888" s="780"/>
      <c r="P888" s="777"/>
      <c r="Q888" s="781"/>
      <c r="R888" s="782"/>
      <c r="S888" s="782"/>
      <c r="T888" s="782"/>
    </row>
    <row r="889" spans="2:20">
      <c r="B889" s="1076"/>
      <c r="C889" s="774"/>
      <c r="D889" s="775"/>
      <c r="E889" s="776"/>
      <c r="F889" s="776"/>
      <c r="G889" s="777"/>
      <c r="H889" s="783"/>
      <c r="I889" s="777"/>
      <c r="J889" s="776"/>
      <c r="K889" s="779"/>
      <c r="L889" s="779"/>
      <c r="M889" s="779"/>
      <c r="N889" s="780"/>
      <c r="O889" s="780"/>
      <c r="P889" s="777"/>
      <c r="Q889" s="781"/>
      <c r="R889" s="782"/>
      <c r="S889" s="782"/>
      <c r="T889" s="782"/>
    </row>
    <row r="890" spans="2:20">
      <c r="B890" s="1076"/>
      <c r="C890" s="774"/>
      <c r="D890" s="775"/>
      <c r="E890" s="776"/>
      <c r="F890" s="776"/>
      <c r="G890" s="777"/>
      <c r="H890" s="783"/>
      <c r="I890" s="777"/>
      <c r="J890" s="776"/>
      <c r="K890" s="779"/>
      <c r="L890" s="779"/>
      <c r="M890" s="779"/>
      <c r="N890" s="780"/>
      <c r="O890" s="780"/>
      <c r="P890" s="777"/>
      <c r="Q890" s="781"/>
      <c r="R890" s="782"/>
      <c r="S890" s="782"/>
      <c r="T890" s="782"/>
    </row>
    <row r="891" spans="2:20">
      <c r="B891" s="1076"/>
      <c r="C891" s="774"/>
      <c r="D891" s="775"/>
      <c r="E891" s="776"/>
      <c r="F891" s="776"/>
      <c r="G891" s="777"/>
      <c r="H891" s="783"/>
      <c r="I891" s="777"/>
      <c r="J891" s="776"/>
      <c r="K891" s="779"/>
      <c r="L891" s="779"/>
      <c r="M891" s="779"/>
      <c r="N891" s="780"/>
      <c r="O891" s="780"/>
      <c r="P891" s="777"/>
      <c r="Q891" s="781"/>
      <c r="R891" s="782"/>
      <c r="S891" s="782"/>
      <c r="T891" s="782"/>
    </row>
    <row r="892" spans="2:20">
      <c r="B892" s="1076"/>
      <c r="C892" s="774"/>
      <c r="D892" s="775"/>
      <c r="E892" s="776"/>
      <c r="F892" s="776"/>
      <c r="G892" s="777"/>
      <c r="H892" s="783"/>
      <c r="I892" s="777"/>
      <c r="J892" s="776"/>
      <c r="K892" s="779"/>
      <c r="L892" s="779"/>
      <c r="M892" s="779"/>
      <c r="N892" s="780"/>
      <c r="O892" s="780"/>
      <c r="P892" s="777"/>
      <c r="Q892" s="781"/>
      <c r="R892" s="782"/>
      <c r="S892" s="782"/>
      <c r="T892" s="782"/>
    </row>
    <row r="893" spans="2:20">
      <c r="B893" s="1076"/>
      <c r="C893" s="774"/>
      <c r="D893" s="775"/>
      <c r="E893" s="776"/>
      <c r="F893" s="776"/>
      <c r="G893" s="777"/>
      <c r="H893" s="783"/>
      <c r="I893" s="777"/>
      <c r="J893" s="776"/>
      <c r="K893" s="779"/>
      <c r="L893" s="779"/>
      <c r="M893" s="779"/>
      <c r="N893" s="780"/>
      <c r="O893" s="780"/>
      <c r="P893" s="777"/>
      <c r="Q893" s="781"/>
      <c r="R893" s="782"/>
      <c r="S893" s="782"/>
      <c r="T893" s="782"/>
    </row>
    <row r="894" spans="2:20">
      <c r="B894" s="1077"/>
      <c r="C894" s="873"/>
      <c r="D894" s="874"/>
      <c r="E894" s="875"/>
      <c r="F894" s="875"/>
      <c r="G894" s="876"/>
      <c r="H894" s="877"/>
      <c r="I894" s="876"/>
      <c r="J894" s="875"/>
      <c r="K894" s="878"/>
      <c r="L894" s="878"/>
      <c r="M894" s="878"/>
      <c r="N894" s="879"/>
      <c r="O894" s="879"/>
      <c r="P894" s="876"/>
      <c r="Q894" s="880"/>
      <c r="R894" s="881"/>
      <c r="S894" s="881"/>
      <c r="T894" s="881"/>
    </row>
    <row r="895" spans="2:20">
      <c r="B895" s="1075"/>
      <c r="C895" s="785"/>
      <c r="D895" s="786"/>
      <c r="E895" s="787"/>
      <c r="F895" s="787"/>
      <c r="G895" s="788"/>
      <c r="H895" s="797"/>
      <c r="I895" s="788"/>
      <c r="J895" s="787"/>
      <c r="K895" s="790"/>
      <c r="L895" s="790"/>
      <c r="M895" s="790"/>
      <c r="N895" s="791"/>
      <c r="O895" s="791"/>
      <c r="P895" s="788"/>
      <c r="Q895" s="792"/>
      <c r="R895" s="793"/>
      <c r="S895" s="793"/>
      <c r="T895" s="793"/>
    </row>
    <row r="896" spans="2:20">
      <c r="B896" s="1076"/>
      <c r="C896" s="774"/>
      <c r="D896" s="775"/>
      <c r="E896" s="776"/>
      <c r="F896" s="776"/>
      <c r="G896" s="777"/>
      <c r="H896" s="783"/>
      <c r="I896" s="777"/>
      <c r="J896" s="776"/>
      <c r="K896" s="779"/>
      <c r="L896" s="779"/>
      <c r="M896" s="779"/>
      <c r="N896" s="780"/>
      <c r="O896" s="780"/>
      <c r="P896" s="777"/>
      <c r="Q896" s="781"/>
      <c r="R896" s="782"/>
      <c r="S896" s="782"/>
      <c r="T896" s="782"/>
    </row>
    <row r="897" spans="2:20">
      <c r="B897" s="1076"/>
      <c r="C897" s="774"/>
      <c r="D897" s="775"/>
      <c r="E897" s="776"/>
      <c r="F897" s="776"/>
      <c r="G897" s="777"/>
      <c r="H897" s="783"/>
      <c r="I897" s="777"/>
      <c r="J897" s="776"/>
      <c r="K897" s="779"/>
      <c r="L897" s="779"/>
      <c r="M897" s="779"/>
      <c r="N897" s="780"/>
      <c r="O897" s="780"/>
      <c r="P897" s="777"/>
      <c r="Q897" s="781"/>
      <c r="R897" s="782"/>
      <c r="S897" s="782"/>
      <c r="T897" s="782"/>
    </row>
    <row r="898" spans="2:20">
      <c r="B898" s="1076"/>
      <c r="C898" s="774"/>
      <c r="D898" s="775"/>
      <c r="E898" s="776"/>
      <c r="F898" s="776"/>
      <c r="G898" s="777"/>
      <c r="H898" s="783"/>
      <c r="I898" s="777"/>
      <c r="J898" s="776"/>
      <c r="K898" s="779"/>
      <c r="L898" s="779"/>
      <c r="M898" s="779"/>
      <c r="N898" s="780"/>
      <c r="O898" s="780"/>
      <c r="P898" s="777"/>
      <c r="Q898" s="781"/>
      <c r="R898" s="782"/>
      <c r="S898" s="782"/>
      <c r="T898" s="782"/>
    </row>
    <row r="899" spans="2:20">
      <c r="B899" s="1076"/>
      <c r="C899" s="774"/>
      <c r="D899" s="775"/>
      <c r="E899" s="776"/>
      <c r="F899" s="776"/>
      <c r="G899" s="777"/>
      <c r="H899" s="783"/>
      <c r="I899" s="777"/>
      <c r="J899" s="776"/>
      <c r="K899" s="779"/>
      <c r="L899" s="779"/>
      <c r="M899" s="779"/>
      <c r="N899" s="780"/>
      <c r="O899" s="780"/>
      <c r="P899" s="777"/>
      <c r="Q899" s="781"/>
      <c r="R899" s="782"/>
      <c r="S899" s="782"/>
      <c r="T899" s="782"/>
    </row>
    <row r="900" spans="2:20">
      <c r="B900" s="1076"/>
      <c r="C900" s="774"/>
      <c r="D900" s="775"/>
      <c r="E900" s="776"/>
      <c r="F900" s="776"/>
      <c r="G900" s="777"/>
      <c r="H900" s="783"/>
      <c r="I900" s="777"/>
      <c r="J900" s="776"/>
      <c r="K900" s="779"/>
      <c r="L900" s="779"/>
      <c r="M900" s="779"/>
      <c r="N900" s="780"/>
      <c r="O900" s="780"/>
      <c r="P900" s="777"/>
      <c r="Q900" s="781"/>
      <c r="R900" s="782"/>
      <c r="S900" s="782"/>
      <c r="T900" s="782"/>
    </row>
    <row r="901" spans="2:20">
      <c r="B901" s="1076"/>
      <c r="C901" s="774"/>
      <c r="D901" s="775"/>
      <c r="E901" s="776"/>
      <c r="F901" s="776"/>
      <c r="G901" s="777"/>
      <c r="H901" s="783"/>
      <c r="I901" s="777"/>
      <c r="J901" s="776"/>
      <c r="K901" s="779"/>
      <c r="L901" s="779"/>
      <c r="M901" s="779"/>
      <c r="N901" s="780"/>
      <c r="O901" s="780"/>
      <c r="P901" s="777"/>
      <c r="Q901" s="781"/>
      <c r="R901" s="782"/>
      <c r="S901" s="782"/>
      <c r="T901" s="782"/>
    </row>
    <row r="902" spans="2:20">
      <c r="B902" s="1076"/>
      <c r="C902" s="774"/>
      <c r="D902" s="775"/>
      <c r="E902" s="776"/>
      <c r="F902" s="776"/>
      <c r="G902" s="777"/>
      <c r="H902" s="783"/>
      <c r="I902" s="777"/>
      <c r="J902" s="776"/>
      <c r="K902" s="779"/>
      <c r="L902" s="779"/>
      <c r="M902" s="779"/>
      <c r="N902" s="780"/>
      <c r="O902" s="780"/>
      <c r="P902" s="777"/>
      <c r="Q902" s="781"/>
      <c r="R902" s="782"/>
      <c r="S902" s="782"/>
      <c r="T902" s="782"/>
    </row>
    <row r="903" spans="2:20">
      <c r="B903" s="1076"/>
      <c r="C903" s="774"/>
      <c r="D903" s="775"/>
      <c r="E903" s="776"/>
      <c r="F903" s="776"/>
      <c r="G903" s="777"/>
      <c r="H903" s="783"/>
      <c r="I903" s="777"/>
      <c r="J903" s="776"/>
      <c r="K903" s="779"/>
      <c r="L903" s="779"/>
      <c r="M903" s="779"/>
      <c r="N903" s="780"/>
      <c r="O903" s="780"/>
      <c r="P903" s="777"/>
      <c r="Q903" s="781"/>
      <c r="R903" s="782"/>
      <c r="S903" s="782"/>
      <c r="T903" s="782"/>
    </row>
    <row r="904" spans="2:20">
      <c r="B904" s="1077"/>
      <c r="C904" s="873"/>
      <c r="D904" s="874"/>
      <c r="E904" s="875"/>
      <c r="F904" s="875"/>
      <c r="G904" s="876"/>
      <c r="H904" s="877"/>
      <c r="I904" s="876"/>
      <c r="J904" s="875"/>
      <c r="K904" s="878"/>
      <c r="L904" s="878"/>
      <c r="M904" s="878"/>
      <c r="N904" s="879"/>
      <c r="O904" s="879"/>
      <c r="P904" s="876"/>
      <c r="Q904" s="880"/>
      <c r="R904" s="881"/>
      <c r="S904" s="881"/>
      <c r="T904" s="881"/>
    </row>
    <row r="905" spans="2:20">
      <c r="B905" s="1075"/>
      <c r="C905" s="785"/>
      <c r="D905" s="786"/>
      <c r="E905" s="787"/>
      <c r="F905" s="787"/>
      <c r="G905" s="788"/>
      <c r="H905" s="797"/>
      <c r="I905" s="788"/>
      <c r="J905" s="787"/>
      <c r="K905" s="790"/>
      <c r="L905" s="790"/>
      <c r="M905" s="790"/>
      <c r="N905" s="791"/>
      <c r="O905" s="791"/>
      <c r="P905" s="788"/>
      <c r="Q905" s="792"/>
      <c r="R905" s="793"/>
      <c r="S905" s="793"/>
      <c r="T905" s="793"/>
    </row>
    <row r="906" spans="2:20">
      <c r="B906" s="1076"/>
      <c r="C906" s="774"/>
      <c r="D906" s="775"/>
      <c r="E906" s="776"/>
      <c r="F906" s="776"/>
      <c r="G906" s="777"/>
      <c r="H906" s="783"/>
      <c r="I906" s="777"/>
      <c r="J906" s="776"/>
      <c r="K906" s="779"/>
      <c r="L906" s="779"/>
      <c r="M906" s="779"/>
      <c r="N906" s="780"/>
      <c r="O906" s="780"/>
      <c r="P906" s="777"/>
      <c r="Q906" s="781"/>
      <c r="R906" s="782"/>
      <c r="S906" s="782"/>
      <c r="T906" s="782"/>
    </row>
    <row r="907" spans="2:20">
      <c r="B907" s="1076"/>
      <c r="C907" s="774"/>
      <c r="D907" s="775"/>
      <c r="E907" s="776"/>
      <c r="F907" s="776"/>
      <c r="G907" s="777"/>
      <c r="H907" s="783"/>
      <c r="I907" s="777"/>
      <c r="J907" s="776"/>
      <c r="K907" s="779"/>
      <c r="L907" s="779"/>
      <c r="M907" s="779"/>
      <c r="N907" s="780"/>
      <c r="O907" s="780"/>
      <c r="P907" s="777"/>
      <c r="Q907" s="781"/>
      <c r="R907" s="782"/>
      <c r="S907" s="782"/>
      <c r="T907" s="782"/>
    </row>
    <row r="908" spans="2:20">
      <c r="B908" s="1076"/>
      <c r="C908" s="774"/>
      <c r="D908" s="775"/>
      <c r="E908" s="776"/>
      <c r="F908" s="776"/>
      <c r="G908" s="777"/>
      <c r="H908" s="783"/>
      <c r="I908" s="777"/>
      <c r="J908" s="776"/>
      <c r="K908" s="779"/>
      <c r="L908" s="779"/>
      <c r="M908" s="779"/>
      <c r="N908" s="780"/>
      <c r="O908" s="780"/>
      <c r="P908" s="777"/>
      <c r="Q908" s="781"/>
      <c r="R908" s="782"/>
      <c r="S908" s="782"/>
      <c r="T908" s="782"/>
    </row>
    <row r="909" spans="2:20">
      <c r="B909" s="1076"/>
      <c r="C909" s="774"/>
      <c r="D909" s="775"/>
      <c r="E909" s="776"/>
      <c r="F909" s="776"/>
      <c r="G909" s="777"/>
      <c r="H909" s="783"/>
      <c r="I909" s="777"/>
      <c r="J909" s="776"/>
      <c r="K909" s="779"/>
      <c r="L909" s="779"/>
      <c r="M909" s="779"/>
      <c r="N909" s="780"/>
      <c r="O909" s="780"/>
      <c r="P909" s="777"/>
      <c r="Q909" s="781"/>
      <c r="R909" s="782"/>
      <c r="S909" s="782"/>
      <c r="T909" s="782"/>
    </row>
    <row r="910" spans="2:20">
      <c r="B910" s="1076"/>
      <c r="C910" s="774"/>
      <c r="D910" s="775"/>
      <c r="E910" s="776"/>
      <c r="F910" s="776"/>
      <c r="G910" s="777"/>
      <c r="H910" s="783"/>
      <c r="I910" s="777"/>
      <c r="J910" s="776"/>
      <c r="K910" s="779"/>
      <c r="L910" s="779"/>
      <c r="M910" s="779"/>
      <c r="N910" s="780"/>
      <c r="O910" s="780"/>
      <c r="P910" s="777"/>
      <c r="Q910" s="781"/>
      <c r="R910" s="782"/>
      <c r="S910" s="782"/>
      <c r="T910" s="782"/>
    </row>
    <row r="911" spans="2:20">
      <c r="B911" s="1076"/>
      <c r="C911" s="774"/>
      <c r="D911" s="775"/>
      <c r="E911" s="776"/>
      <c r="F911" s="776"/>
      <c r="G911" s="777"/>
      <c r="H911" s="783"/>
      <c r="I911" s="777"/>
      <c r="J911" s="776"/>
      <c r="K911" s="779"/>
      <c r="L911" s="779"/>
      <c r="M911" s="779"/>
      <c r="N911" s="780"/>
      <c r="O911" s="780"/>
      <c r="P911" s="777"/>
      <c r="Q911" s="781"/>
      <c r="R911" s="782"/>
      <c r="S911" s="782"/>
      <c r="T911" s="782"/>
    </row>
    <row r="912" spans="2:20">
      <c r="B912" s="1076"/>
      <c r="C912" s="774"/>
      <c r="D912" s="775"/>
      <c r="E912" s="776"/>
      <c r="F912" s="776"/>
      <c r="G912" s="777"/>
      <c r="H912" s="783"/>
      <c r="I912" s="777"/>
      <c r="J912" s="776"/>
      <c r="K912" s="779"/>
      <c r="L912" s="779"/>
      <c r="M912" s="779"/>
      <c r="N912" s="780"/>
      <c r="O912" s="780"/>
      <c r="P912" s="777"/>
      <c r="Q912" s="781"/>
      <c r="R912" s="782"/>
      <c r="S912" s="782"/>
      <c r="T912" s="782"/>
    </row>
    <row r="913" spans="2:20">
      <c r="B913" s="1076"/>
      <c r="C913" s="774"/>
      <c r="D913" s="775"/>
      <c r="E913" s="776"/>
      <c r="F913" s="776"/>
      <c r="G913" s="777"/>
      <c r="H913" s="783"/>
      <c r="I913" s="777"/>
      <c r="J913" s="776"/>
      <c r="K913" s="779"/>
      <c r="L913" s="779"/>
      <c r="M913" s="779"/>
      <c r="N913" s="780"/>
      <c r="O913" s="780"/>
      <c r="P913" s="777"/>
      <c r="Q913" s="781"/>
      <c r="R913" s="782"/>
      <c r="S913" s="782"/>
      <c r="T913" s="782"/>
    </row>
    <row r="914" spans="2:20">
      <c r="B914" s="1077"/>
      <c r="C914" s="873"/>
      <c r="D914" s="874"/>
      <c r="E914" s="875"/>
      <c r="F914" s="875"/>
      <c r="G914" s="876"/>
      <c r="H914" s="877"/>
      <c r="I914" s="876"/>
      <c r="J914" s="875"/>
      <c r="K914" s="878"/>
      <c r="L914" s="878"/>
      <c r="M914" s="878"/>
      <c r="N914" s="879"/>
      <c r="O914" s="879"/>
      <c r="P914" s="876"/>
      <c r="Q914" s="880"/>
      <c r="R914" s="881"/>
      <c r="S914" s="881"/>
      <c r="T914" s="881"/>
    </row>
    <row r="915" spans="2:20">
      <c r="B915" s="1075"/>
      <c r="C915" s="785"/>
      <c r="D915" s="786"/>
      <c r="E915" s="787"/>
      <c r="F915" s="787"/>
      <c r="G915" s="788"/>
      <c r="H915" s="797"/>
      <c r="I915" s="788"/>
      <c r="J915" s="787"/>
      <c r="K915" s="790"/>
      <c r="L915" s="790"/>
      <c r="M915" s="790"/>
      <c r="N915" s="791"/>
      <c r="O915" s="791"/>
      <c r="P915" s="788"/>
      <c r="Q915" s="792"/>
      <c r="R915" s="793"/>
      <c r="S915" s="793"/>
      <c r="T915" s="793"/>
    </row>
    <row r="916" spans="2:20">
      <c r="B916" s="1076"/>
      <c r="C916" s="774"/>
      <c r="D916" s="775"/>
      <c r="E916" s="776"/>
      <c r="F916" s="776"/>
      <c r="G916" s="777"/>
      <c r="H916" s="783"/>
      <c r="I916" s="777"/>
      <c r="J916" s="776"/>
      <c r="K916" s="779"/>
      <c r="L916" s="779"/>
      <c r="M916" s="779"/>
      <c r="N916" s="780"/>
      <c r="O916" s="780"/>
      <c r="P916" s="777"/>
      <c r="Q916" s="781"/>
      <c r="R916" s="782"/>
      <c r="S916" s="782"/>
      <c r="T916" s="782"/>
    </row>
    <row r="917" spans="2:20">
      <c r="B917" s="1076"/>
      <c r="C917" s="774"/>
      <c r="D917" s="775"/>
      <c r="E917" s="776"/>
      <c r="F917" s="776"/>
      <c r="G917" s="777"/>
      <c r="H917" s="783"/>
      <c r="I917" s="777"/>
      <c r="J917" s="776"/>
      <c r="K917" s="779"/>
      <c r="L917" s="779"/>
      <c r="M917" s="779"/>
      <c r="N917" s="780"/>
      <c r="O917" s="780"/>
      <c r="P917" s="777"/>
      <c r="Q917" s="781"/>
      <c r="R917" s="782"/>
      <c r="S917" s="782"/>
      <c r="T917" s="782"/>
    </row>
    <row r="918" spans="2:20">
      <c r="B918" s="1076"/>
      <c r="C918" s="774"/>
      <c r="D918" s="775"/>
      <c r="E918" s="776"/>
      <c r="F918" s="776"/>
      <c r="G918" s="777"/>
      <c r="H918" s="783"/>
      <c r="I918" s="777"/>
      <c r="J918" s="776"/>
      <c r="K918" s="779"/>
      <c r="L918" s="779"/>
      <c r="M918" s="779"/>
      <c r="N918" s="780"/>
      <c r="O918" s="780"/>
      <c r="P918" s="777"/>
      <c r="Q918" s="781"/>
      <c r="R918" s="782"/>
      <c r="S918" s="782"/>
      <c r="T918" s="782"/>
    </row>
    <row r="919" spans="2:20">
      <c r="B919" s="1076"/>
      <c r="C919" s="774"/>
      <c r="D919" s="775"/>
      <c r="E919" s="776"/>
      <c r="F919" s="776"/>
      <c r="G919" s="777"/>
      <c r="H919" s="783"/>
      <c r="I919" s="777"/>
      <c r="J919" s="776"/>
      <c r="K919" s="779"/>
      <c r="L919" s="779"/>
      <c r="M919" s="779"/>
      <c r="N919" s="780"/>
      <c r="O919" s="780"/>
      <c r="P919" s="777"/>
      <c r="Q919" s="781"/>
      <c r="R919" s="782"/>
      <c r="S919" s="782"/>
      <c r="T919" s="782"/>
    </row>
    <row r="920" spans="2:20">
      <c r="B920" s="1076"/>
      <c r="C920" s="774"/>
      <c r="D920" s="775"/>
      <c r="E920" s="776"/>
      <c r="F920" s="776"/>
      <c r="G920" s="777"/>
      <c r="H920" s="783"/>
      <c r="I920" s="777"/>
      <c r="J920" s="776"/>
      <c r="K920" s="779"/>
      <c r="L920" s="779"/>
      <c r="M920" s="779"/>
      <c r="N920" s="780"/>
      <c r="O920" s="780"/>
      <c r="P920" s="777"/>
      <c r="Q920" s="781"/>
      <c r="R920" s="782"/>
      <c r="S920" s="782"/>
      <c r="T920" s="782"/>
    </row>
    <row r="921" spans="2:20">
      <c r="B921" s="1076"/>
      <c r="C921" s="774"/>
      <c r="D921" s="775"/>
      <c r="E921" s="776"/>
      <c r="F921" s="776"/>
      <c r="G921" s="777"/>
      <c r="H921" s="783"/>
      <c r="I921" s="777"/>
      <c r="J921" s="776"/>
      <c r="K921" s="779"/>
      <c r="L921" s="779"/>
      <c r="M921" s="779"/>
      <c r="N921" s="780"/>
      <c r="O921" s="780"/>
      <c r="P921" s="777"/>
      <c r="Q921" s="781"/>
      <c r="R921" s="782"/>
      <c r="S921" s="782"/>
      <c r="T921" s="782"/>
    </row>
    <row r="922" spans="2:20">
      <c r="B922" s="1076"/>
      <c r="C922" s="774"/>
      <c r="D922" s="775"/>
      <c r="E922" s="776"/>
      <c r="F922" s="776"/>
      <c r="G922" s="777"/>
      <c r="H922" s="783"/>
      <c r="I922" s="777"/>
      <c r="J922" s="776"/>
      <c r="K922" s="779"/>
      <c r="L922" s="779"/>
      <c r="M922" s="779"/>
      <c r="N922" s="780"/>
      <c r="O922" s="780"/>
      <c r="P922" s="777"/>
      <c r="Q922" s="781"/>
      <c r="R922" s="782"/>
      <c r="S922" s="782"/>
      <c r="T922" s="782"/>
    </row>
    <row r="923" spans="2:20">
      <c r="B923" s="1076"/>
      <c r="C923" s="774"/>
      <c r="D923" s="775"/>
      <c r="E923" s="776"/>
      <c r="F923" s="776"/>
      <c r="G923" s="777"/>
      <c r="H923" s="783"/>
      <c r="I923" s="777"/>
      <c r="J923" s="776"/>
      <c r="K923" s="779"/>
      <c r="L923" s="779"/>
      <c r="M923" s="779"/>
      <c r="N923" s="780"/>
      <c r="O923" s="780"/>
      <c r="P923" s="777"/>
      <c r="Q923" s="781"/>
      <c r="R923" s="782"/>
      <c r="S923" s="782"/>
      <c r="T923" s="782"/>
    </row>
    <row r="924" spans="2:20">
      <c r="B924" s="1077"/>
      <c r="C924" s="873"/>
      <c r="D924" s="874"/>
      <c r="E924" s="875"/>
      <c r="F924" s="875"/>
      <c r="G924" s="876"/>
      <c r="H924" s="877"/>
      <c r="I924" s="876"/>
      <c r="J924" s="875"/>
      <c r="K924" s="878"/>
      <c r="L924" s="878"/>
      <c r="M924" s="878"/>
      <c r="N924" s="879"/>
      <c r="O924" s="879"/>
      <c r="P924" s="876"/>
      <c r="Q924" s="880"/>
      <c r="R924" s="881"/>
      <c r="S924" s="881"/>
      <c r="T924" s="881"/>
    </row>
    <row r="925" spans="2:20">
      <c r="B925" s="1076"/>
      <c r="C925" s="774"/>
      <c r="D925" s="775"/>
      <c r="E925" s="776"/>
      <c r="F925" s="776"/>
      <c r="G925" s="777"/>
      <c r="H925" s="783"/>
      <c r="I925" s="777"/>
      <c r="J925" s="776"/>
      <c r="K925" s="779"/>
      <c r="L925" s="779"/>
      <c r="M925" s="779"/>
      <c r="N925" s="780"/>
      <c r="O925" s="780"/>
      <c r="P925" s="777"/>
      <c r="Q925" s="781"/>
      <c r="R925" s="782"/>
      <c r="S925" s="782"/>
      <c r="T925" s="782"/>
    </row>
    <row r="926" spans="2:20">
      <c r="B926" s="1076"/>
      <c r="C926" s="774"/>
      <c r="D926" s="775"/>
      <c r="E926" s="776"/>
      <c r="F926" s="776"/>
      <c r="G926" s="777"/>
      <c r="H926" s="783"/>
      <c r="I926" s="777"/>
      <c r="J926" s="776"/>
      <c r="K926" s="779"/>
      <c r="L926" s="779"/>
      <c r="M926" s="779"/>
      <c r="N926" s="780"/>
      <c r="O926" s="780"/>
      <c r="P926" s="777"/>
      <c r="Q926" s="781"/>
      <c r="R926" s="782"/>
      <c r="S926" s="782"/>
      <c r="T926" s="782"/>
    </row>
    <row r="927" spans="2:20">
      <c r="B927" s="1076"/>
      <c r="C927" s="774"/>
      <c r="D927" s="775"/>
      <c r="E927" s="776"/>
      <c r="F927" s="776"/>
      <c r="G927" s="777"/>
      <c r="H927" s="783"/>
      <c r="I927" s="777"/>
      <c r="J927" s="776"/>
      <c r="K927" s="779"/>
      <c r="L927" s="779"/>
      <c r="M927" s="779"/>
      <c r="N927" s="780"/>
      <c r="O927" s="780"/>
      <c r="P927" s="777"/>
      <c r="Q927" s="781"/>
      <c r="R927" s="782"/>
      <c r="S927" s="782"/>
      <c r="T927" s="782"/>
    </row>
    <row r="928" spans="2:20">
      <c r="B928" s="1076"/>
      <c r="C928" s="774"/>
      <c r="D928" s="775"/>
      <c r="E928" s="776"/>
      <c r="F928" s="776"/>
      <c r="G928" s="777"/>
      <c r="H928" s="783"/>
      <c r="I928" s="777"/>
      <c r="J928" s="776"/>
      <c r="K928" s="779"/>
      <c r="L928" s="779"/>
      <c r="M928" s="779"/>
      <c r="N928" s="780"/>
      <c r="O928" s="780"/>
      <c r="P928" s="777"/>
      <c r="Q928" s="781"/>
      <c r="R928" s="782"/>
      <c r="S928" s="782"/>
      <c r="T928" s="782"/>
    </row>
    <row r="929" spans="2:20">
      <c r="B929" s="1076"/>
      <c r="C929" s="774"/>
      <c r="D929" s="775"/>
      <c r="E929" s="776"/>
      <c r="F929" s="776"/>
      <c r="G929" s="777"/>
      <c r="H929" s="783"/>
      <c r="I929" s="777"/>
      <c r="J929" s="776"/>
      <c r="K929" s="779"/>
      <c r="L929" s="779"/>
      <c r="M929" s="779"/>
      <c r="N929" s="780"/>
      <c r="O929" s="780"/>
      <c r="P929" s="777"/>
      <c r="Q929" s="781"/>
      <c r="R929" s="782"/>
      <c r="S929" s="782"/>
      <c r="T929" s="782"/>
    </row>
    <row r="930" spans="2:20">
      <c r="B930" s="1076"/>
      <c r="C930" s="774"/>
      <c r="D930" s="775"/>
      <c r="E930" s="776"/>
      <c r="F930" s="776"/>
      <c r="G930" s="777"/>
      <c r="H930" s="783"/>
      <c r="I930" s="777"/>
      <c r="J930" s="776"/>
      <c r="K930" s="779"/>
      <c r="L930" s="779"/>
      <c r="M930" s="779"/>
      <c r="N930" s="780"/>
      <c r="O930" s="780"/>
      <c r="P930" s="777"/>
      <c r="Q930" s="781"/>
      <c r="R930" s="782"/>
      <c r="S930" s="782"/>
      <c r="T930" s="782"/>
    </row>
    <row r="931" spans="2:20">
      <c r="B931" s="1076"/>
      <c r="C931" s="774"/>
      <c r="D931" s="775"/>
      <c r="E931" s="776"/>
      <c r="F931" s="776"/>
      <c r="G931" s="777"/>
      <c r="H931" s="783"/>
      <c r="I931" s="777"/>
      <c r="J931" s="776"/>
      <c r="K931" s="779"/>
      <c r="L931" s="779"/>
      <c r="M931" s="779"/>
      <c r="N931" s="780"/>
      <c r="O931" s="780"/>
      <c r="P931" s="777"/>
      <c r="Q931" s="781"/>
      <c r="R931" s="782"/>
      <c r="S931" s="782"/>
      <c r="T931" s="782"/>
    </row>
    <row r="932" spans="2:20">
      <c r="B932" s="1076"/>
      <c r="C932" s="774"/>
      <c r="D932" s="775"/>
      <c r="E932" s="776"/>
      <c r="F932" s="776"/>
      <c r="G932" s="777"/>
      <c r="H932" s="783"/>
      <c r="I932" s="777"/>
      <c r="J932" s="776"/>
      <c r="K932" s="779"/>
      <c r="L932" s="779"/>
      <c r="M932" s="779"/>
      <c r="N932" s="780"/>
      <c r="O932" s="780"/>
      <c r="P932" s="777"/>
      <c r="Q932" s="781"/>
      <c r="R932" s="782"/>
      <c r="S932" s="782"/>
      <c r="T932" s="782"/>
    </row>
    <row r="933" spans="2:20">
      <c r="B933" s="1076"/>
      <c r="C933" s="774"/>
      <c r="D933" s="775"/>
      <c r="E933" s="776"/>
      <c r="F933" s="776"/>
      <c r="G933" s="777"/>
      <c r="H933" s="783"/>
      <c r="I933" s="777"/>
      <c r="J933" s="776"/>
      <c r="K933" s="779"/>
      <c r="L933" s="779"/>
      <c r="M933" s="779"/>
      <c r="N933" s="780"/>
      <c r="O933" s="780"/>
      <c r="P933" s="777"/>
      <c r="Q933" s="781"/>
      <c r="R933" s="782"/>
      <c r="S933" s="782"/>
      <c r="T933" s="782"/>
    </row>
    <row r="934" spans="2:20">
      <c r="B934" s="1076"/>
      <c r="C934" s="774"/>
      <c r="D934" s="775"/>
      <c r="E934" s="776"/>
      <c r="F934" s="776"/>
      <c r="G934" s="777"/>
      <c r="H934" s="783"/>
      <c r="I934" s="777"/>
      <c r="J934" s="776"/>
      <c r="K934" s="779"/>
      <c r="L934" s="779"/>
      <c r="M934" s="779"/>
      <c r="N934" s="780"/>
      <c r="O934" s="780"/>
      <c r="P934" s="777"/>
      <c r="Q934" s="781"/>
      <c r="R934" s="782"/>
      <c r="S934" s="782"/>
      <c r="T934" s="782"/>
    </row>
    <row r="935" spans="2:20">
      <c r="B935" s="1078"/>
      <c r="C935" s="1079"/>
      <c r="D935" s="1080" t="s">
        <v>6087</v>
      </c>
      <c r="E935" s="1078"/>
      <c r="F935" s="1078"/>
      <c r="G935" s="1078"/>
      <c r="H935" s="1081"/>
      <c r="I935" s="1078"/>
      <c r="J935" s="1078"/>
      <c r="K935" s="864"/>
      <c r="L935" s="865"/>
      <c r="M935" s="865"/>
      <c r="N935" s="866"/>
      <c r="O935" s="867"/>
      <c r="P935" s="868"/>
      <c r="Q935" s="869"/>
      <c r="R935" s="870"/>
      <c r="S935" s="870"/>
      <c r="T935" s="870"/>
    </row>
    <row r="936" spans="2:20">
      <c r="B936" s="1075"/>
      <c r="C936" s="785"/>
      <c r="D936" s="786"/>
      <c r="E936" s="787"/>
      <c r="F936" s="787"/>
      <c r="G936" s="788"/>
      <c r="H936" s="797"/>
      <c r="I936" s="788"/>
      <c r="J936" s="787"/>
      <c r="K936" s="790"/>
      <c r="L936" s="790"/>
      <c r="M936" s="790"/>
      <c r="N936" s="791"/>
      <c r="O936" s="791"/>
      <c r="P936" s="788"/>
      <c r="Q936" s="792"/>
      <c r="R936" s="793"/>
      <c r="S936" s="793"/>
      <c r="T936" s="793"/>
    </row>
    <row r="937" spans="2:20">
      <c r="B937" s="1076"/>
      <c r="C937" s="774"/>
      <c r="D937" s="775"/>
      <c r="E937" s="776"/>
      <c r="F937" s="776"/>
      <c r="G937" s="777"/>
      <c r="H937" s="783"/>
      <c r="I937" s="777"/>
      <c r="J937" s="776"/>
      <c r="K937" s="779"/>
      <c r="L937" s="779"/>
      <c r="M937" s="779"/>
      <c r="N937" s="780"/>
      <c r="O937" s="780"/>
      <c r="P937" s="777"/>
      <c r="Q937" s="781"/>
      <c r="R937" s="782"/>
      <c r="S937" s="782"/>
      <c r="T937" s="782"/>
    </row>
    <row r="938" spans="2:20">
      <c r="B938" s="1076"/>
      <c r="C938" s="774"/>
      <c r="D938" s="775"/>
      <c r="E938" s="776"/>
      <c r="F938" s="776"/>
      <c r="G938" s="777"/>
      <c r="H938" s="783"/>
      <c r="I938" s="777"/>
      <c r="J938" s="776"/>
      <c r="K938" s="779"/>
      <c r="L938" s="779"/>
      <c r="M938" s="779"/>
      <c r="N938" s="780"/>
      <c r="O938" s="780"/>
      <c r="P938" s="777"/>
      <c r="Q938" s="781"/>
      <c r="R938" s="782"/>
      <c r="S938" s="782"/>
      <c r="T938" s="782"/>
    </row>
    <row r="939" spans="2:20">
      <c r="B939" s="1076"/>
      <c r="C939" s="774"/>
      <c r="D939" s="775"/>
      <c r="E939" s="776"/>
      <c r="F939" s="776"/>
      <c r="G939" s="777"/>
      <c r="H939" s="783"/>
      <c r="I939" s="777"/>
      <c r="J939" s="776"/>
      <c r="K939" s="779"/>
      <c r="L939" s="779"/>
      <c r="M939" s="779"/>
      <c r="N939" s="780"/>
      <c r="O939" s="780"/>
      <c r="P939" s="777"/>
      <c r="Q939" s="781"/>
      <c r="R939" s="782"/>
      <c r="S939" s="782"/>
      <c r="T939" s="782"/>
    </row>
    <row r="940" spans="2:20">
      <c r="B940" s="1076"/>
      <c r="C940" s="774"/>
      <c r="D940" s="775"/>
      <c r="E940" s="776"/>
      <c r="F940" s="776"/>
      <c r="G940" s="777"/>
      <c r="H940" s="783"/>
      <c r="I940" s="777"/>
      <c r="J940" s="776"/>
      <c r="K940" s="779"/>
      <c r="L940" s="779"/>
      <c r="M940" s="779"/>
      <c r="N940" s="780"/>
      <c r="O940" s="780"/>
      <c r="P940" s="777"/>
      <c r="Q940" s="781"/>
      <c r="R940" s="782"/>
      <c r="S940" s="782"/>
      <c r="T940" s="782"/>
    </row>
    <row r="941" spans="2:20">
      <c r="B941" s="1076"/>
      <c r="C941" s="774"/>
      <c r="D941" s="775"/>
      <c r="E941" s="776"/>
      <c r="F941" s="776"/>
      <c r="G941" s="777"/>
      <c r="H941" s="783"/>
      <c r="I941" s="777"/>
      <c r="J941" s="776"/>
      <c r="K941" s="779"/>
      <c r="L941" s="779"/>
      <c r="M941" s="779"/>
      <c r="N941" s="780"/>
      <c r="O941" s="780"/>
      <c r="P941" s="777"/>
      <c r="Q941" s="781"/>
      <c r="R941" s="782"/>
      <c r="S941" s="782"/>
      <c r="T941" s="782"/>
    </row>
    <row r="942" spans="2:20">
      <c r="B942" s="1076"/>
      <c r="C942" s="774"/>
      <c r="D942" s="775"/>
      <c r="E942" s="776"/>
      <c r="F942" s="776"/>
      <c r="G942" s="777"/>
      <c r="H942" s="783"/>
      <c r="I942" s="777"/>
      <c r="J942" s="776"/>
      <c r="K942" s="779"/>
      <c r="L942" s="779"/>
      <c r="M942" s="779"/>
      <c r="N942" s="780"/>
      <c r="O942" s="780"/>
      <c r="P942" s="777"/>
      <c r="Q942" s="781"/>
      <c r="R942" s="782"/>
      <c r="S942" s="782"/>
      <c r="T942" s="782"/>
    </row>
    <row r="943" spans="2:20">
      <c r="B943" s="1076"/>
      <c r="C943" s="774"/>
      <c r="D943" s="775"/>
      <c r="E943" s="776"/>
      <c r="F943" s="776"/>
      <c r="G943" s="777"/>
      <c r="H943" s="783"/>
      <c r="I943" s="777"/>
      <c r="J943" s="776"/>
      <c r="K943" s="779"/>
      <c r="L943" s="779"/>
      <c r="M943" s="779"/>
      <c r="N943" s="780"/>
      <c r="O943" s="780"/>
      <c r="P943" s="777"/>
      <c r="Q943" s="781"/>
      <c r="R943" s="782"/>
      <c r="S943" s="782"/>
      <c r="T943" s="782"/>
    </row>
    <row r="944" spans="2:20">
      <c r="B944" s="1076"/>
      <c r="C944" s="774"/>
      <c r="D944" s="775"/>
      <c r="E944" s="776"/>
      <c r="F944" s="776"/>
      <c r="G944" s="777"/>
      <c r="H944" s="783"/>
      <c r="I944" s="777"/>
      <c r="J944" s="776"/>
      <c r="K944" s="779"/>
      <c r="L944" s="779"/>
      <c r="M944" s="779"/>
      <c r="N944" s="780"/>
      <c r="O944" s="780"/>
      <c r="P944" s="777"/>
      <c r="Q944" s="781"/>
      <c r="R944" s="782"/>
      <c r="S944" s="782"/>
      <c r="T944" s="782"/>
    </row>
    <row r="945" spans="2:20">
      <c r="B945" s="1077"/>
      <c r="C945" s="873"/>
      <c r="D945" s="874"/>
      <c r="E945" s="875"/>
      <c r="F945" s="875"/>
      <c r="G945" s="876"/>
      <c r="H945" s="877"/>
      <c r="I945" s="876"/>
      <c r="J945" s="875"/>
      <c r="K945" s="878"/>
      <c r="L945" s="878"/>
      <c r="M945" s="878"/>
      <c r="N945" s="879"/>
      <c r="O945" s="879"/>
      <c r="P945" s="876"/>
      <c r="Q945" s="880"/>
      <c r="R945" s="881"/>
      <c r="S945" s="881"/>
      <c r="T945" s="881"/>
    </row>
    <row r="946" spans="2:20">
      <c r="B946" s="1075"/>
      <c r="C946" s="785"/>
      <c r="D946" s="786"/>
      <c r="E946" s="787"/>
      <c r="F946" s="787"/>
      <c r="G946" s="788"/>
      <c r="H946" s="797"/>
      <c r="I946" s="788"/>
      <c r="J946" s="787"/>
      <c r="K946" s="790"/>
      <c r="L946" s="790"/>
      <c r="M946" s="790"/>
      <c r="N946" s="791"/>
      <c r="O946" s="791"/>
      <c r="P946" s="788"/>
      <c r="Q946" s="792"/>
      <c r="R946" s="793"/>
      <c r="S946" s="793"/>
      <c r="T946" s="793"/>
    </row>
    <row r="947" spans="2:20">
      <c r="B947" s="1076"/>
      <c r="C947" s="774"/>
      <c r="D947" s="775"/>
      <c r="E947" s="776"/>
      <c r="F947" s="776"/>
      <c r="G947" s="777"/>
      <c r="H947" s="783"/>
      <c r="I947" s="777"/>
      <c r="J947" s="776"/>
      <c r="K947" s="779"/>
      <c r="L947" s="779"/>
      <c r="M947" s="779"/>
      <c r="N947" s="780"/>
      <c r="O947" s="780"/>
      <c r="P947" s="777"/>
      <c r="Q947" s="781"/>
      <c r="R947" s="782"/>
      <c r="S947" s="782"/>
      <c r="T947" s="782"/>
    </row>
    <row r="948" spans="2:20">
      <c r="B948" s="1076"/>
      <c r="C948" s="774"/>
      <c r="D948" s="775"/>
      <c r="E948" s="776"/>
      <c r="F948" s="776"/>
      <c r="G948" s="777"/>
      <c r="H948" s="783"/>
      <c r="I948" s="777"/>
      <c r="J948" s="776"/>
      <c r="K948" s="779"/>
      <c r="L948" s="779"/>
      <c r="M948" s="779"/>
      <c r="N948" s="780"/>
      <c r="O948" s="780"/>
      <c r="P948" s="777"/>
      <c r="Q948" s="781"/>
      <c r="R948" s="782"/>
      <c r="S948" s="782"/>
      <c r="T948" s="782"/>
    </row>
    <row r="949" spans="2:20">
      <c r="B949" s="1076"/>
      <c r="C949" s="774"/>
      <c r="D949" s="775"/>
      <c r="E949" s="776"/>
      <c r="F949" s="776"/>
      <c r="G949" s="777"/>
      <c r="H949" s="783"/>
      <c r="I949" s="777"/>
      <c r="J949" s="776"/>
      <c r="K949" s="779"/>
      <c r="L949" s="779"/>
      <c r="M949" s="779"/>
      <c r="N949" s="780"/>
      <c r="O949" s="780"/>
      <c r="P949" s="777"/>
      <c r="Q949" s="781"/>
      <c r="R949" s="782"/>
      <c r="S949" s="782"/>
      <c r="T949" s="782"/>
    </row>
    <row r="950" spans="2:20">
      <c r="B950" s="1076"/>
      <c r="C950" s="774"/>
      <c r="D950" s="775"/>
      <c r="E950" s="776"/>
      <c r="F950" s="776"/>
      <c r="G950" s="777"/>
      <c r="H950" s="783"/>
      <c r="I950" s="777"/>
      <c r="J950" s="776"/>
      <c r="K950" s="779"/>
      <c r="L950" s="779"/>
      <c r="M950" s="779"/>
      <c r="N950" s="780"/>
      <c r="O950" s="780"/>
      <c r="P950" s="777"/>
      <c r="Q950" s="781"/>
      <c r="R950" s="782"/>
      <c r="S950" s="782"/>
      <c r="T950" s="782"/>
    </row>
    <row r="951" spans="2:20">
      <c r="B951" s="1076"/>
      <c r="C951" s="774"/>
      <c r="D951" s="775"/>
      <c r="E951" s="776"/>
      <c r="F951" s="776"/>
      <c r="G951" s="777"/>
      <c r="H951" s="783"/>
      <c r="I951" s="777"/>
      <c r="J951" s="776"/>
      <c r="K951" s="779"/>
      <c r="L951" s="779"/>
      <c r="M951" s="779"/>
      <c r="N951" s="780"/>
      <c r="O951" s="780"/>
      <c r="P951" s="777"/>
      <c r="Q951" s="781"/>
      <c r="R951" s="782"/>
      <c r="S951" s="782"/>
      <c r="T951" s="782"/>
    </row>
    <row r="952" spans="2:20">
      <c r="B952" s="1076"/>
      <c r="C952" s="774"/>
      <c r="D952" s="775"/>
      <c r="E952" s="776"/>
      <c r="F952" s="776"/>
      <c r="G952" s="777"/>
      <c r="H952" s="783"/>
      <c r="I952" s="777"/>
      <c r="J952" s="776"/>
      <c r="K952" s="779"/>
      <c r="L952" s="779"/>
      <c r="M952" s="779"/>
      <c r="N952" s="780"/>
      <c r="O952" s="780"/>
      <c r="P952" s="777"/>
      <c r="Q952" s="781"/>
      <c r="R952" s="782"/>
      <c r="S952" s="782"/>
      <c r="T952" s="782"/>
    </row>
    <row r="953" spans="2:20">
      <c r="B953" s="1076"/>
      <c r="C953" s="774"/>
      <c r="D953" s="775"/>
      <c r="E953" s="776"/>
      <c r="F953" s="776"/>
      <c r="G953" s="777"/>
      <c r="H953" s="783"/>
      <c r="I953" s="777"/>
      <c r="J953" s="776"/>
      <c r="K953" s="779"/>
      <c r="L953" s="779"/>
      <c r="M953" s="779"/>
      <c r="N953" s="780"/>
      <c r="O953" s="780"/>
      <c r="P953" s="777"/>
      <c r="Q953" s="781"/>
      <c r="R953" s="782"/>
      <c r="S953" s="782"/>
      <c r="T953" s="782"/>
    </row>
    <row r="954" spans="2:20">
      <c r="B954" s="1076"/>
      <c r="C954" s="774"/>
      <c r="D954" s="775"/>
      <c r="E954" s="776"/>
      <c r="F954" s="776"/>
      <c r="G954" s="777"/>
      <c r="H954" s="783"/>
      <c r="I954" s="777"/>
      <c r="J954" s="776"/>
      <c r="K954" s="779"/>
      <c r="L954" s="779"/>
      <c r="M954" s="779"/>
      <c r="N954" s="780"/>
      <c r="O954" s="780"/>
      <c r="P954" s="777"/>
      <c r="Q954" s="781"/>
      <c r="R954" s="782"/>
      <c r="S954" s="782"/>
      <c r="T954" s="782"/>
    </row>
    <row r="955" spans="2:20">
      <c r="B955" s="1077"/>
      <c r="C955" s="873"/>
      <c r="D955" s="874"/>
      <c r="E955" s="875"/>
      <c r="F955" s="875"/>
      <c r="G955" s="876"/>
      <c r="H955" s="877"/>
      <c r="I955" s="876"/>
      <c r="J955" s="875"/>
      <c r="K955" s="878"/>
      <c r="L955" s="878"/>
      <c r="M955" s="878"/>
      <c r="N955" s="879"/>
      <c r="O955" s="879"/>
      <c r="P955" s="876"/>
      <c r="Q955" s="880"/>
      <c r="R955" s="881"/>
      <c r="S955" s="881"/>
      <c r="T955" s="881"/>
    </row>
    <row r="956" spans="2:20">
      <c r="B956" s="1075"/>
      <c r="C956" s="785"/>
      <c r="D956" s="786"/>
      <c r="E956" s="787"/>
      <c r="F956" s="787"/>
      <c r="G956" s="788"/>
      <c r="H956" s="797"/>
      <c r="I956" s="788"/>
      <c r="J956" s="787"/>
      <c r="K956" s="790"/>
      <c r="L956" s="790"/>
      <c r="M956" s="790"/>
      <c r="N956" s="791"/>
      <c r="O956" s="791"/>
      <c r="P956" s="788"/>
      <c r="Q956" s="792"/>
      <c r="R956" s="793"/>
      <c r="S956" s="793"/>
      <c r="T956" s="793"/>
    </row>
    <row r="957" spans="2:20">
      <c r="B957" s="1076"/>
      <c r="C957" s="774"/>
      <c r="D957" s="775"/>
      <c r="E957" s="776"/>
      <c r="F957" s="776"/>
      <c r="G957" s="777"/>
      <c r="H957" s="783"/>
      <c r="I957" s="777"/>
      <c r="J957" s="776"/>
      <c r="K957" s="779"/>
      <c r="L957" s="779"/>
      <c r="M957" s="779"/>
      <c r="N957" s="780"/>
      <c r="O957" s="780"/>
      <c r="P957" s="777"/>
      <c r="Q957" s="781"/>
      <c r="R957" s="782"/>
      <c r="S957" s="782"/>
      <c r="T957" s="782"/>
    </row>
    <row r="958" spans="2:20">
      <c r="B958" s="1076"/>
      <c r="C958" s="774"/>
      <c r="D958" s="775"/>
      <c r="E958" s="776"/>
      <c r="F958" s="776"/>
      <c r="G958" s="777"/>
      <c r="H958" s="783"/>
      <c r="I958" s="777"/>
      <c r="J958" s="776"/>
      <c r="K958" s="779"/>
      <c r="L958" s="779"/>
      <c r="M958" s="779"/>
      <c r="N958" s="780"/>
      <c r="O958" s="780"/>
      <c r="P958" s="777"/>
      <c r="Q958" s="781"/>
      <c r="R958" s="782"/>
      <c r="S958" s="782"/>
      <c r="T958" s="782"/>
    </row>
    <row r="959" spans="2:20">
      <c r="B959" s="1076"/>
      <c r="C959" s="774"/>
      <c r="D959" s="775"/>
      <c r="E959" s="776"/>
      <c r="F959" s="776"/>
      <c r="G959" s="777"/>
      <c r="H959" s="783"/>
      <c r="I959" s="777"/>
      <c r="J959" s="776"/>
      <c r="K959" s="779"/>
      <c r="L959" s="779"/>
      <c r="M959" s="779"/>
      <c r="N959" s="780"/>
      <c r="O959" s="780"/>
      <c r="P959" s="777"/>
      <c r="Q959" s="781"/>
      <c r="R959" s="782"/>
      <c r="S959" s="782"/>
      <c r="T959" s="782"/>
    </row>
    <row r="960" spans="2:20">
      <c r="B960" s="1076"/>
      <c r="C960" s="774"/>
      <c r="D960" s="775"/>
      <c r="E960" s="776"/>
      <c r="F960" s="776"/>
      <c r="G960" s="777"/>
      <c r="H960" s="783"/>
      <c r="I960" s="777"/>
      <c r="J960" s="776"/>
      <c r="K960" s="779"/>
      <c r="L960" s="779"/>
      <c r="M960" s="779"/>
      <c r="N960" s="780"/>
      <c r="O960" s="780"/>
      <c r="P960" s="777"/>
      <c r="Q960" s="781"/>
      <c r="R960" s="782"/>
      <c r="S960" s="782"/>
      <c r="T960" s="782"/>
    </row>
    <row r="961" spans="2:20">
      <c r="B961" s="1076"/>
      <c r="C961" s="774"/>
      <c r="D961" s="775"/>
      <c r="E961" s="776"/>
      <c r="F961" s="776"/>
      <c r="G961" s="777"/>
      <c r="H961" s="783"/>
      <c r="I961" s="777"/>
      <c r="J961" s="776"/>
      <c r="K961" s="779"/>
      <c r="L961" s="779"/>
      <c r="M961" s="779"/>
      <c r="N961" s="780"/>
      <c r="O961" s="780"/>
      <c r="P961" s="777"/>
      <c r="Q961" s="781"/>
      <c r="R961" s="782"/>
      <c r="S961" s="782"/>
      <c r="T961" s="782"/>
    </row>
    <row r="962" spans="2:20">
      <c r="B962" s="1076"/>
      <c r="C962" s="774"/>
      <c r="D962" s="775"/>
      <c r="E962" s="776"/>
      <c r="F962" s="776"/>
      <c r="G962" s="777"/>
      <c r="H962" s="783"/>
      <c r="I962" s="777"/>
      <c r="J962" s="776"/>
      <c r="K962" s="779"/>
      <c r="L962" s="779"/>
      <c r="M962" s="779"/>
      <c r="N962" s="780"/>
      <c r="O962" s="780"/>
      <c r="P962" s="777"/>
      <c r="Q962" s="781"/>
      <c r="R962" s="782"/>
      <c r="S962" s="782"/>
      <c r="T962" s="782"/>
    </row>
    <row r="963" spans="2:20">
      <c r="B963" s="1076"/>
      <c r="C963" s="774"/>
      <c r="D963" s="775"/>
      <c r="E963" s="776"/>
      <c r="F963" s="776"/>
      <c r="G963" s="777"/>
      <c r="H963" s="783"/>
      <c r="I963" s="777"/>
      <c r="J963" s="776"/>
      <c r="K963" s="779"/>
      <c r="L963" s="779"/>
      <c r="M963" s="779"/>
      <c r="N963" s="780"/>
      <c r="O963" s="780"/>
      <c r="P963" s="777"/>
      <c r="Q963" s="781"/>
      <c r="R963" s="782"/>
      <c r="S963" s="782"/>
      <c r="T963" s="782"/>
    </row>
    <row r="964" spans="2:20">
      <c r="B964" s="1076"/>
      <c r="C964" s="774"/>
      <c r="D964" s="775"/>
      <c r="E964" s="776"/>
      <c r="F964" s="776"/>
      <c r="G964" s="777"/>
      <c r="H964" s="783"/>
      <c r="I964" s="777"/>
      <c r="J964" s="776"/>
      <c r="K964" s="779"/>
      <c r="L964" s="779"/>
      <c r="M964" s="779"/>
      <c r="N964" s="780"/>
      <c r="O964" s="780"/>
      <c r="P964" s="777"/>
      <c r="Q964" s="781"/>
      <c r="R964" s="782"/>
      <c r="S964" s="782"/>
      <c r="T964" s="782"/>
    </row>
    <row r="965" spans="2:20">
      <c r="B965" s="1077"/>
      <c r="C965" s="873"/>
      <c r="D965" s="874"/>
      <c r="E965" s="875"/>
      <c r="F965" s="875"/>
      <c r="G965" s="876"/>
      <c r="H965" s="877"/>
      <c r="I965" s="876"/>
      <c r="J965" s="875"/>
      <c r="K965" s="878"/>
      <c r="L965" s="878"/>
      <c r="M965" s="878"/>
      <c r="N965" s="879"/>
      <c r="O965" s="879"/>
      <c r="P965" s="876"/>
      <c r="Q965" s="880"/>
      <c r="R965" s="881"/>
      <c r="S965" s="881"/>
      <c r="T965" s="881"/>
    </row>
    <row r="966" spans="2:20">
      <c r="B966" s="1075"/>
      <c r="C966" s="785"/>
      <c r="D966" s="786"/>
      <c r="E966" s="787"/>
      <c r="F966" s="787"/>
      <c r="G966" s="788"/>
      <c r="H966" s="797"/>
      <c r="I966" s="788"/>
      <c r="J966" s="787"/>
      <c r="K966" s="790"/>
      <c r="L966" s="790"/>
      <c r="M966" s="790"/>
      <c r="N966" s="791"/>
      <c r="O966" s="791"/>
      <c r="P966" s="788"/>
      <c r="Q966" s="792"/>
      <c r="R966" s="793"/>
      <c r="S966" s="793"/>
      <c r="T966" s="793"/>
    </row>
    <row r="967" spans="2:20">
      <c r="B967" s="1076"/>
      <c r="C967" s="774"/>
      <c r="D967" s="775"/>
      <c r="E967" s="776"/>
      <c r="F967" s="776"/>
      <c r="G967" s="777"/>
      <c r="H967" s="783"/>
      <c r="I967" s="777"/>
      <c r="J967" s="776"/>
      <c r="K967" s="779"/>
      <c r="L967" s="779"/>
      <c r="M967" s="779"/>
      <c r="N967" s="780"/>
      <c r="O967" s="780"/>
      <c r="P967" s="777"/>
      <c r="Q967" s="781"/>
      <c r="R967" s="782"/>
      <c r="S967" s="782"/>
      <c r="T967" s="782"/>
    </row>
    <row r="968" spans="2:20">
      <c r="B968" s="1076"/>
      <c r="C968" s="774"/>
      <c r="D968" s="775"/>
      <c r="E968" s="776"/>
      <c r="F968" s="776"/>
      <c r="G968" s="777"/>
      <c r="H968" s="783"/>
      <c r="I968" s="777"/>
      <c r="J968" s="776"/>
      <c r="K968" s="779"/>
      <c r="L968" s="779"/>
      <c r="M968" s="779"/>
      <c r="N968" s="780"/>
      <c r="O968" s="780"/>
      <c r="P968" s="777"/>
      <c r="Q968" s="781"/>
      <c r="R968" s="782"/>
      <c r="S968" s="782"/>
      <c r="T968" s="782"/>
    </row>
    <row r="969" spans="2:20">
      <c r="B969" s="1076"/>
      <c r="C969" s="774"/>
      <c r="D969" s="775"/>
      <c r="E969" s="776"/>
      <c r="F969" s="776"/>
      <c r="G969" s="777"/>
      <c r="H969" s="783"/>
      <c r="I969" s="777"/>
      <c r="J969" s="776"/>
      <c r="K969" s="779"/>
      <c r="L969" s="779"/>
      <c r="M969" s="779"/>
      <c r="N969" s="780"/>
      <c r="O969" s="780"/>
      <c r="P969" s="777"/>
      <c r="Q969" s="781"/>
      <c r="R969" s="782"/>
      <c r="S969" s="782"/>
      <c r="T969" s="782"/>
    </row>
    <row r="970" spans="2:20">
      <c r="B970" s="1076"/>
      <c r="C970" s="774"/>
      <c r="D970" s="775"/>
      <c r="E970" s="776"/>
      <c r="F970" s="776"/>
      <c r="G970" s="777"/>
      <c r="H970" s="783"/>
      <c r="I970" s="777"/>
      <c r="J970" s="776"/>
      <c r="K970" s="779"/>
      <c r="L970" s="779"/>
      <c r="M970" s="779"/>
      <c r="N970" s="780"/>
      <c r="O970" s="780"/>
      <c r="P970" s="777"/>
      <c r="Q970" s="781"/>
      <c r="R970" s="782"/>
      <c r="S970" s="782"/>
      <c r="T970" s="782"/>
    </row>
    <row r="971" spans="2:20">
      <c r="B971" s="1076"/>
      <c r="C971" s="774"/>
      <c r="D971" s="775"/>
      <c r="E971" s="776"/>
      <c r="F971" s="776"/>
      <c r="G971" s="777"/>
      <c r="H971" s="783"/>
      <c r="I971" s="777"/>
      <c r="J971" s="776"/>
      <c r="K971" s="779"/>
      <c r="L971" s="779"/>
      <c r="M971" s="779"/>
      <c r="N971" s="780"/>
      <c r="O971" s="780"/>
      <c r="P971" s="777"/>
      <c r="Q971" s="781"/>
      <c r="R971" s="782"/>
      <c r="S971" s="782"/>
      <c r="T971" s="782"/>
    </row>
    <row r="972" spans="2:20">
      <c r="B972" s="1076"/>
      <c r="C972" s="774"/>
      <c r="D972" s="775"/>
      <c r="E972" s="776"/>
      <c r="F972" s="776"/>
      <c r="G972" s="777"/>
      <c r="H972" s="783"/>
      <c r="I972" s="777"/>
      <c r="J972" s="776"/>
      <c r="K972" s="779"/>
      <c r="L972" s="779"/>
      <c r="M972" s="779"/>
      <c r="N972" s="780"/>
      <c r="O972" s="780"/>
      <c r="P972" s="777"/>
      <c r="Q972" s="781"/>
      <c r="R972" s="782"/>
      <c r="S972" s="782"/>
      <c r="T972" s="782"/>
    </row>
    <row r="973" spans="2:20">
      <c r="B973" s="1076"/>
      <c r="C973" s="774"/>
      <c r="D973" s="775"/>
      <c r="E973" s="776"/>
      <c r="F973" s="776"/>
      <c r="G973" s="777"/>
      <c r="H973" s="783"/>
      <c r="I973" s="777"/>
      <c r="J973" s="776"/>
      <c r="K973" s="779"/>
      <c r="L973" s="779"/>
      <c r="M973" s="779"/>
      <c r="N973" s="780"/>
      <c r="O973" s="780"/>
      <c r="P973" s="777"/>
      <c r="Q973" s="781"/>
      <c r="R973" s="782"/>
      <c r="S973" s="782"/>
      <c r="T973" s="782"/>
    </row>
    <row r="974" spans="2:20">
      <c r="B974" s="1076"/>
      <c r="C974" s="774"/>
      <c r="D974" s="775"/>
      <c r="E974" s="776"/>
      <c r="F974" s="776"/>
      <c r="G974" s="777"/>
      <c r="H974" s="783"/>
      <c r="I974" s="777"/>
      <c r="J974" s="776"/>
      <c r="K974" s="779"/>
      <c r="L974" s="779"/>
      <c r="M974" s="779"/>
      <c r="N974" s="780"/>
      <c r="O974" s="780"/>
      <c r="P974" s="777"/>
      <c r="Q974" s="781"/>
      <c r="R974" s="782"/>
      <c r="S974" s="782"/>
      <c r="T974" s="782"/>
    </row>
    <row r="975" spans="2:20">
      <c r="B975" s="1077"/>
      <c r="C975" s="873"/>
      <c r="D975" s="874"/>
      <c r="E975" s="875"/>
      <c r="F975" s="875"/>
      <c r="G975" s="876"/>
      <c r="H975" s="877"/>
      <c r="I975" s="876"/>
      <c r="J975" s="875"/>
      <c r="K975" s="878"/>
      <c r="L975" s="878"/>
      <c r="M975" s="878"/>
      <c r="N975" s="879"/>
      <c r="O975" s="879"/>
      <c r="P975" s="876"/>
      <c r="Q975" s="880"/>
      <c r="R975" s="881"/>
      <c r="S975" s="881"/>
      <c r="T975" s="881"/>
    </row>
    <row r="976" spans="2:20">
      <c r="B976" s="1075"/>
      <c r="C976" s="785"/>
      <c r="D976" s="786"/>
      <c r="E976" s="787"/>
      <c r="F976" s="787"/>
      <c r="G976" s="788"/>
      <c r="H976" s="797"/>
      <c r="I976" s="788"/>
      <c r="J976" s="787"/>
      <c r="K976" s="790"/>
      <c r="L976" s="790"/>
      <c r="M976" s="790"/>
      <c r="N976" s="791"/>
      <c r="O976" s="791"/>
      <c r="P976" s="788"/>
      <c r="Q976" s="792"/>
      <c r="R976" s="793"/>
      <c r="S976" s="793"/>
      <c r="T976" s="793"/>
    </row>
    <row r="977" spans="2:20">
      <c r="B977" s="1076"/>
      <c r="C977" s="774"/>
      <c r="D977" s="775"/>
      <c r="E977" s="776"/>
      <c r="F977" s="776"/>
      <c r="G977" s="777"/>
      <c r="H977" s="783"/>
      <c r="I977" s="777"/>
      <c r="J977" s="776"/>
      <c r="K977" s="779"/>
      <c r="L977" s="779"/>
      <c r="M977" s="779"/>
      <c r="N977" s="780"/>
      <c r="O977" s="780"/>
      <c r="P977" s="777"/>
      <c r="Q977" s="781"/>
      <c r="R977" s="782"/>
      <c r="S977" s="782"/>
      <c r="T977" s="782"/>
    </row>
    <row r="978" spans="2:20">
      <c r="B978" s="1076"/>
      <c r="C978" s="774"/>
      <c r="D978" s="775"/>
      <c r="E978" s="776"/>
      <c r="F978" s="776"/>
      <c r="G978" s="777"/>
      <c r="H978" s="783"/>
      <c r="I978" s="777"/>
      <c r="J978" s="776"/>
      <c r="K978" s="779"/>
      <c r="L978" s="779"/>
      <c r="M978" s="779"/>
      <c r="N978" s="780"/>
      <c r="O978" s="780"/>
      <c r="P978" s="777"/>
      <c r="Q978" s="781"/>
      <c r="R978" s="782"/>
      <c r="S978" s="782"/>
      <c r="T978" s="782"/>
    </row>
    <row r="979" spans="2:20">
      <c r="B979" s="1076"/>
      <c r="C979" s="774"/>
      <c r="D979" s="775"/>
      <c r="E979" s="776"/>
      <c r="F979" s="776"/>
      <c r="G979" s="777"/>
      <c r="H979" s="783"/>
      <c r="I979" s="777"/>
      <c r="J979" s="776"/>
      <c r="K979" s="779"/>
      <c r="L979" s="779"/>
      <c r="M979" s="779"/>
      <c r="N979" s="780"/>
      <c r="O979" s="780"/>
      <c r="P979" s="777"/>
      <c r="Q979" s="781"/>
      <c r="R979" s="782"/>
      <c r="S979" s="782"/>
      <c r="T979" s="782"/>
    </row>
    <row r="980" spans="2:20">
      <c r="B980" s="1076"/>
      <c r="C980" s="774"/>
      <c r="D980" s="775"/>
      <c r="E980" s="776"/>
      <c r="F980" s="776"/>
      <c r="G980" s="777"/>
      <c r="H980" s="783"/>
      <c r="I980" s="777"/>
      <c r="J980" s="776"/>
      <c r="K980" s="779"/>
      <c r="L980" s="779"/>
      <c r="M980" s="779"/>
      <c r="N980" s="780"/>
      <c r="O980" s="780"/>
      <c r="P980" s="777"/>
      <c r="Q980" s="781"/>
      <c r="R980" s="782"/>
      <c r="S980" s="782"/>
      <c r="T980" s="782"/>
    </row>
    <row r="981" spans="2:20">
      <c r="B981" s="1076"/>
      <c r="C981" s="774"/>
      <c r="D981" s="775"/>
      <c r="E981" s="776"/>
      <c r="F981" s="776"/>
      <c r="G981" s="777"/>
      <c r="H981" s="783"/>
      <c r="I981" s="777"/>
      <c r="J981" s="776"/>
      <c r="K981" s="779"/>
      <c r="L981" s="779"/>
      <c r="M981" s="779"/>
      <c r="N981" s="780"/>
      <c r="O981" s="780"/>
      <c r="P981" s="777"/>
      <c r="Q981" s="781"/>
      <c r="R981" s="782"/>
      <c r="S981" s="782"/>
      <c r="T981" s="782"/>
    </row>
    <row r="982" spans="2:20">
      <c r="B982" s="1076"/>
      <c r="C982" s="774"/>
      <c r="D982" s="775"/>
      <c r="E982" s="776"/>
      <c r="F982" s="776"/>
      <c r="G982" s="777"/>
      <c r="H982" s="783"/>
      <c r="I982" s="777"/>
      <c r="J982" s="776"/>
      <c r="K982" s="779"/>
      <c r="L982" s="779"/>
      <c r="M982" s="779"/>
      <c r="N982" s="780"/>
      <c r="O982" s="780"/>
      <c r="P982" s="777"/>
      <c r="Q982" s="781"/>
      <c r="R982" s="782"/>
      <c r="S982" s="782"/>
      <c r="T982" s="782"/>
    </row>
    <row r="983" spans="2:20">
      <c r="B983" s="1076"/>
      <c r="C983" s="774"/>
      <c r="D983" s="775"/>
      <c r="E983" s="776"/>
      <c r="F983" s="776"/>
      <c r="G983" s="777"/>
      <c r="H983" s="783"/>
      <c r="I983" s="777"/>
      <c r="J983" s="776"/>
      <c r="K983" s="779"/>
      <c r="L983" s="779"/>
      <c r="M983" s="779"/>
      <c r="N983" s="780"/>
      <c r="O983" s="780"/>
      <c r="P983" s="777"/>
      <c r="Q983" s="781"/>
      <c r="R983" s="782"/>
      <c r="S983" s="782"/>
      <c r="T983" s="782"/>
    </row>
    <row r="984" spans="2:20">
      <c r="B984" s="1076"/>
      <c r="C984" s="774"/>
      <c r="D984" s="775"/>
      <c r="E984" s="776"/>
      <c r="F984" s="776"/>
      <c r="G984" s="777"/>
      <c r="H984" s="783"/>
      <c r="I984" s="777"/>
      <c r="J984" s="776"/>
      <c r="K984" s="779"/>
      <c r="L984" s="779"/>
      <c r="M984" s="779"/>
      <c r="N984" s="780"/>
      <c r="O984" s="780"/>
      <c r="P984" s="777"/>
      <c r="Q984" s="781"/>
      <c r="R984" s="782"/>
      <c r="S984" s="782"/>
      <c r="T984" s="782"/>
    </row>
    <row r="985" spans="2:20">
      <c r="B985" s="1077"/>
      <c r="C985" s="873"/>
      <c r="D985" s="874"/>
      <c r="E985" s="875"/>
      <c r="F985" s="875"/>
      <c r="G985" s="876"/>
      <c r="H985" s="877"/>
      <c r="I985" s="876"/>
      <c r="J985" s="875"/>
      <c r="K985" s="878"/>
      <c r="L985" s="878"/>
      <c r="M985" s="878"/>
      <c r="N985" s="879"/>
      <c r="O985" s="879"/>
      <c r="P985" s="876"/>
      <c r="Q985" s="880"/>
      <c r="R985" s="881"/>
      <c r="S985" s="881"/>
      <c r="T985" s="881"/>
    </row>
    <row r="986" spans="2:20">
      <c r="B986" s="1075"/>
      <c r="C986" s="785"/>
      <c r="D986" s="786"/>
      <c r="E986" s="787"/>
      <c r="F986" s="787"/>
      <c r="G986" s="788"/>
      <c r="H986" s="797"/>
      <c r="I986" s="788"/>
      <c r="J986" s="787"/>
      <c r="K986" s="790"/>
      <c r="L986" s="790"/>
      <c r="M986" s="790"/>
      <c r="N986" s="791"/>
      <c r="O986" s="791"/>
      <c r="P986" s="788"/>
      <c r="Q986" s="792"/>
      <c r="R986" s="793"/>
      <c r="S986" s="793"/>
      <c r="T986" s="793"/>
    </row>
    <row r="987" spans="2:20">
      <c r="B987" s="1076"/>
      <c r="C987" s="774"/>
      <c r="D987" s="775"/>
      <c r="E987" s="776"/>
      <c r="F987" s="776"/>
      <c r="G987" s="777"/>
      <c r="H987" s="783"/>
      <c r="I987" s="777"/>
      <c r="J987" s="776"/>
      <c r="K987" s="779"/>
      <c r="L987" s="779"/>
      <c r="M987" s="779"/>
      <c r="N987" s="780"/>
      <c r="O987" s="780"/>
      <c r="P987" s="777"/>
      <c r="Q987" s="781"/>
      <c r="R987" s="782"/>
      <c r="S987" s="782"/>
      <c r="T987" s="782"/>
    </row>
    <row r="988" spans="2:20">
      <c r="B988" s="1076"/>
      <c r="C988" s="774"/>
      <c r="D988" s="775"/>
      <c r="E988" s="776"/>
      <c r="F988" s="776"/>
      <c r="G988" s="777"/>
      <c r="H988" s="783"/>
      <c r="I988" s="777"/>
      <c r="J988" s="776"/>
      <c r="K988" s="779"/>
      <c r="L988" s="779"/>
      <c r="M988" s="779"/>
      <c r="N988" s="780"/>
      <c r="O988" s="780"/>
      <c r="P988" s="777"/>
      <c r="Q988" s="781"/>
      <c r="R988" s="782"/>
      <c r="S988" s="782"/>
      <c r="T988" s="782"/>
    </row>
    <row r="989" spans="2:20">
      <c r="B989" s="1076"/>
      <c r="C989" s="774"/>
      <c r="D989" s="775"/>
      <c r="E989" s="776"/>
      <c r="F989" s="776"/>
      <c r="G989" s="777"/>
      <c r="H989" s="783"/>
      <c r="I989" s="777"/>
      <c r="J989" s="776"/>
      <c r="K989" s="779"/>
      <c r="L989" s="779"/>
      <c r="M989" s="779"/>
      <c r="N989" s="780"/>
      <c r="O989" s="780"/>
      <c r="P989" s="777"/>
      <c r="Q989" s="781"/>
      <c r="R989" s="782"/>
      <c r="S989" s="782"/>
      <c r="T989" s="782"/>
    </row>
    <row r="990" spans="2:20">
      <c r="B990" s="1076"/>
      <c r="C990" s="774"/>
      <c r="D990" s="775"/>
      <c r="E990" s="776"/>
      <c r="F990" s="776"/>
      <c r="G990" s="777"/>
      <c r="H990" s="783"/>
      <c r="I990" s="777"/>
      <c r="J990" s="776"/>
      <c r="K990" s="779"/>
      <c r="L990" s="779"/>
      <c r="M990" s="779"/>
      <c r="N990" s="780"/>
      <c r="O990" s="780"/>
      <c r="P990" s="777"/>
      <c r="Q990" s="781"/>
      <c r="R990" s="782"/>
      <c r="S990" s="782"/>
      <c r="T990" s="782"/>
    </row>
    <row r="991" spans="2:20">
      <c r="B991" s="1076"/>
      <c r="C991" s="774"/>
      <c r="D991" s="775"/>
      <c r="E991" s="776"/>
      <c r="F991" s="776"/>
      <c r="G991" s="777"/>
      <c r="H991" s="783"/>
      <c r="I991" s="777"/>
      <c r="J991" s="776"/>
      <c r="K991" s="779"/>
      <c r="L991" s="779"/>
      <c r="M991" s="779"/>
      <c r="N991" s="780"/>
      <c r="O991" s="780"/>
      <c r="P991" s="777"/>
      <c r="Q991" s="781"/>
      <c r="R991" s="782"/>
      <c r="S991" s="782"/>
      <c r="T991" s="782"/>
    </row>
    <row r="992" spans="2:20">
      <c r="B992" s="1076"/>
      <c r="C992" s="774"/>
      <c r="D992" s="775"/>
      <c r="E992" s="776"/>
      <c r="F992" s="776"/>
      <c r="G992" s="777"/>
      <c r="H992" s="783"/>
      <c r="I992" s="777"/>
      <c r="J992" s="776"/>
      <c r="K992" s="779"/>
      <c r="L992" s="779"/>
      <c r="M992" s="779"/>
      <c r="N992" s="780"/>
      <c r="O992" s="780"/>
      <c r="P992" s="777"/>
      <c r="Q992" s="781"/>
      <c r="R992" s="782"/>
      <c r="S992" s="782"/>
      <c r="T992" s="782"/>
    </row>
    <row r="993" spans="2:20">
      <c r="B993" s="1076"/>
      <c r="C993" s="774"/>
      <c r="D993" s="775"/>
      <c r="E993" s="776"/>
      <c r="F993" s="776"/>
      <c r="G993" s="777"/>
      <c r="H993" s="783"/>
      <c r="I993" s="777"/>
      <c r="J993" s="776"/>
      <c r="K993" s="779"/>
      <c r="L993" s="779"/>
      <c r="M993" s="779"/>
      <c r="N993" s="780"/>
      <c r="O993" s="780"/>
      <c r="P993" s="777"/>
      <c r="Q993" s="781"/>
      <c r="R993" s="782"/>
      <c r="S993" s="782"/>
      <c r="T993" s="782"/>
    </row>
    <row r="994" spans="2:20">
      <c r="B994" s="1076"/>
      <c r="C994" s="774"/>
      <c r="D994" s="775"/>
      <c r="E994" s="776"/>
      <c r="F994" s="776"/>
      <c r="G994" s="777"/>
      <c r="H994" s="783"/>
      <c r="I994" s="777"/>
      <c r="J994" s="776"/>
      <c r="K994" s="779"/>
      <c r="L994" s="779"/>
      <c r="M994" s="779"/>
      <c r="N994" s="780"/>
      <c r="O994" s="780"/>
      <c r="P994" s="777"/>
      <c r="Q994" s="781"/>
      <c r="R994" s="782"/>
      <c r="S994" s="782"/>
      <c r="T994" s="782"/>
    </row>
    <row r="995" spans="2:20">
      <c r="B995" s="1077"/>
      <c r="C995" s="873"/>
      <c r="D995" s="874"/>
      <c r="E995" s="875"/>
      <c r="F995" s="875"/>
      <c r="G995" s="876"/>
      <c r="H995" s="877"/>
      <c r="I995" s="876"/>
      <c r="J995" s="875"/>
      <c r="K995" s="878"/>
      <c r="L995" s="878"/>
      <c r="M995" s="878"/>
      <c r="N995" s="879"/>
      <c r="O995" s="879"/>
      <c r="P995" s="876"/>
      <c r="Q995" s="880"/>
      <c r="R995" s="881"/>
      <c r="S995" s="881"/>
      <c r="T995" s="881"/>
    </row>
    <row r="996" spans="2:20">
      <c r="B996" s="1076"/>
      <c r="C996" s="774"/>
      <c r="D996" s="775"/>
      <c r="E996" s="776"/>
      <c r="F996" s="776"/>
      <c r="G996" s="777"/>
      <c r="H996" s="783"/>
      <c r="I996" s="777"/>
      <c r="J996" s="776"/>
      <c r="K996" s="779"/>
      <c r="L996" s="779"/>
      <c r="M996" s="779"/>
      <c r="N996" s="780"/>
      <c r="O996" s="780"/>
      <c r="P996" s="777"/>
      <c r="Q996" s="781"/>
      <c r="R996" s="782"/>
      <c r="S996" s="782"/>
      <c r="T996" s="782"/>
    </row>
    <row r="997" spans="2:20">
      <c r="B997" s="1076"/>
      <c r="C997" s="774"/>
      <c r="D997" s="775"/>
      <c r="E997" s="776"/>
      <c r="F997" s="776"/>
      <c r="G997" s="777"/>
      <c r="H997" s="783"/>
      <c r="I997" s="777"/>
      <c r="J997" s="776"/>
      <c r="K997" s="779"/>
      <c r="L997" s="779"/>
      <c r="M997" s="779"/>
      <c r="N997" s="780"/>
      <c r="O997" s="780"/>
      <c r="P997" s="777"/>
      <c r="Q997" s="781"/>
      <c r="R997" s="782"/>
      <c r="S997" s="782"/>
      <c r="T997" s="782"/>
    </row>
    <row r="998" spans="2:20">
      <c r="B998" s="1076"/>
      <c r="C998" s="774"/>
      <c r="D998" s="775"/>
      <c r="E998" s="776"/>
      <c r="F998" s="776"/>
      <c r="G998" s="777"/>
      <c r="H998" s="783"/>
      <c r="I998" s="777"/>
      <c r="J998" s="776"/>
      <c r="K998" s="779"/>
      <c r="L998" s="779"/>
      <c r="M998" s="779"/>
      <c r="N998" s="780"/>
      <c r="O998" s="780"/>
      <c r="P998" s="777"/>
      <c r="Q998" s="781"/>
      <c r="R998" s="782"/>
      <c r="S998" s="782"/>
      <c r="T998" s="782"/>
    </row>
    <row r="999" spans="2:20">
      <c r="B999" s="1076"/>
      <c r="C999" s="774"/>
      <c r="D999" s="775"/>
      <c r="E999" s="776"/>
      <c r="F999" s="776"/>
      <c r="G999" s="777"/>
      <c r="H999" s="783"/>
      <c r="I999" s="777"/>
      <c r="J999" s="776"/>
      <c r="K999" s="779"/>
      <c r="L999" s="779"/>
      <c r="M999" s="779"/>
      <c r="N999" s="780"/>
      <c r="O999" s="780"/>
      <c r="P999" s="777"/>
      <c r="Q999" s="781"/>
      <c r="R999" s="782"/>
      <c r="S999" s="782"/>
      <c r="T999" s="782"/>
    </row>
    <row r="1000" spans="2:20">
      <c r="B1000" s="1076"/>
      <c r="C1000" s="774"/>
      <c r="D1000" s="775"/>
      <c r="E1000" s="776"/>
      <c r="F1000" s="776"/>
      <c r="G1000" s="777"/>
      <c r="H1000" s="783"/>
      <c r="I1000" s="777"/>
      <c r="J1000" s="776"/>
      <c r="K1000" s="779"/>
      <c r="L1000" s="779"/>
      <c r="M1000" s="779"/>
      <c r="N1000" s="780"/>
      <c r="O1000" s="780"/>
      <c r="P1000" s="777"/>
      <c r="Q1000" s="781"/>
      <c r="R1000" s="782"/>
      <c r="S1000" s="782"/>
      <c r="T1000" s="782"/>
    </row>
    <row r="1001" spans="2:20">
      <c r="B1001" s="1076"/>
      <c r="C1001" s="774"/>
      <c r="D1001" s="775"/>
      <c r="E1001" s="776"/>
      <c r="F1001" s="776"/>
      <c r="G1001" s="777"/>
      <c r="H1001" s="783"/>
      <c r="I1001" s="777"/>
      <c r="J1001" s="776"/>
      <c r="K1001" s="779"/>
      <c r="L1001" s="779"/>
      <c r="M1001" s="779"/>
      <c r="N1001" s="780"/>
      <c r="O1001" s="780"/>
      <c r="P1001" s="777"/>
      <c r="Q1001" s="781"/>
      <c r="R1001" s="782"/>
      <c r="S1001" s="782"/>
      <c r="T1001" s="782"/>
    </row>
    <row r="1002" spans="2:20">
      <c r="B1002" s="1076"/>
      <c r="C1002" s="774"/>
      <c r="D1002" s="775"/>
      <c r="E1002" s="776"/>
      <c r="F1002" s="776"/>
      <c r="G1002" s="777"/>
      <c r="H1002" s="783"/>
      <c r="I1002" s="777"/>
      <c r="J1002" s="776"/>
      <c r="K1002" s="779"/>
      <c r="L1002" s="779"/>
      <c r="M1002" s="779"/>
      <c r="N1002" s="780"/>
      <c r="O1002" s="780"/>
      <c r="P1002" s="777"/>
      <c r="Q1002" s="781"/>
      <c r="R1002" s="782"/>
      <c r="S1002" s="782"/>
      <c r="T1002" s="782"/>
    </row>
    <row r="1003" spans="2:20">
      <c r="B1003" s="1076"/>
      <c r="C1003" s="774"/>
      <c r="D1003" s="775"/>
      <c r="E1003" s="776"/>
      <c r="F1003" s="776"/>
      <c r="G1003" s="777"/>
      <c r="H1003" s="783"/>
      <c r="I1003" s="777"/>
      <c r="J1003" s="776"/>
      <c r="K1003" s="779"/>
      <c r="L1003" s="779"/>
      <c r="M1003" s="779"/>
      <c r="N1003" s="780"/>
      <c r="O1003" s="780"/>
      <c r="P1003" s="777"/>
      <c r="Q1003" s="781"/>
      <c r="R1003" s="782"/>
      <c r="S1003" s="782"/>
      <c r="T1003" s="782"/>
    </row>
    <row r="1004" spans="2:20">
      <c r="B1004" s="1076"/>
      <c r="C1004" s="774"/>
      <c r="D1004" s="775"/>
      <c r="E1004" s="776"/>
      <c r="F1004" s="776"/>
      <c r="G1004" s="777"/>
      <c r="H1004" s="783"/>
      <c r="I1004" s="777"/>
      <c r="J1004" s="776"/>
      <c r="K1004" s="779"/>
      <c r="L1004" s="779"/>
      <c r="M1004" s="779"/>
      <c r="N1004" s="780"/>
      <c r="O1004" s="780"/>
      <c r="P1004" s="777"/>
      <c r="Q1004" s="781"/>
      <c r="R1004" s="782"/>
      <c r="S1004" s="782"/>
      <c r="T1004" s="782"/>
    </row>
    <row r="1005" spans="2:20">
      <c r="B1005" s="1076"/>
      <c r="C1005" s="774"/>
      <c r="D1005" s="775"/>
      <c r="E1005" s="776"/>
      <c r="F1005" s="776"/>
      <c r="G1005" s="777"/>
      <c r="H1005" s="783"/>
      <c r="I1005" s="777"/>
      <c r="J1005" s="776"/>
      <c r="K1005" s="779"/>
      <c r="L1005" s="779"/>
      <c r="M1005" s="779"/>
      <c r="N1005" s="780"/>
      <c r="O1005" s="780"/>
      <c r="P1005" s="777"/>
      <c r="Q1005" s="781"/>
      <c r="R1005" s="782"/>
      <c r="S1005" s="782"/>
      <c r="T1005" s="782"/>
    </row>
    <row r="1006" spans="2:20">
      <c r="B1006" s="1078"/>
      <c r="C1006" s="1079"/>
      <c r="D1006" s="1080" t="s">
        <v>6087</v>
      </c>
      <c r="E1006" s="1078"/>
      <c r="F1006" s="1078"/>
      <c r="G1006" s="1078"/>
      <c r="H1006" s="1081"/>
      <c r="I1006" s="1078"/>
      <c r="J1006" s="1078"/>
      <c r="K1006" s="864"/>
      <c r="L1006" s="865"/>
      <c r="M1006" s="865"/>
      <c r="N1006" s="866"/>
      <c r="O1006" s="867"/>
      <c r="P1006" s="868"/>
      <c r="Q1006" s="869"/>
      <c r="R1006" s="870"/>
      <c r="S1006" s="870"/>
      <c r="T1006" s="870"/>
    </row>
    <row r="1007" spans="2:20">
      <c r="B1007" s="1075"/>
      <c r="C1007" s="785"/>
      <c r="D1007" s="786"/>
      <c r="E1007" s="787"/>
      <c r="F1007" s="787"/>
      <c r="G1007" s="788"/>
      <c r="H1007" s="797"/>
      <c r="I1007" s="788"/>
      <c r="J1007" s="787"/>
      <c r="K1007" s="790"/>
      <c r="L1007" s="790"/>
      <c r="M1007" s="790"/>
      <c r="N1007" s="791"/>
      <c r="O1007" s="791"/>
      <c r="P1007" s="788"/>
      <c r="Q1007" s="792"/>
      <c r="R1007" s="793"/>
      <c r="S1007" s="793"/>
      <c r="T1007" s="793"/>
    </row>
    <row r="1008" spans="2:20">
      <c r="B1008" s="1076"/>
      <c r="C1008" s="774"/>
      <c r="D1008" s="775"/>
      <c r="E1008" s="776"/>
      <c r="F1008" s="776"/>
      <c r="G1008" s="777"/>
      <c r="H1008" s="783"/>
      <c r="I1008" s="777"/>
      <c r="J1008" s="776"/>
      <c r="K1008" s="779"/>
      <c r="L1008" s="779"/>
      <c r="M1008" s="779"/>
      <c r="N1008" s="780"/>
      <c r="O1008" s="780"/>
      <c r="P1008" s="777"/>
      <c r="Q1008" s="781"/>
      <c r="R1008" s="782"/>
      <c r="S1008" s="782"/>
      <c r="T1008" s="782"/>
    </row>
    <row r="1009" spans="2:20">
      <c r="B1009" s="1076"/>
      <c r="C1009" s="774"/>
      <c r="D1009" s="775"/>
      <c r="E1009" s="776"/>
      <c r="F1009" s="776"/>
      <c r="G1009" s="777"/>
      <c r="H1009" s="783"/>
      <c r="I1009" s="777"/>
      <c r="J1009" s="776"/>
      <c r="K1009" s="779"/>
      <c r="L1009" s="779"/>
      <c r="M1009" s="779"/>
      <c r="N1009" s="780"/>
      <c r="O1009" s="780"/>
      <c r="P1009" s="777"/>
      <c r="Q1009" s="781"/>
      <c r="R1009" s="782"/>
      <c r="S1009" s="782"/>
      <c r="T1009" s="782"/>
    </row>
    <row r="1010" spans="2:20">
      <c r="B1010" s="1076"/>
      <c r="C1010" s="774"/>
      <c r="D1010" s="775"/>
      <c r="E1010" s="776"/>
      <c r="F1010" s="776"/>
      <c r="G1010" s="777"/>
      <c r="H1010" s="783"/>
      <c r="I1010" s="777"/>
      <c r="J1010" s="776"/>
      <c r="K1010" s="779"/>
      <c r="L1010" s="779"/>
      <c r="M1010" s="779"/>
      <c r="N1010" s="780"/>
      <c r="O1010" s="780"/>
      <c r="P1010" s="777"/>
      <c r="Q1010" s="781"/>
      <c r="R1010" s="782"/>
      <c r="S1010" s="782"/>
      <c r="T1010" s="782"/>
    </row>
    <row r="1011" spans="2:20">
      <c r="B1011" s="1076"/>
      <c r="C1011" s="774"/>
      <c r="D1011" s="775"/>
      <c r="E1011" s="776"/>
      <c r="F1011" s="776"/>
      <c r="G1011" s="777"/>
      <c r="H1011" s="783"/>
      <c r="I1011" s="777"/>
      <c r="J1011" s="776"/>
      <c r="K1011" s="779"/>
      <c r="L1011" s="779"/>
      <c r="M1011" s="779"/>
      <c r="N1011" s="780"/>
      <c r="O1011" s="780"/>
      <c r="P1011" s="777"/>
      <c r="Q1011" s="781"/>
      <c r="R1011" s="782"/>
      <c r="S1011" s="782"/>
      <c r="T1011" s="782"/>
    </row>
    <row r="1012" spans="2:20">
      <c r="B1012" s="1076"/>
      <c r="C1012" s="774"/>
      <c r="D1012" s="775"/>
      <c r="E1012" s="776"/>
      <c r="F1012" s="776"/>
      <c r="G1012" s="777"/>
      <c r="H1012" s="783"/>
      <c r="I1012" s="777"/>
      <c r="J1012" s="776"/>
      <c r="K1012" s="779"/>
      <c r="L1012" s="779"/>
      <c r="M1012" s="779"/>
      <c r="N1012" s="780"/>
      <c r="O1012" s="780"/>
      <c r="P1012" s="777"/>
      <c r="Q1012" s="781"/>
      <c r="R1012" s="782"/>
      <c r="S1012" s="782"/>
      <c r="T1012" s="782"/>
    </row>
    <row r="1013" spans="2:20">
      <c r="B1013" s="1076"/>
      <c r="C1013" s="774"/>
      <c r="D1013" s="775"/>
      <c r="E1013" s="776"/>
      <c r="F1013" s="776"/>
      <c r="G1013" s="777"/>
      <c r="H1013" s="783"/>
      <c r="I1013" s="777"/>
      <c r="J1013" s="776"/>
      <c r="K1013" s="779"/>
      <c r="L1013" s="779"/>
      <c r="M1013" s="779"/>
      <c r="N1013" s="780"/>
      <c r="O1013" s="780"/>
      <c r="P1013" s="777"/>
      <c r="Q1013" s="781"/>
      <c r="R1013" s="782"/>
      <c r="S1013" s="782"/>
      <c r="T1013" s="782"/>
    </row>
    <row r="1014" spans="2:20">
      <c r="B1014" s="1076"/>
      <c r="C1014" s="774"/>
      <c r="D1014" s="775"/>
      <c r="E1014" s="776"/>
      <c r="F1014" s="776"/>
      <c r="G1014" s="777"/>
      <c r="H1014" s="783"/>
      <c r="I1014" s="777"/>
      <c r="J1014" s="776"/>
      <c r="K1014" s="779"/>
      <c r="L1014" s="779"/>
      <c r="M1014" s="779"/>
      <c r="N1014" s="780"/>
      <c r="O1014" s="780"/>
      <c r="P1014" s="777"/>
      <c r="Q1014" s="781"/>
      <c r="R1014" s="782"/>
      <c r="S1014" s="782"/>
      <c r="T1014" s="782"/>
    </row>
    <row r="1015" spans="2:20">
      <c r="B1015" s="1076"/>
      <c r="C1015" s="774"/>
      <c r="D1015" s="775"/>
      <c r="E1015" s="776"/>
      <c r="F1015" s="776"/>
      <c r="G1015" s="777"/>
      <c r="H1015" s="783"/>
      <c r="I1015" s="777"/>
      <c r="J1015" s="776"/>
      <c r="K1015" s="779"/>
      <c r="L1015" s="779"/>
      <c r="M1015" s="779"/>
      <c r="N1015" s="780"/>
      <c r="O1015" s="780"/>
      <c r="P1015" s="777"/>
      <c r="Q1015" s="781"/>
      <c r="R1015" s="782"/>
      <c r="S1015" s="782"/>
      <c r="T1015" s="782"/>
    </row>
    <row r="1016" spans="2:20">
      <c r="B1016" s="1077"/>
      <c r="C1016" s="873"/>
      <c r="D1016" s="874"/>
      <c r="E1016" s="875"/>
      <c r="F1016" s="875"/>
      <c r="G1016" s="876"/>
      <c r="H1016" s="877"/>
      <c r="I1016" s="876"/>
      <c r="J1016" s="875"/>
      <c r="K1016" s="878"/>
      <c r="L1016" s="878"/>
      <c r="M1016" s="878"/>
      <c r="N1016" s="879"/>
      <c r="O1016" s="879"/>
      <c r="P1016" s="876"/>
      <c r="Q1016" s="880"/>
      <c r="R1016" s="881"/>
      <c r="S1016" s="881"/>
      <c r="T1016" s="881"/>
    </row>
    <row r="1017" spans="2:20">
      <c r="B1017" s="1075"/>
      <c r="C1017" s="785"/>
      <c r="D1017" s="786"/>
      <c r="E1017" s="787"/>
      <c r="F1017" s="787"/>
      <c r="G1017" s="788"/>
      <c r="H1017" s="797"/>
      <c r="I1017" s="788"/>
      <c r="J1017" s="787"/>
      <c r="K1017" s="790"/>
      <c r="L1017" s="790"/>
      <c r="M1017" s="790"/>
      <c r="N1017" s="791"/>
      <c r="O1017" s="791"/>
      <c r="P1017" s="788"/>
      <c r="Q1017" s="792"/>
      <c r="R1017" s="793"/>
      <c r="S1017" s="793"/>
      <c r="T1017" s="793"/>
    </row>
    <row r="1018" spans="2:20">
      <c r="B1018" s="1076"/>
      <c r="C1018" s="774"/>
      <c r="D1018" s="775"/>
      <c r="E1018" s="776"/>
      <c r="F1018" s="776"/>
      <c r="G1018" s="777"/>
      <c r="H1018" s="783"/>
      <c r="I1018" s="777"/>
      <c r="J1018" s="776"/>
      <c r="K1018" s="779"/>
      <c r="L1018" s="779"/>
      <c r="M1018" s="779"/>
      <c r="N1018" s="780"/>
      <c r="O1018" s="780"/>
      <c r="P1018" s="777"/>
      <c r="Q1018" s="781"/>
      <c r="R1018" s="782"/>
      <c r="S1018" s="782"/>
      <c r="T1018" s="782"/>
    </row>
    <row r="1019" spans="2:20">
      <c r="B1019" s="1076"/>
      <c r="C1019" s="774"/>
      <c r="D1019" s="775"/>
      <c r="E1019" s="776"/>
      <c r="F1019" s="776"/>
      <c r="G1019" s="777"/>
      <c r="H1019" s="783"/>
      <c r="I1019" s="777"/>
      <c r="J1019" s="776"/>
      <c r="K1019" s="779"/>
      <c r="L1019" s="779"/>
      <c r="M1019" s="779"/>
      <c r="N1019" s="780"/>
      <c r="O1019" s="780"/>
      <c r="P1019" s="777"/>
      <c r="Q1019" s="781"/>
      <c r="R1019" s="782"/>
      <c r="S1019" s="782"/>
      <c r="T1019" s="782"/>
    </row>
    <row r="1020" spans="2:20">
      <c r="B1020" s="1076"/>
      <c r="C1020" s="774"/>
      <c r="D1020" s="775"/>
      <c r="E1020" s="776"/>
      <c r="F1020" s="776"/>
      <c r="G1020" s="777"/>
      <c r="H1020" s="783"/>
      <c r="I1020" s="777"/>
      <c r="J1020" s="776"/>
      <c r="K1020" s="779"/>
      <c r="L1020" s="779"/>
      <c r="M1020" s="779"/>
      <c r="N1020" s="780"/>
      <c r="O1020" s="780"/>
      <c r="P1020" s="777"/>
      <c r="Q1020" s="781"/>
      <c r="R1020" s="782"/>
      <c r="S1020" s="782"/>
      <c r="T1020" s="782"/>
    </row>
    <row r="1021" spans="2:20">
      <c r="B1021" s="1076"/>
      <c r="C1021" s="774"/>
      <c r="D1021" s="775"/>
      <c r="E1021" s="776"/>
      <c r="F1021" s="776"/>
      <c r="G1021" s="777"/>
      <c r="H1021" s="783"/>
      <c r="I1021" s="777"/>
      <c r="J1021" s="776"/>
      <c r="K1021" s="779"/>
      <c r="L1021" s="779"/>
      <c r="M1021" s="779"/>
      <c r="N1021" s="780"/>
      <c r="O1021" s="780"/>
      <c r="P1021" s="777"/>
      <c r="Q1021" s="781"/>
      <c r="R1021" s="782"/>
      <c r="S1021" s="782"/>
      <c r="T1021" s="782"/>
    </row>
    <row r="1022" spans="2:20">
      <c r="B1022" s="1076"/>
      <c r="C1022" s="774"/>
      <c r="D1022" s="775"/>
      <c r="E1022" s="776"/>
      <c r="F1022" s="776"/>
      <c r="G1022" s="777"/>
      <c r="H1022" s="783"/>
      <c r="I1022" s="777"/>
      <c r="J1022" s="776"/>
      <c r="K1022" s="779"/>
      <c r="L1022" s="779"/>
      <c r="M1022" s="779"/>
      <c r="N1022" s="780"/>
      <c r="O1022" s="780"/>
      <c r="P1022" s="777"/>
      <c r="Q1022" s="781"/>
      <c r="R1022" s="782"/>
      <c r="S1022" s="782"/>
      <c r="T1022" s="782"/>
    </row>
    <row r="1023" spans="2:20">
      <c r="B1023" s="1076"/>
      <c r="C1023" s="774"/>
      <c r="D1023" s="775"/>
      <c r="E1023" s="776"/>
      <c r="F1023" s="776"/>
      <c r="G1023" s="777"/>
      <c r="H1023" s="783"/>
      <c r="I1023" s="777"/>
      <c r="J1023" s="776"/>
      <c r="K1023" s="779"/>
      <c r="L1023" s="779"/>
      <c r="M1023" s="779"/>
      <c r="N1023" s="780"/>
      <c r="O1023" s="780"/>
      <c r="P1023" s="777"/>
      <c r="Q1023" s="781"/>
      <c r="R1023" s="782"/>
      <c r="S1023" s="782"/>
      <c r="T1023" s="782"/>
    </row>
    <row r="1024" spans="2:20">
      <c r="B1024" s="1076"/>
      <c r="C1024" s="774"/>
      <c r="D1024" s="775"/>
      <c r="E1024" s="776"/>
      <c r="F1024" s="776"/>
      <c r="G1024" s="777"/>
      <c r="H1024" s="783"/>
      <c r="I1024" s="777"/>
      <c r="J1024" s="776"/>
      <c r="K1024" s="779"/>
      <c r="L1024" s="779"/>
      <c r="M1024" s="779"/>
      <c r="N1024" s="780"/>
      <c r="O1024" s="780"/>
      <c r="P1024" s="777"/>
      <c r="Q1024" s="781"/>
      <c r="R1024" s="782"/>
      <c r="S1024" s="782"/>
      <c r="T1024" s="782"/>
    </row>
    <row r="1025" spans="2:20">
      <c r="B1025" s="1076"/>
      <c r="C1025" s="774"/>
      <c r="D1025" s="775"/>
      <c r="E1025" s="776"/>
      <c r="F1025" s="776"/>
      <c r="G1025" s="777"/>
      <c r="H1025" s="783"/>
      <c r="I1025" s="777"/>
      <c r="J1025" s="776"/>
      <c r="K1025" s="779"/>
      <c r="L1025" s="779"/>
      <c r="M1025" s="779"/>
      <c r="N1025" s="780"/>
      <c r="O1025" s="780"/>
      <c r="P1025" s="777"/>
      <c r="Q1025" s="781"/>
      <c r="R1025" s="782"/>
      <c r="S1025" s="782"/>
      <c r="T1025" s="782"/>
    </row>
    <row r="1026" spans="2:20">
      <c r="B1026" s="1077"/>
      <c r="C1026" s="873"/>
      <c r="D1026" s="874"/>
      <c r="E1026" s="875"/>
      <c r="F1026" s="875"/>
      <c r="G1026" s="876"/>
      <c r="H1026" s="877"/>
      <c r="I1026" s="876"/>
      <c r="J1026" s="875"/>
      <c r="K1026" s="878"/>
      <c r="L1026" s="878"/>
      <c r="M1026" s="878"/>
      <c r="N1026" s="879"/>
      <c r="O1026" s="879"/>
      <c r="P1026" s="876"/>
      <c r="Q1026" s="880"/>
      <c r="R1026" s="881"/>
      <c r="S1026" s="881"/>
      <c r="T1026" s="881"/>
    </row>
    <row r="1027" spans="2:20">
      <c r="B1027" s="1075"/>
      <c r="C1027" s="785"/>
      <c r="D1027" s="786"/>
      <c r="E1027" s="787"/>
      <c r="F1027" s="787"/>
      <c r="G1027" s="788"/>
      <c r="H1027" s="797"/>
      <c r="I1027" s="788"/>
      <c r="J1027" s="787"/>
      <c r="K1027" s="790"/>
      <c r="L1027" s="790"/>
      <c r="M1027" s="790"/>
      <c r="N1027" s="791"/>
      <c r="O1027" s="791"/>
      <c r="P1027" s="788"/>
      <c r="Q1027" s="792"/>
      <c r="R1027" s="793"/>
      <c r="S1027" s="793"/>
      <c r="T1027" s="793"/>
    </row>
    <row r="1028" spans="2:20">
      <c r="B1028" s="1076"/>
      <c r="C1028" s="774"/>
      <c r="D1028" s="775"/>
      <c r="E1028" s="776"/>
      <c r="F1028" s="776"/>
      <c r="G1028" s="777"/>
      <c r="H1028" s="783"/>
      <c r="I1028" s="777"/>
      <c r="J1028" s="776"/>
      <c r="K1028" s="779"/>
      <c r="L1028" s="779"/>
      <c r="M1028" s="779"/>
      <c r="N1028" s="780"/>
      <c r="O1028" s="780"/>
      <c r="P1028" s="777"/>
      <c r="Q1028" s="781"/>
      <c r="R1028" s="782"/>
      <c r="S1028" s="782"/>
      <c r="T1028" s="782"/>
    </row>
    <row r="1029" spans="2:20">
      <c r="B1029" s="1076"/>
      <c r="C1029" s="774"/>
      <c r="D1029" s="775"/>
      <c r="E1029" s="776"/>
      <c r="F1029" s="776"/>
      <c r="G1029" s="777"/>
      <c r="H1029" s="783"/>
      <c r="I1029" s="777"/>
      <c r="J1029" s="776"/>
      <c r="K1029" s="779"/>
      <c r="L1029" s="779"/>
      <c r="M1029" s="779"/>
      <c r="N1029" s="780"/>
      <c r="O1029" s="780"/>
      <c r="P1029" s="777"/>
      <c r="Q1029" s="781"/>
      <c r="R1029" s="782"/>
      <c r="S1029" s="782"/>
      <c r="T1029" s="782"/>
    </row>
    <row r="1030" spans="2:20">
      <c r="B1030" s="1076"/>
      <c r="C1030" s="774"/>
      <c r="D1030" s="775"/>
      <c r="E1030" s="776"/>
      <c r="F1030" s="776"/>
      <c r="G1030" s="777"/>
      <c r="H1030" s="783"/>
      <c r="I1030" s="777"/>
      <c r="J1030" s="776"/>
      <c r="K1030" s="779"/>
      <c r="L1030" s="779"/>
      <c r="M1030" s="779"/>
      <c r="N1030" s="780"/>
      <c r="O1030" s="780"/>
      <c r="P1030" s="777"/>
      <c r="Q1030" s="781"/>
      <c r="R1030" s="782"/>
      <c r="S1030" s="782"/>
      <c r="T1030" s="782"/>
    </row>
    <row r="1031" spans="2:20">
      <c r="B1031" s="1076"/>
      <c r="C1031" s="774"/>
      <c r="D1031" s="775"/>
      <c r="E1031" s="776"/>
      <c r="F1031" s="776"/>
      <c r="G1031" s="777"/>
      <c r="H1031" s="783"/>
      <c r="I1031" s="777"/>
      <c r="J1031" s="776"/>
      <c r="K1031" s="779"/>
      <c r="L1031" s="779"/>
      <c r="M1031" s="779"/>
      <c r="N1031" s="780"/>
      <c r="O1031" s="780"/>
      <c r="P1031" s="777"/>
      <c r="Q1031" s="781"/>
      <c r="R1031" s="782"/>
      <c r="S1031" s="782"/>
      <c r="T1031" s="782"/>
    </row>
    <row r="1032" spans="2:20">
      <c r="B1032" s="1076"/>
      <c r="C1032" s="774"/>
      <c r="D1032" s="775"/>
      <c r="E1032" s="776"/>
      <c r="F1032" s="776"/>
      <c r="G1032" s="777"/>
      <c r="H1032" s="783"/>
      <c r="I1032" s="777"/>
      <c r="J1032" s="776"/>
      <c r="K1032" s="779"/>
      <c r="L1032" s="779"/>
      <c r="M1032" s="779"/>
      <c r="N1032" s="780"/>
      <c r="O1032" s="780"/>
      <c r="P1032" s="777"/>
      <c r="Q1032" s="781"/>
      <c r="R1032" s="782"/>
      <c r="S1032" s="782"/>
      <c r="T1032" s="782"/>
    </row>
    <row r="1033" spans="2:20">
      <c r="B1033" s="1076"/>
      <c r="C1033" s="774"/>
      <c r="D1033" s="775"/>
      <c r="E1033" s="776"/>
      <c r="F1033" s="776"/>
      <c r="G1033" s="777"/>
      <c r="H1033" s="783"/>
      <c r="I1033" s="777"/>
      <c r="J1033" s="776"/>
      <c r="K1033" s="779"/>
      <c r="L1033" s="779"/>
      <c r="M1033" s="779"/>
      <c r="N1033" s="780"/>
      <c r="O1033" s="780"/>
      <c r="P1033" s="777"/>
      <c r="Q1033" s="781"/>
      <c r="R1033" s="782"/>
      <c r="S1033" s="782"/>
      <c r="T1033" s="782"/>
    </row>
    <row r="1034" spans="2:20">
      <c r="B1034" s="1076"/>
      <c r="C1034" s="774"/>
      <c r="D1034" s="775"/>
      <c r="E1034" s="776"/>
      <c r="F1034" s="776"/>
      <c r="G1034" s="777"/>
      <c r="H1034" s="783"/>
      <c r="I1034" s="777"/>
      <c r="J1034" s="776"/>
      <c r="K1034" s="779"/>
      <c r="L1034" s="779"/>
      <c r="M1034" s="779"/>
      <c r="N1034" s="780"/>
      <c r="O1034" s="780"/>
      <c r="P1034" s="777"/>
      <c r="Q1034" s="781"/>
      <c r="R1034" s="782"/>
      <c r="S1034" s="782"/>
      <c r="T1034" s="782"/>
    </row>
    <row r="1035" spans="2:20">
      <c r="B1035" s="1076"/>
      <c r="C1035" s="774"/>
      <c r="D1035" s="775"/>
      <c r="E1035" s="776"/>
      <c r="F1035" s="776"/>
      <c r="G1035" s="777"/>
      <c r="H1035" s="783"/>
      <c r="I1035" s="777"/>
      <c r="J1035" s="776"/>
      <c r="K1035" s="779"/>
      <c r="L1035" s="779"/>
      <c r="M1035" s="779"/>
      <c r="N1035" s="780"/>
      <c r="O1035" s="780"/>
      <c r="P1035" s="777"/>
      <c r="Q1035" s="781"/>
      <c r="R1035" s="782"/>
      <c r="S1035" s="782"/>
      <c r="T1035" s="782"/>
    </row>
    <row r="1036" spans="2:20">
      <c r="B1036" s="1077"/>
      <c r="C1036" s="873"/>
      <c r="D1036" s="874"/>
      <c r="E1036" s="875"/>
      <c r="F1036" s="875"/>
      <c r="G1036" s="876"/>
      <c r="H1036" s="877"/>
      <c r="I1036" s="876"/>
      <c r="J1036" s="875"/>
      <c r="K1036" s="878"/>
      <c r="L1036" s="878"/>
      <c r="M1036" s="878"/>
      <c r="N1036" s="879"/>
      <c r="O1036" s="879"/>
      <c r="P1036" s="876"/>
      <c r="Q1036" s="880"/>
      <c r="R1036" s="881"/>
      <c r="S1036" s="881"/>
      <c r="T1036" s="881"/>
    </row>
    <row r="1037" spans="2:20">
      <c r="B1037" s="1075"/>
      <c r="C1037" s="785"/>
      <c r="D1037" s="786"/>
      <c r="E1037" s="787"/>
      <c r="F1037" s="787"/>
      <c r="G1037" s="788"/>
      <c r="H1037" s="797"/>
      <c r="I1037" s="788"/>
      <c r="J1037" s="787"/>
      <c r="K1037" s="790"/>
      <c r="L1037" s="790"/>
      <c r="M1037" s="790"/>
      <c r="N1037" s="791"/>
      <c r="O1037" s="791"/>
      <c r="P1037" s="788"/>
      <c r="Q1037" s="792"/>
      <c r="R1037" s="793"/>
      <c r="S1037" s="793"/>
      <c r="T1037" s="793"/>
    </row>
    <row r="1038" spans="2:20">
      <c r="B1038" s="1076"/>
      <c r="C1038" s="774"/>
      <c r="D1038" s="775"/>
      <c r="E1038" s="776"/>
      <c r="F1038" s="776"/>
      <c r="G1038" s="777"/>
      <c r="H1038" s="783"/>
      <c r="I1038" s="777"/>
      <c r="J1038" s="776"/>
      <c r="K1038" s="779"/>
      <c r="L1038" s="779"/>
      <c r="M1038" s="779"/>
      <c r="N1038" s="780"/>
      <c r="O1038" s="780"/>
      <c r="P1038" s="777"/>
      <c r="Q1038" s="781"/>
      <c r="R1038" s="782"/>
      <c r="S1038" s="782"/>
      <c r="T1038" s="782"/>
    </row>
    <row r="1039" spans="2:20">
      <c r="B1039" s="1076"/>
      <c r="C1039" s="774"/>
      <c r="D1039" s="775"/>
      <c r="E1039" s="776"/>
      <c r="F1039" s="776"/>
      <c r="G1039" s="777"/>
      <c r="H1039" s="783"/>
      <c r="I1039" s="777"/>
      <c r="J1039" s="776"/>
      <c r="K1039" s="779"/>
      <c r="L1039" s="779"/>
      <c r="M1039" s="779"/>
      <c r="N1039" s="780"/>
      <c r="O1039" s="780"/>
      <c r="P1039" s="777"/>
      <c r="Q1039" s="781"/>
      <c r="R1039" s="782"/>
      <c r="S1039" s="782"/>
      <c r="T1039" s="782"/>
    </row>
    <row r="1040" spans="2:20">
      <c r="B1040" s="1076"/>
      <c r="C1040" s="774"/>
      <c r="D1040" s="775"/>
      <c r="E1040" s="776"/>
      <c r="F1040" s="776"/>
      <c r="G1040" s="777"/>
      <c r="H1040" s="783"/>
      <c r="I1040" s="777"/>
      <c r="J1040" s="776"/>
      <c r="K1040" s="779"/>
      <c r="L1040" s="779"/>
      <c r="M1040" s="779"/>
      <c r="N1040" s="780"/>
      <c r="O1040" s="780"/>
      <c r="P1040" s="777"/>
      <c r="Q1040" s="781"/>
      <c r="R1040" s="782"/>
      <c r="S1040" s="782"/>
      <c r="T1040" s="782"/>
    </row>
    <row r="1041" spans="2:20">
      <c r="B1041" s="1076"/>
      <c r="C1041" s="774"/>
      <c r="D1041" s="775"/>
      <c r="E1041" s="776"/>
      <c r="F1041" s="776"/>
      <c r="G1041" s="777"/>
      <c r="H1041" s="783"/>
      <c r="I1041" s="777"/>
      <c r="J1041" s="776"/>
      <c r="K1041" s="779"/>
      <c r="L1041" s="779"/>
      <c r="M1041" s="779"/>
      <c r="N1041" s="780"/>
      <c r="O1041" s="780"/>
      <c r="P1041" s="777"/>
      <c r="Q1041" s="781"/>
      <c r="R1041" s="782"/>
      <c r="S1041" s="782"/>
      <c r="T1041" s="782"/>
    </row>
    <row r="1042" spans="2:20">
      <c r="B1042" s="1076"/>
      <c r="C1042" s="774"/>
      <c r="D1042" s="775"/>
      <c r="E1042" s="776"/>
      <c r="F1042" s="776"/>
      <c r="G1042" s="777"/>
      <c r="H1042" s="783"/>
      <c r="I1042" s="777"/>
      <c r="J1042" s="776"/>
      <c r="K1042" s="779"/>
      <c r="L1042" s="779"/>
      <c r="M1042" s="779"/>
      <c r="N1042" s="780"/>
      <c r="O1042" s="780"/>
      <c r="P1042" s="777"/>
      <c r="Q1042" s="781"/>
      <c r="R1042" s="782"/>
      <c r="S1042" s="782"/>
      <c r="T1042" s="782"/>
    </row>
    <row r="1043" spans="2:20">
      <c r="B1043" s="1076"/>
      <c r="C1043" s="774"/>
      <c r="D1043" s="775"/>
      <c r="E1043" s="776"/>
      <c r="F1043" s="776"/>
      <c r="G1043" s="777"/>
      <c r="H1043" s="783"/>
      <c r="I1043" s="777"/>
      <c r="J1043" s="776"/>
      <c r="K1043" s="779"/>
      <c r="L1043" s="779"/>
      <c r="M1043" s="779"/>
      <c r="N1043" s="780"/>
      <c r="O1043" s="780"/>
      <c r="P1043" s="777"/>
      <c r="Q1043" s="781"/>
      <c r="R1043" s="782"/>
      <c r="S1043" s="782"/>
      <c r="T1043" s="782"/>
    </row>
    <row r="1044" spans="2:20">
      <c r="B1044" s="1076"/>
      <c r="C1044" s="774"/>
      <c r="D1044" s="775"/>
      <c r="E1044" s="776"/>
      <c r="F1044" s="776"/>
      <c r="G1044" s="777"/>
      <c r="H1044" s="783"/>
      <c r="I1044" s="777"/>
      <c r="J1044" s="776"/>
      <c r="K1044" s="779"/>
      <c r="L1044" s="779"/>
      <c r="M1044" s="779"/>
      <c r="N1044" s="780"/>
      <c r="O1044" s="780"/>
      <c r="P1044" s="777"/>
      <c r="Q1044" s="781"/>
      <c r="R1044" s="782"/>
      <c r="S1044" s="782"/>
      <c r="T1044" s="782"/>
    </row>
    <row r="1045" spans="2:20">
      <c r="B1045" s="1076"/>
      <c r="C1045" s="774"/>
      <c r="D1045" s="775"/>
      <c r="E1045" s="776"/>
      <c r="F1045" s="776"/>
      <c r="G1045" s="777"/>
      <c r="H1045" s="783"/>
      <c r="I1045" s="777"/>
      <c r="J1045" s="776"/>
      <c r="K1045" s="779"/>
      <c r="L1045" s="779"/>
      <c r="M1045" s="779"/>
      <c r="N1045" s="780"/>
      <c r="O1045" s="780"/>
      <c r="P1045" s="777"/>
      <c r="Q1045" s="781"/>
      <c r="R1045" s="782"/>
      <c r="S1045" s="782"/>
      <c r="T1045" s="782"/>
    </row>
    <row r="1046" spans="2:20">
      <c r="B1046" s="1077"/>
      <c r="C1046" s="873"/>
      <c r="D1046" s="874"/>
      <c r="E1046" s="875"/>
      <c r="F1046" s="875"/>
      <c r="G1046" s="876"/>
      <c r="H1046" s="877"/>
      <c r="I1046" s="876"/>
      <c r="J1046" s="875"/>
      <c r="K1046" s="878"/>
      <c r="L1046" s="878"/>
      <c r="M1046" s="878"/>
      <c r="N1046" s="879"/>
      <c r="O1046" s="879"/>
      <c r="P1046" s="876"/>
      <c r="Q1046" s="880"/>
      <c r="R1046" s="881"/>
      <c r="S1046" s="881"/>
      <c r="T1046" s="881"/>
    </row>
    <row r="1047" spans="2:20">
      <c r="B1047" s="1075"/>
      <c r="C1047" s="785"/>
      <c r="D1047" s="786"/>
      <c r="E1047" s="787"/>
      <c r="F1047" s="787"/>
      <c r="G1047" s="788"/>
      <c r="H1047" s="797"/>
      <c r="I1047" s="788"/>
      <c r="J1047" s="787"/>
      <c r="K1047" s="790"/>
      <c r="L1047" s="790"/>
      <c r="M1047" s="790"/>
      <c r="N1047" s="791"/>
      <c r="O1047" s="791"/>
      <c r="P1047" s="788"/>
      <c r="Q1047" s="792"/>
      <c r="R1047" s="793"/>
      <c r="S1047" s="793"/>
      <c r="T1047" s="793"/>
    </row>
    <row r="1048" spans="2:20">
      <c r="B1048" s="1076"/>
      <c r="C1048" s="774"/>
      <c r="D1048" s="775"/>
      <c r="E1048" s="776"/>
      <c r="F1048" s="776"/>
      <c r="G1048" s="777"/>
      <c r="H1048" s="783"/>
      <c r="I1048" s="777"/>
      <c r="J1048" s="776"/>
      <c r="K1048" s="779"/>
      <c r="L1048" s="779"/>
      <c r="M1048" s="779"/>
      <c r="N1048" s="780"/>
      <c r="O1048" s="780"/>
      <c r="P1048" s="777"/>
      <c r="Q1048" s="781"/>
      <c r="R1048" s="782"/>
      <c r="S1048" s="782"/>
      <c r="T1048" s="782"/>
    </row>
    <row r="1049" spans="2:20">
      <c r="B1049" s="1076"/>
      <c r="C1049" s="774"/>
      <c r="D1049" s="775"/>
      <c r="E1049" s="776"/>
      <c r="F1049" s="776"/>
      <c r="G1049" s="777"/>
      <c r="H1049" s="783"/>
      <c r="I1049" s="777"/>
      <c r="J1049" s="776"/>
      <c r="K1049" s="779"/>
      <c r="L1049" s="779"/>
      <c r="M1049" s="779"/>
      <c r="N1049" s="780"/>
      <c r="O1049" s="780"/>
      <c r="P1049" s="777"/>
      <c r="Q1049" s="781"/>
      <c r="R1049" s="782"/>
      <c r="S1049" s="782"/>
      <c r="T1049" s="782"/>
    </row>
    <row r="1050" spans="2:20">
      <c r="B1050" s="1076"/>
      <c r="C1050" s="774"/>
      <c r="D1050" s="775"/>
      <c r="E1050" s="776"/>
      <c r="F1050" s="776"/>
      <c r="G1050" s="777"/>
      <c r="H1050" s="783"/>
      <c r="I1050" s="777"/>
      <c r="J1050" s="776"/>
      <c r="K1050" s="779"/>
      <c r="L1050" s="779"/>
      <c r="M1050" s="779"/>
      <c r="N1050" s="780"/>
      <c r="O1050" s="780"/>
      <c r="P1050" s="777"/>
      <c r="Q1050" s="781"/>
      <c r="R1050" s="782"/>
      <c r="S1050" s="782"/>
      <c r="T1050" s="782"/>
    </row>
    <row r="1051" spans="2:20">
      <c r="B1051" s="1076"/>
      <c r="C1051" s="774"/>
      <c r="D1051" s="775"/>
      <c r="E1051" s="776"/>
      <c r="F1051" s="776"/>
      <c r="G1051" s="777"/>
      <c r="H1051" s="783"/>
      <c r="I1051" s="777"/>
      <c r="J1051" s="776"/>
      <c r="K1051" s="779"/>
      <c r="L1051" s="779"/>
      <c r="M1051" s="779"/>
      <c r="N1051" s="780"/>
      <c r="O1051" s="780"/>
      <c r="P1051" s="777"/>
      <c r="Q1051" s="781"/>
      <c r="R1051" s="782"/>
      <c r="S1051" s="782"/>
      <c r="T1051" s="782"/>
    </row>
    <row r="1052" spans="2:20">
      <c r="B1052" s="1076"/>
      <c r="C1052" s="774"/>
      <c r="D1052" s="775"/>
      <c r="E1052" s="776"/>
      <c r="F1052" s="776"/>
      <c r="G1052" s="777"/>
      <c r="H1052" s="783"/>
      <c r="I1052" s="777"/>
      <c r="J1052" s="776"/>
      <c r="K1052" s="779"/>
      <c r="L1052" s="779"/>
      <c r="M1052" s="779"/>
      <c r="N1052" s="780"/>
      <c r="O1052" s="780"/>
      <c r="P1052" s="777"/>
      <c r="Q1052" s="781"/>
      <c r="R1052" s="782"/>
      <c r="S1052" s="782"/>
      <c r="T1052" s="782"/>
    </row>
    <row r="1053" spans="2:20">
      <c r="B1053" s="1076"/>
      <c r="C1053" s="774"/>
      <c r="D1053" s="775"/>
      <c r="E1053" s="776"/>
      <c r="F1053" s="776"/>
      <c r="G1053" s="777"/>
      <c r="H1053" s="783"/>
      <c r="I1053" s="777"/>
      <c r="J1053" s="776"/>
      <c r="K1053" s="779"/>
      <c r="L1053" s="779"/>
      <c r="M1053" s="779"/>
      <c r="N1053" s="780"/>
      <c r="O1053" s="780"/>
      <c r="P1053" s="777"/>
      <c r="Q1053" s="781"/>
      <c r="R1053" s="782"/>
      <c r="S1053" s="782"/>
      <c r="T1053" s="782"/>
    </row>
    <row r="1054" spans="2:20">
      <c r="B1054" s="1076"/>
      <c r="C1054" s="774"/>
      <c r="D1054" s="775"/>
      <c r="E1054" s="776"/>
      <c r="F1054" s="776"/>
      <c r="G1054" s="777"/>
      <c r="H1054" s="783"/>
      <c r="I1054" s="777"/>
      <c r="J1054" s="776"/>
      <c r="K1054" s="779"/>
      <c r="L1054" s="779"/>
      <c r="M1054" s="779"/>
      <c r="N1054" s="780"/>
      <c r="O1054" s="780"/>
      <c r="P1054" s="777"/>
      <c r="Q1054" s="781"/>
      <c r="R1054" s="782"/>
      <c r="S1054" s="782"/>
      <c r="T1054" s="782"/>
    </row>
    <row r="1055" spans="2:20">
      <c r="B1055" s="1076"/>
      <c r="C1055" s="774"/>
      <c r="D1055" s="775"/>
      <c r="E1055" s="776"/>
      <c r="F1055" s="776"/>
      <c r="G1055" s="777"/>
      <c r="H1055" s="783"/>
      <c r="I1055" s="777"/>
      <c r="J1055" s="776"/>
      <c r="K1055" s="779"/>
      <c r="L1055" s="779"/>
      <c r="M1055" s="779"/>
      <c r="N1055" s="780"/>
      <c r="O1055" s="780"/>
      <c r="P1055" s="777"/>
      <c r="Q1055" s="781"/>
      <c r="R1055" s="782"/>
      <c r="S1055" s="782"/>
      <c r="T1055" s="782"/>
    </row>
    <row r="1056" spans="2:20">
      <c r="B1056" s="1077"/>
      <c r="C1056" s="873"/>
      <c r="D1056" s="874"/>
      <c r="E1056" s="875"/>
      <c r="F1056" s="875"/>
      <c r="G1056" s="876"/>
      <c r="H1056" s="877"/>
      <c r="I1056" s="876"/>
      <c r="J1056" s="875"/>
      <c r="K1056" s="878"/>
      <c r="L1056" s="878"/>
      <c r="M1056" s="878"/>
      <c r="N1056" s="879"/>
      <c r="O1056" s="879"/>
      <c r="P1056" s="876"/>
      <c r="Q1056" s="880"/>
      <c r="R1056" s="881"/>
      <c r="S1056" s="881"/>
      <c r="T1056" s="881"/>
    </row>
    <row r="1057" spans="2:20">
      <c r="B1057" s="1075"/>
      <c r="C1057" s="785"/>
      <c r="D1057" s="786"/>
      <c r="E1057" s="787"/>
      <c r="F1057" s="787"/>
      <c r="G1057" s="788"/>
      <c r="H1057" s="797"/>
      <c r="I1057" s="788"/>
      <c r="J1057" s="787"/>
      <c r="K1057" s="790"/>
      <c r="L1057" s="790"/>
      <c r="M1057" s="790"/>
      <c r="N1057" s="791"/>
      <c r="O1057" s="791"/>
      <c r="P1057" s="788"/>
      <c r="Q1057" s="792"/>
      <c r="R1057" s="793"/>
      <c r="S1057" s="793"/>
      <c r="T1057" s="793"/>
    </row>
    <row r="1058" spans="2:20">
      <c r="B1058" s="1076"/>
      <c r="C1058" s="774"/>
      <c r="D1058" s="775"/>
      <c r="E1058" s="776"/>
      <c r="F1058" s="776"/>
      <c r="G1058" s="777"/>
      <c r="H1058" s="783"/>
      <c r="I1058" s="777"/>
      <c r="J1058" s="776"/>
      <c r="K1058" s="779"/>
      <c r="L1058" s="779"/>
      <c r="M1058" s="779"/>
      <c r="N1058" s="780"/>
      <c r="O1058" s="780"/>
      <c r="P1058" s="777"/>
      <c r="Q1058" s="781"/>
      <c r="R1058" s="782"/>
      <c r="S1058" s="782"/>
      <c r="T1058" s="782"/>
    </row>
    <row r="1059" spans="2:20">
      <c r="B1059" s="1076"/>
      <c r="C1059" s="774"/>
      <c r="D1059" s="775"/>
      <c r="E1059" s="776"/>
      <c r="F1059" s="776"/>
      <c r="G1059" s="777"/>
      <c r="H1059" s="783"/>
      <c r="I1059" s="777"/>
      <c r="J1059" s="776"/>
      <c r="K1059" s="779"/>
      <c r="L1059" s="779"/>
      <c r="M1059" s="779"/>
      <c r="N1059" s="780"/>
      <c r="O1059" s="780"/>
      <c r="P1059" s="777"/>
      <c r="Q1059" s="781"/>
      <c r="R1059" s="782"/>
      <c r="S1059" s="782"/>
      <c r="T1059" s="782"/>
    </row>
    <row r="1060" spans="2:20">
      <c r="B1060" s="1076"/>
      <c r="C1060" s="774"/>
      <c r="D1060" s="775"/>
      <c r="E1060" s="776"/>
      <c r="F1060" s="776"/>
      <c r="G1060" s="777"/>
      <c r="H1060" s="783"/>
      <c r="I1060" s="777"/>
      <c r="J1060" s="776"/>
      <c r="K1060" s="779"/>
      <c r="L1060" s="779"/>
      <c r="M1060" s="779"/>
      <c r="N1060" s="780"/>
      <c r="O1060" s="780"/>
      <c r="P1060" s="777"/>
      <c r="Q1060" s="781"/>
      <c r="R1060" s="782"/>
      <c r="S1060" s="782"/>
      <c r="T1060" s="782"/>
    </row>
    <row r="1061" spans="2:20">
      <c r="B1061" s="1076"/>
      <c r="C1061" s="774"/>
      <c r="D1061" s="775"/>
      <c r="E1061" s="776"/>
      <c r="F1061" s="776"/>
      <c r="G1061" s="777"/>
      <c r="H1061" s="783"/>
      <c r="I1061" s="777"/>
      <c r="J1061" s="776"/>
      <c r="K1061" s="779"/>
      <c r="L1061" s="779"/>
      <c r="M1061" s="779"/>
      <c r="N1061" s="780"/>
      <c r="O1061" s="780"/>
      <c r="P1061" s="777"/>
      <c r="Q1061" s="781"/>
      <c r="R1061" s="782"/>
      <c r="S1061" s="782"/>
      <c r="T1061" s="782"/>
    </row>
    <row r="1062" spans="2:20">
      <c r="B1062" s="1076"/>
      <c r="C1062" s="774"/>
      <c r="D1062" s="775"/>
      <c r="E1062" s="776"/>
      <c r="F1062" s="776"/>
      <c r="G1062" s="777"/>
      <c r="H1062" s="783"/>
      <c r="I1062" s="777"/>
      <c r="J1062" s="776"/>
      <c r="K1062" s="779"/>
      <c r="L1062" s="779"/>
      <c r="M1062" s="779"/>
      <c r="N1062" s="780"/>
      <c r="O1062" s="780"/>
      <c r="P1062" s="777"/>
      <c r="Q1062" s="781"/>
      <c r="R1062" s="782"/>
      <c r="S1062" s="782"/>
      <c r="T1062" s="782"/>
    </row>
    <row r="1063" spans="2:20">
      <c r="B1063" s="1076"/>
      <c r="C1063" s="774"/>
      <c r="D1063" s="775"/>
      <c r="E1063" s="776"/>
      <c r="F1063" s="776"/>
      <c r="G1063" s="777"/>
      <c r="H1063" s="783"/>
      <c r="I1063" s="777"/>
      <c r="J1063" s="776"/>
      <c r="K1063" s="779"/>
      <c r="L1063" s="779"/>
      <c r="M1063" s="779"/>
      <c r="N1063" s="780"/>
      <c r="O1063" s="780"/>
      <c r="P1063" s="777"/>
      <c r="Q1063" s="781"/>
      <c r="R1063" s="782"/>
      <c r="S1063" s="782"/>
      <c r="T1063" s="782"/>
    </row>
    <row r="1064" spans="2:20">
      <c r="B1064" s="1076"/>
      <c r="C1064" s="774"/>
      <c r="D1064" s="775"/>
      <c r="E1064" s="776"/>
      <c r="F1064" s="776"/>
      <c r="G1064" s="777"/>
      <c r="H1064" s="783"/>
      <c r="I1064" s="777"/>
      <c r="J1064" s="776"/>
      <c r="K1064" s="779"/>
      <c r="L1064" s="779"/>
      <c r="M1064" s="779"/>
      <c r="N1064" s="780"/>
      <c r="O1064" s="780"/>
      <c r="P1064" s="777"/>
      <c r="Q1064" s="781"/>
      <c r="R1064" s="782"/>
      <c r="S1064" s="782"/>
      <c r="T1064" s="782"/>
    </row>
    <row r="1065" spans="2:20">
      <c r="B1065" s="1076"/>
      <c r="C1065" s="774"/>
      <c r="D1065" s="775"/>
      <c r="E1065" s="776"/>
      <c r="F1065" s="776"/>
      <c r="G1065" s="777"/>
      <c r="H1065" s="783"/>
      <c r="I1065" s="777"/>
      <c r="J1065" s="776"/>
      <c r="K1065" s="779"/>
      <c r="L1065" s="779"/>
      <c r="M1065" s="779"/>
      <c r="N1065" s="780"/>
      <c r="O1065" s="780"/>
      <c r="P1065" s="777"/>
      <c r="Q1065" s="781"/>
      <c r="R1065" s="782"/>
      <c r="S1065" s="782"/>
      <c r="T1065" s="782"/>
    </row>
    <row r="1066" spans="2:20">
      <c r="B1066" s="1077"/>
      <c r="C1066" s="873"/>
      <c r="D1066" s="874"/>
      <c r="E1066" s="875"/>
      <c r="F1066" s="875"/>
      <c r="G1066" s="876"/>
      <c r="H1066" s="877"/>
      <c r="I1066" s="876"/>
      <c r="J1066" s="875"/>
      <c r="K1066" s="878"/>
      <c r="L1066" s="878"/>
      <c r="M1066" s="878"/>
      <c r="N1066" s="879"/>
      <c r="O1066" s="879"/>
      <c r="P1066" s="876"/>
      <c r="Q1066" s="880"/>
      <c r="R1066" s="881"/>
      <c r="S1066" s="881"/>
      <c r="T1066" s="881"/>
    </row>
    <row r="1067" spans="2:20">
      <c r="B1067" s="1076"/>
      <c r="C1067" s="774"/>
      <c r="D1067" s="775"/>
      <c r="E1067" s="776"/>
      <c r="F1067" s="776"/>
      <c r="G1067" s="777"/>
      <c r="H1067" s="783"/>
      <c r="I1067" s="777"/>
      <c r="J1067" s="776"/>
      <c r="K1067" s="779"/>
      <c r="L1067" s="779"/>
      <c r="M1067" s="779"/>
      <c r="N1067" s="780"/>
      <c r="O1067" s="780"/>
      <c r="P1067" s="777"/>
      <c r="Q1067" s="781"/>
      <c r="R1067" s="782"/>
      <c r="S1067" s="782"/>
      <c r="T1067" s="782"/>
    </row>
    <row r="1068" spans="2:20">
      <c r="B1068" s="1076"/>
      <c r="C1068" s="774"/>
      <c r="D1068" s="775"/>
      <c r="E1068" s="776"/>
      <c r="F1068" s="776"/>
      <c r="G1068" s="777"/>
      <c r="H1068" s="783"/>
      <c r="I1068" s="777"/>
      <c r="J1068" s="776"/>
      <c r="K1068" s="779"/>
      <c r="L1068" s="779"/>
      <c r="M1068" s="779"/>
      <c r="N1068" s="780"/>
      <c r="O1068" s="780"/>
      <c r="P1068" s="777"/>
      <c r="Q1068" s="781"/>
      <c r="R1068" s="782"/>
      <c r="S1068" s="782"/>
      <c r="T1068" s="782"/>
    </row>
    <row r="1069" spans="2:20">
      <c r="B1069" s="1076"/>
      <c r="C1069" s="774"/>
      <c r="D1069" s="775"/>
      <c r="E1069" s="776"/>
      <c r="F1069" s="776"/>
      <c r="G1069" s="777"/>
      <c r="H1069" s="783"/>
      <c r="I1069" s="777"/>
      <c r="J1069" s="776"/>
      <c r="K1069" s="779"/>
      <c r="L1069" s="779"/>
      <c r="M1069" s="779"/>
      <c r="N1069" s="780"/>
      <c r="O1069" s="780"/>
      <c r="P1069" s="777"/>
      <c r="Q1069" s="781"/>
      <c r="R1069" s="782"/>
      <c r="S1069" s="782"/>
      <c r="T1069" s="782"/>
    </row>
    <row r="1070" spans="2:20">
      <c r="B1070" s="1076"/>
      <c r="C1070" s="774"/>
      <c r="D1070" s="775"/>
      <c r="E1070" s="776"/>
      <c r="F1070" s="776"/>
      <c r="G1070" s="777"/>
      <c r="H1070" s="783"/>
      <c r="I1070" s="777"/>
      <c r="J1070" s="776"/>
      <c r="K1070" s="779"/>
      <c r="L1070" s="779"/>
      <c r="M1070" s="779"/>
      <c r="N1070" s="780"/>
      <c r="O1070" s="780"/>
      <c r="P1070" s="777"/>
      <c r="Q1070" s="781"/>
      <c r="R1070" s="782"/>
      <c r="S1070" s="782"/>
      <c r="T1070" s="782"/>
    </row>
    <row r="1071" spans="2:20">
      <c r="B1071" s="1076"/>
      <c r="C1071" s="774"/>
      <c r="D1071" s="775"/>
      <c r="E1071" s="776"/>
      <c r="F1071" s="776"/>
      <c r="G1071" s="777"/>
      <c r="H1071" s="783"/>
      <c r="I1071" s="777"/>
      <c r="J1071" s="776"/>
      <c r="K1071" s="779"/>
      <c r="L1071" s="779"/>
      <c r="M1071" s="779"/>
      <c r="N1071" s="780"/>
      <c r="O1071" s="780"/>
      <c r="P1071" s="777"/>
      <c r="Q1071" s="781"/>
      <c r="R1071" s="782"/>
      <c r="S1071" s="782"/>
      <c r="T1071" s="782"/>
    </row>
    <row r="1072" spans="2:20">
      <c r="B1072" s="1076"/>
      <c r="C1072" s="774"/>
      <c r="D1072" s="775"/>
      <c r="E1072" s="776"/>
      <c r="F1072" s="776"/>
      <c r="G1072" s="777"/>
      <c r="H1072" s="783"/>
      <c r="I1072" s="777"/>
      <c r="J1072" s="776"/>
      <c r="K1072" s="779"/>
      <c r="L1072" s="779"/>
      <c r="M1072" s="779"/>
      <c r="N1072" s="780"/>
      <c r="O1072" s="780"/>
      <c r="P1072" s="777"/>
      <c r="Q1072" s="781"/>
      <c r="R1072" s="782"/>
      <c r="S1072" s="782"/>
      <c r="T1072" s="782"/>
    </row>
    <row r="1073" spans="2:20">
      <c r="B1073" s="1076"/>
      <c r="C1073" s="774"/>
      <c r="D1073" s="775"/>
      <c r="E1073" s="776"/>
      <c r="F1073" s="776"/>
      <c r="G1073" s="777"/>
      <c r="H1073" s="783"/>
      <c r="I1073" s="777"/>
      <c r="J1073" s="776"/>
      <c r="K1073" s="779"/>
      <c r="L1073" s="779"/>
      <c r="M1073" s="779"/>
      <c r="N1073" s="780"/>
      <c r="O1073" s="780"/>
      <c r="P1073" s="777"/>
      <c r="Q1073" s="781"/>
      <c r="R1073" s="782"/>
      <c r="S1073" s="782"/>
      <c r="T1073" s="782"/>
    </row>
    <row r="1074" spans="2:20">
      <c r="B1074" s="1076"/>
      <c r="C1074" s="774"/>
      <c r="D1074" s="775"/>
      <c r="E1074" s="776"/>
      <c r="F1074" s="776"/>
      <c r="G1074" s="777"/>
      <c r="H1074" s="783"/>
      <c r="I1074" s="777"/>
      <c r="J1074" s="776"/>
      <c r="K1074" s="779"/>
      <c r="L1074" s="779"/>
      <c r="M1074" s="779"/>
      <c r="N1074" s="780"/>
      <c r="O1074" s="780"/>
      <c r="P1074" s="777"/>
      <c r="Q1074" s="781"/>
      <c r="R1074" s="782"/>
      <c r="S1074" s="782"/>
      <c r="T1074" s="782"/>
    </row>
    <row r="1075" spans="2:20">
      <c r="B1075" s="1076"/>
      <c r="C1075" s="774"/>
      <c r="D1075" s="775"/>
      <c r="E1075" s="776"/>
      <c r="F1075" s="776"/>
      <c r="G1075" s="777"/>
      <c r="H1075" s="783"/>
      <c r="I1075" s="777"/>
      <c r="J1075" s="776"/>
      <c r="K1075" s="779"/>
      <c r="L1075" s="779"/>
      <c r="M1075" s="779"/>
      <c r="N1075" s="780"/>
      <c r="O1075" s="780"/>
      <c r="P1075" s="777"/>
      <c r="Q1075" s="781"/>
      <c r="R1075" s="782"/>
      <c r="S1075" s="782"/>
      <c r="T1075" s="782"/>
    </row>
    <row r="1076" spans="2:20">
      <c r="B1076" s="1076"/>
      <c r="C1076" s="774"/>
      <c r="D1076" s="775"/>
      <c r="E1076" s="776"/>
      <c r="F1076" s="776"/>
      <c r="G1076" s="777"/>
      <c r="H1076" s="783"/>
      <c r="I1076" s="777"/>
      <c r="J1076" s="776"/>
      <c r="K1076" s="779"/>
      <c r="L1076" s="779"/>
      <c r="M1076" s="779"/>
      <c r="N1076" s="780"/>
      <c r="O1076" s="780"/>
      <c r="P1076" s="777"/>
      <c r="Q1076" s="781"/>
      <c r="R1076" s="782"/>
      <c r="S1076" s="782"/>
      <c r="T1076" s="782"/>
    </row>
    <row r="1077" spans="2:20">
      <c r="B1077" s="1078"/>
      <c r="C1077" s="1079"/>
      <c r="D1077" s="1080" t="s">
        <v>6087</v>
      </c>
      <c r="E1077" s="1078"/>
      <c r="F1077" s="1078"/>
      <c r="G1077" s="1078"/>
      <c r="H1077" s="1081"/>
      <c r="I1077" s="1078"/>
      <c r="J1077" s="1078"/>
      <c r="K1077" s="864"/>
      <c r="L1077" s="865"/>
      <c r="M1077" s="865"/>
      <c r="N1077" s="866"/>
      <c r="O1077" s="867"/>
      <c r="P1077" s="868"/>
      <c r="Q1077" s="869"/>
      <c r="R1077" s="870"/>
      <c r="S1077" s="870"/>
      <c r="T1077" s="870"/>
    </row>
    <row r="1078" spans="2:20">
      <c r="B1078" s="1075"/>
      <c r="C1078" s="785"/>
      <c r="D1078" s="786"/>
      <c r="E1078" s="787"/>
      <c r="F1078" s="787"/>
      <c r="G1078" s="788"/>
      <c r="H1078" s="797"/>
      <c r="I1078" s="788"/>
      <c r="J1078" s="787"/>
      <c r="K1078" s="790"/>
      <c r="L1078" s="790"/>
      <c r="M1078" s="790"/>
      <c r="N1078" s="791"/>
      <c r="O1078" s="791"/>
      <c r="P1078" s="788"/>
      <c r="Q1078" s="792"/>
      <c r="R1078" s="793"/>
      <c r="S1078" s="793"/>
      <c r="T1078" s="793"/>
    </row>
    <row r="1079" spans="2:20">
      <c r="B1079" s="1076"/>
      <c r="C1079" s="774"/>
      <c r="D1079" s="775"/>
      <c r="E1079" s="776"/>
      <c r="F1079" s="776"/>
      <c r="G1079" s="777"/>
      <c r="H1079" s="783"/>
      <c r="I1079" s="777"/>
      <c r="J1079" s="776"/>
      <c r="K1079" s="779"/>
      <c r="L1079" s="779"/>
      <c r="M1079" s="779"/>
      <c r="N1079" s="780"/>
      <c r="O1079" s="780"/>
      <c r="P1079" s="777"/>
      <c r="Q1079" s="781"/>
      <c r="R1079" s="782"/>
      <c r="S1079" s="782"/>
      <c r="T1079" s="782"/>
    </row>
    <row r="1080" spans="2:20">
      <c r="B1080" s="1076"/>
      <c r="C1080" s="774"/>
      <c r="D1080" s="775"/>
      <c r="E1080" s="776"/>
      <c r="F1080" s="776"/>
      <c r="G1080" s="777"/>
      <c r="H1080" s="783"/>
      <c r="I1080" s="777"/>
      <c r="J1080" s="776"/>
      <c r="K1080" s="779"/>
      <c r="L1080" s="779"/>
      <c r="M1080" s="779"/>
      <c r="N1080" s="780"/>
      <c r="O1080" s="780"/>
      <c r="P1080" s="777"/>
      <c r="Q1080" s="781"/>
      <c r="R1080" s="782"/>
      <c r="S1080" s="782"/>
      <c r="T1080" s="782"/>
    </row>
    <row r="1081" spans="2:20">
      <c r="B1081" s="1076"/>
      <c r="C1081" s="774"/>
      <c r="D1081" s="775"/>
      <c r="E1081" s="776"/>
      <c r="F1081" s="776"/>
      <c r="G1081" s="777"/>
      <c r="H1081" s="783"/>
      <c r="I1081" s="777"/>
      <c r="J1081" s="776"/>
      <c r="K1081" s="779"/>
      <c r="L1081" s="779"/>
      <c r="M1081" s="779"/>
      <c r="N1081" s="780"/>
      <c r="O1081" s="780"/>
      <c r="P1081" s="777"/>
      <c r="Q1081" s="781"/>
      <c r="R1081" s="782"/>
      <c r="S1081" s="782"/>
      <c r="T1081" s="782"/>
    </row>
    <row r="1082" spans="2:20">
      <c r="B1082" s="1076"/>
      <c r="C1082" s="774"/>
      <c r="D1082" s="775"/>
      <c r="E1082" s="776"/>
      <c r="F1082" s="776"/>
      <c r="G1082" s="777"/>
      <c r="H1082" s="783"/>
      <c r="I1082" s="777"/>
      <c r="J1082" s="776"/>
      <c r="K1082" s="779"/>
      <c r="L1082" s="779"/>
      <c r="M1082" s="779"/>
      <c r="N1082" s="780"/>
      <c r="O1082" s="780"/>
      <c r="P1082" s="777"/>
      <c r="Q1082" s="781"/>
      <c r="R1082" s="782"/>
      <c r="S1082" s="782"/>
      <c r="T1082" s="782"/>
    </row>
    <row r="1083" spans="2:20">
      <c r="B1083" s="1076"/>
      <c r="C1083" s="774"/>
      <c r="D1083" s="775"/>
      <c r="E1083" s="776"/>
      <c r="F1083" s="776"/>
      <c r="G1083" s="777"/>
      <c r="H1083" s="783"/>
      <c r="I1083" s="777"/>
      <c r="J1083" s="776"/>
      <c r="K1083" s="779"/>
      <c r="L1083" s="779"/>
      <c r="M1083" s="779"/>
      <c r="N1083" s="780"/>
      <c r="O1083" s="780"/>
      <c r="P1083" s="777"/>
      <c r="Q1083" s="781"/>
      <c r="R1083" s="782"/>
      <c r="S1083" s="782"/>
      <c r="T1083" s="782"/>
    </row>
    <row r="1084" spans="2:20">
      <c r="B1084" s="1076"/>
      <c r="C1084" s="774"/>
      <c r="D1084" s="775"/>
      <c r="E1084" s="776"/>
      <c r="F1084" s="776"/>
      <c r="G1084" s="777"/>
      <c r="H1084" s="783"/>
      <c r="I1084" s="777"/>
      <c r="J1084" s="776"/>
      <c r="K1084" s="779"/>
      <c r="L1084" s="779"/>
      <c r="M1084" s="779"/>
      <c r="N1084" s="780"/>
      <c r="O1084" s="780"/>
      <c r="P1084" s="777"/>
      <c r="Q1084" s="781"/>
      <c r="R1084" s="782"/>
      <c r="S1084" s="782"/>
      <c r="T1084" s="782"/>
    </row>
    <row r="1085" spans="2:20">
      <c r="B1085" s="1076"/>
      <c r="C1085" s="774"/>
      <c r="D1085" s="775"/>
      <c r="E1085" s="776"/>
      <c r="F1085" s="776"/>
      <c r="G1085" s="777"/>
      <c r="H1085" s="783"/>
      <c r="I1085" s="777"/>
      <c r="J1085" s="776"/>
      <c r="K1085" s="779"/>
      <c r="L1085" s="779"/>
      <c r="M1085" s="779"/>
      <c r="N1085" s="780"/>
      <c r="O1085" s="780"/>
      <c r="P1085" s="777"/>
      <c r="Q1085" s="781"/>
      <c r="R1085" s="782"/>
      <c r="S1085" s="782"/>
      <c r="T1085" s="782"/>
    </row>
    <row r="1086" spans="2:20">
      <c r="B1086" s="1076"/>
      <c r="C1086" s="774"/>
      <c r="D1086" s="775"/>
      <c r="E1086" s="776"/>
      <c r="F1086" s="776"/>
      <c r="G1086" s="777"/>
      <c r="H1086" s="783"/>
      <c r="I1086" s="777"/>
      <c r="J1086" s="776"/>
      <c r="K1086" s="779"/>
      <c r="L1086" s="779"/>
      <c r="M1086" s="779"/>
      <c r="N1086" s="780"/>
      <c r="O1086" s="780"/>
      <c r="P1086" s="777"/>
      <c r="Q1086" s="781"/>
      <c r="R1086" s="782"/>
      <c r="S1086" s="782"/>
      <c r="T1086" s="782"/>
    </row>
    <row r="1087" spans="2:20">
      <c r="B1087" s="1077"/>
      <c r="C1087" s="873"/>
      <c r="D1087" s="874"/>
      <c r="E1087" s="875"/>
      <c r="F1087" s="875"/>
      <c r="G1087" s="876"/>
      <c r="H1087" s="877"/>
      <c r="I1087" s="876"/>
      <c r="J1087" s="875"/>
      <c r="K1087" s="878"/>
      <c r="L1087" s="878"/>
      <c r="M1087" s="878"/>
      <c r="N1087" s="879"/>
      <c r="O1087" s="879"/>
      <c r="P1087" s="876"/>
      <c r="Q1087" s="880"/>
      <c r="R1087" s="881"/>
      <c r="S1087" s="881"/>
      <c r="T1087" s="881"/>
    </row>
    <row r="1088" spans="2:20">
      <c r="B1088" s="1075"/>
      <c r="C1088" s="785"/>
      <c r="D1088" s="786"/>
      <c r="E1088" s="787"/>
      <c r="F1088" s="787"/>
      <c r="G1088" s="788"/>
      <c r="H1088" s="797"/>
      <c r="I1088" s="788"/>
      <c r="J1088" s="787"/>
      <c r="K1088" s="790"/>
      <c r="L1088" s="790"/>
      <c r="M1088" s="790"/>
      <c r="N1088" s="791"/>
      <c r="O1088" s="791"/>
      <c r="P1088" s="788"/>
      <c r="Q1088" s="792"/>
      <c r="R1088" s="793"/>
      <c r="S1088" s="793"/>
      <c r="T1088" s="793"/>
    </row>
    <row r="1089" spans="2:20">
      <c r="B1089" s="1076"/>
      <c r="C1089" s="774"/>
      <c r="D1089" s="775"/>
      <c r="E1089" s="776"/>
      <c r="F1089" s="776"/>
      <c r="G1089" s="777"/>
      <c r="H1089" s="783"/>
      <c r="I1089" s="777"/>
      <c r="J1089" s="776"/>
      <c r="K1089" s="779"/>
      <c r="L1089" s="779"/>
      <c r="M1089" s="779"/>
      <c r="N1089" s="780"/>
      <c r="O1089" s="780"/>
      <c r="P1089" s="777"/>
      <c r="Q1089" s="781"/>
      <c r="R1089" s="782"/>
      <c r="S1089" s="782"/>
      <c r="T1089" s="782"/>
    </row>
    <row r="1090" spans="2:20">
      <c r="B1090" s="1076"/>
      <c r="C1090" s="774"/>
      <c r="D1090" s="775"/>
      <c r="E1090" s="776"/>
      <c r="F1090" s="776"/>
      <c r="G1090" s="777"/>
      <c r="H1090" s="783"/>
      <c r="I1090" s="777"/>
      <c r="J1090" s="776"/>
      <c r="K1090" s="779"/>
      <c r="L1090" s="779"/>
      <c r="M1090" s="779"/>
      <c r="N1090" s="780"/>
      <c r="O1090" s="780"/>
      <c r="P1090" s="777"/>
      <c r="Q1090" s="781"/>
      <c r="R1090" s="782"/>
      <c r="S1090" s="782"/>
      <c r="T1090" s="782"/>
    </row>
    <row r="1091" spans="2:20">
      <c r="B1091" s="1076"/>
      <c r="C1091" s="774"/>
      <c r="D1091" s="775"/>
      <c r="E1091" s="776"/>
      <c r="F1091" s="776"/>
      <c r="G1091" s="777"/>
      <c r="H1091" s="783"/>
      <c r="I1091" s="777"/>
      <c r="J1091" s="776"/>
      <c r="K1091" s="779"/>
      <c r="L1091" s="779"/>
      <c r="M1091" s="779"/>
      <c r="N1091" s="780"/>
      <c r="O1091" s="780"/>
      <c r="P1091" s="777"/>
      <c r="Q1091" s="781"/>
      <c r="R1091" s="782"/>
      <c r="S1091" s="782"/>
      <c r="T1091" s="782"/>
    </row>
    <row r="1092" spans="2:20">
      <c r="B1092" s="1076"/>
      <c r="C1092" s="774"/>
      <c r="D1092" s="775"/>
      <c r="E1092" s="776"/>
      <c r="F1092" s="776"/>
      <c r="G1092" s="777"/>
      <c r="H1092" s="783"/>
      <c r="I1092" s="777"/>
      <c r="J1092" s="776"/>
      <c r="K1092" s="779"/>
      <c r="L1092" s="779"/>
      <c r="M1092" s="779"/>
      <c r="N1092" s="780"/>
      <c r="O1092" s="780"/>
      <c r="P1092" s="777"/>
      <c r="Q1092" s="781"/>
      <c r="R1092" s="782"/>
      <c r="S1092" s="782"/>
      <c r="T1092" s="782"/>
    </row>
    <row r="1093" spans="2:20">
      <c r="B1093" s="1076"/>
      <c r="C1093" s="774"/>
      <c r="D1093" s="775"/>
      <c r="E1093" s="776"/>
      <c r="F1093" s="776"/>
      <c r="G1093" s="777"/>
      <c r="H1093" s="783"/>
      <c r="I1093" s="777"/>
      <c r="J1093" s="776"/>
      <c r="K1093" s="779"/>
      <c r="L1093" s="779"/>
      <c r="M1093" s="779"/>
      <c r="N1093" s="780"/>
      <c r="O1093" s="780"/>
      <c r="P1093" s="777"/>
      <c r="Q1093" s="781"/>
      <c r="R1093" s="782"/>
      <c r="S1093" s="782"/>
      <c r="T1093" s="782"/>
    </row>
    <row r="1094" spans="2:20">
      <c r="B1094" s="1076"/>
      <c r="C1094" s="774"/>
      <c r="D1094" s="775"/>
      <c r="E1094" s="776"/>
      <c r="F1094" s="776"/>
      <c r="G1094" s="777"/>
      <c r="H1094" s="783"/>
      <c r="I1094" s="777"/>
      <c r="J1094" s="776"/>
      <c r="K1094" s="779"/>
      <c r="L1094" s="779"/>
      <c r="M1094" s="779"/>
      <c r="N1094" s="780"/>
      <c r="O1094" s="780"/>
      <c r="P1094" s="777"/>
      <c r="Q1094" s="781"/>
      <c r="R1094" s="782"/>
      <c r="S1094" s="782"/>
      <c r="T1094" s="782"/>
    </row>
    <row r="1095" spans="2:20">
      <c r="B1095" s="1076"/>
      <c r="C1095" s="774"/>
      <c r="D1095" s="775"/>
      <c r="E1095" s="776"/>
      <c r="F1095" s="776"/>
      <c r="G1095" s="777"/>
      <c r="H1095" s="783"/>
      <c r="I1095" s="777"/>
      <c r="J1095" s="776"/>
      <c r="K1095" s="779"/>
      <c r="L1095" s="779"/>
      <c r="M1095" s="779"/>
      <c r="N1095" s="780"/>
      <c r="O1095" s="780"/>
      <c r="P1095" s="777"/>
      <c r="Q1095" s="781"/>
      <c r="R1095" s="782"/>
      <c r="S1095" s="782"/>
      <c r="T1095" s="782"/>
    </row>
    <row r="1096" spans="2:20">
      <c r="B1096" s="1076"/>
      <c r="C1096" s="774"/>
      <c r="D1096" s="775"/>
      <c r="E1096" s="776"/>
      <c r="F1096" s="776"/>
      <c r="G1096" s="777"/>
      <c r="H1096" s="783"/>
      <c r="I1096" s="777"/>
      <c r="J1096" s="776"/>
      <c r="K1096" s="779"/>
      <c r="L1096" s="779"/>
      <c r="M1096" s="779"/>
      <c r="N1096" s="780"/>
      <c r="O1096" s="780"/>
      <c r="P1096" s="777"/>
      <c r="Q1096" s="781"/>
      <c r="R1096" s="782"/>
      <c r="S1096" s="782"/>
      <c r="T1096" s="782"/>
    </row>
    <row r="1097" spans="2:20">
      <c r="B1097" s="1077"/>
      <c r="C1097" s="873"/>
      <c r="D1097" s="874"/>
      <c r="E1097" s="875"/>
      <c r="F1097" s="875"/>
      <c r="G1097" s="876"/>
      <c r="H1097" s="877"/>
      <c r="I1097" s="876"/>
      <c r="J1097" s="875"/>
      <c r="K1097" s="878"/>
      <c r="L1097" s="878"/>
      <c r="M1097" s="878"/>
      <c r="N1097" s="879"/>
      <c r="O1097" s="879"/>
      <c r="P1097" s="876"/>
      <c r="Q1097" s="880"/>
      <c r="R1097" s="881"/>
      <c r="S1097" s="881"/>
      <c r="T1097" s="881"/>
    </row>
    <row r="1098" spans="2:20">
      <c r="B1098" s="1075"/>
      <c r="C1098" s="785"/>
      <c r="D1098" s="786"/>
      <c r="E1098" s="787"/>
      <c r="F1098" s="787"/>
      <c r="G1098" s="788"/>
      <c r="H1098" s="797"/>
      <c r="I1098" s="788"/>
      <c r="J1098" s="787"/>
      <c r="K1098" s="790"/>
      <c r="L1098" s="790"/>
      <c r="M1098" s="790"/>
      <c r="N1098" s="791"/>
      <c r="O1098" s="791"/>
      <c r="P1098" s="788"/>
      <c r="Q1098" s="792"/>
      <c r="R1098" s="793"/>
      <c r="S1098" s="793"/>
      <c r="T1098" s="793"/>
    </row>
    <row r="1099" spans="2:20">
      <c r="B1099" s="1076"/>
      <c r="C1099" s="774"/>
      <c r="D1099" s="775"/>
      <c r="E1099" s="776"/>
      <c r="F1099" s="776"/>
      <c r="G1099" s="777"/>
      <c r="H1099" s="783"/>
      <c r="I1099" s="777"/>
      <c r="J1099" s="776"/>
      <c r="K1099" s="779"/>
      <c r="L1099" s="779"/>
      <c r="M1099" s="779"/>
      <c r="N1099" s="780"/>
      <c r="O1099" s="780"/>
      <c r="P1099" s="777"/>
      <c r="Q1099" s="781"/>
      <c r="R1099" s="782"/>
      <c r="S1099" s="782"/>
      <c r="T1099" s="782"/>
    </row>
    <row r="1100" spans="2:20">
      <c r="B1100" s="1076"/>
      <c r="C1100" s="774"/>
      <c r="D1100" s="775"/>
      <c r="E1100" s="776"/>
      <c r="F1100" s="776"/>
      <c r="G1100" s="777"/>
      <c r="H1100" s="783"/>
      <c r="I1100" s="777"/>
      <c r="J1100" s="776"/>
      <c r="K1100" s="779"/>
      <c r="L1100" s="779"/>
      <c r="M1100" s="779"/>
      <c r="N1100" s="780"/>
      <c r="O1100" s="780"/>
      <c r="P1100" s="777"/>
      <c r="Q1100" s="781"/>
      <c r="R1100" s="782"/>
      <c r="S1100" s="782"/>
      <c r="T1100" s="782"/>
    </row>
    <row r="1101" spans="2:20">
      <c r="B1101" s="1076"/>
      <c r="C1101" s="774"/>
      <c r="D1101" s="775"/>
      <c r="E1101" s="776"/>
      <c r="F1101" s="776"/>
      <c r="G1101" s="777"/>
      <c r="H1101" s="783"/>
      <c r="I1101" s="777"/>
      <c r="J1101" s="776"/>
      <c r="K1101" s="779"/>
      <c r="L1101" s="779"/>
      <c r="M1101" s="779"/>
      <c r="N1101" s="780"/>
      <c r="O1101" s="780"/>
      <c r="P1101" s="777"/>
      <c r="Q1101" s="781"/>
      <c r="R1101" s="782"/>
      <c r="S1101" s="782"/>
      <c r="T1101" s="782"/>
    </row>
    <row r="1102" spans="2:20">
      <c r="B1102" s="1076"/>
      <c r="C1102" s="774"/>
      <c r="D1102" s="775"/>
      <c r="E1102" s="776"/>
      <c r="F1102" s="776"/>
      <c r="G1102" s="777"/>
      <c r="H1102" s="783"/>
      <c r="I1102" s="777"/>
      <c r="J1102" s="776"/>
      <c r="K1102" s="779"/>
      <c r="L1102" s="779"/>
      <c r="M1102" s="779"/>
      <c r="N1102" s="780"/>
      <c r="O1102" s="780"/>
      <c r="P1102" s="777"/>
      <c r="Q1102" s="781"/>
      <c r="R1102" s="782"/>
      <c r="S1102" s="782"/>
      <c r="T1102" s="782"/>
    </row>
    <row r="1103" spans="2:20">
      <c r="B1103" s="1076"/>
      <c r="C1103" s="774"/>
      <c r="D1103" s="775"/>
      <c r="E1103" s="776"/>
      <c r="F1103" s="776"/>
      <c r="G1103" s="777"/>
      <c r="H1103" s="783"/>
      <c r="I1103" s="777"/>
      <c r="J1103" s="776"/>
      <c r="K1103" s="779"/>
      <c r="L1103" s="779"/>
      <c r="M1103" s="779"/>
      <c r="N1103" s="780"/>
      <c r="O1103" s="780"/>
      <c r="P1103" s="777"/>
      <c r="Q1103" s="781"/>
      <c r="R1103" s="782"/>
      <c r="S1103" s="782"/>
      <c r="T1103" s="782"/>
    </row>
    <row r="1104" spans="2:20">
      <c r="B1104" s="1076"/>
      <c r="C1104" s="774"/>
      <c r="D1104" s="775"/>
      <c r="E1104" s="776"/>
      <c r="F1104" s="776"/>
      <c r="G1104" s="777"/>
      <c r="H1104" s="783"/>
      <c r="I1104" s="777"/>
      <c r="J1104" s="776"/>
      <c r="K1104" s="779"/>
      <c r="L1104" s="779"/>
      <c r="M1104" s="779"/>
      <c r="N1104" s="780"/>
      <c r="O1104" s="780"/>
      <c r="P1104" s="777"/>
      <c r="Q1104" s="781"/>
      <c r="R1104" s="782"/>
      <c r="S1104" s="782"/>
      <c r="T1104" s="782"/>
    </row>
    <row r="1105" spans="2:20">
      <c r="B1105" s="1076"/>
      <c r="C1105" s="774"/>
      <c r="D1105" s="775"/>
      <c r="E1105" s="776"/>
      <c r="F1105" s="776"/>
      <c r="G1105" s="777"/>
      <c r="H1105" s="783"/>
      <c r="I1105" s="777"/>
      <c r="J1105" s="776"/>
      <c r="K1105" s="779"/>
      <c r="L1105" s="779"/>
      <c r="M1105" s="779"/>
      <c r="N1105" s="780"/>
      <c r="O1105" s="780"/>
      <c r="P1105" s="777"/>
      <c r="Q1105" s="781"/>
      <c r="R1105" s="782"/>
      <c r="S1105" s="782"/>
      <c r="T1105" s="782"/>
    </row>
    <row r="1106" spans="2:20">
      <c r="B1106" s="1076"/>
      <c r="C1106" s="774"/>
      <c r="D1106" s="775"/>
      <c r="E1106" s="776"/>
      <c r="F1106" s="776"/>
      <c r="G1106" s="777"/>
      <c r="H1106" s="783"/>
      <c r="I1106" s="777"/>
      <c r="J1106" s="776"/>
      <c r="K1106" s="779"/>
      <c r="L1106" s="779"/>
      <c r="M1106" s="779"/>
      <c r="N1106" s="780"/>
      <c r="O1106" s="780"/>
      <c r="P1106" s="777"/>
      <c r="Q1106" s="781"/>
      <c r="R1106" s="782"/>
      <c r="S1106" s="782"/>
      <c r="T1106" s="782"/>
    </row>
    <row r="1107" spans="2:20">
      <c r="B1107" s="1077"/>
      <c r="C1107" s="873"/>
      <c r="D1107" s="874"/>
      <c r="E1107" s="875"/>
      <c r="F1107" s="875"/>
      <c r="G1107" s="876"/>
      <c r="H1107" s="877"/>
      <c r="I1107" s="876"/>
      <c r="J1107" s="875"/>
      <c r="K1107" s="878"/>
      <c r="L1107" s="878"/>
      <c r="M1107" s="878"/>
      <c r="N1107" s="879"/>
      <c r="O1107" s="879"/>
      <c r="P1107" s="876"/>
      <c r="Q1107" s="880"/>
      <c r="R1107" s="881"/>
      <c r="S1107" s="881"/>
      <c r="T1107" s="881"/>
    </row>
    <row r="1108" spans="2:20">
      <c r="B1108" s="1075"/>
      <c r="C1108" s="785"/>
      <c r="D1108" s="786"/>
      <c r="E1108" s="787"/>
      <c r="F1108" s="787"/>
      <c r="G1108" s="788"/>
      <c r="H1108" s="797"/>
      <c r="I1108" s="788"/>
      <c r="J1108" s="787"/>
      <c r="K1108" s="790"/>
      <c r="L1108" s="790"/>
      <c r="M1108" s="790"/>
      <c r="N1108" s="791"/>
      <c r="O1108" s="791"/>
      <c r="P1108" s="788"/>
      <c r="Q1108" s="792"/>
      <c r="R1108" s="793"/>
      <c r="S1108" s="793"/>
      <c r="T1108" s="793"/>
    </row>
    <row r="1109" spans="2:20">
      <c r="B1109" s="1076"/>
      <c r="C1109" s="774"/>
      <c r="D1109" s="775"/>
      <c r="E1109" s="776"/>
      <c r="F1109" s="776"/>
      <c r="G1109" s="777"/>
      <c r="H1109" s="783"/>
      <c r="I1109" s="777"/>
      <c r="J1109" s="776"/>
      <c r="K1109" s="779"/>
      <c r="L1109" s="779"/>
      <c r="M1109" s="779"/>
      <c r="N1109" s="780"/>
      <c r="O1109" s="780"/>
      <c r="P1109" s="777"/>
      <c r="Q1109" s="781"/>
      <c r="R1109" s="782"/>
      <c r="S1109" s="782"/>
      <c r="T1109" s="782"/>
    </row>
    <row r="1110" spans="2:20">
      <c r="B1110" s="1076"/>
      <c r="C1110" s="774"/>
      <c r="D1110" s="775"/>
      <c r="E1110" s="776"/>
      <c r="F1110" s="776"/>
      <c r="G1110" s="777"/>
      <c r="H1110" s="783"/>
      <c r="I1110" s="777"/>
      <c r="J1110" s="776"/>
      <c r="K1110" s="779"/>
      <c r="L1110" s="779"/>
      <c r="M1110" s="779"/>
      <c r="N1110" s="780"/>
      <c r="O1110" s="780"/>
      <c r="P1110" s="777"/>
      <c r="Q1110" s="781"/>
      <c r="R1110" s="782"/>
      <c r="S1110" s="782"/>
      <c r="T1110" s="782"/>
    </row>
    <row r="1111" spans="2:20">
      <c r="B1111" s="1076"/>
      <c r="C1111" s="774"/>
      <c r="D1111" s="775"/>
      <c r="E1111" s="776"/>
      <c r="F1111" s="776"/>
      <c r="G1111" s="777"/>
      <c r="H1111" s="783"/>
      <c r="I1111" s="777"/>
      <c r="J1111" s="776"/>
      <c r="K1111" s="779"/>
      <c r="L1111" s="779"/>
      <c r="M1111" s="779"/>
      <c r="N1111" s="780"/>
      <c r="O1111" s="780"/>
      <c r="P1111" s="777"/>
      <c r="Q1111" s="781"/>
      <c r="R1111" s="782"/>
      <c r="S1111" s="782"/>
      <c r="T1111" s="782"/>
    </row>
    <row r="1112" spans="2:20">
      <c r="B1112" s="1076"/>
      <c r="C1112" s="774"/>
      <c r="D1112" s="775"/>
      <c r="E1112" s="776"/>
      <c r="F1112" s="776"/>
      <c r="G1112" s="777"/>
      <c r="H1112" s="783"/>
      <c r="I1112" s="777"/>
      <c r="J1112" s="776"/>
      <c r="K1112" s="779"/>
      <c r="L1112" s="779"/>
      <c r="M1112" s="779"/>
      <c r="N1112" s="780"/>
      <c r="O1112" s="780"/>
      <c r="P1112" s="777"/>
      <c r="Q1112" s="781"/>
      <c r="R1112" s="782"/>
      <c r="S1112" s="782"/>
      <c r="T1112" s="782"/>
    </row>
    <row r="1113" spans="2:20">
      <c r="B1113" s="1076"/>
      <c r="C1113" s="774"/>
      <c r="D1113" s="775"/>
      <c r="E1113" s="776"/>
      <c r="F1113" s="776"/>
      <c r="G1113" s="777"/>
      <c r="H1113" s="783"/>
      <c r="I1113" s="777"/>
      <c r="J1113" s="776"/>
      <c r="K1113" s="779"/>
      <c r="L1113" s="779"/>
      <c r="M1113" s="779"/>
      <c r="N1113" s="780"/>
      <c r="O1113" s="780"/>
      <c r="P1113" s="777"/>
      <c r="Q1113" s="781"/>
      <c r="R1113" s="782"/>
      <c r="S1113" s="782"/>
      <c r="T1113" s="782"/>
    </row>
    <row r="1114" spans="2:20">
      <c r="B1114" s="1076"/>
      <c r="C1114" s="774"/>
      <c r="D1114" s="775"/>
      <c r="E1114" s="776"/>
      <c r="F1114" s="776"/>
      <c r="G1114" s="777"/>
      <c r="H1114" s="783"/>
      <c r="I1114" s="777"/>
      <c r="J1114" s="776"/>
      <c r="K1114" s="779"/>
      <c r="L1114" s="779"/>
      <c r="M1114" s="779"/>
      <c r="N1114" s="780"/>
      <c r="O1114" s="780"/>
      <c r="P1114" s="777"/>
      <c r="Q1114" s="781"/>
      <c r="R1114" s="782"/>
      <c r="S1114" s="782"/>
      <c r="T1114" s="782"/>
    </row>
    <row r="1115" spans="2:20">
      <c r="B1115" s="1076"/>
      <c r="C1115" s="774"/>
      <c r="D1115" s="775"/>
      <c r="E1115" s="776"/>
      <c r="F1115" s="776"/>
      <c r="G1115" s="777"/>
      <c r="H1115" s="783"/>
      <c r="I1115" s="777"/>
      <c r="J1115" s="776"/>
      <c r="K1115" s="779"/>
      <c r="L1115" s="779"/>
      <c r="M1115" s="779"/>
      <c r="N1115" s="780"/>
      <c r="O1115" s="780"/>
      <c r="P1115" s="777"/>
      <c r="Q1115" s="781"/>
      <c r="R1115" s="782"/>
      <c r="S1115" s="782"/>
      <c r="T1115" s="782"/>
    </row>
    <row r="1116" spans="2:20">
      <c r="B1116" s="1076"/>
      <c r="C1116" s="774"/>
      <c r="D1116" s="775"/>
      <c r="E1116" s="776"/>
      <c r="F1116" s="776"/>
      <c r="G1116" s="777"/>
      <c r="H1116" s="783"/>
      <c r="I1116" s="777"/>
      <c r="J1116" s="776"/>
      <c r="K1116" s="779"/>
      <c r="L1116" s="779"/>
      <c r="M1116" s="779"/>
      <c r="N1116" s="780"/>
      <c r="O1116" s="780"/>
      <c r="P1116" s="777"/>
      <c r="Q1116" s="781"/>
      <c r="R1116" s="782"/>
      <c r="S1116" s="782"/>
      <c r="T1116" s="782"/>
    </row>
    <row r="1117" spans="2:20">
      <c r="B1117" s="1077"/>
      <c r="C1117" s="873"/>
      <c r="D1117" s="874"/>
      <c r="E1117" s="875"/>
      <c r="F1117" s="875"/>
      <c r="G1117" s="876"/>
      <c r="H1117" s="877"/>
      <c r="I1117" s="876"/>
      <c r="J1117" s="875"/>
      <c r="K1117" s="878"/>
      <c r="L1117" s="878"/>
      <c r="M1117" s="878"/>
      <c r="N1117" s="879"/>
      <c r="O1117" s="879"/>
      <c r="P1117" s="876"/>
      <c r="Q1117" s="880"/>
      <c r="R1117" s="881"/>
      <c r="S1117" s="881"/>
      <c r="T1117" s="881"/>
    </row>
    <row r="1118" spans="2:20">
      <c r="B1118" s="1075"/>
      <c r="C1118" s="785"/>
      <c r="D1118" s="786"/>
      <c r="E1118" s="787"/>
      <c r="F1118" s="787"/>
      <c r="G1118" s="788"/>
      <c r="H1118" s="797"/>
      <c r="I1118" s="788"/>
      <c r="J1118" s="787"/>
      <c r="K1118" s="790"/>
      <c r="L1118" s="790"/>
      <c r="M1118" s="790"/>
      <c r="N1118" s="791"/>
      <c r="O1118" s="791"/>
      <c r="P1118" s="788"/>
      <c r="Q1118" s="792"/>
      <c r="R1118" s="793"/>
      <c r="S1118" s="793"/>
      <c r="T1118" s="793"/>
    </row>
    <row r="1119" spans="2:20">
      <c r="B1119" s="1076"/>
      <c r="C1119" s="774"/>
      <c r="D1119" s="775"/>
      <c r="E1119" s="776"/>
      <c r="F1119" s="776"/>
      <c r="G1119" s="777"/>
      <c r="H1119" s="783"/>
      <c r="I1119" s="777"/>
      <c r="J1119" s="776"/>
      <c r="K1119" s="779"/>
      <c r="L1119" s="779"/>
      <c r="M1119" s="779"/>
      <c r="N1119" s="780"/>
      <c r="O1119" s="780"/>
      <c r="P1119" s="777"/>
      <c r="Q1119" s="781"/>
      <c r="R1119" s="782"/>
      <c r="S1119" s="782"/>
      <c r="T1119" s="782"/>
    </row>
    <row r="1120" spans="2:20">
      <c r="B1120" s="1076"/>
      <c r="C1120" s="774"/>
      <c r="D1120" s="775"/>
      <c r="E1120" s="776"/>
      <c r="F1120" s="776"/>
      <c r="G1120" s="777"/>
      <c r="H1120" s="783"/>
      <c r="I1120" s="777"/>
      <c r="J1120" s="776"/>
      <c r="K1120" s="779"/>
      <c r="L1120" s="779"/>
      <c r="M1120" s="779"/>
      <c r="N1120" s="780"/>
      <c r="O1120" s="780"/>
      <c r="P1120" s="777"/>
      <c r="Q1120" s="781"/>
      <c r="R1120" s="782"/>
      <c r="S1120" s="782"/>
      <c r="T1120" s="782"/>
    </row>
    <row r="1121" spans="2:20">
      <c r="B1121" s="1076"/>
      <c r="C1121" s="774"/>
      <c r="D1121" s="775"/>
      <c r="E1121" s="776"/>
      <c r="F1121" s="776"/>
      <c r="G1121" s="777"/>
      <c r="H1121" s="783"/>
      <c r="I1121" s="777"/>
      <c r="J1121" s="776"/>
      <c r="K1121" s="779"/>
      <c r="L1121" s="779"/>
      <c r="M1121" s="779"/>
      <c r="N1121" s="780"/>
      <c r="O1121" s="780"/>
      <c r="P1121" s="777"/>
      <c r="Q1121" s="781"/>
      <c r="R1121" s="782"/>
      <c r="S1121" s="782"/>
      <c r="T1121" s="782"/>
    </row>
    <row r="1122" spans="2:20">
      <c r="B1122" s="1076"/>
      <c r="C1122" s="774"/>
      <c r="D1122" s="775"/>
      <c r="E1122" s="776"/>
      <c r="F1122" s="776"/>
      <c r="G1122" s="777"/>
      <c r="H1122" s="783"/>
      <c r="I1122" s="777"/>
      <c r="J1122" s="776"/>
      <c r="K1122" s="779"/>
      <c r="L1122" s="779"/>
      <c r="M1122" s="779"/>
      <c r="N1122" s="780"/>
      <c r="O1122" s="780"/>
      <c r="P1122" s="777"/>
      <c r="Q1122" s="781"/>
      <c r="R1122" s="782"/>
      <c r="S1122" s="782"/>
      <c r="T1122" s="782"/>
    </row>
    <row r="1123" spans="2:20">
      <c r="B1123" s="1076"/>
      <c r="C1123" s="774"/>
      <c r="D1123" s="775"/>
      <c r="E1123" s="776"/>
      <c r="F1123" s="776"/>
      <c r="G1123" s="777"/>
      <c r="H1123" s="783"/>
      <c r="I1123" s="777"/>
      <c r="J1123" s="776"/>
      <c r="K1123" s="779"/>
      <c r="L1123" s="779"/>
      <c r="M1123" s="779"/>
      <c r="N1123" s="780"/>
      <c r="O1123" s="780"/>
      <c r="P1123" s="777"/>
      <c r="Q1123" s="781"/>
      <c r="R1123" s="782"/>
      <c r="S1123" s="782"/>
      <c r="T1123" s="782"/>
    </row>
    <row r="1124" spans="2:20">
      <c r="B1124" s="1076"/>
      <c r="C1124" s="774"/>
      <c r="D1124" s="775"/>
      <c r="E1124" s="776"/>
      <c r="F1124" s="776"/>
      <c r="G1124" s="777"/>
      <c r="H1124" s="783"/>
      <c r="I1124" s="777"/>
      <c r="J1124" s="776"/>
      <c r="K1124" s="779"/>
      <c r="L1124" s="779"/>
      <c r="M1124" s="779"/>
      <c r="N1124" s="780"/>
      <c r="O1124" s="780"/>
      <c r="P1124" s="777"/>
      <c r="Q1124" s="781"/>
      <c r="R1124" s="782"/>
      <c r="S1124" s="782"/>
      <c r="T1124" s="782"/>
    </row>
    <row r="1125" spans="2:20">
      <c r="B1125" s="1076"/>
      <c r="C1125" s="774"/>
      <c r="D1125" s="775"/>
      <c r="E1125" s="776"/>
      <c r="F1125" s="776"/>
      <c r="G1125" s="777"/>
      <c r="H1125" s="783"/>
      <c r="I1125" s="777"/>
      <c r="J1125" s="776"/>
      <c r="K1125" s="779"/>
      <c r="L1125" s="779"/>
      <c r="M1125" s="779"/>
      <c r="N1125" s="780"/>
      <c r="O1125" s="780"/>
      <c r="P1125" s="777"/>
      <c r="Q1125" s="781"/>
      <c r="R1125" s="782"/>
      <c r="S1125" s="782"/>
      <c r="T1125" s="782"/>
    </row>
    <row r="1126" spans="2:20">
      <c r="B1126" s="1076"/>
      <c r="C1126" s="774"/>
      <c r="D1126" s="775"/>
      <c r="E1126" s="776"/>
      <c r="F1126" s="776"/>
      <c r="G1126" s="777"/>
      <c r="H1126" s="783"/>
      <c r="I1126" s="777"/>
      <c r="J1126" s="776"/>
      <c r="K1126" s="779"/>
      <c r="L1126" s="779"/>
      <c r="M1126" s="779"/>
      <c r="N1126" s="780"/>
      <c r="O1126" s="780"/>
      <c r="P1126" s="777"/>
      <c r="Q1126" s="781"/>
      <c r="R1126" s="782"/>
      <c r="S1126" s="782"/>
      <c r="T1126" s="782"/>
    </row>
    <row r="1127" spans="2:20">
      <c r="B1127" s="1077"/>
      <c r="C1127" s="873"/>
      <c r="D1127" s="874"/>
      <c r="E1127" s="875"/>
      <c r="F1127" s="875"/>
      <c r="G1127" s="876"/>
      <c r="H1127" s="877"/>
      <c r="I1127" s="876"/>
      <c r="J1127" s="875"/>
      <c r="K1127" s="878"/>
      <c r="L1127" s="878"/>
      <c r="M1127" s="878"/>
      <c r="N1127" s="879"/>
      <c r="O1127" s="879"/>
      <c r="P1127" s="876"/>
      <c r="Q1127" s="880"/>
      <c r="R1127" s="881"/>
      <c r="S1127" s="881"/>
      <c r="T1127" s="881"/>
    </row>
    <row r="1128" spans="2:20">
      <c r="B1128" s="1075"/>
      <c r="C1128" s="785"/>
      <c r="D1128" s="786"/>
      <c r="E1128" s="787"/>
      <c r="F1128" s="787"/>
      <c r="G1128" s="788"/>
      <c r="H1128" s="797"/>
      <c r="I1128" s="788"/>
      <c r="J1128" s="787"/>
      <c r="K1128" s="790"/>
      <c r="L1128" s="790"/>
      <c r="M1128" s="790"/>
      <c r="N1128" s="791"/>
      <c r="O1128" s="791"/>
      <c r="P1128" s="788"/>
      <c r="Q1128" s="792"/>
      <c r="R1128" s="793"/>
      <c r="S1128" s="793"/>
      <c r="T1128" s="793"/>
    </row>
    <row r="1129" spans="2:20">
      <c r="B1129" s="1076"/>
      <c r="C1129" s="774"/>
      <c r="D1129" s="775"/>
      <c r="E1129" s="776"/>
      <c r="F1129" s="776"/>
      <c r="G1129" s="777"/>
      <c r="H1129" s="783"/>
      <c r="I1129" s="777"/>
      <c r="J1129" s="776"/>
      <c r="K1129" s="779"/>
      <c r="L1129" s="779"/>
      <c r="M1129" s="779"/>
      <c r="N1129" s="780"/>
      <c r="O1129" s="780"/>
      <c r="P1129" s="777"/>
      <c r="Q1129" s="781"/>
      <c r="R1129" s="782"/>
      <c r="S1129" s="782"/>
      <c r="T1129" s="782"/>
    </row>
    <row r="1130" spans="2:20">
      <c r="B1130" s="1076"/>
      <c r="C1130" s="774"/>
      <c r="D1130" s="775"/>
      <c r="E1130" s="776"/>
      <c r="F1130" s="776"/>
      <c r="G1130" s="777"/>
      <c r="H1130" s="783"/>
      <c r="I1130" s="777"/>
      <c r="J1130" s="776"/>
      <c r="K1130" s="779"/>
      <c r="L1130" s="779"/>
      <c r="M1130" s="779"/>
      <c r="N1130" s="780"/>
      <c r="O1130" s="780"/>
      <c r="P1130" s="777"/>
      <c r="Q1130" s="781"/>
      <c r="R1130" s="782"/>
      <c r="S1130" s="782"/>
      <c r="T1130" s="782"/>
    </row>
    <row r="1131" spans="2:20">
      <c r="B1131" s="1076"/>
      <c r="C1131" s="774"/>
      <c r="D1131" s="775"/>
      <c r="E1131" s="776"/>
      <c r="F1131" s="776"/>
      <c r="G1131" s="777"/>
      <c r="H1131" s="783"/>
      <c r="I1131" s="777"/>
      <c r="J1131" s="776"/>
      <c r="K1131" s="779"/>
      <c r="L1131" s="779"/>
      <c r="M1131" s="779"/>
      <c r="N1131" s="780"/>
      <c r="O1131" s="780"/>
      <c r="P1131" s="777"/>
      <c r="Q1131" s="781"/>
      <c r="R1131" s="782"/>
      <c r="S1131" s="782"/>
      <c r="T1131" s="782"/>
    </row>
    <row r="1132" spans="2:20">
      <c r="B1132" s="1076"/>
      <c r="C1132" s="774"/>
      <c r="D1132" s="775"/>
      <c r="E1132" s="776"/>
      <c r="F1132" s="776"/>
      <c r="G1132" s="777"/>
      <c r="H1132" s="783"/>
      <c r="I1132" s="777"/>
      <c r="J1132" s="776"/>
      <c r="K1132" s="779"/>
      <c r="L1132" s="779"/>
      <c r="M1132" s="779"/>
      <c r="N1132" s="780"/>
      <c r="O1132" s="780"/>
      <c r="P1132" s="777"/>
      <c r="Q1132" s="781"/>
      <c r="R1132" s="782"/>
      <c r="S1132" s="782"/>
      <c r="T1132" s="782"/>
    </row>
    <row r="1133" spans="2:20">
      <c r="B1133" s="1076"/>
      <c r="C1133" s="774"/>
      <c r="D1133" s="775"/>
      <c r="E1133" s="776"/>
      <c r="F1133" s="776"/>
      <c r="G1133" s="777"/>
      <c r="H1133" s="783"/>
      <c r="I1133" s="777"/>
      <c r="J1133" s="776"/>
      <c r="K1133" s="779"/>
      <c r="L1133" s="779"/>
      <c r="M1133" s="779"/>
      <c r="N1133" s="780"/>
      <c r="O1133" s="780"/>
      <c r="P1133" s="777"/>
      <c r="Q1133" s="781"/>
      <c r="R1133" s="782"/>
      <c r="S1133" s="782"/>
      <c r="T1133" s="782"/>
    </row>
    <row r="1134" spans="2:20">
      <c r="B1134" s="1076"/>
      <c r="C1134" s="774"/>
      <c r="D1134" s="775"/>
      <c r="E1134" s="776"/>
      <c r="F1134" s="776"/>
      <c r="G1134" s="777"/>
      <c r="H1134" s="783"/>
      <c r="I1134" s="777"/>
      <c r="J1134" s="776"/>
      <c r="K1134" s="779"/>
      <c r="L1134" s="779"/>
      <c r="M1134" s="779"/>
      <c r="N1134" s="780"/>
      <c r="O1134" s="780"/>
      <c r="P1134" s="777"/>
      <c r="Q1134" s="781"/>
      <c r="R1134" s="782"/>
      <c r="S1134" s="782"/>
      <c r="T1134" s="782"/>
    </row>
    <row r="1135" spans="2:20">
      <c r="B1135" s="1076"/>
      <c r="C1135" s="774"/>
      <c r="D1135" s="775"/>
      <c r="E1135" s="776"/>
      <c r="F1135" s="776"/>
      <c r="G1135" s="777"/>
      <c r="H1135" s="783"/>
      <c r="I1135" s="777"/>
      <c r="J1135" s="776"/>
      <c r="K1135" s="779"/>
      <c r="L1135" s="779"/>
      <c r="M1135" s="779"/>
      <c r="N1135" s="780"/>
      <c r="O1135" s="780"/>
      <c r="P1135" s="777"/>
      <c r="Q1135" s="781"/>
      <c r="R1135" s="782"/>
      <c r="S1135" s="782"/>
      <c r="T1135" s="782"/>
    </row>
    <row r="1136" spans="2:20">
      <c r="B1136" s="1076"/>
      <c r="C1136" s="774"/>
      <c r="D1136" s="775"/>
      <c r="E1136" s="776"/>
      <c r="F1136" s="776"/>
      <c r="G1136" s="777"/>
      <c r="H1136" s="783"/>
      <c r="I1136" s="777"/>
      <c r="J1136" s="776"/>
      <c r="K1136" s="779"/>
      <c r="L1136" s="779"/>
      <c r="M1136" s="779"/>
      <c r="N1136" s="780"/>
      <c r="O1136" s="780"/>
      <c r="P1136" s="777"/>
      <c r="Q1136" s="781"/>
      <c r="R1136" s="782"/>
      <c r="S1136" s="782"/>
      <c r="T1136" s="782"/>
    </row>
    <row r="1137" spans="2:20">
      <c r="B1137" s="1077"/>
      <c r="C1137" s="873"/>
      <c r="D1137" s="874"/>
      <c r="E1137" s="875"/>
      <c r="F1137" s="875"/>
      <c r="G1137" s="876"/>
      <c r="H1137" s="877"/>
      <c r="I1137" s="876"/>
      <c r="J1137" s="875"/>
      <c r="K1137" s="878"/>
      <c r="L1137" s="878"/>
      <c r="M1137" s="878"/>
      <c r="N1137" s="879"/>
      <c r="O1137" s="879"/>
      <c r="P1137" s="876"/>
      <c r="Q1137" s="880"/>
      <c r="R1137" s="881"/>
      <c r="S1137" s="881"/>
      <c r="T1137" s="881"/>
    </row>
    <row r="1138" spans="2:20">
      <c r="B1138" s="1076"/>
      <c r="C1138" s="774"/>
      <c r="D1138" s="775"/>
      <c r="E1138" s="776"/>
      <c r="F1138" s="776"/>
      <c r="G1138" s="777"/>
      <c r="H1138" s="783"/>
      <c r="I1138" s="777"/>
      <c r="J1138" s="776"/>
      <c r="K1138" s="779"/>
      <c r="L1138" s="779"/>
      <c r="M1138" s="779"/>
      <c r="N1138" s="780"/>
      <c r="O1138" s="780"/>
      <c r="P1138" s="777"/>
      <c r="Q1138" s="781"/>
      <c r="R1138" s="782"/>
      <c r="S1138" s="782"/>
      <c r="T1138" s="782"/>
    </row>
    <row r="1139" spans="2:20">
      <c r="B1139" s="1076"/>
      <c r="C1139" s="774"/>
      <c r="D1139" s="775"/>
      <c r="E1139" s="776"/>
      <c r="F1139" s="776"/>
      <c r="G1139" s="777"/>
      <c r="H1139" s="783"/>
      <c r="I1139" s="777"/>
      <c r="J1139" s="776"/>
      <c r="K1139" s="779"/>
      <c r="L1139" s="779"/>
      <c r="M1139" s="779"/>
      <c r="N1139" s="780"/>
      <c r="O1139" s="780"/>
      <c r="P1139" s="777"/>
      <c r="Q1139" s="781"/>
      <c r="R1139" s="782"/>
      <c r="S1139" s="782"/>
      <c r="T1139" s="782"/>
    </row>
    <row r="1140" spans="2:20">
      <c r="B1140" s="1076"/>
      <c r="C1140" s="774"/>
      <c r="D1140" s="775"/>
      <c r="E1140" s="776"/>
      <c r="F1140" s="776"/>
      <c r="G1140" s="777"/>
      <c r="H1140" s="783"/>
      <c r="I1140" s="777"/>
      <c r="J1140" s="776"/>
      <c r="K1140" s="779"/>
      <c r="L1140" s="779"/>
      <c r="M1140" s="779"/>
      <c r="N1140" s="780"/>
      <c r="O1140" s="780"/>
      <c r="P1140" s="777"/>
      <c r="Q1140" s="781"/>
      <c r="R1140" s="782"/>
      <c r="S1140" s="782"/>
      <c r="T1140" s="782"/>
    </row>
    <row r="1141" spans="2:20">
      <c r="B1141" s="1076"/>
      <c r="C1141" s="774"/>
      <c r="D1141" s="775"/>
      <c r="E1141" s="776"/>
      <c r="F1141" s="776"/>
      <c r="G1141" s="777"/>
      <c r="H1141" s="783"/>
      <c r="I1141" s="777"/>
      <c r="J1141" s="776"/>
      <c r="K1141" s="779"/>
      <c r="L1141" s="779"/>
      <c r="M1141" s="779"/>
      <c r="N1141" s="780"/>
      <c r="O1141" s="780"/>
      <c r="P1141" s="777"/>
      <c r="Q1141" s="781"/>
      <c r="R1141" s="782"/>
      <c r="S1141" s="782"/>
      <c r="T1141" s="782"/>
    </row>
    <row r="1142" spans="2:20">
      <c r="B1142" s="1076"/>
      <c r="C1142" s="774"/>
      <c r="D1142" s="775"/>
      <c r="E1142" s="776"/>
      <c r="F1142" s="776"/>
      <c r="G1142" s="777"/>
      <c r="H1142" s="783"/>
      <c r="I1142" s="777"/>
      <c r="J1142" s="776"/>
      <c r="K1142" s="779"/>
      <c r="L1142" s="779"/>
      <c r="M1142" s="779"/>
      <c r="N1142" s="780"/>
      <c r="O1142" s="780"/>
      <c r="P1142" s="777"/>
      <c r="Q1142" s="781"/>
      <c r="R1142" s="782"/>
      <c r="S1142" s="782"/>
      <c r="T1142" s="782"/>
    </row>
    <row r="1143" spans="2:20">
      <c r="B1143" s="1076"/>
      <c r="C1143" s="774"/>
      <c r="D1143" s="775"/>
      <c r="E1143" s="776"/>
      <c r="F1143" s="776"/>
      <c r="G1143" s="777"/>
      <c r="H1143" s="783"/>
      <c r="I1143" s="777"/>
      <c r="J1143" s="776"/>
      <c r="K1143" s="779"/>
      <c r="L1143" s="779"/>
      <c r="M1143" s="779"/>
      <c r="N1143" s="780"/>
      <c r="O1143" s="780"/>
      <c r="P1143" s="777"/>
      <c r="Q1143" s="781"/>
      <c r="R1143" s="782"/>
      <c r="S1143" s="782"/>
      <c r="T1143" s="782"/>
    </row>
    <row r="1144" spans="2:20">
      <c r="B1144" s="1076"/>
      <c r="C1144" s="774"/>
      <c r="D1144" s="775"/>
      <c r="E1144" s="776"/>
      <c r="F1144" s="776"/>
      <c r="G1144" s="777"/>
      <c r="H1144" s="783"/>
      <c r="I1144" s="777"/>
      <c r="J1144" s="776"/>
      <c r="K1144" s="779"/>
      <c r="L1144" s="779"/>
      <c r="M1144" s="779"/>
      <c r="N1144" s="780"/>
      <c r="O1144" s="780"/>
      <c r="P1144" s="777"/>
      <c r="Q1144" s="781"/>
      <c r="R1144" s="782"/>
      <c r="S1144" s="782"/>
      <c r="T1144" s="782"/>
    </row>
    <row r="1145" spans="2:20">
      <c r="B1145" s="1076"/>
      <c r="C1145" s="774"/>
      <c r="D1145" s="775"/>
      <c r="E1145" s="776"/>
      <c r="F1145" s="776"/>
      <c r="G1145" s="777"/>
      <c r="H1145" s="783"/>
      <c r="I1145" s="777"/>
      <c r="J1145" s="776"/>
      <c r="K1145" s="779"/>
      <c r="L1145" s="779"/>
      <c r="M1145" s="779"/>
      <c r="N1145" s="780"/>
      <c r="O1145" s="780"/>
      <c r="P1145" s="777"/>
      <c r="Q1145" s="781"/>
      <c r="R1145" s="782"/>
      <c r="S1145" s="782"/>
      <c r="T1145" s="782"/>
    </row>
    <row r="1146" spans="2:20">
      <c r="B1146" s="1076"/>
      <c r="C1146" s="774"/>
      <c r="D1146" s="775"/>
      <c r="E1146" s="776"/>
      <c r="F1146" s="776"/>
      <c r="G1146" s="777"/>
      <c r="H1146" s="783"/>
      <c r="I1146" s="777"/>
      <c r="J1146" s="776"/>
      <c r="K1146" s="779"/>
      <c r="L1146" s="779"/>
      <c r="M1146" s="779"/>
      <c r="N1146" s="780"/>
      <c r="O1146" s="780"/>
      <c r="P1146" s="777"/>
      <c r="Q1146" s="781"/>
      <c r="R1146" s="782"/>
      <c r="S1146" s="782"/>
      <c r="T1146" s="782"/>
    </row>
    <row r="1147" spans="2:20">
      <c r="B1147" s="1076"/>
      <c r="C1147" s="774"/>
      <c r="D1147" s="775"/>
      <c r="E1147" s="776"/>
      <c r="F1147" s="776"/>
      <c r="G1147" s="777"/>
      <c r="H1147" s="783"/>
      <c r="I1147" s="777"/>
      <c r="J1147" s="776"/>
      <c r="K1147" s="779"/>
      <c r="L1147" s="779"/>
      <c r="M1147" s="779"/>
      <c r="N1147" s="780"/>
      <c r="O1147" s="780"/>
      <c r="P1147" s="777"/>
      <c r="Q1147" s="781"/>
      <c r="R1147" s="782"/>
      <c r="S1147" s="782"/>
      <c r="T1147" s="782"/>
    </row>
    <row r="1148" spans="2:20">
      <c r="B1148" s="1078"/>
      <c r="C1148" s="1079"/>
      <c r="D1148" s="1080" t="s">
        <v>6087</v>
      </c>
      <c r="E1148" s="1078"/>
      <c r="F1148" s="1078"/>
      <c r="G1148" s="1078"/>
      <c r="H1148" s="1081"/>
      <c r="I1148" s="1078"/>
      <c r="J1148" s="1078"/>
      <c r="K1148" s="864"/>
      <c r="L1148" s="865"/>
      <c r="M1148" s="865"/>
      <c r="N1148" s="866"/>
      <c r="O1148" s="867"/>
      <c r="P1148" s="868"/>
      <c r="Q1148" s="869"/>
      <c r="R1148" s="870"/>
      <c r="S1148" s="870"/>
      <c r="T1148" s="870"/>
    </row>
    <row r="1149" spans="2:20">
      <c r="B1149" s="1075"/>
      <c r="C1149" s="785"/>
      <c r="D1149" s="786"/>
      <c r="E1149" s="787"/>
      <c r="F1149" s="787"/>
      <c r="G1149" s="788"/>
      <c r="H1149" s="797"/>
      <c r="I1149" s="788"/>
      <c r="J1149" s="787"/>
      <c r="K1149" s="790"/>
      <c r="L1149" s="790"/>
      <c r="M1149" s="790"/>
      <c r="N1149" s="791"/>
      <c r="O1149" s="791"/>
      <c r="P1149" s="788"/>
      <c r="Q1149" s="792"/>
      <c r="R1149" s="793"/>
      <c r="S1149" s="793"/>
      <c r="T1149" s="793"/>
    </row>
    <row r="1150" spans="2:20">
      <c r="B1150" s="1076"/>
      <c r="C1150" s="774"/>
      <c r="D1150" s="775"/>
      <c r="E1150" s="776"/>
      <c r="F1150" s="776"/>
      <c r="G1150" s="777"/>
      <c r="H1150" s="783"/>
      <c r="I1150" s="777"/>
      <c r="J1150" s="776"/>
      <c r="K1150" s="779"/>
      <c r="L1150" s="779"/>
      <c r="M1150" s="779"/>
      <c r="N1150" s="780"/>
      <c r="O1150" s="780"/>
      <c r="P1150" s="777"/>
      <c r="Q1150" s="781"/>
      <c r="R1150" s="782"/>
      <c r="S1150" s="782"/>
      <c r="T1150" s="782"/>
    </row>
    <row r="1151" spans="2:20">
      <c r="B1151" s="1076"/>
      <c r="C1151" s="774"/>
      <c r="D1151" s="775"/>
      <c r="E1151" s="776"/>
      <c r="F1151" s="776"/>
      <c r="G1151" s="777"/>
      <c r="H1151" s="783"/>
      <c r="I1151" s="777"/>
      <c r="J1151" s="776"/>
      <c r="K1151" s="779"/>
      <c r="L1151" s="779"/>
      <c r="M1151" s="779"/>
      <c r="N1151" s="780"/>
      <c r="O1151" s="780"/>
      <c r="P1151" s="777"/>
      <c r="Q1151" s="781"/>
      <c r="R1151" s="782"/>
      <c r="S1151" s="782"/>
      <c r="T1151" s="782"/>
    </row>
    <row r="1152" spans="2:20">
      <c r="B1152" s="1076"/>
      <c r="C1152" s="774"/>
      <c r="D1152" s="775"/>
      <c r="E1152" s="776"/>
      <c r="F1152" s="776"/>
      <c r="G1152" s="777"/>
      <c r="H1152" s="783"/>
      <c r="I1152" s="777"/>
      <c r="J1152" s="776"/>
      <c r="K1152" s="779"/>
      <c r="L1152" s="779"/>
      <c r="M1152" s="779"/>
      <c r="N1152" s="780"/>
      <c r="O1152" s="780"/>
      <c r="P1152" s="777"/>
      <c r="Q1152" s="781"/>
      <c r="R1152" s="782"/>
      <c r="S1152" s="782"/>
      <c r="T1152" s="782"/>
    </row>
    <row r="1153" spans="2:20">
      <c r="B1153" s="1076"/>
      <c r="C1153" s="774"/>
      <c r="D1153" s="775"/>
      <c r="E1153" s="776"/>
      <c r="F1153" s="776"/>
      <c r="G1153" s="777"/>
      <c r="H1153" s="783"/>
      <c r="I1153" s="777"/>
      <c r="J1153" s="776"/>
      <c r="K1153" s="779"/>
      <c r="L1153" s="779"/>
      <c r="M1153" s="779"/>
      <c r="N1153" s="780"/>
      <c r="O1153" s="780"/>
      <c r="P1153" s="777"/>
      <c r="Q1153" s="781"/>
      <c r="R1153" s="782"/>
      <c r="S1153" s="782"/>
      <c r="T1153" s="782"/>
    </row>
    <row r="1154" spans="2:20">
      <c r="B1154" s="1076"/>
      <c r="C1154" s="774"/>
      <c r="D1154" s="775"/>
      <c r="E1154" s="776"/>
      <c r="F1154" s="776"/>
      <c r="G1154" s="777"/>
      <c r="H1154" s="783"/>
      <c r="I1154" s="777"/>
      <c r="J1154" s="776"/>
      <c r="K1154" s="779"/>
      <c r="L1154" s="779"/>
      <c r="M1154" s="779"/>
      <c r="N1154" s="780"/>
      <c r="O1154" s="780"/>
      <c r="P1154" s="777"/>
      <c r="Q1154" s="781"/>
      <c r="R1154" s="782"/>
      <c r="S1154" s="782"/>
      <c r="T1154" s="782"/>
    </row>
    <row r="1155" spans="2:20">
      <c r="B1155" s="1076"/>
      <c r="C1155" s="774"/>
      <c r="D1155" s="775"/>
      <c r="E1155" s="776"/>
      <c r="F1155" s="776"/>
      <c r="G1155" s="777"/>
      <c r="H1155" s="783"/>
      <c r="I1155" s="777"/>
      <c r="J1155" s="776"/>
      <c r="K1155" s="779"/>
      <c r="L1155" s="779"/>
      <c r="M1155" s="779"/>
      <c r="N1155" s="780"/>
      <c r="O1155" s="780"/>
      <c r="P1155" s="777"/>
      <c r="Q1155" s="781"/>
      <c r="R1155" s="782"/>
      <c r="S1155" s="782"/>
      <c r="T1155" s="782"/>
    </row>
    <row r="1156" spans="2:20">
      <c r="B1156" s="1076"/>
      <c r="C1156" s="774"/>
      <c r="D1156" s="775"/>
      <c r="E1156" s="776"/>
      <c r="F1156" s="776"/>
      <c r="G1156" s="777"/>
      <c r="H1156" s="783"/>
      <c r="I1156" s="777"/>
      <c r="J1156" s="776"/>
      <c r="K1156" s="779"/>
      <c r="L1156" s="779"/>
      <c r="M1156" s="779"/>
      <c r="N1156" s="780"/>
      <c r="O1156" s="780"/>
      <c r="P1156" s="777"/>
      <c r="Q1156" s="781"/>
      <c r="R1156" s="782"/>
      <c r="S1156" s="782"/>
      <c r="T1156" s="782"/>
    </row>
    <row r="1157" spans="2:20">
      <c r="B1157" s="1076"/>
      <c r="C1157" s="774"/>
      <c r="D1157" s="775"/>
      <c r="E1157" s="776"/>
      <c r="F1157" s="776"/>
      <c r="G1157" s="777"/>
      <c r="H1157" s="783"/>
      <c r="I1157" s="777"/>
      <c r="J1157" s="776"/>
      <c r="K1157" s="779"/>
      <c r="L1157" s="779"/>
      <c r="M1157" s="779"/>
      <c r="N1157" s="780"/>
      <c r="O1157" s="780"/>
      <c r="P1157" s="777"/>
      <c r="Q1157" s="781"/>
      <c r="R1157" s="782"/>
      <c r="S1157" s="782"/>
      <c r="T1157" s="782"/>
    </row>
    <row r="1158" spans="2:20">
      <c r="B1158" s="1077"/>
      <c r="C1158" s="873"/>
      <c r="D1158" s="874"/>
      <c r="E1158" s="875"/>
      <c r="F1158" s="875"/>
      <c r="G1158" s="876"/>
      <c r="H1158" s="877"/>
      <c r="I1158" s="876"/>
      <c r="J1158" s="875"/>
      <c r="K1158" s="878"/>
      <c r="L1158" s="878"/>
      <c r="M1158" s="878"/>
      <c r="N1158" s="879"/>
      <c r="O1158" s="879"/>
      <c r="P1158" s="876"/>
      <c r="Q1158" s="880"/>
      <c r="R1158" s="881"/>
      <c r="S1158" s="881"/>
      <c r="T1158" s="881"/>
    </row>
    <row r="1159" spans="2:20">
      <c r="B1159" s="1075"/>
      <c r="C1159" s="785"/>
      <c r="D1159" s="786"/>
      <c r="E1159" s="787"/>
      <c r="F1159" s="787"/>
      <c r="G1159" s="788"/>
      <c r="H1159" s="797"/>
      <c r="I1159" s="788"/>
      <c r="J1159" s="787"/>
      <c r="K1159" s="790"/>
      <c r="L1159" s="790"/>
      <c r="M1159" s="790"/>
      <c r="N1159" s="791"/>
      <c r="O1159" s="791"/>
      <c r="P1159" s="788"/>
      <c r="Q1159" s="792"/>
      <c r="R1159" s="793"/>
      <c r="S1159" s="793"/>
      <c r="T1159" s="793"/>
    </row>
    <row r="1160" spans="2:20">
      <c r="B1160" s="1076"/>
      <c r="C1160" s="774"/>
      <c r="D1160" s="775"/>
      <c r="E1160" s="776"/>
      <c r="F1160" s="776"/>
      <c r="G1160" s="777"/>
      <c r="H1160" s="783"/>
      <c r="I1160" s="777"/>
      <c r="J1160" s="776"/>
      <c r="K1160" s="779"/>
      <c r="L1160" s="779"/>
      <c r="M1160" s="779"/>
      <c r="N1160" s="780"/>
      <c r="O1160" s="780"/>
      <c r="P1160" s="777"/>
      <c r="Q1160" s="781"/>
      <c r="R1160" s="782"/>
      <c r="S1160" s="782"/>
      <c r="T1160" s="782"/>
    </row>
    <row r="1161" spans="2:20">
      <c r="B1161" s="1076"/>
      <c r="C1161" s="774"/>
      <c r="D1161" s="775"/>
      <c r="E1161" s="776"/>
      <c r="F1161" s="776"/>
      <c r="G1161" s="777"/>
      <c r="H1161" s="783"/>
      <c r="I1161" s="777"/>
      <c r="J1161" s="776"/>
      <c r="K1161" s="779"/>
      <c r="L1161" s="779"/>
      <c r="M1161" s="779"/>
      <c r="N1161" s="780"/>
      <c r="O1161" s="780"/>
      <c r="P1161" s="777"/>
      <c r="Q1161" s="781"/>
      <c r="R1161" s="782"/>
      <c r="S1161" s="782"/>
      <c r="T1161" s="782"/>
    </row>
    <row r="1162" spans="2:20">
      <c r="B1162" s="1076"/>
      <c r="C1162" s="774"/>
      <c r="D1162" s="775"/>
      <c r="E1162" s="776"/>
      <c r="F1162" s="776"/>
      <c r="G1162" s="777"/>
      <c r="H1162" s="783"/>
      <c r="I1162" s="777"/>
      <c r="J1162" s="776"/>
      <c r="K1162" s="779"/>
      <c r="L1162" s="779"/>
      <c r="M1162" s="779"/>
      <c r="N1162" s="780"/>
      <c r="O1162" s="780"/>
      <c r="P1162" s="777"/>
      <c r="Q1162" s="781"/>
      <c r="R1162" s="782"/>
      <c r="S1162" s="782"/>
      <c r="T1162" s="782"/>
    </row>
    <row r="1163" spans="2:20">
      <c r="B1163" s="1076"/>
      <c r="C1163" s="774"/>
      <c r="D1163" s="775"/>
      <c r="E1163" s="776"/>
      <c r="F1163" s="776"/>
      <c r="G1163" s="777"/>
      <c r="H1163" s="783"/>
      <c r="I1163" s="777"/>
      <c r="J1163" s="776"/>
      <c r="K1163" s="779"/>
      <c r="L1163" s="779"/>
      <c r="M1163" s="779"/>
      <c r="N1163" s="780"/>
      <c r="O1163" s="780"/>
      <c r="P1163" s="777"/>
      <c r="Q1163" s="781"/>
      <c r="R1163" s="782"/>
      <c r="S1163" s="782"/>
      <c r="T1163" s="782"/>
    </row>
    <row r="1164" spans="2:20">
      <c r="B1164" s="1076"/>
      <c r="C1164" s="774"/>
      <c r="D1164" s="775"/>
      <c r="E1164" s="776"/>
      <c r="F1164" s="776"/>
      <c r="G1164" s="777"/>
      <c r="H1164" s="783"/>
      <c r="I1164" s="777"/>
      <c r="J1164" s="776"/>
      <c r="K1164" s="779"/>
      <c r="L1164" s="779"/>
      <c r="M1164" s="779"/>
      <c r="N1164" s="780"/>
      <c r="O1164" s="780"/>
      <c r="P1164" s="777"/>
      <c r="Q1164" s="781"/>
      <c r="R1164" s="782"/>
      <c r="S1164" s="782"/>
      <c r="T1164" s="782"/>
    </row>
    <row r="1165" spans="2:20">
      <c r="B1165" s="1076"/>
      <c r="C1165" s="774"/>
      <c r="D1165" s="775"/>
      <c r="E1165" s="776"/>
      <c r="F1165" s="776"/>
      <c r="G1165" s="777"/>
      <c r="H1165" s="783"/>
      <c r="I1165" s="777"/>
      <c r="J1165" s="776"/>
      <c r="K1165" s="779"/>
      <c r="L1165" s="779"/>
      <c r="M1165" s="779"/>
      <c r="N1165" s="780"/>
      <c r="O1165" s="780"/>
      <c r="P1165" s="777"/>
      <c r="Q1165" s="781"/>
      <c r="R1165" s="782"/>
      <c r="S1165" s="782"/>
      <c r="T1165" s="782"/>
    </row>
    <row r="1166" spans="2:20">
      <c r="B1166" s="1076"/>
      <c r="C1166" s="774"/>
      <c r="D1166" s="775"/>
      <c r="E1166" s="776"/>
      <c r="F1166" s="776"/>
      <c r="G1166" s="777"/>
      <c r="H1166" s="783"/>
      <c r="I1166" s="777"/>
      <c r="J1166" s="776"/>
      <c r="K1166" s="779"/>
      <c r="L1166" s="779"/>
      <c r="M1166" s="779"/>
      <c r="N1166" s="780"/>
      <c r="O1166" s="780"/>
      <c r="P1166" s="777"/>
      <c r="Q1166" s="781"/>
      <c r="R1166" s="782"/>
      <c r="S1166" s="782"/>
      <c r="T1166" s="782"/>
    </row>
    <row r="1167" spans="2:20">
      <c r="B1167" s="1076"/>
      <c r="C1167" s="774"/>
      <c r="D1167" s="775"/>
      <c r="E1167" s="776"/>
      <c r="F1167" s="776"/>
      <c r="G1167" s="777"/>
      <c r="H1167" s="783"/>
      <c r="I1167" s="777"/>
      <c r="J1167" s="776"/>
      <c r="K1167" s="779"/>
      <c r="L1167" s="779"/>
      <c r="M1167" s="779"/>
      <c r="N1167" s="780"/>
      <c r="O1167" s="780"/>
      <c r="P1167" s="777"/>
      <c r="Q1167" s="781"/>
      <c r="R1167" s="782"/>
      <c r="S1167" s="782"/>
      <c r="T1167" s="782"/>
    </row>
    <row r="1168" spans="2:20">
      <c r="B1168" s="1077"/>
      <c r="C1168" s="873"/>
      <c r="D1168" s="874"/>
      <c r="E1168" s="875"/>
      <c r="F1168" s="875"/>
      <c r="G1168" s="876"/>
      <c r="H1168" s="877"/>
      <c r="I1168" s="876"/>
      <c r="J1168" s="875"/>
      <c r="K1168" s="878"/>
      <c r="L1168" s="878"/>
      <c r="M1168" s="878"/>
      <c r="N1168" s="879"/>
      <c r="O1168" s="879"/>
      <c r="P1168" s="876"/>
      <c r="Q1168" s="880"/>
      <c r="R1168" s="881"/>
      <c r="S1168" s="881"/>
      <c r="T1168" s="881"/>
    </row>
    <row r="1169" spans="2:20">
      <c r="B1169" s="1075"/>
      <c r="C1169" s="785"/>
      <c r="D1169" s="786"/>
      <c r="E1169" s="787"/>
      <c r="F1169" s="787"/>
      <c r="G1169" s="788"/>
      <c r="H1169" s="797"/>
      <c r="I1169" s="788"/>
      <c r="J1169" s="787"/>
      <c r="K1169" s="790"/>
      <c r="L1169" s="790"/>
      <c r="M1169" s="790"/>
      <c r="N1169" s="791"/>
      <c r="O1169" s="791"/>
      <c r="P1169" s="788"/>
      <c r="Q1169" s="792"/>
      <c r="R1169" s="793"/>
      <c r="S1169" s="793"/>
      <c r="T1169" s="793"/>
    </row>
    <row r="1170" spans="2:20">
      <c r="B1170" s="1076"/>
      <c r="C1170" s="774"/>
      <c r="D1170" s="775"/>
      <c r="E1170" s="776"/>
      <c r="F1170" s="776"/>
      <c r="G1170" s="777"/>
      <c r="H1170" s="783"/>
      <c r="I1170" s="777"/>
      <c r="J1170" s="776"/>
      <c r="K1170" s="779"/>
      <c r="L1170" s="779"/>
      <c r="M1170" s="779"/>
      <c r="N1170" s="780"/>
      <c r="O1170" s="780"/>
      <c r="P1170" s="777"/>
      <c r="Q1170" s="781"/>
      <c r="R1170" s="782"/>
      <c r="S1170" s="782"/>
      <c r="T1170" s="782"/>
    </row>
    <row r="1171" spans="2:20">
      <c r="B1171" s="1076"/>
      <c r="C1171" s="774"/>
      <c r="D1171" s="775"/>
      <c r="E1171" s="776"/>
      <c r="F1171" s="776"/>
      <c r="G1171" s="777"/>
      <c r="H1171" s="783"/>
      <c r="I1171" s="777"/>
      <c r="J1171" s="776"/>
      <c r="K1171" s="779"/>
      <c r="L1171" s="779"/>
      <c r="M1171" s="779"/>
      <c r="N1171" s="780"/>
      <c r="O1171" s="780"/>
      <c r="P1171" s="777"/>
      <c r="Q1171" s="781"/>
      <c r="R1171" s="782"/>
      <c r="S1171" s="782"/>
      <c r="T1171" s="782"/>
    </row>
    <row r="1172" spans="2:20">
      <c r="B1172" s="1076"/>
      <c r="C1172" s="774"/>
      <c r="D1172" s="775"/>
      <c r="E1172" s="776"/>
      <c r="F1172" s="776"/>
      <c r="G1172" s="777"/>
      <c r="H1172" s="783"/>
      <c r="I1172" s="777"/>
      <c r="J1172" s="776"/>
      <c r="K1172" s="779"/>
      <c r="L1172" s="779"/>
      <c r="M1172" s="779"/>
      <c r="N1172" s="780"/>
      <c r="O1172" s="780"/>
      <c r="P1172" s="777"/>
      <c r="Q1172" s="781"/>
      <c r="R1172" s="782"/>
      <c r="S1172" s="782"/>
      <c r="T1172" s="782"/>
    </row>
    <row r="1173" spans="2:20">
      <c r="B1173" s="1076"/>
      <c r="C1173" s="774"/>
      <c r="D1173" s="775"/>
      <c r="E1173" s="776"/>
      <c r="F1173" s="776"/>
      <c r="G1173" s="777"/>
      <c r="H1173" s="783"/>
      <c r="I1173" s="777"/>
      <c r="J1173" s="776"/>
      <c r="K1173" s="779"/>
      <c r="L1173" s="779"/>
      <c r="M1173" s="779"/>
      <c r="N1173" s="780"/>
      <c r="O1173" s="780"/>
      <c r="P1173" s="777"/>
      <c r="Q1173" s="781"/>
      <c r="R1173" s="782"/>
      <c r="S1173" s="782"/>
      <c r="T1173" s="782"/>
    </row>
    <row r="1174" spans="2:20">
      <c r="B1174" s="1076"/>
      <c r="C1174" s="774"/>
      <c r="D1174" s="775"/>
      <c r="E1174" s="776"/>
      <c r="F1174" s="776"/>
      <c r="G1174" s="777"/>
      <c r="H1174" s="783"/>
      <c r="I1174" s="777"/>
      <c r="J1174" s="776"/>
      <c r="K1174" s="779"/>
      <c r="L1174" s="779"/>
      <c r="M1174" s="779"/>
      <c r="N1174" s="780"/>
      <c r="O1174" s="780"/>
      <c r="P1174" s="777"/>
      <c r="Q1174" s="781"/>
      <c r="R1174" s="782"/>
      <c r="S1174" s="782"/>
      <c r="T1174" s="782"/>
    </row>
    <row r="1175" spans="2:20">
      <c r="B1175" s="1076"/>
      <c r="C1175" s="774"/>
      <c r="D1175" s="775"/>
      <c r="E1175" s="776"/>
      <c r="F1175" s="776"/>
      <c r="G1175" s="777"/>
      <c r="H1175" s="783"/>
      <c r="I1175" s="777"/>
      <c r="J1175" s="776"/>
      <c r="K1175" s="779"/>
      <c r="L1175" s="779"/>
      <c r="M1175" s="779"/>
      <c r="N1175" s="780"/>
      <c r="O1175" s="780"/>
      <c r="P1175" s="777"/>
      <c r="Q1175" s="781"/>
      <c r="R1175" s="782"/>
      <c r="S1175" s="782"/>
      <c r="T1175" s="782"/>
    </row>
    <row r="1176" spans="2:20">
      <c r="B1176" s="1076"/>
      <c r="C1176" s="774"/>
      <c r="D1176" s="775"/>
      <c r="E1176" s="776"/>
      <c r="F1176" s="776"/>
      <c r="G1176" s="777"/>
      <c r="H1176" s="783"/>
      <c r="I1176" s="777"/>
      <c r="J1176" s="776"/>
      <c r="K1176" s="779"/>
      <c r="L1176" s="779"/>
      <c r="M1176" s="779"/>
      <c r="N1176" s="780"/>
      <c r="O1176" s="780"/>
      <c r="P1176" s="777"/>
      <c r="Q1176" s="781"/>
      <c r="R1176" s="782"/>
      <c r="S1176" s="782"/>
      <c r="T1176" s="782"/>
    </row>
    <row r="1177" spans="2:20">
      <c r="B1177" s="1076"/>
      <c r="C1177" s="774"/>
      <c r="D1177" s="775"/>
      <c r="E1177" s="776"/>
      <c r="F1177" s="776"/>
      <c r="G1177" s="777"/>
      <c r="H1177" s="783"/>
      <c r="I1177" s="777"/>
      <c r="J1177" s="776"/>
      <c r="K1177" s="779"/>
      <c r="L1177" s="779"/>
      <c r="M1177" s="779"/>
      <c r="N1177" s="780"/>
      <c r="O1177" s="780"/>
      <c r="P1177" s="777"/>
      <c r="Q1177" s="781"/>
      <c r="R1177" s="782"/>
      <c r="S1177" s="782"/>
      <c r="T1177" s="782"/>
    </row>
    <row r="1178" spans="2:20">
      <c r="B1178" s="1077"/>
      <c r="C1178" s="873"/>
      <c r="D1178" s="874"/>
      <c r="E1178" s="875"/>
      <c r="F1178" s="875"/>
      <c r="G1178" s="876"/>
      <c r="H1178" s="877"/>
      <c r="I1178" s="876"/>
      <c r="J1178" s="875"/>
      <c r="K1178" s="878"/>
      <c r="L1178" s="878"/>
      <c r="M1178" s="878"/>
      <c r="N1178" s="879"/>
      <c r="O1178" s="879"/>
      <c r="P1178" s="876"/>
      <c r="Q1178" s="880"/>
      <c r="R1178" s="881"/>
      <c r="S1178" s="881"/>
      <c r="T1178" s="881"/>
    </row>
    <row r="1179" spans="2:20">
      <c r="B1179" s="1075"/>
      <c r="C1179" s="785"/>
      <c r="D1179" s="786"/>
      <c r="E1179" s="787"/>
      <c r="F1179" s="787"/>
      <c r="G1179" s="788"/>
      <c r="H1179" s="797"/>
      <c r="I1179" s="788"/>
      <c r="J1179" s="787"/>
      <c r="K1179" s="790"/>
      <c r="L1179" s="790"/>
      <c r="M1179" s="790"/>
      <c r="N1179" s="791"/>
      <c r="O1179" s="791"/>
      <c r="P1179" s="788"/>
      <c r="Q1179" s="792"/>
      <c r="R1179" s="793"/>
      <c r="S1179" s="793"/>
      <c r="T1179" s="793"/>
    </row>
    <row r="1180" spans="2:20">
      <c r="B1180" s="1076"/>
      <c r="C1180" s="774"/>
      <c r="D1180" s="775"/>
      <c r="E1180" s="776"/>
      <c r="F1180" s="776"/>
      <c r="G1180" s="777"/>
      <c r="H1180" s="783"/>
      <c r="I1180" s="777"/>
      <c r="J1180" s="776"/>
      <c r="K1180" s="779"/>
      <c r="L1180" s="779"/>
      <c r="M1180" s="779"/>
      <c r="N1180" s="780"/>
      <c r="O1180" s="780"/>
      <c r="P1180" s="777"/>
      <c r="Q1180" s="781"/>
      <c r="R1180" s="782"/>
      <c r="S1180" s="782"/>
      <c r="T1180" s="782"/>
    </row>
    <row r="1181" spans="2:20">
      <c r="B1181" s="1076"/>
      <c r="C1181" s="774"/>
      <c r="D1181" s="775"/>
      <c r="E1181" s="776"/>
      <c r="F1181" s="776"/>
      <c r="G1181" s="777"/>
      <c r="H1181" s="783"/>
      <c r="I1181" s="777"/>
      <c r="J1181" s="776"/>
      <c r="K1181" s="779"/>
      <c r="L1181" s="779"/>
      <c r="M1181" s="779"/>
      <c r="N1181" s="780"/>
      <c r="O1181" s="780"/>
      <c r="P1181" s="777"/>
      <c r="Q1181" s="781"/>
      <c r="R1181" s="782"/>
      <c r="S1181" s="782"/>
      <c r="T1181" s="782"/>
    </row>
    <row r="1182" spans="2:20">
      <c r="B1182" s="1076"/>
      <c r="C1182" s="774"/>
      <c r="D1182" s="775"/>
      <c r="E1182" s="776"/>
      <c r="F1182" s="776"/>
      <c r="G1182" s="777"/>
      <c r="H1182" s="783"/>
      <c r="I1182" s="777"/>
      <c r="J1182" s="776"/>
      <c r="K1182" s="779"/>
      <c r="L1182" s="779"/>
      <c r="M1182" s="779"/>
      <c r="N1182" s="780"/>
      <c r="O1182" s="780"/>
      <c r="P1182" s="777"/>
      <c r="Q1182" s="781"/>
      <c r="R1182" s="782"/>
      <c r="S1182" s="782"/>
      <c r="T1182" s="782"/>
    </row>
    <row r="1183" spans="2:20">
      <c r="B1183" s="1076"/>
      <c r="C1183" s="774"/>
      <c r="D1183" s="775"/>
      <c r="E1183" s="776"/>
      <c r="F1183" s="776"/>
      <c r="G1183" s="777"/>
      <c r="H1183" s="783"/>
      <c r="I1183" s="777"/>
      <c r="J1183" s="776"/>
      <c r="K1183" s="779"/>
      <c r="L1183" s="779"/>
      <c r="M1183" s="779"/>
      <c r="N1183" s="780"/>
      <c r="O1183" s="780"/>
      <c r="P1183" s="777"/>
      <c r="Q1183" s="781"/>
      <c r="R1183" s="782"/>
      <c r="S1183" s="782"/>
      <c r="T1183" s="782"/>
    </row>
    <row r="1184" spans="2:20">
      <c r="B1184" s="1076"/>
      <c r="C1184" s="774"/>
      <c r="D1184" s="775"/>
      <c r="E1184" s="776"/>
      <c r="F1184" s="776"/>
      <c r="G1184" s="777"/>
      <c r="H1184" s="783"/>
      <c r="I1184" s="777"/>
      <c r="J1184" s="776"/>
      <c r="K1184" s="779"/>
      <c r="L1184" s="779"/>
      <c r="M1184" s="779"/>
      <c r="N1184" s="780"/>
      <c r="O1184" s="780"/>
      <c r="P1184" s="777"/>
      <c r="Q1184" s="781"/>
      <c r="R1184" s="782"/>
      <c r="S1184" s="782"/>
      <c r="T1184" s="782"/>
    </row>
    <row r="1185" spans="2:20">
      <c r="B1185" s="1076"/>
      <c r="C1185" s="774"/>
      <c r="D1185" s="775"/>
      <c r="E1185" s="776"/>
      <c r="F1185" s="776"/>
      <c r="G1185" s="777"/>
      <c r="H1185" s="783"/>
      <c r="I1185" s="777"/>
      <c r="J1185" s="776"/>
      <c r="K1185" s="779"/>
      <c r="L1185" s="779"/>
      <c r="M1185" s="779"/>
      <c r="N1185" s="780"/>
      <c r="O1185" s="780"/>
      <c r="P1185" s="777"/>
      <c r="Q1185" s="781"/>
      <c r="R1185" s="782"/>
      <c r="S1185" s="782"/>
      <c r="T1185" s="782"/>
    </row>
    <row r="1186" spans="2:20">
      <c r="B1186" s="1076"/>
      <c r="C1186" s="774"/>
      <c r="D1186" s="775"/>
      <c r="E1186" s="776"/>
      <c r="F1186" s="776"/>
      <c r="G1186" s="777"/>
      <c r="H1186" s="783"/>
      <c r="I1186" s="777"/>
      <c r="J1186" s="776"/>
      <c r="K1186" s="779"/>
      <c r="L1186" s="779"/>
      <c r="M1186" s="779"/>
      <c r="N1186" s="780"/>
      <c r="O1186" s="780"/>
      <c r="P1186" s="777"/>
      <c r="Q1186" s="781"/>
      <c r="R1186" s="782"/>
      <c r="S1186" s="782"/>
      <c r="T1186" s="782"/>
    </row>
    <row r="1187" spans="2:20">
      <c r="B1187" s="1076"/>
      <c r="C1187" s="774"/>
      <c r="D1187" s="775"/>
      <c r="E1187" s="776"/>
      <c r="F1187" s="776"/>
      <c r="G1187" s="777"/>
      <c r="H1187" s="783"/>
      <c r="I1187" s="777"/>
      <c r="J1187" s="776"/>
      <c r="K1187" s="779"/>
      <c r="L1187" s="779"/>
      <c r="M1187" s="779"/>
      <c r="N1187" s="780"/>
      <c r="O1187" s="780"/>
      <c r="P1187" s="777"/>
      <c r="Q1187" s="781"/>
      <c r="R1187" s="782"/>
      <c r="S1187" s="782"/>
      <c r="T1187" s="782"/>
    </row>
    <row r="1188" spans="2:20">
      <c r="B1188" s="1077"/>
      <c r="C1188" s="873"/>
      <c r="D1188" s="874"/>
      <c r="E1188" s="875"/>
      <c r="F1188" s="875"/>
      <c r="G1188" s="876"/>
      <c r="H1188" s="877"/>
      <c r="I1188" s="876"/>
      <c r="J1188" s="875"/>
      <c r="K1188" s="878"/>
      <c r="L1188" s="878"/>
      <c r="M1188" s="878"/>
      <c r="N1188" s="879"/>
      <c r="O1188" s="879"/>
      <c r="P1188" s="876"/>
      <c r="Q1188" s="880"/>
      <c r="R1188" s="881"/>
      <c r="S1188" s="881"/>
      <c r="T1188" s="881"/>
    </row>
    <row r="1189" spans="2:20">
      <c r="B1189" s="1075"/>
      <c r="C1189" s="785"/>
      <c r="D1189" s="786"/>
      <c r="E1189" s="787"/>
      <c r="F1189" s="787"/>
      <c r="G1189" s="788"/>
      <c r="H1189" s="797"/>
      <c r="I1189" s="788"/>
      <c r="J1189" s="787"/>
      <c r="K1189" s="790"/>
      <c r="L1189" s="790"/>
      <c r="M1189" s="790"/>
      <c r="N1189" s="791"/>
      <c r="O1189" s="791"/>
      <c r="P1189" s="788"/>
      <c r="Q1189" s="792"/>
      <c r="R1189" s="793"/>
      <c r="S1189" s="793"/>
      <c r="T1189" s="793"/>
    </row>
    <row r="1190" spans="2:20">
      <c r="B1190" s="1076"/>
      <c r="C1190" s="774"/>
      <c r="D1190" s="775"/>
      <c r="E1190" s="776"/>
      <c r="F1190" s="776"/>
      <c r="G1190" s="777"/>
      <c r="H1190" s="783"/>
      <c r="I1190" s="777"/>
      <c r="J1190" s="776"/>
      <c r="K1190" s="779"/>
      <c r="L1190" s="779"/>
      <c r="M1190" s="779"/>
      <c r="N1190" s="780"/>
      <c r="O1190" s="780"/>
      <c r="P1190" s="777"/>
      <c r="Q1190" s="781"/>
      <c r="R1190" s="782"/>
      <c r="S1190" s="782"/>
      <c r="T1190" s="782"/>
    </row>
    <row r="1191" spans="2:20">
      <c r="B1191" s="1076"/>
      <c r="C1191" s="774"/>
      <c r="D1191" s="775"/>
      <c r="E1191" s="776"/>
      <c r="F1191" s="776"/>
      <c r="G1191" s="777"/>
      <c r="H1191" s="783"/>
      <c r="I1191" s="777"/>
      <c r="J1191" s="776"/>
      <c r="K1191" s="779"/>
      <c r="L1191" s="779"/>
      <c r="M1191" s="779"/>
      <c r="N1191" s="780"/>
      <c r="O1191" s="780"/>
      <c r="P1191" s="777"/>
      <c r="Q1191" s="781"/>
      <c r="R1191" s="782"/>
      <c r="S1191" s="782"/>
      <c r="T1191" s="782"/>
    </row>
    <row r="1192" spans="2:20">
      <c r="B1192" s="1076"/>
      <c r="C1192" s="774"/>
      <c r="D1192" s="775"/>
      <c r="E1192" s="776"/>
      <c r="F1192" s="776"/>
      <c r="G1192" s="777"/>
      <c r="H1192" s="783"/>
      <c r="I1192" s="777"/>
      <c r="J1192" s="776"/>
      <c r="K1192" s="779"/>
      <c r="L1192" s="779"/>
      <c r="M1192" s="779"/>
      <c r="N1192" s="780"/>
      <c r="O1192" s="780"/>
      <c r="P1192" s="777"/>
      <c r="Q1192" s="781"/>
      <c r="R1192" s="782"/>
      <c r="S1192" s="782"/>
      <c r="T1192" s="782"/>
    </row>
    <row r="1193" spans="2:20">
      <c r="B1193" s="1076"/>
      <c r="C1193" s="774"/>
      <c r="D1193" s="775"/>
      <c r="E1193" s="776"/>
      <c r="F1193" s="776"/>
      <c r="G1193" s="777"/>
      <c r="H1193" s="783"/>
      <c r="I1193" s="777"/>
      <c r="J1193" s="776"/>
      <c r="K1193" s="779"/>
      <c r="L1193" s="779"/>
      <c r="M1193" s="779"/>
      <c r="N1193" s="780"/>
      <c r="O1193" s="780"/>
      <c r="P1193" s="777"/>
      <c r="Q1193" s="781"/>
      <c r="R1193" s="782"/>
      <c r="S1193" s="782"/>
      <c r="T1193" s="782"/>
    </row>
    <row r="1194" spans="2:20">
      <c r="B1194" s="1076"/>
      <c r="C1194" s="774"/>
      <c r="D1194" s="775"/>
      <c r="E1194" s="776"/>
      <c r="F1194" s="776"/>
      <c r="G1194" s="777"/>
      <c r="H1194" s="783"/>
      <c r="I1194" s="777"/>
      <c r="J1194" s="776"/>
      <c r="K1194" s="779"/>
      <c r="L1194" s="779"/>
      <c r="M1194" s="779"/>
      <c r="N1194" s="780"/>
      <c r="O1194" s="780"/>
      <c r="P1194" s="777"/>
      <c r="Q1194" s="781"/>
      <c r="R1194" s="782"/>
      <c r="S1194" s="782"/>
      <c r="T1194" s="782"/>
    </row>
    <row r="1195" spans="2:20">
      <c r="B1195" s="1076"/>
      <c r="C1195" s="774"/>
      <c r="D1195" s="775"/>
      <c r="E1195" s="776"/>
      <c r="F1195" s="776"/>
      <c r="G1195" s="777"/>
      <c r="H1195" s="783"/>
      <c r="I1195" s="777"/>
      <c r="J1195" s="776"/>
      <c r="K1195" s="779"/>
      <c r="L1195" s="779"/>
      <c r="M1195" s="779"/>
      <c r="N1195" s="780"/>
      <c r="O1195" s="780"/>
      <c r="P1195" s="777"/>
      <c r="Q1195" s="781"/>
      <c r="R1195" s="782"/>
      <c r="S1195" s="782"/>
      <c r="T1195" s="782"/>
    </row>
    <row r="1196" spans="2:20">
      <c r="B1196" s="1076"/>
      <c r="C1196" s="774"/>
      <c r="D1196" s="775"/>
      <c r="E1196" s="776"/>
      <c r="F1196" s="776"/>
      <c r="G1196" s="777"/>
      <c r="H1196" s="783"/>
      <c r="I1196" s="777"/>
      <c r="J1196" s="776"/>
      <c r="K1196" s="779"/>
      <c r="L1196" s="779"/>
      <c r="M1196" s="779"/>
      <c r="N1196" s="780"/>
      <c r="O1196" s="780"/>
      <c r="P1196" s="777"/>
      <c r="Q1196" s="781"/>
      <c r="R1196" s="782"/>
      <c r="S1196" s="782"/>
      <c r="T1196" s="782"/>
    </row>
    <row r="1197" spans="2:20">
      <c r="B1197" s="1076"/>
      <c r="C1197" s="774"/>
      <c r="D1197" s="775"/>
      <c r="E1197" s="776"/>
      <c r="F1197" s="776"/>
      <c r="G1197" s="777"/>
      <c r="H1197" s="783"/>
      <c r="I1197" s="777"/>
      <c r="J1197" s="776"/>
      <c r="K1197" s="779"/>
      <c r="L1197" s="779"/>
      <c r="M1197" s="779"/>
      <c r="N1197" s="780"/>
      <c r="O1197" s="780"/>
      <c r="P1197" s="777"/>
      <c r="Q1197" s="781"/>
      <c r="R1197" s="782"/>
      <c r="S1197" s="782"/>
      <c r="T1197" s="782"/>
    </row>
    <row r="1198" spans="2:20">
      <c r="B1198" s="1077"/>
      <c r="C1198" s="873"/>
      <c r="D1198" s="874"/>
      <c r="E1198" s="875"/>
      <c r="F1198" s="875"/>
      <c r="G1198" s="876"/>
      <c r="H1198" s="877"/>
      <c r="I1198" s="876"/>
      <c r="J1198" s="875"/>
      <c r="K1198" s="878"/>
      <c r="L1198" s="878"/>
      <c r="M1198" s="878"/>
      <c r="N1198" s="879"/>
      <c r="O1198" s="879"/>
      <c r="P1198" s="876"/>
      <c r="Q1198" s="880"/>
      <c r="R1198" s="881"/>
      <c r="S1198" s="881"/>
      <c r="T1198" s="881"/>
    </row>
    <row r="1199" spans="2:20">
      <c r="B1199" s="1075"/>
      <c r="C1199" s="785"/>
      <c r="D1199" s="786"/>
      <c r="E1199" s="787"/>
      <c r="F1199" s="787"/>
      <c r="G1199" s="788"/>
      <c r="H1199" s="797"/>
      <c r="I1199" s="788"/>
      <c r="J1199" s="787"/>
      <c r="K1199" s="790"/>
      <c r="L1199" s="790"/>
      <c r="M1199" s="790"/>
      <c r="N1199" s="791"/>
      <c r="O1199" s="791"/>
      <c r="P1199" s="788"/>
      <c r="Q1199" s="792"/>
      <c r="R1199" s="793"/>
      <c r="S1199" s="793"/>
      <c r="T1199" s="793"/>
    </row>
    <row r="1200" spans="2:20">
      <c r="B1200" s="1076"/>
      <c r="C1200" s="774"/>
      <c r="D1200" s="775"/>
      <c r="E1200" s="776"/>
      <c r="F1200" s="776"/>
      <c r="G1200" s="777"/>
      <c r="H1200" s="783"/>
      <c r="I1200" s="777"/>
      <c r="J1200" s="776"/>
      <c r="K1200" s="779"/>
      <c r="L1200" s="779"/>
      <c r="M1200" s="779"/>
      <c r="N1200" s="780"/>
      <c r="O1200" s="780"/>
      <c r="P1200" s="777"/>
      <c r="Q1200" s="781"/>
      <c r="R1200" s="782"/>
      <c r="S1200" s="782"/>
      <c r="T1200" s="782"/>
    </row>
    <row r="1201" spans="2:20">
      <c r="B1201" s="1076"/>
      <c r="C1201" s="774"/>
      <c r="D1201" s="775"/>
      <c r="E1201" s="776"/>
      <c r="F1201" s="776"/>
      <c r="G1201" s="777"/>
      <c r="H1201" s="783"/>
      <c r="I1201" s="777"/>
      <c r="J1201" s="776"/>
      <c r="K1201" s="779"/>
      <c r="L1201" s="779"/>
      <c r="M1201" s="779"/>
      <c r="N1201" s="780"/>
      <c r="O1201" s="780"/>
      <c r="P1201" s="777"/>
      <c r="Q1201" s="781"/>
      <c r="R1201" s="782"/>
      <c r="S1201" s="782"/>
      <c r="T1201" s="782"/>
    </row>
    <row r="1202" spans="2:20">
      <c r="B1202" s="1076"/>
      <c r="C1202" s="774"/>
      <c r="D1202" s="775"/>
      <c r="E1202" s="776"/>
      <c r="F1202" s="776"/>
      <c r="G1202" s="777"/>
      <c r="H1202" s="783"/>
      <c r="I1202" s="777"/>
      <c r="J1202" s="776"/>
      <c r="K1202" s="779"/>
      <c r="L1202" s="779"/>
      <c r="M1202" s="779"/>
      <c r="N1202" s="780"/>
      <c r="O1202" s="780"/>
      <c r="P1202" s="777"/>
      <c r="Q1202" s="781"/>
      <c r="R1202" s="782"/>
      <c r="S1202" s="782"/>
      <c r="T1202" s="782"/>
    </row>
    <row r="1203" spans="2:20">
      <c r="B1203" s="1076"/>
      <c r="C1203" s="774"/>
      <c r="D1203" s="775"/>
      <c r="E1203" s="776"/>
      <c r="F1203" s="776"/>
      <c r="G1203" s="777"/>
      <c r="H1203" s="783"/>
      <c r="I1203" s="777"/>
      <c r="J1203" s="776"/>
      <c r="K1203" s="779"/>
      <c r="L1203" s="779"/>
      <c r="M1203" s="779"/>
      <c r="N1203" s="780"/>
      <c r="O1203" s="780"/>
      <c r="P1203" s="777"/>
      <c r="Q1203" s="781"/>
      <c r="R1203" s="782"/>
      <c r="S1203" s="782"/>
      <c r="T1203" s="782"/>
    </row>
    <row r="1204" spans="2:20">
      <c r="B1204" s="1076"/>
      <c r="C1204" s="774"/>
      <c r="D1204" s="775"/>
      <c r="E1204" s="776"/>
      <c r="F1204" s="776"/>
      <c r="G1204" s="777"/>
      <c r="H1204" s="783"/>
      <c r="I1204" s="777"/>
      <c r="J1204" s="776"/>
      <c r="K1204" s="779"/>
      <c r="L1204" s="779"/>
      <c r="M1204" s="779"/>
      <c r="N1204" s="780"/>
      <c r="O1204" s="780"/>
      <c r="P1204" s="777"/>
      <c r="Q1204" s="781"/>
      <c r="R1204" s="782"/>
      <c r="S1204" s="782"/>
      <c r="T1204" s="782"/>
    </row>
    <row r="1205" spans="2:20">
      <c r="B1205" s="1076"/>
      <c r="C1205" s="774"/>
      <c r="D1205" s="775"/>
      <c r="E1205" s="776"/>
      <c r="F1205" s="776"/>
      <c r="G1205" s="777"/>
      <c r="H1205" s="783"/>
      <c r="I1205" s="777"/>
      <c r="J1205" s="776"/>
      <c r="K1205" s="779"/>
      <c r="L1205" s="779"/>
      <c r="M1205" s="779"/>
      <c r="N1205" s="780"/>
      <c r="O1205" s="780"/>
      <c r="P1205" s="777"/>
      <c r="Q1205" s="781"/>
      <c r="R1205" s="782"/>
      <c r="S1205" s="782"/>
      <c r="T1205" s="782"/>
    </row>
    <row r="1206" spans="2:20">
      <c r="B1206" s="1076"/>
      <c r="C1206" s="774"/>
      <c r="D1206" s="775"/>
      <c r="E1206" s="776"/>
      <c r="F1206" s="776"/>
      <c r="G1206" s="777"/>
      <c r="H1206" s="783"/>
      <c r="I1206" s="777"/>
      <c r="J1206" s="776"/>
      <c r="K1206" s="779"/>
      <c r="L1206" s="779"/>
      <c r="M1206" s="779"/>
      <c r="N1206" s="780"/>
      <c r="O1206" s="780"/>
      <c r="P1206" s="777"/>
      <c r="Q1206" s="781"/>
      <c r="R1206" s="782"/>
      <c r="S1206" s="782"/>
      <c r="T1206" s="782"/>
    </row>
    <row r="1207" spans="2:20">
      <c r="B1207" s="1076"/>
      <c r="C1207" s="774"/>
      <c r="D1207" s="775"/>
      <c r="E1207" s="776"/>
      <c r="F1207" s="776"/>
      <c r="G1207" s="777"/>
      <c r="H1207" s="783"/>
      <c r="I1207" s="777"/>
      <c r="J1207" s="776"/>
      <c r="K1207" s="779"/>
      <c r="L1207" s="779"/>
      <c r="M1207" s="779"/>
      <c r="N1207" s="780"/>
      <c r="O1207" s="780"/>
      <c r="P1207" s="777"/>
      <c r="Q1207" s="781"/>
      <c r="R1207" s="782"/>
      <c r="S1207" s="782"/>
      <c r="T1207" s="782"/>
    </row>
    <row r="1208" spans="2:20">
      <c r="B1208" s="1077"/>
      <c r="C1208" s="873"/>
      <c r="D1208" s="874"/>
      <c r="E1208" s="875"/>
      <c r="F1208" s="875"/>
      <c r="G1208" s="876"/>
      <c r="H1208" s="877"/>
      <c r="I1208" s="876"/>
      <c r="J1208" s="875"/>
      <c r="K1208" s="878"/>
      <c r="L1208" s="878"/>
      <c r="M1208" s="878"/>
      <c r="N1208" s="879"/>
      <c r="O1208" s="879"/>
      <c r="P1208" s="876"/>
      <c r="Q1208" s="880"/>
      <c r="R1208" s="881"/>
      <c r="S1208" s="881"/>
      <c r="T1208" s="881"/>
    </row>
    <row r="1209" spans="2:20">
      <c r="B1209" s="1076"/>
      <c r="C1209" s="774"/>
      <c r="D1209" s="775"/>
      <c r="E1209" s="776"/>
      <c r="F1209" s="776"/>
      <c r="G1209" s="777"/>
      <c r="H1209" s="783"/>
      <c r="I1209" s="777"/>
      <c r="J1209" s="776"/>
      <c r="K1209" s="779"/>
      <c r="L1209" s="779"/>
      <c r="M1209" s="779"/>
      <c r="N1209" s="780"/>
      <c r="O1209" s="780"/>
      <c r="P1209" s="777"/>
      <c r="Q1209" s="781"/>
      <c r="R1209" s="782"/>
      <c r="S1209" s="782"/>
      <c r="T1209" s="782"/>
    </row>
    <row r="1210" spans="2:20">
      <c r="B1210" s="1076"/>
      <c r="C1210" s="774"/>
      <c r="D1210" s="775"/>
      <c r="E1210" s="776"/>
      <c r="F1210" s="776"/>
      <c r="G1210" s="777"/>
      <c r="H1210" s="783"/>
      <c r="I1210" s="777"/>
      <c r="J1210" s="776"/>
      <c r="K1210" s="779"/>
      <c r="L1210" s="779"/>
      <c r="M1210" s="779"/>
      <c r="N1210" s="780"/>
      <c r="O1210" s="780"/>
      <c r="P1210" s="777"/>
      <c r="Q1210" s="781"/>
      <c r="R1210" s="782"/>
      <c r="S1210" s="782"/>
      <c r="T1210" s="782"/>
    </row>
    <row r="1211" spans="2:20">
      <c r="B1211" s="1076"/>
      <c r="C1211" s="774"/>
      <c r="D1211" s="775"/>
      <c r="E1211" s="776"/>
      <c r="F1211" s="776"/>
      <c r="G1211" s="777"/>
      <c r="H1211" s="783"/>
      <c r="I1211" s="777"/>
      <c r="J1211" s="776"/>
      <c r="K1211" s="779"/>
      <c r="L1211" s="779"/>
      <c r="M1211" s="779"/>
      <c r="N1211" s="780"/>
      <c r="O1211" s="780"/>
      <c r="P1211" s="777"/>
      <c r="Q1211" s="781"/>
      <c r="R1211" s="782"/>
      <c r="S1211" s="782"/>
      <c r="T1211" s="782"/>
    </row>
    <row r="1212" spans="2:20">
      <c r="B1212" s="1076"/>
      <c r="C1212" s="774"/>
      <c r="D1212" s="775"/>
      <c r="E1212" s="776"/>
      <c r="F1212" s="776"/>
      <c r="G1212" s="777"/>
      <c r="H1212" s="783"/>
      <c r="I1212" s="777"/>
      <c r="J1212" s="776"/>
      <c r="K1212" s="779"/>
      <c r="L1212" s="779"/>
      <c r="M1212" s="779"/>
      <c r="N1212" s="780"/>
      <c r="O1212" s="780"/>
      <c r="P1212" s="777"/>
      <c r="Q1212" s="781"/>
      <c r="R1212" s="782"/>
      <c r="S1212" s="782"/>
      <c r="T1212" s="782"/>
    </row>
    <row r="1213" spans="2:20">
      <c r="B1213" s="1076"/>
      <c r="C1213" s="774"/>
      <c r="D1213" s="775"/>
      <c r="E1213" s="776"/>
      <c r="F1213" s="776"/>
      <c r="G1213" s="777"/>
      <c r="H1213" s="783"/>
      <c r="I1213" s="777"/>
      <c r="J1213" s="776"/>
      <c r="K1213" s="779"/>
      <c r="L1213" s="779"/>
      <c r="M1213" s="779"/>
      <c r="N1213" s="780"/>
      <c r="O1213" s="780"/>
      <c r="P1213" s="777"/>
      <c r="Q1213" s="781"/>
      <c r="R1213" s="782"/>
      <c r="S1213" s="782"/>
      <c r="T1213" s="782"/>
    </row>
    <row r="1214" spans="2:20">
      <c r="B1214" s="1076"/>
      <c r="C1214" s="774"/>
      <c r="D1214" s="775"/>
      <c r="E1214" s="776"/>
      <c r="F1214" s="776"/>
      <c r="G1214" s="777"/>
      <c r="H1214" s="783"/>
      <c r="I1214" s="777"/>
      <c r="J1214" s="776"/>
      <c r="K1214" s="779"/>
      <c r="L1214" s="779"/>
      <c r="M1214" s="779"/>
      <c r="N1214" s="780"/>
      <c r="O1214" s="780"/>
      <c r="P1214" s="777"/>
      <c r="Q1214" s="781"/>
      <c r="R1214" s="782"/>
      <c r="S1214" s="782"/>
      <c r="T1214" s="782"/>
    </row>
    <row r="1215" spans="2:20">
      <c r="B1215" s="1076"/>
      <c r="C1215" s="774"/>
      <c r="D1215" s="775"/>
      <c r="E1215" s="776"/>
      <c r="F1215" s="776"/>
      <c r="G1215" s="777"/>
      <c r="H1215" s="783"/>
      <c r="I1215" s="777"/>
      <c r="J1215" s="776"/>
      <c r="K1215" s="779"/>
      <c r="L1215" s="779"/>
      <c r="M1215" s="779"/>
      <c r="N1215" s="780"/>
      <c r="O1215" s="780"/>
      <c r="P1215" s="777"/>
      <c r="Q1215" s="781"/>
      <c r="R1215" s="782"/>
      <c r="S1215" s="782"/>
      <c r="T1215" s="782"/>
    </row>
    <row r="1216" spans="2:20">
      <c r="B1216" s="1076"/>
      <c r="C1216" s="774"/>
      <c r="D1216" s="775"/>
      <c r="E1216" s="776"/>
      <c r="F1216" s="776"/>
      <c r="G1216" s="777"/>
      <c r="H1216" s="783"/>
      <c r="I1216" s="777"/>
      <c r="J1216" s="776"/>
      <c r="K1216" s="779"/>
      <c r="L1216" s="779"/>
      <c r="M1216" s="779"/>
      <c r="N1216" s="780"/>
      <c r="O1216" s="780"/>
      <c r="P1216" s="777"/>
      <c r="Q1216" s="781"/>
      <c r="R1216" s="782"/>
      <c r="S1216" s="782"/>
      <c r="T1216" s="782"/>
    </row>
    <row r="1217" spans="2:20">
      <c r="B1217" s="1076"/>
      <c r="C1217" s="774"/>
      <c r="D1217" s="775"/>
      <c r="E1217" s="776"/>
      <c r="F1217" s="776"/>
      <c r="G1217" s="777"/>
      <c r="H1217" s="783"/>
      <c r="I1217" s="777"/>
      <c r="J1217" s="776"/>
      <c r="K1217" s="779"/>
      <c r="L1217" s="779"/>
      <c r="M1217" s="779"/>
      <c r="N1217" s="780"/>
      <c r="O1217" s="780"/>
      <c r="P1217" s="777"/>
      <c r="Q1217" s="781"/>
      <c r="R1217" s="782"/>
      <c r="S1217" s="782"/>
      <c r="T1217" s="782"/>
    </row>
    <row r="1218" spans="2:20">
      <c r="B1218" s="1076"/>
      <c r="C1218" s="774"/>
      <c r="D1218" s="775"/>
      <c r="E1218" s="776"/>
      <c r="F1218" s="776"/>
      <c r="G1218" s="777"/>
      <c r="H1218" s="783"/>
      <c r="I1218" s="777"/>
      <c r="J1218" s="776"/>
      <c r="K1218" s="779"/>
      <c r="L1218" s="779"/>
      <c r="M1218" s="779"/>
      <c r="N1218" s="780"/>
      <c r="O1218" s="780"/>
      <c r="P1218" s="777"/>
      <c r="Q1218" s="781"/>
      <c r="R1218" s="782"/>
      <c r="S1218" s="782"/>
      <c r="T1218" s="782"/>
    </row>
    <row r="1219" spans="2:20">
      <c r="B1219" s="1078"/>
      <c r="C1219" s="1079"/>
      <c r="D1219" s="1080" t="s">
        <v>6087</v>
      </c>
      <c r="E1219" s="1078"/>
      <c r="F1219" s="1078"/>
      <c r="G1219" s="1078"/>
      <c r="H1219" s="1081"/>
      <c r="I1219" s="1078"/>
      <c r="J1219" s="1078"/>
      <c r="K1219" s="864"/>
      <c r="L1219" s="865"/>
      <c r="M1219" s="865"/>
      <c r="N1219" s="866"/>
      <c r="O1219" s="867"/>
      <c r="P1219" s="868"/>
      <c r="Q1219" s="869"/>
      <c r="R1219" s="870"/>
      <c r="S1219" s="870"/>
      <c r="T1219" s="870"/>
    </row>
    <row r="1220" spans="2:20">
      <c r="B1220" s="1075"/>
      <c r="C1220" s="785"/>
      <c r="D1220" s="786"/>
      <c r="E1220" s="787"/>
      <c r="F1220" s="787"/>
      <c r="G1220" s="788"/>
      <c r="H1220" s="797"/>
      <c r="I1220" s="788"/>
      <c r="J1220" s="787"/>
      <c r="K1220" s="790"/>
      <c r="L1220" s="790"/>
      <c r="M1220" s="790"/>
      <c r="N1220" s="791"/>
      <c r="O1220" s="791"/>
      <c r="P1220" s="788"/>
      <c r="Q1220" s="792"/>
      <c r="R1220" s="793"/>
      <c r="S1220" s="793"/>
      <c r="T1220" s="793"/>
    </row>
    <row r="1221" spans="2:20">
      <c r="B1221" s="1076"/>
      <c r="C1221" s="774"/>
      <c r="D1221" s="775"/>
      <c r="E1221" s="776"/>
      <c r="F1221" s="776"/>
      <c r="G1221" s="777"/>
      <c r="H1221" s="783"/>
      <c r="I1221" s="777"/>
      <c r="J1221" s="776"/>
      <c r="K1221" s="779"/>
      <c r="L1221" s="779"/>
      <c r="M1221" s="779"/>
      <c r="N1221" s="780"/>
      <c r="O1221" s="780"/>
      <c r="P1221" s="777"/>
      <c r="Q1221" s="781"/>
      <c r="R1221" s="782"/>
      <c r="S1221" s="782"/>
      <c r="T1221" s="782"/>
    </row>
    <row r="1222" spans="2:20">
      <c r="B1222" s="1076"/>
      <c r="C1222" s="774"/>
      <c r="D1222" s="775"/>
      <c r="E1222" s="776"/>
      <c r="F1222" s="776"/>
      <c r="G1222" s="777"/>
      <c r="H1222" s="783"/>
      <c r="I1222" s="777"/>
      <c r="J1222" s="776"/>
      <c r="K1222" s="779"/>
      <c r="L1222" s="779"/>
      <c r="M1222" s="779"/>
      <c r="N1222" s="780"/>
      <c r="O1222" s="780"/>
      <c r="P1222" s="777"/>
      <c r="Q1222" s="781"/>
      <c r="R1222" s="782"/>
      <c r="S1222" s="782"/>
      <c r="T1222" s="782"/>
    </row>
    <row r="1223" spans="2:20">
      <c r="B1223" s="1076"/>
      <c r="C1223" s="774"/>
      <c r="D1223" s="775"/>
      <c r="E1223" s="776"/>
      <c r="F1223" s="776"/>
      <c r="G1223" s="777"/>
      <c r="H1223" s="783"/>
      <c r="I1223" s="777"/>
      <c r="J1223" s="776"/>
      <c r="K1223" s="779"/>
      <c r="L1223" s="779"/>
      <c r="M1223" s="779"/>
      <c r="N1223" s="780"/>
      <c r="O1223" s="780"/>
      <c r="P1223" s="777"/>
      <c r="Q1223" s="781"/>
      <c r="R1223" s="782"/>
      <c r="S1223" s="782"/>
      <c r="T1223" s="782"/>
    </row>
    <row r="1224" spans="2:20">
      <c r="B1224" s="1076"/>
      <c r="C1224" s="774"/>
      <c r="D1224" s="775"/>
      <c r="E1224" s="776"/>
      <c r="F1224" s="776"/>
      <c r="G1224" s="777"/>
      <c r="H1224" s="783"/>
      <c r="I1224" s="777"/>
      <c r="J1224" s="776"/>
      <c r="K1224" s="779"/>
      <c r="L1224" s="779"/>
      <c r="M1224" s="779"/>
      <c r="N1224" s="780"/>
      <c r="O1224" s="780"/>
      <c r="P1224" s="777"/>
      <c r="Q1224" s="781"/>
      <c r="R1224" s="782"/>
      <c r="S1224" s="782"/>
      <c r="T1224" s="782"/>
    </row>
    <row r="1225" spans="2:20">
      <c r="B1225" s="1076"/>
      <c r="C1225" s="774"/>
      <c r="D1225" s="775"/>
      <c r="E1225" s="776"/>
      <c r="F1225" s="776"/>
      <c r="G1225" s="777"/>
      <c r="H1225" s="783"/>
      <c r="I1225" s="777"/>
      <c r="J1225" s="776"/>
      <c r="K1225" s="779"/>
      <c r="L1225" s="779"/>
      <c r="M1225" s="779"/>
      <c r="N1225" s="780"/>
      <c r="O1225" s="780"/>
      <c r="P1225" s="777"/>
      <c r="Q1225" s="781"/>
      <c r="R1225" s="782"/>
      <c r="S1225" s="782"/>
      <c r="T1225" s="782"/>
    </row>
    <row r="1226" spans="2:20">
      <c r="B1226" s="1076"/>
      <c r="C1226" s="774"/>
      <c r="D1226" s="775"/>
      <c r="E1226" s="776"/>
      <c r="F1226" s="776"/>
      <c r="G1226" s="777"/>
      <c r="H1226" s="783"/>
      <c r="I1226" s="777"/>
      <c r="J1226" s="776"/>
      <c r="K1226" s="779"/>
      <c r="L1226" s="779"/>
      <c r="M1226" s="779"/>
      <c r="N1226" s="780"/>
      <c r="O1226" s="780"/>
      <c r="P1226" s="777"/>
      <c r="Q1226" s="781"/>
      <c r="R1226" s="782"/>
      <c r="S1226" s="782"/>
      <c r="T1226" s="782"/>
    </row>
    <row r="1227" spans="2:20">
      <c r="B1227" s="1076"/>
      <c r="C1227" s="774"/>
      <c r="D1227" s="775"/>
      <c r="E1227" s="776"/>
      <c r="F1227" s="776"/>
      <c r="G1227" s="777"/>
      <c r="H1227" s="783"/>
      <c r="I1227" s="777"/>
      <c r="J1227" s="776"/>
      <c r="K1227" s="779"/>
      <c r="L1227" s="779"/>
      <c r="M1227" s="779"/>
      <c r="N1227" s="780"/>
      <c r="O1227" s="780"/>
      <c r="P1227" s="777"/>
      <c r="Q1227" s="781"/>
      <c r="R1227" s="782"/>
      <c r="S1227" s="782"/>
      <c r="T1227" s="782"/>
    </row>
    <row r="1228" spans="2:20">
      <c r="B1228" s="1076"/>
      <c r="C1228" s="774"/>
      <c r="D1228" s="775"/>
      <c r="E1228" s="776"/>
      <c r="F1228" s="776"/>
      <c r="G1228" s="777"/>
      <c r="H1228" s="783"/>
      <c r="I1228" s="777"/>
      <c r="J1228" s="776"/>
      <c r="K1228" s="779"/>
      <c r="L1228" s="779"/>
      <c r="M1228" s="779"/>
      <c r="N1228" s="780"/>
      <c r="O1228" s="780"/>
      <c r="P1228" s="777"/>
      <c r="Q1228" s="781"/>
      <c r="R1228" s="782"/>
      <c r="S1228" s="782"/>
      <c r="T1228" s="782"/>
    </row>
    <row r="1229" spans="2:20">
      <c r="B1229" s="1077"/>
      <c r="C1229" s="873"/>
      <c r="D1229" s="874"/>
      <c r="E1229" s="875"/>
      <c r="F1229" s="875"/>
      <c r="G1229" s="876"/>
      <c r="H1229" s="877"/>
      <c r="I1229" s="876"/>
      <c r="J1229" s="875"/>
      <c r="K1229" s="878"/>
      <c r="L1229" s="878"/>
      <c r="M1229" s="878"/>
      <c r="N1229" s="879"/>
      <c r="O1229" s="879"/>
      <c r="P1229" s="876"/>
      <c r="Q1229" s="880"/>
      <c r="R1229" s="881"/>
      <c r="S1229" s="881"/>
      <c r="T1229" s="881"/>
    </row>
    <row r="1230" spans="2:20">
      <c r="B1230" s="1075"/>
      <c r="C1230" s="785"/>
      <c r="D1230" s="786"/>
      <c r="E1230" s="787"/>
      <c r="F1230" s="787"/>
      <c r="G1230" s="788"/>
      <c r="H1230" s="797"/>
      <c r="I1230" s="788"/>
      <c r="J1230" s="787"/>
      <c r="K1230" s="790"/>
      <c r="L1230" s="790"/>
      <c r="M1230" s="790"/>
      <c r="N1230" s="791"/>
      <c r="O1230" s="791"/>
      <c r="P1230" s="788"/>
      <c r="Q1230" s="792"/>
      <c r="R1230" s="793"/>
      <c r="S1230" s="793"/>
      <c r="T1230" s="793"/>
    </row>
    <row r="1231" spans="2:20">
      <c r="B1231" s="1076"/>
      <c r="C1231" s="774"/>
      <c r="D1231" s="775"/>
      <c r="E1231" s="776"/>
      <c r="F1231" s="776"/>
      <c r="G1231" s="777"/>
      <c r="H1231" s="783"/>
      <c r="I1231" s="777"/>
      <c r="J1231" s="776"/>
      <c r="K1231" s="779"/>
      <c r="L1231" s="779"/>
      <c r="M1231" s="779"/>
      <c r="N1231" s="780"/>
      <c r="O1231" s="780"/>
      <c r="P1231" s="777"/>
      <c r="Q1231" s="781"/>
      <c r="R1231" s="782"/>
      <c r="S1231" s="782"/>
      <c r="T1231" s="782"/>
    </row>
    <row r="1232" spans="2:20">
      <c r="B1232" s="1076"/>
      <c r="C1232" s="774"/>
      <c r="D1232" s="775"/>
      <c r="E1232" s="776"/>
      <c r="F1232" s="776"/>
      <c r="G1232" s="777"/>
      <c r="H1232" s="783"/>
      <c r="I1232" s="777"/>
      <c r="J1232" s="776"/>
      <c r="K1232" s="779"/>
      <c r="L1232" s="779"/>
      <c r="M1232" s="779"/>
      <c r="N1232" s="780"/>
      <c r="O1232" s="780"/>
      <c r="P1232" s="777"/>
      <c r="Q1232" s="781"/>
      <c r="R1232" s="782"/>
      <c r="S1232" s="782"/>
      <c r="T1232" s="782"/>
    </row>
    <row r="1233" spans="2:20">
      <c r="B1233" s="1076"/>
      <c r="C1233" s="774"/>
      <c r="D1233" s="775"/>
      <c r="E1233" s="776"/>
      <c r="F1233" s="776"/>
      <c r="G1233" s="777"/>
      <c r="H1233" s="783"/>
      <c r="I1233" s="777"/>
      <c r="J1233" s="776"/>
      <c r="K1233" s="779"/>
      <c r="L1233" s="779"/>
      <c r="M1233" s="779"/>
      <c r="N1233" s="780"/>
      <c r="O1233" s="780"/>
      <c r="P1233" s="777"/>
      <c r="Q1233" s="781"/>
      <c r="R1233" s="782"/>
      <c r="S1233" s="782"/>
      <c r="T1233" s="782"/>
    </row>
    <row r="1234" spans="2:20">
      <c r="B1234" s="1076"/>
      <c r="C1234" s="774"/>
      <c r="D1234" s="775"/>
      <c r="E1234" s="776"/>
      <c r="F1234" s="776"/>
      <c r="G1234" s="777"/>
      <c r="H1234" s="783"/>
      <c r="I1234" s="777"/>
      <c r="J1234" s="776"/>
      <c r="K1234" s="779"/>
      <c r="L1234" s="779"/>
      <c r="M1234" s="779"/>
      <c r="N1234" s="780"/>
      <c r="O1234" s="780"/>
      <c r="P1234" s="777"/>
      <c r="Q1234" s="781"/>
      <c r="R1234" s="782"/>
      <c r="S1234" s="782"/>
      <c r="T1234" s="782"/>
    </row>
    <row r="1235" spans="2:20">
      <c r="B1235" s="1076"/>
      <c r="C1235" s="774"/>
      <c r="D1235" s="775"/>
      <c r="E1235" s="776"/>
      <c r="F1235" s="776"/>
      <c r="G1235" s="777"/>
      <c r="H1235" s="783"/>
      <c r="I1235" s="777"/>
      <c r="J1235" s="776"/>
      <c r="K1235" s="779"/>
      <c r="L1235" s="779"/>
      <c r="M1235" s="779"/>
      <c r="N1235" s="780"/>
      <c r="O1235" s="780"/>
      <c r="P1235" s="777"/>
      <c r="Q1235" s="781"/>
      <c r="R1235" s="782"/>
      <c r="S1235" s="782"/>
      <c r="T1235" s="782"/>
    </row>
    <row r="1236" spans="2:20">
      <c r="B1236" s="1076"/>
      <c r="C1236" s="774"/>
      <c r="D1236" s="775"/>
      <c r="E1236" s="776"/>
      <c r="F1236" s="776"/>
      <c r="G1236" s="777"/>
      <c r="H1236" s="783"/>
      <c r="I1236" s="777"/>
      <c r="J1236" s="776"/>
      <c r="K1236" s="779"/>
      <c r="L1236" s="779"/>
      <c r="M1236" s="779"/>
      <c r="N1236" s="780"/>
      <c r="O1236" s="780"/>
      <c r="P1236" s="777"/>
      <c r="Q1236" s="781"/>
      <c r="R1236" s="782"/>
      <c r="S1236" s="782"/>
      <c r="T1236" s="782"/>
    </row>
    <row r="1237" spans="2:20">
      <c r="B1237" s="1076"/>
      <c r="C1237" s="774"/>
      <c r="D1237" s="775"/>
      <c r="E1237" s="776"/>
      <c r="F1237" s="776"/>
      <c r="G1237" s="777"/>
      <c r="H1237" s="783"/>
      <c r="I1237" s="777"/>
      <c r="J1237" s="776"/>
      <c r="K1237" s="779"/>
      <c r="L1237" s="779"/>
      <c r="M1237" s="779"/>
      <c r="N1237" s="780"/>
      <c r="O1237" s="780"/>
      <c r="P1237" s="777"/>
      <c r="Q1237" s="781"/>
      <c r="R1237" s="782"/>
      <c r="S1237" s="782"/>
      <c r="T1237" s="782"/>
    </row>
    <row r="1238" spans="2:20">
      <c r="B1238" s="1076"/>
      <c r="C1238" s="774"/>
      <c r="D1238" s="775"/>
      <c r="E1238" s="776"/>
      <c r="F1238" s="776"/>
      <c r="G1238" s="777"/>
      <c r="H1238" s="783"/>
      <c r="I1238" s="777"/>
      <c r="J1238" s="776"/>
      <c r="K1238" s="779"/>
      <c r="L1238" s="779"/>
      <c r="M1238" s="779"/>
      <c r="N1238" s="780"/>
      <c r="O1238" s="780"/>
      <c r="P1238" s="777"/>
      <c r="Q1238" s="781"/>
      <c r="R1238" s="782"/>
      <c r="S1238" s="782"/>
      <c r="T1238" s="782"/>
    </row>
    <row r="1239" spans="2:20">
      <c r="B1239" s="1077"/>
      <c r="C1239" s="873"/>
      <c r="D1239" s="874"/>
      <c r="E1239" s="875"/>
      <c r="F1239" s="875"/>
      <c r="G1239" s="876"/>
      <c r="H1239" s="877"/>
      <c r="I1239" s="876"/>
      <c r="J1239" s="875"/>
      <c r="K1239" s="878"/>
      <c r="L1239" s="878"/>
      <c r="M1239" s="878"/>
      <c r="N1239" s="879"/>
      <c r="O1239" s="879"/>
      <c r="P1239" s="876"/>
      <c r="Q1239" s="880"/>
      <c r="R1239" s="881"/>
      <c r="S1239" s="881"/>
      <c r="T1239" s="881"/>
    </row>
    <row r="1240" spans="2:20">
      <c r="B1240" s="1075"/>
      <c r="C1240" s="785"/>
      <c r="D1240" s="786"/>
      <c r="E1240" s="787"/>
      <c r="F1240" s="787"/>
      <c r="G1240" s="788"/>
      <c r="H1240" s="797"/>
      <c r="I1240" s="788"/>
      <c r="J1240" s="787"/>
      <c r="K1240" s="790"/>
      <c r="L1240" s="790"/>
      <c r="M1240" s="790"/>
      <c r="N1240" s="791"/>
      <c r="O1240" s="791"/>
      <c r="P1240" s="788"/>
      <c r="Q1240" s="792"/>
      <c r="R1240" s="793"/>
      <c r="S1240" s="793"/>
      <c r="T1240" s="793"/>
    </row>
    <row r="1241" spans="2:20">
      <c r="B1241" s="1076"/>
      <c r="C1241" s="774"/>
      <c r="D1241" s="775"/>
      <c r="E1241" s="776"/>
      <c r="F1241" s="776"/>
      <c r="G1241" s="777"/>
      <c r="H1241" s="783"/>
      <c r="I1241" s="777"/>
      <c r="J1241" s="776"/>
      <c r="K1241" s="779"/>
      <c r="L1241" s="779"/>
      <c r="M1241" s="779"/>
      <c r="N1241" s="780"/>
      <c r="O1241" s="780"/>
      <c r="P1241" s="777"/>
      <c r="Q1241" s="781"/>
      <c r="R1241" s="782"/>
      <c r="S1241" s="782"/>
      <c r="T1241" s="782"/>
    </row>
    <row r="1242" spans="2:20">
      <c r="B1242" s="1076"/>
      <c r="C1242" s="774"/>
      <c r="D1242" s="775"/>
      <c r="E1242" s="776"/>
      <c r="F1242" s="776"/>
      <c r="G1242" s="777"/>
      <c r="H1242" s="783"/>
      <c r="I1242" s="777"/>
      <c r="J1242" s="776"/>
      <c r="K1242" s="779"/>
      <c r="L1242" s="779"/>
      <c r="M1242" s="779"/>
      <c r="N1242" s="780"/>
      <c r="O1242" s="780"/>
      <c r="P1242" s="777"/>
      <c r="Q1242" s="781"/>
      <c r="R1242" s="782"/>
      <c r="S1242" s="782"/>
      <c r="T1242" s="782"/>
    </row>
    <row r="1243" spans="2:20">
      <c r="B1243" s="1076"/>
      <c r="C1243" s="774"/>
      <c r="D1243" s="775"/>
      <c r="E1243" s="776"/>
      <c r="F1243" s="776"/>
      <c r="G1243" s="777"/>
      <c r="H1243" s="783"/>
      <c r="I1243" s="777"/>
      <c r="J1243" s="776"/>
      <c r="K1243" s="779"/>
      <c r="L1243" s="779"/>
      <c r="M1243" s="779"/>
      <c r="N1243" s="780"/>
      <c r="O1243" s="780"/>
      <c r="P1243" s="777"/>
      <c r="Q1243" s="781"/>
      <c r="R1243" s="782"/>
      <c r="S1243" s="782"/>
      <c r="T1243" s="782"/>
    </row>
    <row r="1244" spans="2:20">
      <c r="B1244" s="1076"/>
      <c r="C1244" s="774"/>
      <c r="D1244" s="775"/>
      <c r="E1244" s="776"/>
      <c r="F1244" s="776"/>
      <c r="G1244" s="777"/>
      <c r="H1244" s="783"/>
      <c r="I1244" s="777"/>
      <c r="J1244" s="776"/>
      <c r="K1244" s="779"/>
      <c r="L1244" s="779"/>
      <c r="M1244" s="779"/>
      <c r="N1244" s="780"/>
      <c r="O1244" s="780"/>
      <c r="P1244" s="777"/>
      <c r="Q1244" s="781"/>
      <c r="R1244" s="782"/>
      <c r="S1244" s="782"/>
      <c r="T1244" s="782"/>
    </row>
    <row r="1245" spans="2:20">
      <c r="B1245" s="1076"/>
      <c r="C1245" s="774"/>
      <c r="D1245" s="775"/>
      <c r="E1245" s="776"/>
      <c r="F1245" s="776"/>
      <c r="G1245" s="777"/>
      <c r="H1245" s="783"/>
      <c r="I1245" s="777"/>
      <c r="J1245" s="776"/>
      <c r="K1245" s="779"/>
      <c r="L1245" s="779"/>
      <c r="M1245" s="779"/>
      <c r="N1245" s="780"/>
      <c r="O1245" s="780"/>
      <c r="P1245" s="777"/>
      <c r="Q1245" s="781"/>
      <c r="R1245" s="782"/>
      <c r="S1245" s="782"/>
      <c r="T1245" s="782"/>
    </row>
    <row r="1246" spans="2:20">
      <c r="B1246" s="1076"/>
      <c r="C1246" s="774"/>
      <c r="D1246" s="775"/>
      <c r="E1246" s="776"/>
      <c r="F1246" s="776"/>
      <c r="G1246" s="777"/>
      <c r="H1246" s="783"/>
      <c r="I1246" s="777"/>
      <c r="J1246" s="776"/>
      <c r="K1246" s="779"/>
      <c r="L1246" s="779"/>
      <c r="M1246" s="779"/>
      <c r="N1246" s="780"/>
      <c r="O1246" s="780"/>
      <c r="P1246" s="777"/>
      <c r="Q1246" s="781"/>
      <c r="R1246" s="782"/>
      <c r="S1246" s="782"/>
      <c r="T1246" s="782"/>
    </row>
    <row r="1247" spans="2:20">
      <c r="B1247" s="1076"/>
      <c r="C1247" s="774"/>
      <c r="D1247" s="775"/>
      <c r="E1247" s="776"/>
      <c r="F1247" s="776"/>
      <c r="G1247" s="777"/>
      <c r="H1247" s="783"/>
      <c r="I1247" s="777"/>
      <c r="J1247" s="776"/>
      <c r="K1247" s="779"/>
      <c r="L1247" s="779"/>
      <c r="M1247" s="779"/>
      <c r="N1247" s="780"/>
      <c r="O1247" s="780"/>
      <c r="P1247" s="777"/>
      <c r="Q1247" s="781"/>
      <c r="R1247" s="782"/>
      <c r="S1247" s="782"/>
      <c r="T1247" s="782"/>
    </row>
    <row r="1248" spans="2:20">
      <c r="B1248" s="1076"/>
      <c r="C1248" s="774"/>
      <c r="D1248" s="775"/>
      <c r="E1248" s="776"/>
      <c r="F1248" s="776"/>
      <c r="G1248" s="777"/>
      <c r="H1248" s="783"/>
      <c r="I1248" s="777"/>
      <c r="J1248" s="776"/>
      <c r="K1248" s="779"/>
      <c r="L1248" s="779"/>
      <c r="M1248" s="779"/>
      <c r="N1248" s="780"/>
      <c r="O1248" s="780"/>
      <c r="P1248" s="777"/>
      <c r="Q1248" s="781"/>
      <c r="R1248" s="782"/>
      <c r="S1248" s="782"/>
      <c r="T1248" s="782"/>
    </row>
    <row r="1249" spans="2:20">
      <c r="B1249" s="1077"/>
      <c r="C1249" s="873"/>
      <c r="D1249" s="874"/>
      <c r="E1249" s="875"/>
      <c r="F1249" s="875"/>
      <c r="G1249" s="876"/>
      <c r="H1249" s="877"/>
      <c r="I1249" s="876"/>
      <c r="J1249" s="875"/>
      <c r="K1249" s="878"/>
      <c r="L1249" s="878"/>
      <c r="M1249" s="878"/>
      <c r="N1249" s="879"/>
      <c r="O1249" s="879"/>
      <c r="P1249" s="876"/>
      <c r="Q1249" s="880"/>
      <c r="R1249" s="881"/>
      <c r="S1249" s="881"/>
      <c r="T1249" s="881"/>
    </row>
    <row r="1250" spans="2:20">
      <c r="B1250" s="1075"/>
      <c r="C1250" s="785"/>
      <c r="D1250" s="786"/>
      <c r="E1250" s="787"/>
      <c r="F1250" s="787"/>
      <c r="G1250" s="788"/>
      <c r="H1250" s="797"/>
      <c r="I1250" s="788"/>
      <c r="J1250" s="787"/>
      <c r="K1250" s="790"/>
      <c r="L1250" s="790"/>
      <c r="M1250" s="790"/>
      <c r="N1250" s="791"/>
      <c r="O1250" s="791"/>
      <c r="P1250" s="788"/>
      <c r="Q1250" s="792"/>
      <c r="R1250" s="793"/>
      <c r="S1250" s="793"/>
      <c r="T1250" s="793"/>
    </row>
    <row r="1251" spans="2:20">
      <c r="B1251" s="1076"/>
      <c r="C1251" s="774"/>
      <c r="D1251" s="775"/>
      <c r="E1251" s="776"/>
      <c r="F1251" s="776"/>
      <c r="G1251" s="777"/>
      <c r="H1251" s="783"/>
      <c r="I1251" s="777"/>
      <c r="J1251" s="776"/>
      <c r="K1251" s="779"/>
      <c r="L1251" s="779"/>
      <c r="M1251" s="779"/>
      <c r="N1251" s="780"/>
      <c r="O1251" s="780"/>
      <c r="P1251" s="777"/>
      <c r="Q1251" s="781"/>
      <c r="R1251" s="782"/>
      <c r="S1251" s="782"/>
      <c r="T1251" s="782"/>
    </row>
    <row r="1252" spans="2:20">
      <c r="B1252" s="1076"/>
      <c r="C1252" s="774"/>
      <c r="D1252" s="775"/>
      <c r="E1252" s="776"/>
      <c r="F1252" s="776"/>
      <c r="G1252" s="777"/>
      <c r="H1252" s="783"/>
      <c r="I1252" s="777"/>
      <c r="J1252" s="776"/>
      <c r="K1252" s="779"/>
      <c r="L1252" s="779"/>
      <c r="M1252" s="779"/>
      <c r="N1252" s="780"/>
      <c r="O1252" s="780"/>
      <c r="P1252" s="777"/>
      <c r="Q1252" s="781"/>
      <c r="R1252" s="782"/>
      <c r="S1252" s="782"/>
      <c r="T1252" s="782"/>
    </row>
    <row r="1253" spans="2:20">
      <c r="B1253" s="1076"/>
      <c r="C1253" s="774"/>
      <c r="D1253" s="775"/>
      <c r="E1253" s="776"/>
      <c r="F1253" s="776"/>
      <c r="G1253" s="777"/>
      <c r="H1253" s="783"/>
      <c r="I1253" s="777"/>
      <c r="J1253" s="776"/>
      <c r="K1253" s="779"/>
      <c r="L1253" s="779"/>
      <c r="M1253" s="779"/>
      <c r="N1253" s="780"/>
      <c r="O1253" s="780"/>
      <c r="P1253" s="777"/>
      <c r="Q1253" s="781"/>
      <c r="R1253" s="782"/>
      <c r="S1253" s="782"/>
      <c r="T1253" s="782"/>
    </row>
    <row r="1254" spans="2:20">
      <c r="B1254" s="1076"/>
      <c r="C1254" s="774"/>
      <c r="D1254" s="775"/>
      <c r="E1254" s="776"/>
      <c r="F1254" s="776"/>
      <c r="G1254" s="777"/>
      <c r="H1254" s="783"/>
      <c r="I1254" s="777"/>
      <c r="J1254" s="776"/>
      <c r="K1254" s="779"/>
      <c r="L1254" s="779"/>
      <c r="M1254" s="779"/>
      <c r="N1254" s="780"/>
      <c r="O1254" s="780"/>
      <c r="P1254" s="777"/>
      <c r="Q1254" s="781"/>
      <c r="R1254" s="782"/>
      <c r="S1254" s="782"/>
      <c r="T1254" s="782"/>
    </row>
    <row r="1255" spans="2:20">
      <c r="B1255" s="1076"/>
      <c r="C1255" s="774"/>
      <c r="D1255" s="775"/>
      <c r="E1255" s="776"/>
      <c r="F1255" s="776"/>
      <c r="G1255" s="777"/>
      <c r="H1255" s="783"/>
      <c r="I1255" s="777"/>
      <c r="J1255" s="776"/>
      <c r="K1255" s="779"/>
      <c r="L1255" s="779"/>
      <c r="M1255" s="779"/>
      <c r="N1255" s="780"/>
      <c r="O1255" s="780"/>
      <c r="P1255" s="777"/>
      <c r="Q1255" s="781"/>
      <c r="R1255" s="782"/>
      <c r="S1255" s="782"/>
      <c r="T1255" s="782"/>
    </row>
    <row r="1256" spans="2:20">
      <c r="B1256" s="1076"/>
      <c r="C1256" s="774"/>
      <c r="D1256" s="775"/>
      <c r="E1256" s="776"/>
      <c r="F1256" s="776"/>
      <c r="G1256" s="777"/>
      <c r="H1256" s="783"/>
      <c r="I1256" s="777"/>
      <c r="J1256" s="776"/>
      <c r="K1256" s="779"/>
      <c r="L1256" s="779"/>
      <c r="M1256" s="779"/>
      <c r="N1256" s="780"/>
      <c r="O1256" s="780"/>
      <c r="P1256" s="777"/>
      <c r="Q1256" s="781"/>
      <c r="R1256" s="782"/>
      <c r="S1256" s="782"/>
      <c r="T1256" s="782"/>
    </row>
    <row r="1257" spans="2:20">
      <c r="B1257" s="1076"/>
      <c r="C1257" s="774"/>
      <c r="D1257" s="775"/>
      <c r="E1257" s="776"/>
      <c r="F1257" s="776"/>
      <c r="G1257" s="777"/>
      <c r="H1257" s="783"/>
      <c r="I1257" s="777"/>
      <c r="J1257" s="776"/>
      <c r="K1257" s="779"/>
      <c r="L1257" s="779"/>
      <c r="M1257" s="779"/>
      <c r="N1257" s="780"/>
      <c r="O1257" s="780"/>
      <c r="P1257" s="777"/>
      <c r="Q1257" s="781"/>
      <c r="R1257" s="782"/>
      <c r="S1257" s="782"/>
      <c r="T1257" s="782"/>
    </row>
    <row r="1258" spans="2:20">
      <c r="B1258" s="1076"/>
      <c r="C1258" s="774"/>
      <c r="D1258" s="775"/>
      <c r="E1258" s="776"/>
      <c r="F1258" s="776"/>
      <c r="G1258" s="777"/>
      <c r="H1258" s="783"/>
      <c r="I1258" s="777"/>
      <c r="J1258" s="776"/>
      <c r="K1258" s="779"/>
      <c r="L1258" s="779"/>
      <c r="M1258" s="779"/>
      <c r="N1258" s="780"/>
      <c r="O1258" s="780"/>
      <c r="P1258" s="777"/>
      <c r="Q1258" s="781"/>
      <c r="R1258" s="782"/>
      <c r="S1258" s="782"/>
      <c r="T1258" s="782"/>
    </row>
    <row r="1259" spans="2:20">
      <c r="B1259" s="1077"/>
      <c r="C1259" s="873"/>
      <c r="D1259" s="874"/>
      <c r="E1259" s="875"/>
      <c r="F1259" s="875"/>
      <c r="G1259" s="876"/>
      <c r="H1259" s="877"/>
      <c r="I1259" s="876"/>
      <c r="J1259" s="875"/>
      <c r="K1259" s="878"/>
      <c r="L1259" s="878"/>
      <c r="M1259" s="878"/>
      <c r="N1259" s="879"/>
      <c r="O1259" s="879"/>
      <c r="P1259" s="876"/>
      <c r="Q1259" s="880"/>
      <c r="R1259" s="881"/>
      <c r="S1259" s="881"/>
      <c r="T1259" s="881"/>
    </row>
    <row r="1260" spans="2:20">
      <c r="B1260" s="1075"/>
      <c r="C1260" s="785"/>
      <c r="D1260" s="786"/>
      <c r="E1260" s="787"/>
      <c r="F1260" s="787"/>
      <c r="G1260" s="788"/>
      <c r="H1260" s="797"/>
      <c r="I1260" s="788"/>
      <c r="J1260" s="787"/>
      <c r="K1260" s="790"/>
      <c r="L1260" s="790"/>
      <c r="M1260" s="790"/>
      <c r="N1260" s="791"/>
      <c r="O1260" s="791"/>
      <c r="P1260" s="788"/>
      <c r="Q1260" s="792"/>
      <c r="R1260" s="793"/>
      <c r="S1260" s="793"/>
      <c r="T1260" s="793"/>
    </row>
    <row r="1261" spans="2:20">
      <c r="B1261" s="1076"/>
      <c r="C1261" s="774"/>
      <c r="D1261" s="775"/>
      <c r="E1261" s="776"/>
      <c r="F1261" s="776"/>
      <c r="G1261" s="777"/>
      <c r="H1261" s="783"/>
      <c r="I1261" s="777"/>
      <c r="J1261" s="776"/>
      <c r="K1261" s="779"/>
      <c r="L1261" s="779"/>
      <c r="M1261" s="779"/>
      <c r="N1261" s="780"/>
      <c r="O1261" s="780"/>
      <c r="P1261" s="777"/>
      <c r="Q1261" s="781"/>
      <c r="R1261" s="782"/>
      <c r="S1261" s="782"/>
      <c r="T1261" s="782"/>
    </row>
    <row r="1262" spans="2:20">
      <c r="B1262" s="1076"/>
      <c r="C1262" s="774"/>
      <c r="D1262" s="775"/>
      <c r="E1262" s="776"/>
      <c r="F1262" s="776"/>
      <c r="G1262" s="777"/>
      <c r="H1262" s="783"/>
      <c r="I1262" s="777"/>
      <c r="J1262" s="776"/>
      <c r="K1262" s="779"/>
      <c r="L1262" s="779"/>
      <c r="M1262" s="779"/>
      <c r="N1262" s="780"/>
      <c r="O1262" s="780"/>
      <c r="P1262" s="777"/>
      <c r="Q1262" s="781"/>
      <c r="R1262" s="782"/>
      <c r="S1262" s="782"/>
      <c r="T1262" s="782"/>
    </row>
    <row r="1263" spans="2:20">
      <c r="B1263" s="1076"/>
      <c r="C1263" s="774"/>
      <c r="D1263" s="775"/>
      <c r="E1263" s="776"/>
      <c r="F1263" s="776"/>
      <c r="G1263" s="777"/>
      <c r="H1263" s="783"/>
      <c r="I1263" s="777"/>
      <c r="J1263" s="776"/>
      <c r="K1263" s="779"/>
      <c r="L1263" s="779"/>
      <c r="M1263" s="779"/>
      <c r="N1263" s="780"/>
      <c r="O1263" s="780"/>
      <c r="P1263" s="777"/>
      <c r="Q1263" s="781"/>
      <c r="R1263" s="782"/>
      <c r="S1263" s="782"/>
      <c r="T1263" s="782"/>
    </row>
    <row r="1264" spans="2:20">
      <c r="B1264" s="1076"/>
      <c r="C1264" s="774"/>
      <c r="D1264" s="775"/>
      <c r="E1264" s="776"/>
      <c r="F1264" s="776"/>
      <c r="G1264" s="777"/>
      <c r="H1264" s="783"/>
      <c r="I1264" s="777"/>
      <c r="J1264" s="776"/>
      <c r="K1264" s="779"/>
      <c r="L1264" s="779"/>
      <c r="M1264" s="779"/>
      <c r="N1264" s="780"/>
      <c r="O1264" s="780"/>
      <c r="P1264" s="777"/>
      <c r="Q1264" s="781"/>
      <c r="R1264" s="782"/>
      <c r="S1264" s="782"/>
      <c r="T1264" s="782"/>
    </row>
    <row r="1265" spans="2:20">
      <c r="B1265" s="1076"/>
      <c r="C1265" s="774"/>
      <c r="D1265" s="775"/>
      <c r="E1265" s="776"/>
      <c r="F1265" s="776"/>
      <c r="G1265" s="777"/>
      <c r="H1265" s="783"/>
      <c r="I1265" s="777"/>
      <c r="J1265" s="776"/>
      <c r="K1265" s="779"/>
      <c r="L1265" s="779"/>
      <c r="M1265" s="779"/>
      <c r="N1265" s="780"/>
      <c r="O1265" s="780"/>
      <c r="P1265" s="777"/>
      <c r="Q1265" s="781"/>
      <c r="R1265" s="782"/>
      <c r="S1265" s="782"/>
      <c r="T1265" s="782"/>
    </row>
    <row r="1266" spans="2:20">
      <c r="B1266" s="1076"/>
      <c r="C1266" s="774"/>
      <c r="D1266" s="775"/>
      <c r="E1266" s="776"/>
      <c r="F1266" s="776"/>
      <c r="G1266" s="777"/>
      <c r="H1266" s="783"/>
      <c r="I1266" s="777"/>
      <c r="J1266" s="776"/>
      <c r="K1266" s="779"/>
      <c r="L1266" s="779"/>
      <c r="M1266" s="779"/>
      <c r="N1266" s="780"/>
      <c r="O1266" s="780"/>
      <c r="P1266" s="777"/>
      <c r="Q1266" s="781"/>
      <c r="R1266" s="782"/>
      <c r="S1266" s="782"/>
      <c r="T1266" s="782"/>
    </row>
    <row r="1267" spans="2:20">
      <c r="B1267" s="1076"/>
      <c r="C1267" s="774"/>
      <c r="D1267" s="775"/>
      <c r="E1267" s="776"/>
      <c r="F1267" s="776"/>
      <c r="G1267" s="777"/>
      <c r="H1267" s="783"/>
      <c r="I1267" s="777"/>
      <c r="J1267" s="776"/>
      <c r="K1267" s="779"/>
      <c r="L1267" s="779"/>
      <c r="M1267" s="779"/>
      <c r="N1267" s="780"/>
      <c r="O1267" s="780"/>
      <c r="P1267" s="777"/>
      <c r="Q1267" s="781"/>
      <c r="R1267" s="782"/>
      <c r="S1267" s="782"/>
      <c r="T1267" s="782"/>
    </row>
    <row r="1268" spans="2:20">
      <c r="B1268" s="1076"/>
      <c r="C1268" s="774"/>
      <c r="D1268" s="775"/>
      <c r="E1268" s="776"/>
      <c r="F1268" s="776"/>
      <c r="G1268" s="777"/>
      <c r="H1268" s="783"/>
      <c r="I1268" s="777"/>
      <c r="J1268" s="776"/>
      <c r="K1268" s="779"/>
      <c r="L1268" s="779"/>
      <c r="M1268" s="779"/>
      <c r="N1268" s="780"/>
      <c r="O1268" s="780"/>
      <c r="P1268" s="777"/>
      <c r="Q1268" s="781"/>
      <c r="R1268" s="782"/>
      <c r="S1268" s="782"/>
      <c r="T1268" s="782"/>
    </row>
    <row r="1269" spans="2:20">
      <c r="B1269" s="1077"/>
      <c r="C1269" s="873"/>
      <c r="D1269" s="874"/>
      <c r="E1269" s="875"/>
      <c r="F1269" s="875"/>
      <c r="G1269" s="876"/>
      <c r="H1269" s="877"/>
      <c r="I1269" s="876"/>
      <c r="J1269" s="875"/>
      <c r="K1269" s="878"/>
      <c r="L1269" s="878"/>
      <c r="M1269" s="878"/>
      <c r="N1269" s="879"/>
      <c r="O1269" s="879"/>
      <c r="P1269" s="876"/>
      <c r="Q1269" s="880"/>
      <c r="R1269" s="881"/>
      <c r="S1269" s="881"/>
      <c r="T1269" s="881"/>
    </row>
    <row r="1270" spans="2:20">
      <c r="B1270" s="1075"/>
      <c r="C1270" s="785"/>
      <c r="D1270" s="786"/>
      <c r="E1270" s="787"/>
      <c r="F1270" s="787"/>
      <c r="G1270" s="788"/>
      <c r="H1270" s="797"/>
      <c r="I1270" s="788"/>
      <c r="J1270" s="787"/>
      <c r="K1270" s="790"/>
      <c r="L1270" s="790"/>
      <c r="M1270" s="790"/>
      <c r="N1270" s="791"/>
      <c r="O1270" s="791"/>
      <c r="P1270" s="788"/>
      <c r="Q1270" s="792"/>
      <c r="R1270" s="793"/>
      <c r="S1270" s="793"/>
      <c r="T1270" s="793"/>
    </row>
    <row r="1271" spans="2:20">
      <c r="B1271" s="1076"/>
      <c r="C1271" s="774"/>
      <c r="D1271" s="775"/>
      <c r="E1271" s="776"/>
      <c r="F1271" s="776"/>
      <c r="G1271" s="777"/>
      <c r="H1271" s="783"/>
      <c r="I1271" s="777"/>
      <c r="J1271" s="776"/>
      <c r="K1271" s="779"/>
      <c r="L1271" s="779"/>
      <c r="M1271" s="779"/>
      <c r="N1271" s="780"/>
      <c r="O1271" s="780"/>
      <c r="P1271" s="777"/>
      <c r="Q1271" s="781"/>
      <c r="R1271" s="782"/>
      <c r="S1271" s="782"/>
      <c r="T1271" s="782"/>
    </row>
    <row r="1272" spans="2:20">
      <c r="B1272" s="1076"/>
      <c r="C1272" s="774"/>
      <c r="D1272" s="775"/>
      <c r="E1272" s="776"/>
      <c r="F1272" s="776"/>
      <c r="G1272" s="777"/>
      <c r="H1272" s="783"/>
      <c r="I1272" s="777"/>
      <c r="J1272" s="776"/>
      <c r="K1272" s="779"/>
      <c r="L1272" s="779"/>
      <c r="M1272" s="779"/>
      <c r="N1272" s="780"/>
      <c r="O1272" s="780"/>
      <c r="P1272" s="777"/>
      <c r="Q1272" s="781"/>
      <c r="R1272" s="782"/>
      <c r="S1272" s="782"/>
      <c r="T1272" s="782"/>
    </row>
    <row r="1273" spans="2:20">
      <c r="B1273" s="1076"/>
      <c r="C1273" s="774"/>
      <c r="D1273" s="775"/>
      <c r="E1273" s="776"/>
      <c r="F1273" s="776"/>
      <c r="G1273" s="777"/>
      <c r="H1273" s="783"/>
      <c r="I1273" s="777"/>
      <c r="J1273" s="776"/>
      <c r="K1273" s="779"/>
      <c r="L1273" s="779"/>
      <c r="M1273" s="779"/>
      <c r="N1273" s="780"/>
      <c r="O1273" s="780"/>
      <c r="P1273" s="777"/>
      <c r="Q1273" s="781"/>
      <c r="R1273" s="782"/>
      <c r="S1273" s="782"/>
      <c r="T1273" s="782"/>
    </row>
    <row r="1274" spans="2:20">
      <c r="B1274" s="1076"/>
      <c r="C1274" s="774"/>
      <c r="D1274" s="775"/>
      <c r="E1274" s="776"/>
      <c r="F1274" s="776"/>
      <c r="G1274" s="777"/>
      <c r="H1274" s="783"/>
      <c r="I1274" s="777"/>
      <c r="J1274" s="776"/>
      <c r="K1274" s="779"/>
      <c r="L1274" s="779"/>
      <c r="M1274" s="779"/>
      <c r="N1274" s="780"/>
      <c r="O1274" s="780"/>
      <c r="P1274" s="777"/>
      <c r="Q1274" s="781"/>
      <c r="R1274" s="782"/>
      <c r="S1274" s="782"/>
      <c r="T1274" s="782"/>
    </row>
    <row r="1275" spans="2:20">
      <c r="B1275" s="1076"/>
      <c r="C1275" s="774"/>
      <c r="D1275" s="775"/>
      <c r="E1275" s="776"/>
      <c r="F1275" s="776"/>
      <c r="G1275" s="777"/>
      <c r="H1275" s="783"/>
      <c r="I1275" s="777"/>
      <c r="J1275" s="776"/>
      <c r="K1275" s="779"/>
      <c r="L1275" s="779"/>
      <c r="M1275" s="779"/>
      <c r="N1275" s="780"/>
      <c r="O1275" s="780"/>
      <c r="P1275" s="777"/>
      <c r="Q1275" s="781"/>
      <c r="R1275" s="782"/>
      <c r="S1275" s="782"/>
      <c r="T1275" s="782"/>
    </row>
    <row r="1276" spans="2:20">
      <c r="B1276" s="1076"/>
      <c r="C1276" s="774"/>
      <c r="D1276" s="775"/>
      <c r="E1276" s="776"/>
      <c r="F1276" s="776"/>
      <c r="G1276" s="777"/>
      <c r="H1276" s="783"/>
      <c r="I1276" s="777"/>
      <c r="J1276" s="776"/>
      <c r="K1276" s="779"/>
      <c r="L1276" s="779"/>
      <c r="M1276" s="779"/>
      <c r="N1276" s="780"/>
      <c r="O1276" s="780"/>
      <c r="P1276" s="777"/>
      <c r="Q1276" s="781"/>
      <c r="R1276" s="782"/>
      <c r="S1276" s="782"/>
      <c r="T1276" s="782"/>
    </row>
    <row r="1277" spans="2:20">
      <c r="B1277" s="1076"/>
      <c r="C1277" s="774"/>
      <c r="D1277" s="775"/>
      <c r="E1277" s="776"/>
      <c r="F1277" s="776"/>
      <c r="G1277" s="777"/>
      <c r="H1277" s="783"/>
      <c r="I1277" s="777"/>
      <c r="J1277" s="776"/>
      <c r="K1277" s="779"/>
      <c r="L1277" s="779"/>
      <c r="M1277" s="779"/>
      <c r="N1277" s="780"/>
      <c r="O1277" s="780"/>
      <c r="P1277" s="777"/>
      <c r="Q1277" s="781"/>
      <c r="R1277" s="782"/>
      <c r="S1277" s="782"/>
      <c r="T1277" s="782"/>
    </row>
    <row r="1278" spans="2:20">
      <c r="B1278" s="1076"/>
      <c r="C1278" s="774"/>
      <c r="D1278" s="775"/>
      <c r="E1278" s="776"/>
      <c r="F1278" s="776"/>
      <c r="G1278" s="777"/>
      <c r="H1278" s="783"/>
      <c r="I1278" s="777"/>
      <c r="J1278" s="776"/>
      <c r="K1278" s="779"/>
      <c r="L1278" s="779"/>
      <c r="M1278" s="779"/>
      <c r="N1278" s="780"/>
      <c r="O1278" s="780"/>
      <c r="P1278" s="777"/>
      <c r="Q1278" s="781"/>
      <c r="R1278" s="782"/>
      <c r="S1278" s="782"/>
      <c r="T1278" s="782"/>
    </row>
    <row r="1279" spans="2:20">
      <c r="B1279" s="1077"/>
      <c r="C1279" s="873"/>
      <c r="D1279" s="874"/>
      <c r="E1279" s="875"/>
      <c r="F1279" s="875"/>
      <c r="G1279" s="876"/>
      <c r="H1279" s="877"/>
      <c r="I1279" s="876"/>
      <c r="J1279" s="875"/>
      <c r="K1279" s="878"/>
      <c r="L1279" s="878"/>
      <c r="M1279" s="878"/>
      <c r="N1279" s="879"/>
      <c r="O1279" s="879"/>
      <c r="P1279" s="876"/>
      <c r="Q1279" s="880"/>
      <c r="R1279" s="881"/>
      <c r="S1279" s="881"/>
      <c r="T1279" s="881"/>
    </row>
    <row r="1280" spans="2:20">
      <c r="B1280" s="1076"/>
      <c r="C1280" s="774"/>
      <c r="D1280" s="775"/>
      <c r="E1280" s="776"/>
      <c r="F1280" s="776"/>
      <c r="G1280" s="777"/>
      <c r="H1280" s="783"/>
      <c r="I1280" s="777"/>
      <c r="J1280" s="776"/>
      <c r="K1280" s="779"/>
      <c r="L1280" s="779"/>
      <c r="M1280" s="779"/>
      <c r="N1280" s="780"/>
      <c r="O1280" s="780"/>
      <c r="P1280" s="777"/>
      <c r="Q1280" s="781"/>
      <c r="R1280" s="782"/>
      <c r="S1280" s="782"/>
      <c r="T1280" s="782"/>
    </row>
    <row r="1281" spans="2:20">
      <c r="B1281" s="1076"/>
      <c r="C1281" s="774"/>
      <c r="D1281" s="775"/>
      <c r="E1281" s="776"/>
      <c r="F1281" s="776"/>
      <c r="G1281" s="777"/>
      <c r="H1281" s="783"/>
      <c r="I1281" s="777"/>
      <c r="J1281" s="776"/>
      <c r="K1281" s="779"/>
      <c r="L1281" s="779"/>
      <c r="M1281" s="779"/>
      <c r="N1281" s="780"/>
      <c r="O1281" s="780"/>
      <c r="P1281" s="777"/>
      <c r="Q1281" s="781"/>
      <c r="R1281" s="782"/>
      <c r="S1281" s="782"/>
      <c r="T1281" s="782"/>
    </row>
    <row r="1282" spans="2:20">
      <c r="B1282" s="1076"/>
      <c r="C1282" s="774"/>
      <c r="D1282" s="775"/>
      <c r="E1282" s="776"/>
      <c r="F1282" s="776"/>
      <c r="G1282" s="777"/>
      <c r="H1282" s="783"/>
      <c r="I1282" s="777"/>
      <c r="J1282" s="776"/>
      <c r="K1282" s="779"/>
      <c r="L1282" s="779"/>
      <c r="M1282" s="779"/>
      <c r="N1282" s="780"/>
      <c r="O1282" s="780"/>
      <c r="P1282" s="777"/>
      <c r="Q1282" s="781"/>
      <c r="R1282" s="782"/>
      <c r="S1282" s="782"/>
      <c r="T1282" s="782"/>
    </row>
    <row r="1283" spans="2:20">
      <c r="B1283" s="1076"/>
      <c r="C1283" s="774"/>
      <c r="D1283" s="775"/>
      <c r="E1283" s="776"/>
      <c r="F1283" s="776"/>
      <c r="G1283" s="777"/>
      <c r="H1283" s="783"/>
      <c r="I1283" s="777"/>
      <c r="J1283" s="776"/>
      <c r="K1283" s="779"/>
      <c r="L1283" s="779"/>
      <c r="M1283" s="779"/>
      <c r="N1283" s="780"/>
      <c r="O1283" s="780"/>
      <c r="P1283" s="777"/>
      <c r="Q1283" s="781"/>
      <c r="R1283" s="782"/>
      <c r="S1283" s="782"/>
      <c r="T1283" s="782"/>
    </row>
    <row r="1284" spans="2:20">
      <c r="B1284" s="1076"/>
      <c r="C1284" s="774"/>
      <c r="D1284" s="775"/>
      <c r="E1284" s="776"/>
      <c r="F1284" s="776"/>
      <c r="G1284" s="777"/>
      <c r="H1284" s="783"/>
      <c r="I1284" s="777"/>
      <c r="J1284" s="776"/>
      <c r="K1284" s="779"/>
      <c r="L1284" s="779"/>
      <c r="M1284" s="779"/>
      <c r="N1284" s="780"/>
      <c r="O1284" s="780"/>
      <c r="P1284" s="777"/>
      <c r="Q1284" s="781"/>
      <c r="R1284" s="782"/>
      <c r="S1284" s="782"/>
      <c r="T1284" s="782"/>
    </row>
    <row r="1285" spans="2:20">
      <c r="B1285" s="1076"/>
      <c r="C1285" s="774"/>
      <c r="D1285" s="775"/>
      <c r="E1285" s="776"/>
      <c r="F1285" s="776"/>
      <c r="G1285" s="777"/>
      <c r="H1285" s="783"/>
      <c r="I1285" s="777"/>
      <c r="J1285" s="776"/>
      <c r="K1285" s="779"/>
      <c r="L1285" s="779"/>
      <c r="M1285" s="779"/>
      <c r="N1285" s="780"/>
      <c r="O1285" s="780"/>
      <c r="P1285" s="777"/>
      <c r="Q1285" s="781"/>
      <c r="R1285" s="782"/>
      <c r="S1285" s="782"/>
      <c r="T1285" s="782"/>
    </row>
    <row r="1286" spans="2:20">
      <c r="B1286" s="1076"/>
      <c r="C1286" s="774"/>
      <c r="D1286" s="775"/>
      <c r="E1286" s="776"/>
      <c r="F1286" s="776"/>
      <c r="G1286" s="777"/>
      <c r="H1286" s="783"/>
      <c r="I1286" s="777"/>
      <c r="J1286" s="776"/>
      <c r="K1286" s="779"/>
      <c r="L1286" s="779"/>
      <c r="M1286" s="779"/>
      <c r="N1286" s="780"/>
      <c r="O1286" s="780"/>
      <c r="P1286" s="777"/>
      <c r="Q1286" s="781"/>
      <c r="R1286" s="782"/>
      <c r="S1286" s="782"/>
      <c r="T1286" s="782"/>
    </row>
    <row r="1287" spans="2:20">
      <c r="B1287" s="1076"/>
      <c r="C1287" s="774"/>
      <c r="D1287" s="775"/>
      <c r="E1287" s="776"/>
      <c r="F1287" s="776"/>
      <c r="G1287" s="777"/>
      <c r="H1287" s="783"/>
      <c r="I1287" s="777"/>
      <c r="J1287" s="776"/>
      <c r="K1287" s="779"/>
      <c r="L1287" s="779"/>
      <c r="M1287" s="779"/>
      <c r="N1287" s="780"/>
      <c r="O1287" s="780"/>
      <c r="P1287" s="777"/>
      <c r="Q1287" s="781"/>
      <c r="R1287" s="782"/>
      <c r="S1287" s="782"/>
      <c r="T1287" s="782"/>
    </row>
    <row r="1288" spans="2:20">
      <c r="B1288" s="1076"/>
      <c r="C1288" s="774"/>
      <c r="D1288" s="775"/>
      <c r="E1288" s="776"/>
      <c r="F1288" s="776"/>
      <c r="G1288" s="777"/>
      <c r="H1288" s="783"/>
      <c r="I1288" s="777"/>
      <c r="J1288" s="776"/>
      <c r="K1288" s="779"/>
      <c r="L1288" s="779"/>
      <c r="M1288" s="779"/>
      <c r="N1288" s="780"/>
      <c r="O1288" s="780"/>
      <c r="P1288" s="777"/>
      <c r="Q1288" s="781"/>
      <c r="R1288" s="782"/>
      <c r="S1288" s="782"/>
      <c r="T1288" s="782"/>
    </row>
    <row r="1289" spans="2:20">
      <c r="B1289" s="1076"/>
      <c r="C1289" s="774"/>
      <c r="D1289" s="775"/>
      <c r="E1289" s="776"/>
      <c r="F1289" s="776"/>
      <c r="G1289" s="777"/>
      <c r="H1289" s="783"/>
      <c r="I1289" s="777"/>
      <c r="J1289" s="776"/>
      <c r="K1289" s="779"/>
      <c r="L1289" s="779"/>
      <c r="M1289" s="779"/>
      <c r="N1289" s="780"/>
      <c r="O1289" s="780"/>
      <c r="P1289" s="777"/>
      <c r="Q1289" s="781"/>
      <c r="R1289" s="782"/>
      <c r="S1289" s="782"/>
      <c r="T1289" s="782"/>
    </row>
    <row r="1290" spans="2:20">
      <c r="B1290" s="1078"/>
      <c r="C1290" s="1079"/>
      <c r="D1290" s="1080" t="s">
        <v>6087</v>
      </c>
      <c r="E1290" s="1078"/>
      <c r="F1290" s="1078"/>
      <c r="G1290" s="1078"/>
      <c r="H1290" s="1081"/>
      <c r="I1290" s="1078"/>
      <c r="J1290" s="1078"/>
      <c r="K1290" s="864"/>
      <c r="L1290" s="865"/>
      <c r="M1290" s="865"/>
      <c r="N1290" s="866"/>
      <c r="O1290" s="867"/>
      <c r="P1290" s="868"/>
      <c r="Q1290" s="869"/>
      <c r="R1290" s="870"/>
      <c r="S1290" s="870"/>
      <c r="T1290" s="870"/>
    </row>
    <row r="1291" spans="2:20">
      <c r="B1291" s="1075"/>
      <c r="C1291" s="785"/>
      <c r="D1291" s="786"/>
      <c r="E1291" s="787"/>
      <c r="F1291" s="787"/>
      <c r="G1291" s="788"/>
      <c r="H1291" s="797"/>
      <c r="I1291" s="788"/>
      <c r="J1291" s="787"/>
      <c r="K1291" s="790"/>
      <c r="L1291" s="790"/>
      <c r="M1291" s="790"/>
      <c r="N1291" s="791"/>
      <c r="O1291" s="791"/>
      <c r="P1291" s="788"/>
      <c r="Q1291" s="792"/>
      <c r="R1291" s="793"/>
      <c r="S1291" s="793"/>
      <c r="T1291" s="793"/>
    </row>
    <row r="1292" spans="2:20">
      <c r="B1292" s="1076"/>
      <c r="C1292" s="774"/>
      <c r="D1292" s="775"/>
      <c r="E1292" s="776"/>
      <c r="F1292" s="776"/>
      <c r="G1292" s="777"/>
      <c r="H1292" s="783"/>
      <c r="I1292" s="777"/>
      <c r="J1292" s="776"/>
      <c r="K1292" s="779"/>
      <c r="L1292" s="779"/>
      <c r="M1292" s="779"/>
      <c r="N1292" s="780"/>
      <c r="O1292" s="780"/>
      <c r="P1292" s="777"/>
      <c r="Q1292" s="781"/>
      <c r="R1292" s="782"/>
      <c r="S1292" s="782"/>
      <c r="T1292" s="782"/>
    </row>
    <row r="1293" spans="2:20">
      <c r="B1293" s="1076"/>
      <c r="C1293" s="774"/>
      <c r="D1293" s="775"/>
      <c r="E1293" s="776"/>
      <c r="F1293" s="776"/>
      <c r="G1293" s="777"/>
      <c r="H1293" s="783"/>
      <c r="I1293" s="777"/>
      <c r="J1293" s="776"/>
      <c r="K1293" s="779"/>
      <c r="L1293" s="779"/>
      <c r="M1293" s="779"/>
      <c r="N1293" s="780"/>
      <c r="O1293" s="780"/>
      <c r="P1293" s="777"/>
      <c r="Q1293" s="781"/>
      <c r="R1293" s="782"/>
      <c r="S1293" s="782"/>
      <c r="T1293" s="782"/>
    </row>
    <row r="1294" spans="2:20">
      <c r="B1294" s="1076"/>
      <c r="C1294" s="774"/>
      <c r="D1294" s="775"/>
      <c r="E1294" s="776"/>
      <c r="F1294" s="776"/>
      <c r="G1294" s="777"/>
      <c r="H1294" s="783"/>
      <c r="I1294" s="777"/>
      <c r="J1294" s="776"/>
      <c r="K1294" s="779"/>
      <c r="L1294" s="779"/>
      <c r="M1294" s="779"/>
      <c r="N1294" s="780"/>
      <c r="O1294" s="780"/>
      <c r="P1294" s="777"/>
      <c r="Q1294" s="781"/>
      <c r="R1294" s="782"/>
      <c r="S1294" s="782"/>
      <c r="T1294" s="782"/>
    </row>
    <row r="1295" spans="2:20">
      <c r="B1295" s="1076"/>
      <c r="C1295" s="774"/>
      <c r="D1295" s="775"/>
      <c r="E1295" s="776"/>
      <c r="F1295" s="776"/>
      <c r="G1295" s="777"/>
      <c r="H1295" s="783"/>
      <c r="I1295" s="777"/>
      <c r="J1295" s="776"/>
      <c r="K1295" s="779"/>
      <c r="L1295" s="779"/>
      <c r="M1295" s="779"/>
      <c r="N1295" s="780"/>
      <c r="O1295" s="780"/>
      <c r="P1295" s="777"/>
      <c r="Q1295" s="781"/>
      <c r="R1295" s="782"/>
      <c r="S1295" s="782"/>
      <c r="T1295" s="782"/>
    </row>
    <row r="1296" spans="2:20">
      <c r="B1296" s="1076"/>
      <c r="C1296" s="774"/>
      <c r="D1296" s="775"/>
      <c r="E1296" s="776"/>
      <c r="F1296" s="776"/>
      <c r="G1296" s="777"/>
      <c r="H1296" s="783"/>
      <c r="I1296" s="777"/>
      <c r="J1296" s="776"/>
      <c r="K1296" s="779"/>
      <c r="L1296" s="779"/>
      <c r="M1296" s="779"/>
      <c r="N1296" s="780"/>
      <c r="O1296" s="780"/>
      <c r="P1296" s="777"/>
      <c r="Q1296" s="781"/>
      <c r="R1296" s="782"/>
      <c r="S1296" s="782"/>
      <c r="T1296" s="782"/>
    </row>
    <row r="1297" spans="2:20">
      <c r="B1297" s="1076"/>
      <c r="C1297" s="774"/>
      <c r="D1297" s="775"/>
      <c r="E1297" s="776"/>
      <c r="F1297" s="776"/>
      <c r="G1297" s="777"/>
      <c r="H1297" s="783"/>
      <c r="I1297" s="777"/>
      <c r="J1297" s="776"/>
      <c r="K1297" s="779"/>
      <c r="L1297" s="779"/>
      <c r="M1297" s="779"/>
      <c r="N1297" s="780"/>
      <c r="O1297" s="780"/>
      <c r="P1297" s="777"/>
      <c r="Q1297" s="781"/>
      <c r="R1297" s="782"/>
      <c r="S1297" s="782"/>
      <c r="T1297" s="782"/>
    </row>
    <row r="1298" spans="2:20">
      <c r="B1298" s="1076"/>
      <c r="C1298" s="774"/>
      <c r="D1298" s="775"/>
      <c r="E1298" s="776"/>
      <c r="F1298" s="776"/>
      <c r="G1298" s="777"/>
      <c r="H1298" s="783"/>
      <c r="I1298" s="777"/>
      <c r="J1298" s="776"/>
      <c r="K1298" s="779"/>
      <c r="L1298" s="779"/>
      <c r="M1298" s="779"/>
      <c r="N1298" s="780"/>
      <c r="O1298" s="780"/>
      <c r="P1298" s="777"/>
      <c r="Q1298" s="781"/>
      <c r="R1298" s="782"/>
      <c r="S1298" s="782"/>
      <c r="T1298" s="782"/>
    </row>
    <row r="1299" spans="2:20">
      <c r="B1299" s="1076"/>
      <c r="C1299" s="774"/>
      <c r="D1299" s="775"/>
      <c r="E1299" s="776"/>
      <c r="F1299" s="776"/>
      <c r="G1299" s="777"/>
      <c r="H1299" s="783"/>
      <c r="I1299" s="777"/>
      <c r="J1299" s="776"/>
      <c r="K1299" s="779"/>
      <c r="L1299" s="779"/>
      <c r="M1299" s="779"/>
      <c r="N1299" s="780"/>
      <c r="O1299" s="780"/>
      <c r="P1299" s="777"/>
      <c r="Q1299" s="781"/>
      <c r="R1299" s="782"/>
      <c r="S1299" s="782"/>
      <c r="T1299" s="782"/>
    </row>
    <row r="1300" spans="2:20">
      <c r="B1300" s="1077"/>
      <c r="C1300" s="873"/>
      <c r="D1300" s="874"/>
      <c r="E1300" s="875"/>
      <c r="F1300" s="875"/>
      <c r="G1300" s="876"/>
      <c r="H1300" s="877"/>
      <c r="I1300" s="876"/>
      <c r="J1300" s="875"/>
      <c r="K1300" s="878"/>
      <c r="L1300" s="878"/>
      <c r="M1300" s="878"/>
      <c r="N1300" s="879"/>
      <c r="O1300" s="879"/>
      <c r="P1300" s="876"/>
      <c r="Q1300" s="880"/>
      <c r="R1300" s="881"/>
      <c r="S1300" s="881"/>
      <c r="T1300" s="881"/>
    </row>
    <row r="1301" spans="2:20">
      <c r="B1301" s="1075"/>
      <c r="C1301" s="785"/>
      <c r="D1301" s="786"/>
      <c r="E1301" s="787"/>
      <c r="F1301" s="787"/>
      <c r="G1301" s="788"/>
      <c r="H1301" s="797"/>
      <c r="I1301" s="788"/>
      <c r="J1301" s="787"/>
      <c r="K1301" s="790"/>
      <c r="L1301" s="790"/>
      <c r="M1301" s="790"/>
      <c r="N1301" s="791"/>
      <c r="O1301" s="791"/>
      <c r="P1301" s="788"/>
      <c r="Q1301" s="792"/>
      <c r="R1301" s="793"/>
      <c r="S1301" s="793"/>
      <c r="T1301" s="793"/>
    </row>
    <row r="1302" spans="2:20">
      <c r="B1302" s="1076"/>
      <c r="C1302" s="774"/>
      <c r="D1302" s="775"/>
      <c r="E1302" s="776"/>
      <c r="F1302" s="776"/>
      <c r="G1302" s="777"/>
      <c r="H1302" s="783"/>
      <c r="I1302" s="777"/>
      <c r="J1302" s="776"/>
      <c r="K1302" s="779"/>
      <c r="L1302" s="779"/>
      <c r="M1302" s="779"/>
      <c r="N1302" s="780"/>
      <c r="O1302" s="780"/>
      <c r="P1302" s="777"/>
      <c r="Q1302" s="781"/>
      <c r="R1302" s="782"/>
      <c r="S1302" s="782"/>
      <c r="T1302" s="782"/>
    </row>
    <row r="1303" spans="2:20">
      <c r="B1303" s="1076"/>
      <c r="C1303" s="774"/>
      <c r="D1303" s="775"/>
      <c r="E1303" s="776"/>
      <c r="F1303" s="776"/>
      <c r="G1303" s="777"/>
      <c r="H1303" s="783"/>
      <c r="I1303" s="777"/>
      <c r="J1303" s="776"/>
      <c r="K1303" s="779"/>
      <c r="L1303" s="779"/>
      <c r="M1303" s="779"/>
      <c r="N1303" s="780"/>
      <c r="O1303" s="780"/>
      <c r="P1303" s="777"/>
      <c r="Q1303" s="781"/>
      <c r="R1303" s="782"/>
      <c r="S1303" s="782"/>
      <c r="T1303" s="782"/>
    </row>
    <row r="1304" spans="2:20">
      <c r="B1304" s="1076"/>
      <c r="C1304" s="774"/>
      <c r="D1304" s="775"/>
      <c r="E1304" s="776"/>
      <c r="F1304" s="776"/>
      <c r="G1304" s="777"/>
      <c r="H1304" s="783"/>
      <c r="I1304" s="777"/>
      <c r="J1304" s="776"/>
      <c r="K1304" s="779"/>
      <c r="L1304" s="779"/>
      <c r="M1304" s="779"/>
      <c r="N1304" s="780"/>
      <c r="O1304" s="780"/>
      <c r="P1304" s="777"/>
      <c r="Q1304" s="781"/>
      <c r="R1304" s="782"/>
      <c r="S1304" s="782"/>
      <c r="T1304" s="782"/>
    </row>
    <row r="1305" spans="2:20">
      <c r="B1305" s="1076"/>
      <c r="C1305" s="774"/>
      <c r="D1305" s="775"/>
      <c r="E1305" s="776"/>
      <c r="F1305" s="776"/>
      <c r="G1305" s="777"/>
      <c r="H1305" s="783"/>
      <c r="I1305" s="777"/>
      <c r="J1305" s="776"/>
      <c r="K1305" s="779"/>
      <c r="L1305" s="779"/>
      <c r="M1305" s="779"/>
      <c r="N1305" s="780"/>
      <c r="O1305" s="780"/>
      <c r="P1305" s="777"/>
      <c r="Q1305" s="781"/>
      <c r="R1305" s="782"/>
      <c r="S1305" s="782"/>
      <c r="T1305" s="782"/>
    </row>
    <row r="1306" spans="2:20">
      <c r="B1306" s="1076"/>
      <c r="C1306" s="774"/>
      <c r="D1306" s="775"/>
      <c r="E1306" s="776"/>
      <c r="F1306" s="776"/>
      <c r="G1306" s="777"/>
      <c r="H1306" s="783"/>
      <c r="I1306" s="777"/>
      <c r="J1306" s="776"/>
      <c r="K1306" s="779"/>
      <c r="L1306" s="779"/>
      <c r="M1306" s="779"/>
      <c r="N1306" s="780"/>
      <c r="O1306" s="780"/>
      <c r="P1306" s="777"/>
      <c r="Q1306" s="781"/>
      <c r="R1306" s="782"/>
      <c r="S1306" s="782"/>
      <c r="T1306" s="782"/>
    </row>
    <row r="1307" spans="2:20">
      <c r="B1307" s="1076"/>
      <c r="C1307" s="774"/>
      <c r="D1307" s="775"/>
      <c r="E1307" s="776"/>
      <c r="F1307" s="776"/>
      <c r="G1307" s="777"/>
      <c r="H1307" s="783"/>
      <c r="I1307" s="777"/>
      <c r="J1307" s="776"/>
      <c r="K1307" s="779"/>
      <c r="L1307" s="779"/>
      <c r="M1307" s="779"/>
      <c r="N1307" s="780"/>
      <c r="O1307" s="780"/>
      <c r="P1307" s="777"/>
      <c r="Q1307" s="781"/>
      <c r="R1307" s="782"/>
      <c r="S1307" s="782"/>
      <c r="T1307" s="782"/>
    </row>
    <row r="1308" spans="2:20">
      <c r="B1308" s="1076"/>
      <c r="C1308" s="774"/>
      <c r="D1308" s="775"/>
      <c r="E1308" s="776"/>
      <c r="F1308" s="776"/>
      <c r="G1308" s="777"/>
      <c r="H1308" s="783"/>
      <c r="I1308" s="777"/>
      <c r="J1308" s="776"/>
      <c r="K1308" s="779"/>
      <c r="L1308" s="779"/>
      <c r="M1308" s="779"/>
      <c r="N1308" s="780"/>
      <c r="O1308" s="780"/>
      <c r="P1308" s="777"/>
      <c r="Q1308" s="781"/>
      <c r="R1308" s="782"/>
      <c r="S1308" s="782"/>
      <c r="T1308" s="782"/>
    </row>
    <row r="1309" spans="2:20">
      <c r="B1309" s="1076"/>
      <c r="C1309" s="774"/>
      <c r="D1309" s="775"/>
      <c r="E1309" s="776"/>
      <c r="F1309" s="776"/>
      <c r="G1309" s="777"/>
      <c r="H1309" s="783"/>
      <c r="I1309" s="777"/>
      <c r="J1309" s="776"/>
      <c r="K1309" s="779"/>
      <c r="L1309" s="779"/>
      <c r="M1309" s="779"/>
      <c r="N1309" s="780"/>
      <c r="O1309" s="780"/>
      <c r="P1309" s="777"/>
      <c r="Q1309" s="781"/>
      <c r="R1309" s="782"/>
      <c r="S1309" s="782"/>
      <c r="T1309" s="782"/>
    </row>
    <row r="1310" spans="2:20">
      <c r="B1310" s="1077"/>
      <c r="C1310" s="873"/>
      <c r="D1310" s="874"/>
      <c r="E1310" s="875"/>
      <c r="F1310" s="875"/>
      <c r="G1310" s="876"/>
      <c r="H1310" s="877"/>
      <c r="I1310" s="876"/>
      <c r="J1310" s="875"/>
      <c r="K1310" s="878"/>
      <c r="L1310" s="878"/>
      <c r="M1310" s="878"/>
      <c r="N1310" s="879"/>
      <c r="O1310" s="879"/>
      <c r="P1310" s="876"/>
      <c r="Q1310" s="880"/>
      <c r="R1310" s="881"/>
      <c r="S1310" s="881"/>
      <c r="T1310" s="881"/>
    </row>
    <row r="1311" spans="2:20">
      <c r="B1311" s="1075"/>
      <c r="C1311" s="785"/>
      <c r="D1311" s="786"/>
      <c r="E1311" s="787"/>
      <c r="F1311" s="787"/>
      <c r="G1311" s="788"/>
      <c r="H1311" s="797"/>
      <c r="I1311" s="788"/>
      <c r="J1311" s="787"/>
      <c r="K1311" s="790"/>
      <c r="L1311" s="790"/>
      <c r="M1311" s="790"/>
      <c r="N1311" s="791"/>
      <c r="O1311" s="791"/>
      <c r="P1311" s="788"/>
      <c r="Q1311" s="792"/>
      <c r="R1311" s="793"/>
      <c r="S1311" s="793"/>
      <c r="T1311" s="793"/>
    </row>
    <row r="1312" spans="2:20">
      <c r="B1312" s="1076"/>
      <c r="C1312" s="774"/>
      <c r="D1312" s="775"/>
      <c r="E1312" s="776"/>
      <c r="F1312" s="776"/>
      <c r="G1312" s="777"/>
      <c r="H1312" s="783"/>
      <c r="I1312" s="777"/>
      <c r="J1312" s="776"/>
      <c r="K1312" s="779"/>
      <c r="L1312" s="779"/>
      <c r="M1312" s="779"/>
      <c r="N1312" s="780"/>
      <c r="O1312" s="780"/>
      <c r="P1312" s="777"/>
      <c r="Q1312" s="781"/>
      <c r="R1312" s="782"/>
      <c r="S1312" s="782"/>
      <c r="T1312" s="782"/>
    </row>
    <row r="1313" spans="2:20">
      <c r="B1313" s="1076"/>
      <c r="C1313" s="774"/>
      <c r="D1313" s="775"/>
      <c r="E1313" s="776"/>
      <c r="F1313" s="776"/>
      <c r="G1313" s="777"/>
      <c r="H1313" s="783"/>
      <c r="I1313" s="777"/>
      <c r="J1313" s="776"/>
      <c r="K1313" s="779"/>
      <c r="L1313" s="779"/>
      <c r="M1313" s="779"/>
      <c r="N1313" s="780"/>
      <c r="O1313" s="780"/>
      <c r="P1313" s="777"/>
      <c r="Q1313" s="781"/>
      <c r="R1313" s="782"/>
      <c r="S1313" s="782"/>
      <c r="T1313" s="782"/>
    </row>
    <row r="1314" spans="2:20">
      <c r="B1314" s="1076"/>
      <c r="C1314" s="774"/>
      <c r="D1314" s="775"/>
      <c r="E1314" s="776"/>
      <c r="F1314" s="776"/>
      <c r="G1314" s="777"/>
      <c r="H1314" s="783"/>
      <c r="I1314" s="777"/>
      <c r="J1314" s="776"/>
      <c r="K1314" s="779"/>
      <c r="L1314" s="779"/>
      <c r="M1314" s="779"/>
      <c r="N1314" s="780"/>
      <c r="O1314" s="780"/>
      <c r="P1314" s="777"/>
      <c r="Q1314" s="781"/>
      <c r="R1314" s="782"/>
      <c r="S1314" s="782"/>
      <c r="T1314" s="782"/>
    </row>
    <row r="1315" spans="2:20">
      <c r="B1315" s="1076"/>
      <c r="C1315" s="774"/>
      <c r="D1315" s="775"/>
      <c r="E1315" s="776"/>
      <c r="F1315" s="776"/>
      <c r="G1315" s="777"/>
      <c r="H1315" s="783"/>
      <c r="I1315" s="777"/>
      <c r="J1315" s="776"/>
      <c r="K1315" s="779"/>
      <c r="L1315" s="779"/>
      <c r="M1315" s="779"/>
      <c r="N1315" s="780"/>
      <c r="O1315" s="780"/>
      <c r="P1315" s="777"/>
      <c r="Q1315" s="781"/>
      <c r="R1315" s="782"/>
      <c r="S1315" s="782"/>
      <c r="T1315" s="782"/>
    </row>
    <row r="1316" spans="2:20">
      <c r="B1316" s="1076"/>
      <c r="C1316" s="774"/>
      <c r="D1316" s="775"/>
      <c r="E1316" s="776"/>
      <c r="F1316" s="776"/>
      <c r="G1316" s="777"/>
      <c r="H1316" s="783"/>
      <c r="I1316" s="777"/>
      <c r="J1316" s="776"/>
      <c r="K1316" s="779"/>
      <c r="L1316" s="779"/>
      <c r="M1316" s="779"/>
      <c r="N1316" s="780"/>
      <c r="O1316" s="780"/>
      <c r="P1316" s="777"/>
      <c r="Q1316" s="781"/>
      <c r="R1316" s="782"/>
      <c r="S1316" s="782"/>
      <c r="T1316" s="782"/>
    </row>
    <row r="1317" spans="2:20">
      <c r="B1317" s="1076"/>
      <c r="C1317" s="774"/>
      <c r="D1317" s="775"/>
      <c r="E1317" s="776"/>
      <c r="F1317" s="776"/>
      <c r="G1317" s="777"/>
      <c r="H1317" s="783"/>
      <c r="I1317" s="777"/>
      <c r="J1317" s="776"/>
      <c r="K1317" s="779"/>
      <c r="L1317" s="779"/>
      <c r="M1317" s="779"/>
      <c r="N1317" s="780"/>
      <c r="O1317" s="780"/>
      <c r="P1317" s="777"/>
      <c r="Q1317" s="781"/>
      <c r="R1317" s="782"/>
      <c r="S1317" s="782"/>
      <c r="T1317" s="782"/>
    </row>
    <row r="1318" spans="2:20">
      <c r="B1318" s="1076"/>
      <c r="C1318" s="774"/>
      <c r="D1318" s="775"/>
      <c r="E1318" s="776"/>
      <c r="F1318" s="776"/>
      <c r="G1318" s="777"/>
      <c r="H1318" s="783"/>
      <c r="I1318" s="777"/>
      <c r="J1318" s="776"/>
      <c r="K1318" s="779"/>
      <c r="L1318" s="779"/>
      <c r="M1318" s="779"/>
      <c r="N1318" s="780"/>
      <c r="O1318" s="780"/>
      <c r="P1318" s="777"/>
      <c r="Q1318" s="781"/>
      <c r="R1318" s="782"/>
      <c r="S1318" s="782"/>
      <c r="T1318" s="782"/>
    </row>
    <row r="1319" spans="2:20">
      <c r="B1319" s="1076"/>
      <c r="C1319" s="774"/>
      <c r="D1319" s="775"/>
      <c r="E1319" s="776"/>
      <c r="F1319" s="776"/>
      <c r="G1319" s="777"/>
      <c r="H1319" s="783"/>
      <c r="I1319" s="777"/>
      <c r="J1319" s="776"/>
      <c r="K1319" s="779"/>
      <c r="L1319" s="779"/>
      <c r="M1319" s="779"/>
      <c r="N1319" s="780"/>
      <c r="O1319" s="780"/>
      <c r="P1319" s="777"/>
      <c r="Q1319" s="781"/>
      <c r="R1319" s="782"/>
      <c r="S1319" s="782"/>
      <c r="T1319" s="782"/>
    </row>
    <row r="1320" spans="2:20">
      <c r="B1320" s="1077"/>
      <c r="C1320" s="873"/>
      <c r="D1320" s="874"/>
      <c r="E1320" s="875"/>
      <c r="F1320" s="875"/>
      <c r="G1320" s="876"/>
      <c r="H1320" s="877"/>
      <c r="I1320" s="876"/>
      <c r="J1320" s="875"/>
      <c r="K1320" s="878"/>
      <c r="L1320" s="878"/>
      <c r="M1320" s="878"/>
      <c r="N1320" s="879"/>
      <c r="O1320" s="879"/>
      <c r="P1320" s="876"/>
      <c r="Q1320" s="880"/>
      <c r="R1320" s="881"/>
      <c r="S1320" s="881"/>
      <c r="T1320" s="881"/>
    </row>
    <row r="1321" spans="2:20">
      <c r="B1321" s="1075"/>
      <c r="C1321" s="785"/>
      <c r="D1321" s="786"/>
      <c r="E1321" s="787"/>
      <c r="F1321" s="787"/>
      <c r="G1321" s="788"/>
      <c r="H1321" s="797"/>
      <c r="I1321" s="788"/>
      <c r="J1321" s="787"/>
      <c r="K1321" s="790"/>
      <c r="L1321" s="790"/>
      <c r="M1321" s="790"/>
      <c r="N1321" s="791"/>
      <c r="O1321" s="791"/>
      <c r="P1321" s="788"/>
      <c r="Q1321" s="792"/>
      <c r="R1321" s="793"/>
      <c r="S1321" s="793"/>
      <c r="T1321" s="793"/>
    </row>
    <row r="1322" spans="2:20">
      <c r="B1322" s="1076"/>
      <c r="C1322" s="774"/>
      <c r="D1322" s="775"/>
      <c r="E1322" s="776"/>
      <c r="F1322" s="776"/>
      <c r="G1322" s="777"/>
      <c r="H1322" s="783"/>
      <c r="I1322" s="777"/>
      <c r="J1322" s="776"/>
      <c r="K1322" s="779"/>
      <c r="L1322" s="779"/>
      <c r="M1322" s="779"/>
      <c r="N1322" s="780"/>
      <c r="O1322" s="780"/>
      <c r="P1322" s="777"/>
      <c r="Q1322" s="781"/>
      <c r="R1322" s="782"/>
      <c r="S1322" s="782"/>
      <c r="T1322" s="782"/>
    </row>
    <row r="1323" spans="2:20">
      <c r="B1323" s="1076"/>
      <c r="C1323" s="774"/>
      <c r="D1323" s="775"/>
      <c r="E1323" s="776"/>
      <c r="F1323" s="776"/>
      <c r="G1323" s="777"/>
      <c r="H1323" s="783"/>
      <c r="I1323" s="777"/>
      <c r="J1323" s="776"/>
      <c r="K1323" s="779"/>
      <c r="L1323" s="779"/>
      <c r="M1323" s="779"/>
      <c r="N1323" s="780"/>
      <c r="O1323" s="780"/>
      <c r="P1323" s="777"/>
      <c r="Q1323" s="781"/>
      <c r="R1323" s="782"/>
      <c r="S1323" s="782"/>
      <c r="T1323" s="782"/>
    </row>
    <row r="1324" spans="2:20">
      <c r="B1324" s="1076"/>
      <c r="C1324" s="774"/>
      <c r="D1324" s="775"/>
      <c r="E1324" s="776"/>
      <c r="F1324" s="776"/>
      <c r="G1324" s="777"/>
      <c r="H1324" s="783"/>
      <c r="I1324" s="777"/>
      <c r="J1324" s="776"/>
      <c r="K1324" s="779"/>
      <c r="L1324" s="779"/>
      <c r="M1324" s="779"/>
      <c r="N1324" s="780"/>
      <c r="O1324" s="780"/>
      <c r="P1324" s="777"/>
      <c r="Q1324" s="781"/>
      <c r="R1324" s="782"/>
      <c r="S1324" s="782"/>
      <c r="T1324" s="782"/>
    </row>
    <row r="1325" spans="2:20">
      <c r="B1325" s="1076"/>
      <c r="C1325" s="774"/>
      <c r="D1325" s="775"/>
      <c r="E1325" s="776"/>
      <c r="F1325" s="776"/>
      <c r="G1325" s="777"/>
      <c r="H1325" s="783"/>
      <c r="I1325" s="777"/>
      <c r="J1325" s="776"/>
      <c r="K1325" s="779"/>
      <c r="L1325" s="779"/>
      <c r="M1325" s="779"/>
      <c r="N1325" s="780"/>
      <c r="O1325" s="780"/>
      <c r="P1325" s="777"/>
      <c r="Q1325" s="781"/>
      <c r="R1325" s="782"/>
      <c r="S1325" s="782"/>
      <c r="T1325" s="782"/>
    </row>
    <row r="1326" spans="2:20">
      <c r="B1326" s="1076"/>
      <c r="C1326" s="774"/>
      <c r="D1326" s="775"/>
      <c r="E1326" s="776"/>
      <c r="F1326" s="776"/>
      <c r="G1326" s="777"/>
      <c r="H1326" s="783"/>
      <c r="I1326" s="777"/>
      <c r="J1326" s="776"/>
      <c r="K1326" s="779"/>
      <c r="L1326" s="779"/>
      <c r="M1326" s="779"/>
      <c r="N1326" s="780"/>
      <c r="O1326" s="780"/>
      <c r="P1326" s="777"/>
      <c r="Q1326" s="781"/>
      <c r="R1326" s="782"/>
      <c r="S1326" s="782"/>
      <c r="T1326" s="782"/>
    </row>
    <row r="1327" spans="2:20">
      <c r="B1327" s="1076"/>
      <c r="C1327" s="774"/>
      <c r="D1327" s="775"/>
      <c r="E1327" s="776"/>
      <c r="F1327" s="776"/>
      <c r="G1327" s="777"/>
      <c r="H1327" s="783"/>
      <c r="I1327" s="777"/>
      <c r="J1327" s="776"/>
      <c r="K1327" s="779"/>
      <c r="L1327" s="779"/>
      <c r="M1327" s="779"/>
      <c r="N1327" s="780"/>
      <c r="O1327" s="780"/>
      <c r="P1327" s="777"/>
      <c r="Q1327" s="781"/>
      <c r="R1327" s="782"/>
      <c r="S1327" s="782"/>
      <c r="T1327" s="782"/>
    </row>
    <row r="1328" spans="2:20">
      <c r="B1328" s="1076"/>
      <c r="C1328" s="774"/>
      <c r="D1328" s="775"/>
      <c r="E1328" s="776"/>
      <c r="F1328" s="776"/>
      <c r="G1328" s="777"/>
      <c r="H1328" s="783"/>
      <c r="I1328" s="777"/>
      <c r="J1328" s="776"/>
      <c r="K1328" s="779"/>
      <c r="L1328" s="779"/>
      <c r="M1328" s="779"/>
      <c r="N1328" s="780"/>
      <c r="O1328" s="780"/>
      <c r="P1328" s="777"/>
      <c r="Q1328" s="781"/>
      <c r="R1328" s="782"/>
      <c r="S1328" s="782"/>
      <c r="T1328" s="782"/>
    </row>
    <row r="1329" spans="2:20">
      <c r="B1329" s="1076"/>
      <c r="C1329" s="774"/>
      <c r="D1329" s="775"/>
      <c r="E1329" s="776"/>
      <c r="F1329" s="776"/>
      <c r="G1329" s="777"/>
      <c r="H1329" s="783"/>
      <c r="I1329" s="777"/>
      <c r="J1329" s="776"/>
      <c r="K1329" s="779"/>
      <c r="L1329" s="779"/>
      <c r="M1329" s="779"/>
      <c r="N1329" s="780"/>
      <c r="O1329" s="780"/>
      <c r="P1329" s="777"/>
      <c r="Q1329" s="781"/>
      <c r="R1329" s="782"/>
      <c r="S1329" s="782"/>
      <c r="T1329" s="782"/>
    </row>
    <row r="1330" spans="2:20">
      <c r="B1330" s="1077"/>
      <c r="C1330" s="873"/>
      <c r="D1330" s="874"/>
      <c r="E1330" s="875"/>
      <c r="F1330" s="875"/>
      <c r="G1330" s="876"/>
      <c r="H1330" s="877"/>
      <c r="I1330" s="876"/>
      <c r="J1330" s="875"/>
      <c r="K1330" s="878"/>
      <c r="L1330" s="878"/>
      <c r="M1330" s="878"/>
      <c r="N1330" s="879"/>
      <c r="O1330" s="879"/>
      <c r="P1330" s="876"/>
      <c r="Q1330" s="880"/>
      <c r="R1330" s="881"/>
      <c r="S1330" s="881"/>
      <c r="T1330" s="881"/>
    </row>
    <row r="1331" spans="2:20">
      <c r="B1331" s="1075"/>
      <c r="C1331" s="785"/>
      <c r="D1331" s="786"/>
      <c r="E1331" s="787"/>
      <c r="F1331" s="787"/>
      <c r="G1331" s="788"/>
      <c r="H1331" s="797"/>
      <c r="I1331" s="788"/>
      <c r="J1331" s="787"/>
      <c r="K1331" s="790"/>
      <c r="L1331" s="790"/>
      <c r="M1331" s="790"/>
      <c r="N1331" s="791"/>
      <c r="O1331" s="791"/>
      <c r="P1331" s="788"/>
      <c r="Q1331" s="792"/>
      <c r="R1331" s="793"/>
      <c r="S1331" s="793"/>
      <c r="T1331" s="793"/>
    </row>
    <row r="1332" spans="2:20">
      <c r="B1332" s="1076"/>
      <c r="C1332" s="774"/>
      <c r="D1332" s="775"/>
      <c r="E1332" s="776"/>
      <c r="F1332" s="776"/>
      <c r="G1332" s="777"/>
      <c r="H1332" s="783"/>
      <c r="I1332" s="777"/>
      <c r="J1332" s="776"/>
      <c r="K1332" s="779"/>
      <c r="L1332" s="779"/>
      <c r="M1332" s="779"/>
      <c r="N1332" s="780"/>
      <c r="O1332" s="780"/>
      <c r="P1332" s="777"/>
      <c r="Q1332" s="781"/>
      <c r="R1332" s="782"/>
      <c r="S1332" s="782"/>
      <c r="T1332" s="782"/>
    </row>
    <row r="1333" spans="2:20">
      <c r="B1333" s="1076"/>
      <c r="C1333" s="774"/>
      <c r="D1333" s="775"/>
      <c r="E1333" s="776"/>
      <c r="F1333" s="776"/>
      <c r="G1333" s="777"/>
      <c r="H1333" s="783"/>
      <c r="I1333" s="777"/>
      <c r="J1333" s="776"/>
      <c r="K1333" s="779"/>
      <c r="L1333" s="779"/>
      <c r="M1333" s="779"/>
      <c r="N1333" s="780"/>
      <c r="O1333" s="780"/>
      <c r="P1333" s="777"/>
      <c r="Q1333" s="781"/>
      <c r="R1333" s="782"/>
      <c r="S1333" s="782"/>
      <c r="T1333" s="782"/>
    </row>
    <row r="1334" spans="2:20">
      <c r="B1334" s="1076"/>
      <c r="C1334" s="774"/>
      <c r="D1334" s="775"/>
      <c r="E1334" s="776"/>
      <c r="F1334" s="776"/>
      <c r="G1334" s="777"/>
      <c r="H1334" s="783"/>
      <c r="I1334" s="777"/>
      <c r="J1334" s="776"/>
      <c r="K1334" s="779"/>
      <c r="L1334" s="779"/>
      <c r="M1334" s="779"/>
      <c r="N1334" s="780"/>
      <c r="O1334" s="780"/>
      <c r="P1334" s="777"/>
      <c r="Q1334" s="781"/>
      <c r="R1334" s="782"/>
      <c r="S1334" s="782"/>
      <c r="T1334" s="782"/>
    </row>
    <row r="1335" spans="2:20">
      <c r="B1335" s="1076"/>
      <c r="C1335" s="774"/>
      <c r="D1335" s="775"/>
      <c r="E1335" s="776"/>
      <c r="F1335" s="776"/>
      <c r="G1335" s="777"/>
      <c r="H1335" s="783"/>
      <c r="I1335" s="777"/>
      <c r="J1335" s="776"/>
      <c r="K1335" s="779"/>
      <c r="L1335" s="779"/>
      <c r="M1335" s="779"/>
      <c r="N1335" s="780"/>
      <c r="O1335" s="780"/>
      <c r="P1335" s="777"/>
      <c r="Q1335" s="781"/>
      <c r="R1335" s="782"/>
      <c r="S1335" s="782"/>
      <c r="T1335" s="782"/>
    </row>
    <row r="1336" spans="2:20">
      <c r="B1336" s="1076"/>
      <c r="C1336" s="774"/>
      <c r="D1336" s="775"/>
      <c r="E1336" s="776"/>
      <c r="F1336" s="776"/>
      <c r="G1336" s="777"/>
      <c r="H1336" s="783"/>
      <c r="I1336" s="777"/>
      <c r="J1336" s="776"/>
      <c r="K1336" s="779"/>
      <c r="L1336" s="779"/>
      <c r="M1336" s="779"/>
      <c r="N1336" s="780"/>
      <c r="O1336" s="780"/>
      <c r="P1336" s="777"/>
      <c r="Q1336" s="781"/>
      <c r="R1336" s="782"/>
      <c r="S1336" s="782"/>
      <c r="T1336" s="782"/>
    </row>
    <row r="1337" spans="2:20">
      <c r="B1337" s="1076"/>
      <c r="C1337" s="774"/>
      <c r="D1337" s="775"/>
      <c r="E1337" s="776"/>
      <c r="F1337" s="776"/>
      <c r="G1337" s="777"/>
      <c r="H1337" s="783"/>
      <c r="I1337" s="777"/>
      <c r="J1337" s="776"/>
      <c r="K1337" s="779"/>
      <c r="L1337" s="779"/>
      <c r="M1337" s="779"/>
      <c r="N1337" s="780"/>
      <c r="O1337" s="780"/>
      <c r="P1337" s="777"/>
      <c r="Q1337" s="781"/>
      <c r="R1337" s="782"/>
      <c r="S1337" s="782"/>
      <c r="T1337" s="782"/>
    </row>
    <row r="1338" spans="2:20">
      <c r="B1338" s="1076"/>
      <c r="C1338" s="774"/>
      <c r="D1338" s="775"/>
      <c r="E1338" s="776"/>
      <c r="F1338" s="776"/>
      <c r="G1338" s="777"/>
      <c r="H1338" s="783"/>
      <c r="I1338" s="777"/>
      <c r="J1338" s="776"/>
      <c r="K1338" s="779"/>
      <c r="L1338" s="779"/>
      <c r="M1338" s="779"/>
      <c r="N1338" s="780"/>
      <c r="O1338" s="780"/>
      <c r="P1338" s="777"/>
      <c r="Q1338" s="781"/>
      <c r="R1338" s="782"/>
      <c r="S1338" s="782"/>
      <c r="T1338" s="782"/>
    </row>
    <row r="1339" spans="2:20">
      <c r="B1339" s="1076"/>
      <c r="C1339" s="774"/>
      <c r="D1339" s="775"/>
      <c r="E1339" s="776"/>
      <c r="F1339" s="776"/>
      <c r="G1339" s="777"/>
      <c r="H1339" s="783"/>
      <c r="I1339" s="777"/>
      <c r="J1339" s="776"/>
      <c r="K1339" s="779"/>
      <c r="L1339" s="779"/>
      <c r="M1339" s="779"/>
      <c r="N1339" s="780"/>
      <c r="O1339" s="780"/>
      <c r="P1339" s="777"/>
      <c r="Q1339" s="781"/>
      <c r="R1339" s="782"/>
      <c r="S1339" s="782"/>
      <c r="T1339" s="782"/>
    </row>
    <row r="1340" spans="2:20">
      <c r="B1340" s="1077"/>
      <c r="C1340" s="873"/>
      <c r="D1340" s="874"/>
      <c r="E1340" s="875"/>
      <c r="F1340" s="875"/>
      <c r="G1340" s="876"/>
      <c r="H1340" s="877"/>
      <c r="I1340" s="876"/>
      <c r="J1340" s="875"/>
      <c r="K1340" s="878"/>
      <c r="L1340" s="878"/>
      <c r="M1340" s="878"/>
      <c r="N1340" s="879"/>
      <c r="O1340" s="879"/>
      <c r="P1340" s="876"/>
      <c r="Q1340" s="880"/>
      <c r="R1340" s="881"/>
      <c r="S1340" s="881"/>
      <c r="T1340" s="881"/>
    </row>
    <row r="1341" spans="2:20">
      <c r="B1341" s="1075"/>
      <c r="C1341" s="785"/>
      <c r="D1341" s="786"/>
      <c r="E1341" s="787"/>
      <c r="F1341" s="787"/>
      <c r="G1341" s="788"/>
      <c r="H1341" s="797"/>
      <c r="I1341" s="788"/>
      <c r="J1341" s="787"/>
      <c r="K1341" s="790"/>
      <c r="L1341" s="790"/>
      <c r="M1341" s="790"/>
      <c r="N1341" s="791"/>
      <c r="O1341" s="791"/>
      <c r="P1341" s="788"/>
      <c r="Q1341" s="792"/>
      <c r="R1341" s="793"/>
      <c r="S1341" s="793"/>
      <c r="T1341" s="793"/>
    </row>
    <row r="1342" spans="2:20">
      <c r="B1342" s="1076"/>
      <c r="C1342" s="774"/>
      <c r="D1342" s="775"/>
      <c r="E1342" s="776"/>
      <c r="F1342" s="776"/>
      <c r="G1342" s="777"/>
      <c r="H1342" s="783"/>
      <c r="I1342" s="777"/>
      <c r="J1342" s="776"/>
      <c r="K1342" s="779"/>
      <c r="L1342" s="779"/>
      <c r="M1342" s="779"/>
      <c r="N1342" s="780"/>
      <c r="O1342" s="780"/>
      <c r="P1342" s="777"/>
      <c r="Q1342" s="781"/>
      <c r="R1342" s="782"/>
      <c r="S1342" s="782"/>
      <c r="T1342" s="782"/>
    </row>
    <row r="1343" spans="2:20">
      <c r="B1343" s="1076"/>
      <c r="C1343" s="774"/>
      <c r="D1343" s="775"/>
      <c r="E1343" s="776"/>
      <c r="F1343" s="776"/>
      <c r="G1343" s="777"/>
      <c r="H1343" s="783"/>
      <c r="I1343" s="777"/>
      <c r="J1343" s="776"/>
      <c r="K1343" s="779"/>
      <c r="L1343" s="779"/>
      <c r="M1343" s="779"/>
      <c r="N1343" s="780"/>
      <c r="O1343" s="780"/>
      <c r="P1343" s="777"/>
      <c r="Q1343" s="781"/>
      <c r="R1343" s="782"/>
      <c r="S1343" s="782"/>
      <c r="T1343" s="782"/>
    </row>
    <row r="1344" spans="2:20">
      <c r="B1344" s="1076"/>
      <c r="C1344" s="774"/>
      <c r="D1344" s="775"/>
      <c r="E1344" s="776"/>
      <c r="F1344" s="776"/>
      <c r="G1344" s="777"/>
      <c r="H1344" s="783"/>
      <c r="I1344" s="777"/>
      <c r="J1344" s="776"/>
      <c r="K1344" s="779"/>
      <c r="L1344" s="779"/>
      <c r="M1344" s="779"/>
      <c r="N1344" s="780"/>
      <c r="O1344" s="780"/>
      <c r="P1344" s="777"/>
      <c r="Q1344" s="781"/>
      <c r="R1344" s="782"/>
      <c r="S1344" s="782"/>
      <c r="T1344" s="782"/>
    </row>
    <row r="1345" spans="2:20">
      <c r="B1345" s="1076"/>
      <c r="C1345" s="774"/>
      <c r="D1345" s="775"/>
      <c r="E1345" s="776"/>
      <c r="F1345" s="776"/>
      <c r="G1345" s="777"/>
      <c r="H1345" s="783"/>
      <c r="I1345" s="777"/>
      <c r="J1345" s="776"/>
      <c r="K1345" s="779"/>
      <c r="L1345" s="779"/>
      <c r="M1345" s="779"/>
      <c r="N1345" s="780"/>
      <c r="O1345" s="780"/>
      <c r="P1345" s="777"/>
      <c r="Q1345" s="781"/>
      <c r="R1345" s="782"/>
      <c r="S1345" s="782"/>
      <c r="T1345" s="782"/>
    </row>
    <row r="1346" spans="2:20">
      <c r="B1346" s="1076"/>
      <c r="C1346" s="774"/>
      <c r="D1346" s="775"/>
      <c r="E1346" s="776"/>
      <c r="F1346" s="776"/>
      <c r="G1346" s="777"/>
      <c r="H1346" s="783"/>
      <c r="I1346" s="777"/>
      <c r="J1346" s="776"/>
      <c r="K1346" s="779"/>
      <c r="L1346" s="779"/>
      <c r="M1346" s="779"/>
      <c r="N1346" s="780"/>
      <c r="O1346" s="780"/>
      <c r="P1346" s="777"/>
      <c r="Q1346" s="781"/>
      <c r="R1346" s="782"/>
      <c r="S1346" s="782"/>
      <c r="T1346" s="782"/>
    </row>
    <row r="1347" spans="2:20">
      <c r="B1347" s="1076"/>
      <c r="C1347" s="774"/>
      <c r="D1347" s="775"/>
      <c r="E1347" s="776"/>
      <c r="F1347" s="776"/>
      <c r="G1347" s="777"/>
      <c r="H1347" s="783"/>
      <c r="I1347" s="777"/>
      <c r="J1347" s="776"/>
      <c r="K1347" s="779"/>
      <c r="L1347" s="779"/>
      <c r="M1347" s="779"/>
      <c r="N1347" s="780"/>
      <c r="O1347" s="780"/>
      <c r="P1347" s="777"/>
      <c r="Q1347" s="781"/>
      <c r="R1347" s="782"/>
      <c r="S1347" s="782"/>
      <c r="T1347" s="782"/>
    </row>
    <row r="1348" spans="2:20">
      <c r="B1348" s="1076"/>
      <c r="C1348" s="774"/>
      <c r="D1348" s="775"/>
      <c r="E1348" s="776"/>
      <c r="F1348" s="776"/>
      <c r="G1348" s="777"/>
      <c r="H1348" s="783"/>
      <c r="I1348" s="777"/>
      <c r="J1348" s="776"/>
      <c r="K1348" s="779"/>
      <c r="L1348" s="779"/>
      <c r="M1348" s="779"/>
      <c r="N1348" s="780"/>
      <c r="O1348" s="780"/>
      <c r="P1348" s="777"/>
      <c r="Q1348" s="781"/>
      <c r="R1348" s="782"/>
      <c r="S1348" s="782"/>
      <c r="T1348" s="782"/>
    </row>
    <row r="1349" spans="2:20">
      <c r="B1349" s="1076"/>
      <c r="C1349" s="774"/>
      <c r="D1349" s="775"/>
      <c r="E1349" s="776"/>
      <c r="F1349" s="776"/>
      <c r="G1349" s="777"/>
      <c r="H1349" s="783"/>
      <c r="I1349" s="777"/>
      <c r="J1349" s="776"/>
      <c r="K1349" s="779"/>
      <c r="L1349" s="779"/>
      <c r="M1349" s="779"/>
      <c r="N1349" s="780"/>
      <c r="O1349" s="780"/>
      <c r="P1349" s="777"/>
      <c r="Q1349" s="781"/>
      <c r="R1349" s="782"/>
      <c r="S1349" s="782"/>
      <c r="T1349" s="782"/>
    </row>
    <row r="1350" spans="2:20">
      <c r="B1350" s="1077"/>
      <c r="C1350" s="873"/>
      <c r="D1350" s="874"/>
      <c r="E1350" s="875"/>
      <c r="F1350" s="875"/>
      <c r="G1350" s="876"/>
      <c r="H1350" s="877"/>
      <c r="I1350" s="876"/>
      <c r="J1350" s="875"/>
      <c r="K1350" s="878"/>
      <c r="L1350" s="878"/>
      <c r="M1350" s="878"/>
      <c r="N1350" s="879"/>
      <c r="O1350" s="879"/>
      <c r="P1350" s="876"/>
      <c r="Q1350" s="880"/>
      <c r="R1350" s="881"/>
      <c r="S1350" s="881"/>
      <c r="T1350" s="881"/>
    </row>
    <row r="1351" spans="2:20">
      <c r="B1351" s="1076"/>
      <c r="C1351" s="774"/>
      <c r="D1351" s="775"/>
      <c r="E1351" s="776"/>
      <c r="F1351" s="776"/>
      <c r="G1351" s="777"/>
      <c r="H1351" s="783"/>
      <c r="I1351" s="777"/>
      <c r="J1351" s="776"/>
      <c r="K1351" s="779"/>
      <c r="L1351" s="779"/>
      <c r="M1351" s="779"/>
      <c r="N1351" s="780"/>
      <c r="O1351" s="780"/>
      <c r="P1351" s="777"/>
      <c r="Q1351" s="781"/>
      <c r="R1351" s="782"/>
      <c r="S1351" s="782"/>
      <c r="T1351" s="782"/>
    </row>
    <row r="1352" spans="2:20">
      <c r="B1352" s="1076"/>
      <c r="C1352" s="774"/>
      <c r="D1352" s="775"/>
      <c r="E1352" s="776"/>
      <c r="F1352" s="776"/>
      <c r="G1352" s="777"/>
      <c r="H1352" s="783"/>
      <c r="I1352" s="777"/>
      <c r="J1352" s="776"/>
      <c r="K1352" s="779"/>
      <c r="L1352" s="779"/>
      <c r="M1352" s="779"/>
      <c r="N1352" s="780"/>
      <c r="O1352" s="780"/>
      <c r="P1352" s="777"/>
      <c r="Q1352" s="781"/>
      <c r="R1352" s="782"/>
      <c r="S1352" s="782"/>
      <c r="T1352" s="782"/>
    </row>
    <row r="1353" spans="2:20">
      <c r="B1353" s="1076"/>
      <c r="C1353" s="774"/>
      <c r="D1353" s="775"/>
      <c r="E1353" s="776"/>
      <c r="F1353" s="776"/>
      <c r="G1353" s="777"/>
      <c r="H1353" s="783"/>
      <c r="I1353" s="777"/>
      <c r="J1353" s="776"/>
      <c r="K1353" s="779"/>
      <c r="L1353" s="779"/>
      <c r="M1353" s="779"/>
      <c r="N1353" s="780"/>
      <c r="O1353" s="780"/>
      <c r="P1353" s="777"/>
      <c r="Q1353" s="781"/>
      <c r="R1353" s="782"/>
      <c r="S1353" s="782"/>
      <c r="T1353" s="782"/>
    </row>
    <row r="1354" spans="2:20">
      <c r="B1354" s="1076"/>
      <c r="C1354" s="774"/>
      <c r="D1354" s="775"/>
      <c r="E1354" s="776"/>
      <c r="F1354" s="776"/>
      <c r="G1354" s="777"/>
      <c r="H1354" s="783"/>
      <c r="I1354" s="777"/>
      <c r="J1354" s="776"/>
      <c r="K1354" s="779"/>
      <c r="L1354" s="779"/>
      <c r="M1354" s="779"/>
      <c r="N1354" s="780"/>
      <c r="O1354" s="780"/>
      <c r="P1354" s="777"/>
      <c r="Q1354" s="781"/>
      <c r="R1354" s="782"/>
      <c r="S1354" s="782"/>
      <c r="T1354" s="782"/>
    </row>
    <row r="1355" spans="2:20">
      <c r="B1355" s="1076"/>
      <c r="C1355" s="774"/>
      <c r="D1355" s="775"/>
      <c r="E1355" s="776"/>
      <c r="F1355" s="776"/>
      <c r="G1355" s="777"/>
      <c r="H1355" s="783"/>
      <c r="I1355" s="777"/>
      <c r="J1355" s="776"/>
      <c r="K1355" s="779"/>
      <c r="L1355" s="779"/>
      <c r="M1355" s="779"/>
      <c r="N1355" s="780"/>
      <c r="O1355" s="780"/>
      <c r="P1355" s="777"/>
      <c r="Q1355" s="781"/>
      <c r="R1355" s="782"/>
      <c r="S1355" s="782"/>
      <c r="T1355" s="782"/>
    </row>
    <row r="1356" spans="2:20">
      <c r="B1356" s="1076"/>
      <c r="C1356" s="774"/>
      <c r="D1356" s="775"/>
      <c r="E1356" s="776"/>
      <c r="F1356" s="776"/>
      <c r="G1356" s="777"/>
      <c r="H1356" s="783"/>
      <c r="I1356" s="777"/>
      <c r="J1356" s="776"/>
      <c r="K1356" s="779"/>
      <c r="L1356" s="779"/>
      <c r="M1356" s="779"/>
      <c r="N1356" s="780"/>
      <c r="O1356" s="780"/>
      <c r="P1356" s="777"/>
      <c r="Q1356" s="781"/>
      <c r="R1356" s="782"/>
      <c r="S1356" s="782"/>
      <c r="T1356" s="782"/>
    </row>
    <row r="1357" spans="2:20">
      <c r="B1357" s="1076"/>
      <c r="C1357" s="774"/>
      <c r="D1357" s="775"/>
      <c r="E1357" s="776"/>
      <c r="F1357" s="776"/>
      <c r="G1357" s="777"/>
      <c r="H1357" s="783"/>
      <c r="I1357" s="777"/>
      <c r="J1357" s="776"/>
      <c r="K1357" s="779"/>
      <c r="L1357" s="779"/>
      <c r="M1357" s="779"/>
      <c r="N1357" s="780"/>
      <c r="O1357" s="780"/>
      <c r="P1357" s="777"/>
      <c r="Q1357" s="781"/>
      <c r="R1357" s="782"/>
      <c r="S1357" s="782"/>
      <c r="T1357" s="782"/>
    </row>
    <row r="1358" spans="2:20">
      <c r="B1358" s="1076"/>
      <c r="C1358" s="774"/>
      <c r="D1358" s="775"/>
      <c r="E1358" s="776"/>
      <c r="F1358" s="776"/>
      <c r="G1358" s="777"/>
      <c r="H1358" s="783"/>
      <c r="I1358" s="777"/>
      <c r="J1358" s="776"/>
      <c r="K1358" s="779"/>
      <c r="L1358" s="779"/>
      <c r="M1358" s="779"/>
      <c r="N1358" s="780"/>
      <c r="O1358" s="780"/>
      <c r="P1358" s="777"/>
      <c r="Q1358" s="781"/>
      <c r="R1358" s="782"/>
      <c r="S1358" s="782"/>
      <c r="T1358" s="782"/>
    </row>
    <row r="1359" spans="2:20">
      <c r="B1359" s="1076"/>
      <c r="C1359" s="774"/>
      <c r="D1359" s="775"/>
      <c r="E1359" s="776"/>
      <c r="F1359" s="776"/>
      <c r="G1359" s="777"/>
      <c r="H1359" s="783"/>
      <c r="I1359" s="777"/>
      <c r="J1359" s="776"/>
      <c r="K1359" s="779"/>
      <c r="L1359" s="779"/>
      <c r="M1359" s="779"/>
      <c r="N1359" s="780"/>
      <c r="O1359" s="780"/>
      <c r="P1359" s="777"/>
      <c r="Q1359" s="781"/>
      <c r="R1359" s="782"/>
      <c r="S1359" s="782"/>
      <c r="T1359" s="782"/>
    </row>
    <row r="1360" spans="2:20">
      <c r="B1360" s="1076"/>
      <c r="C1360" s="774"/>
      <c r="D1360" s="775"/>
      <c r="E1360" s="776"/>
      <c r="F1360" s="776"/>
      <c r="G1360" s="777"/>
      <c r="H1360" s="783"/>
      <c r="I1360" s="777"/>
      <c r="J1360" s="776"/>
      <c r="K1360" s="779"/>
      <c r="L1360" s="779"/>
      <c r="M1360" s="779"/>
      <c r="N1360" s="780"/>
      <c r="O1360" s="780"/>
      <c r="P1360" s="777"/>
      <c r="Q1360" s="781"/>
      <c r="R1360" s="782"/>
      <c r="S1360" s="782"/>
      <c r="T1360" s="782"/>
    </row>
    <row r="1361" spans="2:20">
      <c r="B1361" s="1078"/>
      <c r="C1361" s="1079"/>
      <c r="D1361" s="1080" t="s">
        <v>6087</v>
      </c>
      <c r="E1361" s="1078"/>
      <c r="F1361" s="1078"/>
      <c r="G1361" s="1078"/>
      <c r="H1361" s="1081"/>
      <c r="I1361" s="1078"/>
      <c r="J1361" s="1078"/>
      <c r="K1361" s="864"/>
      <c r="L1361" s="865"/>
      <c r="M1361" s="865"/>
      <c r="N1361" s="866"/>
      <c r="O1361" s="867"/>
      <c r="P1361" s="868"/>
      <c r="Q1361" s="869"/>
      <c r="R1361" s="870"/>
      <c r="S1361" s="870"/>
      <c r="T1361" s="870"/>
    </row>
    <row r="1362" spans="2:20">
      <c r="B1362" s="1075"/>
      <c r="C1362" s="785"/>
      <c r="D1362" s="786"/>
      <c r="E1362" s="787"/>
      <c r="F1362" s="787"/>
      <c r="G1362" s="788"/>
      <c r="H1362" s="797"/>
      <c r="I1362" s="788"/>
      <c r="J1362" s="787"/>
      <c r="K1362" s="790"/>
      <c r="L1362" s="790"/>
      <c r="M1362" s="790"/>
      <c r="N1362" s="791"/>
      <c r="O1362" s="791"/>
      <c r="P1362" s="788"/>
      <c r="Q1362" s="792"/>
      <c r="R1362" s="793"/>
      <c r="S1362" s="793"/>
      <c r="T1362" s="793"/>
    </row>
    <row r="1363" spans="2:20">
      <c r="B1363" s="1076"/>
      <c r="C1363" s="774"/>
      <c r="D1363" s="775"/>
      <c r="E1363" s="776"/>
      <c r="F1363" s="776"/>
      <c r="G1363" s="777"/>
      <c r="H1363" s="783"/>
      <c r="I1363" s="777"/>
      <c r="J1363" s="776"/>
      <c r="K1363" s="779"/>
      <c r="L1363" s="779"/>
      <c r="M1363" s="779"/>
      <c r="N1363" s="780"/>
      <c r="O1363" s="780"/>
      <c r="P1363" s="777"/>
      <c r="Q1363" s="781"/>
      <c r="R1363" s="782"/>
      <c r="S1363" s="782"/>
      <c r="T1363" s="782"/>
    </row>
    <row r="1364" spans="2:20">
      <c r="B1364" s="1076"/>
      <c r="C1364" s="774"/>
      <c r="D1364" s="775"/>
      <c r="E1364" s="776"/>
      <c r="F1364" s="776"/>
      <c r="G1364" s="777"/>
      <c r="H1364" s="783"/>
      <c r="I1364" s="777"/>
      <c r="J1364" s="776"/>
      <c r="K1364" s="779"/>
      <c r="L1364" s="779"/>
      <c r="M1364" s="779"/>
      <c r="N1364" s="780"/>
      <c r="O1364" s="780"/>
      <c r="P1364" s="777"/>
      <c r="Q1364" s="781"/>
      <c r="R1364" s="782"/>
      <c r="S1364" s="782"/>
      <c r="T1364" s="782"/>
    </row>
    <row r="1365" spans="2:20">
      <c r="B1365" s="1076"/>
      <c r="C1365" s="774"/>
      <c r="D1365" s="775"/>
      <c r="E1365" s="776"/>
      <c r="F1365" s="776"/>
      <c r="G1365" s="777"/>
      <c r="H1365" s="783"/>
      <c r="I1365" s="777"/>
      <c r="J1365" s="776"/>
      <c r="K1365" s="779"/>
      <c r="L1365" s="779"/>
      <c r="M1365" s="779"/>
      <c r="N1365" s="780"/>
      <c r="O1365" s="780"/>
      <c r="P1365" s="777"/>
      <c r="Q1365" s="781"/>
      <c r="R1365" s="782"/>
      <c r="S1365" s="782"/>
      <c r="T1365" s="782"/>
    </row>
    <row r="1366" spans="2:20">
      <c r="B1366" s="1076"/>
      <c r="C1366" s="774"/>
      <c r="D1366" s="775"/>
      <c r="E1366" s="776"/>
      <c r="F1366" s="776"/>
      <c r="G1366" s="777"/>
      <c r="H1366" s="783"/>
      <c r="I1366" s="777"/>
      <c r="J1366" s="776"/>
      <c r="K1366" s="779"/>
      <c r="L1366" s="779"/>
      <c r="M1366" s="779"/>
      <c r="N1366" s="780"/>
      <c r="O1366" s="780"/>
      <c r="P1366" s="777"/>
      <c r="Q1366" s="781"/>
      <c r="R1366" s="782"/>
      <c r="S1366" s="782"/>
      <c r="T1366" s="782"/>
    </row>
    <row r="1367" spans="2:20">
      <c r="B1367" s="1076"/>
      <c r="C1367" s="774"/>
      <c r="D1367" s="775"/>
      <c r="E1367" s="776"/>
      <c r="F1367" s="776"/>
      <c r="G1367" s="777"/>
      <c r="H1367" s="783"/>
      <c r="I1367" s="777"/>
      <c r="J1367" s="776"/>
      <c r="K1367" s="779"/>
      <c r="L1367" s="779"/>
      <c r="M1367" s="779"/>
      <c r="N1367" s="780"/>
      <c r="O1367" s="780"/>
      <c r="P1367" s="777"/>
      <c r="Q1367" s="781"/>
      <c r="R1367" s="782"/>
      <c r="S1367" s="782"/>
      <c r="T1367" s="782"/>
    </row>
    <row r="1368" spans="2:20">
      <c r="B1368" s="1076"/>
      <c r="C1368" s="774"/>
      <c r="D1368" s="775"/>
      <c r="E1368" s="776"/>
      <c r="F1368" s="776"/>
      <c r="G1368" s="777"/>
      <c r="H1368" s="783"/>
      <c r="I1368" s="777"/>
      <c r="J1368" s="776"/>
      <c r="K1368" s="779"/>
      <c r="L1368" s="779"/>
      <c r="M1368" s="779"/>
      <c r="N1368" s="780"/>
      <c r="O1368" s="780"/>
      <c r="P1368" s="777"/>
      <c r="Q1368" s="781"/>
      <c r="R1368" s="782"/>
      <c r="S1368" s="782"/>
      <c r="T1368" s="782"/>
    </row>
    <row r="1369" spans="2:20">
      <c r="B1369" s="1076"/>
      <c r="C1369" s="774"/>
      <c r="D1369" s="775"/>
      <c r="E1369" s="776"/>
      <c r="F1369" s="776"/>
      <c r="G1369" s="777"/>
      <c r="H1369" s="783"/>
      <c r="I1369" s="777"/>
      <c r="J1369" s="776"/>
      <c r="K1369" s="779"/>
      <c r="L1369" s="779"/>
      <c r="M1369" s="779"/>
      <c r="N1369" s="780"/>
      <c r="O1369" s="780"/>
      <c r="P1369" s="777"/>
      <c r="Q1369" s="781"/>
      <c r="R1369" s="782"/>
      <c r="S1369" s="782"/>
      <c r="T1369" s="782"/>
    </row>
    <row r="1370" spans="2:20">
      <c r="B1370" s="1076"/>
      <c r="C1370" s="774"/>
      <c r="D1370" s="775"/>
      <c r="E1370" s="776"/>
      <c r="F1370" s="776"/>
      <c r="G1370" s="777"/>
      <c r="H1370" s="783"/>
      <c r="I1370" s="777"/>
      <c r="J1370" s="776"/>
      <c r="K1370" s="779"/>
      <c r="L1370" s="779"/>
      <c r="M1370" s="779"/>
      <c r="N1370" s="780"/>
      <c r="O1370" s="780"/>
      <c r="P1370" s="777"/>
      <c r="Q1370" s="781"/>
      <c r="R1370" s="782"/>
      <c r="S1370" s="782"/>
      <c r="T1370" s="782"/>
    </row>
    <row r="1371" spans="2:20">
      <c r="B1371" s="1077"/>
      <c r="C1371" s="873"/>
      <c r="D1371" s="874"/>
      <c r="E1371" s="875"/>
      <c r="F1371" s="875"/>
      <c r="G1371" s="876"/>
      <c r="H1371" s="877"/>
      <c r="I1371" s="876"/>
      <c r="J1371" s="875"/>
      <c r="K1371" s="878"/>
      <c r="L1371" s="878"/>
      <c r="M1371" s="878"/>
      <c r="N1371" s="879"/>
      <c r="O1371" s="879"/>
      <c r="P1371" s="876"/>
      <c r="Q1371" s="880"/>
      <c r="R1371" s="881"/>
      <c r="S1371" s="881"/>
      <c r="T1371" s="881"/>
    </row>
    <row r="1372" spans="2:20">
      <c r="B1372" s="1075"/>
      <c r="C1372" s="785"/>
      <c r="D1372" s="786"/>
      <c r="E1372" s="787"/>
      <c r="F1372" s="787"/>
      <c r="G1372" s="788"/>
      <c r="H1372" s="797"/>
      <c r="I1372" s="788"/>
      <c r="J1372" s="787"/>
      <c r="K1372" s="790"/>
      <c r="L1372" s="790"/>
      <c r="M1372" s="790"/>
      <c r="N1372" s="791"/>
      <c r="O1372" s="791"/>
      <c r="P1372" s="788"/>
      <c r="Q1372" s="792"/>
      <c r="R1372" s="793"/>
      <c r="S1372" s="793"/>
      <c r="T1372" s="793"/>
    </row>
    <row r="1373" spans="2:20">
      <c r="B1373" s="1076"/>
      <c r="C1373" s="774"/>
      <c r="D1373" s="775"/>
      <c r="E1373" s="776"/>
      <c r="F1373" s="776"/>
      <c r="G1373" s="777"/>
      <c r="H1373" s="783"/>
      <c r="I1373" s="777"/>
      <c r="J1373" s="776"/>
      <c r="K1373" s="779"/>
      <c r="L1373" s="779"/>
      <c r="M1373" s="779"/>
      <c r="N1373" s="780"/>
      <c r="O1373" s="780"/>
      <c r="P1373" s="777"/>
      <c r="Q1373" s="781"/>
      <c r="R1373" s="782"/>
      <c r="S1373" s="782"/>
      <c r="T1373" s="782"/>
    </row>
    <row r="1374" spans="2:20">
      <c r="B1374" s="1076"/>
      <c r="C1374" s="774"/>
      <c r="D1374" s="775"/>
      <c r="E1374" s="776"/>
      <c r="F1374" s="776"/>
      <c r="G1374" s="777"/>
      <c r="H1374" s="783"/>
      <c r="I1374" s="777"/>
      <c r="J1374" s="776"/>
      <c r="K1374" s="779"/>
      <c r="L1374" s="779"/>
      <c r="M1374" s="779"/>
      <c r="N1374" s="780"/>
      <c r="O1374" s="780"/>
      <c r="P1374" s="777"/>
      <c r="Q1374" s="781"/>
      <c r="R1374" s="782"/>
      <c r="S1374" s="782"/>
      <c r="T1374" s="782"/>
    </row>
    <row r="1375" spans="2:20">
      <c r="B1375" s="1076"/>
      <c r="C1375" s="774"/>
      <c r="D1375" s="775"/>
      <c r="E1375" s="776"/>
      <c r="F1375" s="776"/>
      <c r="G1375" s="777"/>
      <c r="H1375" s="783"/>
      <c r="I1375" s="777"/>
      <c r="J1375" s="776"/>
      <c r="K1375" s="779"/>
      <c r="L1375" s="779"/>
      <c r="M1375" s="779"/>
      <c r="N1375" s="780"/>
      <c r="O1375" s="780"/>
      <c r="P1375" s="777"/>
      <c r="Q1375" s="781"/>
      <c r="R1375" s="782"/>
      <c r="S1375" s="782"/>
      <c r="T1375" s="782"/>
    </row>
    <row r="1376" spans="2:20">
      <c r="B1376" s="1076"/>
      <c r="C1376" s="774"/>
      <c r="D1376" s="775"/>
      <c r="E1376" s="776"/>
      <c r="F1376" s="776"/>
      <c r="G1376" s="777"/>
      <c r="H1376" s="783"/>
      <c r="I1376" s="777"/>
      <c r="J1376" s="776"/>
      <c r="K1376" s="779"/>
      <c r="L1376" s="779"/>
      <c r="M1376" s="779"/>
      <c r="N1376" s="780"/>
      <c r="O1376" s="780"/>
      <c r="P1376" s="777"/>
      <c r="Q1376" s="781"/>
      <c r="R1376" s="782"/>
      <c r="S1376" s="782"/>
      <c r="T1376" s="782"/>
    </row>
    <row r="1377" spans="2:20">
      <c r="B1377" s="1076"/>
      <c r="C1377" s="774"/>
      <c r="D1377" s="775"/>
      <c r="E1377" s="776"/>
      <c r="F1377" s="776"/>
      <c r="G1377" s="777"/>
      <c r="H1377" s="783"/>
      <c r="I1377" s="777"/>
      <c r="J1377" s="776"/>
      <c r="K1377" s="779"/>
      <c r="L1377" s="779"/>
      <c r="M1377" s="779"/>
      <c r="N1377" s="780"/>
      <c r="O1377" s="780"/>
      <c r="P1377" s="777"/>
      <c r="Q1377" s="781"/>
      <c r="R1377" s="782"/>
      <c r="S1377" s="782"/>
      <c r="T1377" s="782"/>
    </row>
    <row r="1378" spans="2:20">
      <c r="B1378" s="1076"/>
      <c r="C1378" s="774"/>
      <c r="D1378" s="775"/>
      <c r="E1378" s="776"/>
      <c r="F1378" s="776"/>
      <c r="G1378" s="777"/>
      <c r="H1378" s="783"/>
      <c r="I1378" s="777"/>
      <c r="J1378" s="776"/>
      <c r="K1378" s="779"/>
      <c r="L1378" s="779"/>
      <c r="M1378" s="779"/>
      <c r="N1378" s="780"/>
      <c r="O1378" s="780"/>
      <c r="P1378" s="777"/>
      <c r="Q1378" s="781"/>
      <c r="R1378" s="782"/>
      <c r="S1378" s="782"/>
      <c r="T1378" s="782"/>
    </row>
    <row r="1379" spans="2:20">
      <c r="B1379" s="1076"/>
      <c r="C1379" s="774"/>
      <c r="D1379" s="775"/>
      <c r="E1379" s="776"/>
      <c r="F1379" s="776"/>
      <c r="G1379" s="777"/>
      <c r="H1379" s="783"/>
      <c r="I1379" s="777"/>
      <c r="J1379" s="776"/>
      <c r="K1379" s="779"/>
      <c r="L1379" s="779"/>
      <c r="M1379" s="779"/>
      <c r="N1379" s="780"/>
      <c r="O1379" s="780"/>
      <c r="P1379" s="777"/>
      <c r="Q1379" s="781"/>
      <c r="R1379" s="782"/>
      <c r="S1379" s="782"/>
      <c r="T1379" s="782"/>
    </row>
    <row r="1380" spans="2:20">
      <c r="B1380" s="1076"/>
      <c r="C1380" s="774"/>
      <c r="D1380" s="775"/>
      <c r="E1380" s="776"/>
      <c r="F1380" s="776"/>
      <c r="G1380" s="777"/>
      <c r="H1380" s="783"/>
      <c r="I1380" s="777"/>
      <c r="J1380" s="776"/>
      <c r="K1380" s="779"/>
      <c r="L1380" s="779"/>
      <c r="M1380" s="779"/>
      <c r="N1380" s="780"/>
      <c r="O1380" s="780"/>
      <c r="P1380" s="777"/>
      <c r="Q1380" s="781"/>
      <c r="R1380" s="782"/>
      <c r="S1380" s="782"/>
      <c r="T1380" s="782"/>
    </row>
    <row r="1381" spans="2:20">
      <c r="B1381" s="1077"/>
      <c r="C1381" s="873"/>
      <c r="D1381" s="874"/>
      <c r="E1381" s="875"/>
      <c r="F1381" s="875"/>
      <c r="G1381" s="876"/>
      <c r="H1381" s="877"/>
      <c r="I1381" s="876"/>
      <c r="J1381" s="875"/>
      <c r="K1381" s="878"/>
      <c r="L1381" s="878"/>
      <c r="M1381" s="878"/>
      <c r="N1381" s="879"/>
      <c r="O1381" s="879"/>
      <c r="P1381" s="876"/>
      <c r="Q1381" s="880"/>
      <c r="R1381" s="881"/>
      <c r="S1381" s="881"/>
      <c r="T1381" s="881"/>
    </row>
    <row r="1382" spans="2:20">
      <c r="B1382" s="1075"/>
      <c r="C1382" s="785"/>
      <c r="D1382" s="786"/>
      <c r="E1382" s="787"/>
      <c r="F1382" s="787"/>
      <c r="G1382" s="788"/>
      <c r="H1382" s="797"/>
      <c r="I1382" s="788"/>
      <c r="J1382" s="787"/>
      <c r="K1382" s="790"/>
      <c r="L1382" s="790"/>
      <c r="M1382" s="790"/>
      <c r="N1382" s="791"/>
      <c r="O1382" s="791"/>
      <c r="P1382" s="788"/>
      <c r="Q1382" s="792"/>
      <c r="R1382" s="793"/>
      <c r="S1382" s="793"/>
      <c r="T1382" s="793"/>
    </row>
    <row r="1383" spans="2:20">
      <c r="B1383" s="1076"/>
      <c r="C1383" s="774"/>
      <c r="D1383" s="775"/>
      <c r="E1383" s="776"/>
      <c r="F1383" s="776"/>
      <c r="G1383" s="777"/>
      <c r="H1383" s="783"/>
      <c r="I1383" s="777"/>
      <c r="J1383" s="776"/>
      <c r="K1383" s="779"/>
      <c r="L1383" s="779"/>
      <c r="M1383" s="779"/>
      <c r="N1383" s="780"/>
      <c r="O1383" s="780"/>
      <c r="P1383" s="777"/>
      <c r="Q1383" s="781"/>
      <c r="R1383" s="782"/>
      <c r="S1383" s="782"/>
      <c r="T1383" s="782"/>
    </row>
    <row r="1384" spans="2:20">
      <c r="B1384" s="1076"/>
      <c r="C1384" s="774"/>
      <c r="D1384" s="775"/>
      <c r="E1384" s="776"/>
      <c r="F1384" s="776"/>
      <c r="G1384" s="777"/>
      <c r="H1384" s="783"/>
      <c r="I1384" s="777"/>
      <c r="J1384" s="776"/>
      <c r="K1384" s="779"/>
      <c r="L1384" s="779"/>
      <c r="M1384" s="779"/>
      <c r="N1384" s="780"/>
      <c r="O1384" s="780"/>
      <c r="P1384" s="777"/>
      <c r="Q1384" s="781"/>
      <c r="R1384" s="782"/>
      <c r="S1384" s="782"/>
      <c r="T1384" s="782"/>
    </row>
    <row r="1385" spans="2:20">
      <c r="B1385" s="1076"/>
      <c r="C1385" s="774"/>
      <c r="D1385" s="775"/>
      <c r="E1385" s="776"/>
      <c r="F1385" s="776"/>
      <c r="G1385" s="777"/>
      <c r="H1385" s="783"/>
      <c r="I1385" s="777"/>
      <c r="J1385" s="776"/>
      <c r="K1385" s="779"/>
      <c r="L1385" s="779"/>
      <c r="M1385" s="779"/>
      <c r="N1385" s="780"/>
      <c r="O1385" s="780"/>
      <c r="P1385" s="777"/>
      <c r="Q1385" s="781"/>
      <c r="R1385" s="782"/>
      <c r="S1385" s="782"/>
      <c r="T1385" s="782"/>
    </row>
    <row r="1386" spans="2:20">
      <c r="B1386" s="1076"/>
      <c r="C1386" s="774"/>
      <c r="D1386" s="775"/>
      <c r="E1386" s="776"/>
      <c r="F1386" s="776"/>
      <c r="G1386" s="777"/>
      <c r="H1386" s="783"/>
      <c r="I1386" s="777"/>
      <c r="J1386" s="776"/>
      <c r="K1386" s="779"/>
      <c r="L1386" s="779"/>
      <c r="M1386" s="779"/>
      <c r="N1386" s="780"/>
      <c r="O1386" s="780"/>
      <c r="P1386" s="777"/>
      <c r="Q1386" s="781"/>
      <c r="R1386" s="782"/>
      <c r="S1386" s="782"/>
      <c r="T1386" s="782"/>
    </row>
    <row r="1387" spans="2:20">
      <c r="B1387" s="1076"/>
      <c r="C1387" s="774"/>
      <c r="D1387" s="775"/>
      <c r="E1387" s="776"/>
      <c r="F1387" s="776"/>
      <c r="G1387" s="777"/>
      <c r="H1387" s="783"/>
      <c r="I1387" s="777"/>
      <c r="J1387" s="776"/>
      <c r="K1387" s="779"/>
      <c r="L1387" s="779"/>
      <c r="M1387" s="779"/>
      <c r="N1387" s="780"/>
      <c r="O1387" s="780"/>
      <c r="P1387" s="777"/>
      <c r="Q1387" s="781"/>
      <c r="R1387" s="782"/>
      <c r="S1387" s="782"/>
      <c r="T1387" s="782"/>
    </row>
    <row r="1388" spans="2:20">
      <c r="B1388" s="1076"/>
      <c r="C1388" s="774"/>
      <c r="D1388" s="775"/>
      <c r="E1388" s="776"/>
      <c r="F1388" s="776"/>
      <c r="G1388" s="777"/>
      <c r="H1388" s="783"/>
      <c r="I1388" s="777"/>
      <c r="J1388" s="776"/>
      <c r="K1388" s="779"/>
      <c r="L1388" s="779"/>
      <c r="M1388" s="779"/>
      <c r="N1388" s="780"/>
      <c r="O1388" s="780"/>
      <c r="P1388" s="777"/>
      <c r="Q1388" s="781"/>
      <c r="R1388" s="782"/>
      <c r="S1388" s="782"/>
      <c r="T1388" s="782"/>
    </row>
    <row r="1389" spans="2:20">
      <c r="B1389" s="1076"/>
      <c r="C1389" s="774"/>
      <c r="D1389" s="775"/>
      <c r="E1389" s="776"/>
      <c r="F1389" s="776"/>
      <c r="G1389" s="777"/>
      <c r="H1389" s="783"/>
      <c r="I1389" s="777"/>
      <c r="J1389" s="776"/>
      <c r="K1389" s="779"/>
      <c r="L1389" s="779"/>
      <c r="M1389" s="779"/>
      <c r="N1389" s="780"/>
      <c r="O1389" s="780"/>
      <c r="P1389" s="777"/>
      <c r="Q1389" s="781"/>
      <c r="R1389" s="782"/>
      <c r="S1389" s="782"/>
      <c r="T1389" s="782"/>
    </row>
    <row r="1390" spans="2:20">
      <c r="B1390" s="1076"/>
      <c r="C1390" s="774"/>
      <c r="D1390" s="775"/>
      <c r="E1390" s="776"/>
      <c r="F1390" s="776"/>
      <c r="G1390" s="777"/>
      <c r="H1390" s="783"/>
      <c r="I1390" s="777"/>
      <c r="J1390" s="776"/>
      <c r="K1390" s="779"/>
      <c r="L1390" s="779"/>
      <c r="M1390" s="779"/>
      <c r="N1390" s="780"/>
      <c r="O1390" s="780"/>
      <c r="P1390" s="777"/>
      <c r="Q1390" s="781"/>
      <c r="R1390" s="782"/>
      <c r="S1390" s="782"/>
      <c r="T1390" s="782"/>
    </row>
    <row r="1391" spans="2:20">
      <c r="B1391" s="1077"/>
      <c r="C1391" s="873"/>
      <c r="D1391" s="874"/>
      <c r="E1391" s="875"/>
      <c r="F1391" s="875"/>
      <c r="G1391" s="876"/>
      <c r="H1391" s="877"/>
      <c r="I1391" s="876"/>
      <c r="J1391" s="875"/>
      <c r="K1391" s="878"/>
      <c r="L1391" s="878"/>
      <c r="M1391" s="878"/>
      <c r="N1391" s="879"/>
      <c r="O1391" s="879"/>
      <c r="P1391" s="876"/>
      <c r="Q1391" s="880"/>
      <c r="R1391" s="881"/>
      <c r="S1391" s="881"/>
      <c r="T1391" s="881"/>
    </row>
    <row r="1392" spans="2:20">
      <c r="B1392" s="1075"/>
      <c r="C1392" s="785"/>
      <c r="D1392" s="786"/>
      <c r="E1392" s="787"/>
      <c r="F1392" s="787"/>
      <c r="G1392" s="788"/>
      <c r="H1392" s="797"/>
      <c r="I1392" s="788"/>
      <c r="J1392" s="787"/>
      <c r="K1392" s="790"/>
      <c r="L1392" s="790"/>
      <c r="M1392" s="790"/>
      <c r="N1392" s="791"/>
      <c r="O1392" s="791"/>
      <c r="P1392" s="788"/>
      <c r="Q1392" s="792"/>
      <c r="R1392" s="793"/>
      <c r="S1392" s="793"/>
      <c r="T1392" s="793"/>
    </row>
    <row r="1393" spans="2:20">
      <c r="B1393" s="1076"/>
      <c r="C1393" s="774"/>
      <c r="D1393" s="775"/>
      <c r="E1393" s="776"/>
      <c r="F1393" s="776"/>
      <c r="G1393" s="777"/>
      <c r="H1393" s="783"/>
      <c r="I1393" s="777"/>
      <c r="J1393" s="776"/>
      <c r="K1393" s="779"/>
      <c r="L1393" s="779"/>
      <c r="M1393" s="779"/>
      <c r="N1393" s="780"/>
      <c r="O1393" s="780"/>
      <c r="P1393" s="777"/>
      <c r="Q1393" s="781"/>
      <c r="R1393" s="782"/>
      <c r="S1393" s="782"/>
      <c r="T1393" s="782"/>
    </row>
    <row r="1394" spans="2:20">
      <c r="B1394" s="1076"/>
      <c r="C1394" s="774"/>
      <c r="D1394" s="775"/>
      <c r="E1394" s="776"/>
      <c r="F1394" s="776"/>
      <c r="G1394" s="777"/>
      <c r="H1394" s="783"/>
      <c r="I1394" s="777"/>
      <c r="J1394" s="776"/>
      <c r="K1394" s="779"/>
      <c r="L1394" s="779"/>
      <c r="M1394" s="779"/>
      <c r="N1394" s="780"/>
      <c r="O1394" s="780"/>
      <c r="P1394" s="777"/>
      <c r="Q1394" s="781"/>
      <c r="R1394" s="782"/>
      <c r="S1394" s="782"/>
      <c r="T1394" s="782"/>
    </row>
    <row r="1395" spans="2:20">
      <c r="B1395" s="1076"/>
      <c r="C1395" s="774"/>
      <c r="D1395" s="775"/>
      <c r="E1395" s="776"/>
      <c r="F1395" s="776"/>
      <c r="G1395" s="777"/>
      <c r="H1395" s="783"/>
      <c r="I1395" s="777"/>
      <c r="J1395" s="776"/>
      <c r="K1395" s="779"/>
      <c r="L1395" s="779"/>
      <c r="M1395" s="779"/>
      <c r="N1395" s="780"/>
      <c r="O1395" s="780"/>
      <c r="P1395" s="777"/>
      <c r="Q1395" s="781"/>
      <c r="R1395" s="782"/>
      <c r="S1395" s="782"/>
      <c r="T1395" s="782"/>
    </row>
    <row r="1396" spans="2:20">
      <c r="B1396" s="1076"/>
      <c r="C1396" s="774"/>
      <c r="D1396" s="775"/>
      <c r="E1396" s="776"/>
      <c r="F1396" s="776"/>
      <c r="G1396" s="777"/>
      <c r="H1396" s="783"/>
      <c r="I1396" s="777"/>
      <c r="J1396" s="776"/>
      <c r="K1396" s="779"/>
      <c r="L1396" s="779"/>
      <c r="M1396" s="779"/>
      <c r="N1396" s="780"/>
      <c r="O1396" s="780"/>
      <c r="P1396" s="777"/>
      <c r="Q1396" s="781"/>
      <c r="R1396" s="782"/>
      <c r="S1396" s="782"/>
      <c r="T1396" s="782"/>
    </row>
    <row r="1397" spans="2:20">
      <c r="B1397" s="1076"/>
      <c r="C1397" s="774"/>
      <c r="D1397" s="775"/>
      <c r="E1397" s="776"/>
      <c r="F1397" s="776"/>
      <c r="G1397" s="777"/>
      <c r="H1397" s="783"/>
      <c r="I1397" s="777"/>
      <c r="J1397" s="776"/>
      <c r="K1397" s="779"/>
      <c r="L1397" s="779"/>
      <c r="M1397" s="779"/>
      <c r="N1397" s="780"/>
      <c r="O1397" s="780"/>
      <c r="P1397" s="777"/>
      <c r="Q1397" s="781"/>
      <c r="R1397" s="782"/>
      <c r="S1397" s="782"/>
      <c r="T1397" s="782"/>
    </row>
    <row r="1398" spans="2:20">
      <c r="B1398" s="1076"/>
      <c r="C1398" s="774"/>
      <c r="D1398" s="775"/>
      <c r="E1398" s="776"/>
      <c r="F1398" s="776"/>
      <c r="G1398" s="777"/>
      <c r="H1398" s="783"/>
      <c r="I1398" s="777"/>
      <c r="J1398" s="776"/>
      <c r="K1398" s="779"/>
      <c r="L1398" s="779"/>
      <c r="M1398" s="779"/>
      <c r="N1398" s="780"/>
      <c r="O1398" s="780"/>
      <c r="P1398" s="777"/>
      <c r="Q1398" s="781"/>
      <c r="R1398" s="782"/>
      <c r="S1398" s="782"/>
      <c r="T1398" s="782"/>
    </row>
    <row r="1399" spans="2:20">
      <c r="B1399" s="1076"/>
      <c r="C1399" s="774"/>
      <c r="D1399" s="775"/>
      <c r="E1399" s="776"/>
      <c r="F1399" s="776"/>
      <c r="G1399" s="777"/>
      <c r="H1399" s="783"/>
      <c r="I1399" s="777"/>
      <c r="J1399" s="776"/>
      <c r="K1399" s="779"/>
      <c r="L1399" s="779"/>
      <c r="M1399" s="779"/>
      <c r="N1399" s="780"/>
      <c r="O1399" s="780"/>
      <c r="P1399" s="777"/>
      <c r="Q1399" s="781"/>
      <c r="R1399" s="782"/>
      <c r="S1399" s="782"/>
      <c r="T1399" s="782"/>
    </row>
    <row r="1400" spans="2:20">
      <c r="B1400" s="1076"/>
      <c r="C1400" s="774"/>
      <c r="D1400" s="775"/>
      <c r="E1400" s="776"/>
      <c r="F1400" s="776"/>
      <c r="G1400" s="777"/>
      <c r="H1400" s="783"/>
      <c r="I1400" s="777"/>
      <c r="J1400" s="776"/>
      <c r="K1400" s="779"/>
      <c r="L1400" s="779"/>
      <c r="M1400" s="779"/>
      <c r="N1400" s="780"/>
      <c r="O1400" s="780"/>
      <c r="P1400" s="777"/>
      <c r="Q1400" s="781"/>
      <c r="R1400" s="782"/>
      <c r="S1400" s="782"/>
      <c r="T1400" s="782"/>
    </row>
    <row r="1401" spans="2:20">
      <c r="B1401" s="1077"/>
      <c r="C1401" s="873"/>
      <c r="D1401" s="874"/>
      <c r="E1401" s="875"/>
      <c r="F1401" s="875"/>
      <c r="G1401" s="876"/>
      <c r="H1401" s="877"/>
      <c r="I1401" s="876"/>
      <c r="J1401" s="875"/>
      <c r="K1401" s="878"/>
      <c r="L1401" s="878"/>
      <c r="M1401" s="878"/>
      <c r="N1401" s="879"/>
      <c r="O1401" s="879"/>
      <c r="P1401" s="876"/>
      <c r="Q1401" s="880"/>
      <c r="R1401" s="881"/>
      <c r="S1401" s="881"/>
      <c r="T1401" s="881"/>
    </row>
    <row r="1402" spans="2:20">
      <c r="B1402" s="1075"/>
      <c r="C1402" s="785"/>
      <c r="D1402" s="786"/>
      <c r="E1402" s="787"/>
      <c r="F1402" s="787"/>
      <c r="G1402" s="788"/>
      <c r="H1402" s="797"/>
      <c r="I1402" s="788"/>
      <c r="J1402" s="787"/>
      <c r="K1402" s="790"/>
      <c r="L1402" s="790"/>
      <c r="M1402" s="790"/>
      <c r="N1402" s="791"/>
      <c r="O1402" s="791"/>
      <c r="P1402" s="788"/>
      <c r="Q1402" s="792"/>
      <c r="R1402" s="793"/>
      <c r="S1402" s="793"/>
      <c r="T1402" s="793"/>
    </row>
    <row r="1403" spans="2:20">
      <c r="B1403" s="1076"/>
      <c r="C1403" s="774"/>
      <c r="D1403" s="775"/>
      <c r="E1403" s="776"/>
      <c r="F1403" s="776"/>
      <c r="G1403" s="777"/>
      <c r="H1403" s="783"/>
      <c r="I1403" s="777"/>
      <c r="J1403" s="776"/>
      <c r="K1403" s="779"/>
      <c r="L1403" s="779"/>
      <c r="M1403" s="779"/>
      <c r="N1403" s="780"/>
      <c r="O1403" s="780"/>
      <c r="P1403" s="777"/>
      <c r="Q1403" s="781"/>
      <c r="R1403" s="782"/>
      <c r="S1403" s="782"/>
      <c r="T1403" s="782"/>
    </row>
    <row r="1404" spans="2:20">
      <c r="B1404" s="1076"/>
      <c r="C1404" s="774"/>
      <c r="D1404" s="775"/>
      <c r="E1404" s="776"/>
      <c r="F1404" s="776"/>
      <c r="G1404" s="777"/>
      <c r="H1404" s="783"/>
      <c r="I1404" s="777"/>
      <c r="J1404" s="776"/>
      <c r="K1404" s="779"/>
      <c r="L1404" s="779"/>
      <c r="M1404" s="779"/>
      <c r="N1404" s="780"/>
      <c r="O1404" s="780"/>
      <c r="P1404" s="777"/>
      <c r="Q1404" s="781"/>
      <c r="R1404" s="782"/>
      <c r="S1404" s="782"/>
      <c r="T1404" s="782"/>
    </row>
    <row r="1405" spans="2:20">
      <c r="B1405" s="1076"/>
      <c r="C1405" s="774"/>
      <c r="D1405" s="775"/>
      <c r="E1405" s="776"/>
      <c r="F1405" s="776"/>
      <c r="G1405" s="777"/>
      <c r="H1405" s="783"/>
      <c r="I1405" s="777"/>
      <c r="J1405" s="776"/>
      <c r="K1405" s="779"/>
      <c r="L1405" s="779"/>
      <c r="M1405" s="779"/>
      <c r="N1405" s="780"/>
      <c r="O1405" s="780"/>
      <c r="P1405" s="777"/>
      <c r="Q1405" s="781"/>
      <c r="R1405" s="782"/>
      <c r="S1405" s="782"/>
      <c r="T1405" s="782"/>
    </row>
    <row r="1406" spans="2:20">
      <c r="B1406" s="1076"/>
      <c r="C1406" s="774"/>
      <c r="D1406" s="775"/>
      <c r="E1406" s="776"/>
      <c r="F1406" s="776"/>
      <c r="G1406" s="777"/>
      <c r="H1406" s="783"/>
      <c r="I1406" s="777"/>
      <c r="J1406" s="776"/>
      <c r="K1406" s="779"/>
      <c r="L1406" s="779"/>
      <c r="M1406" s="779"/>
      <c r="N1406" s="780"/>
      <c r="O1406" s="780"/>
      <c r="P1406" s="777"/>
      <c r="Q1406" s="781"/>
      <c r="R1406" s="782"/>
      <c r="S1406" s="782"/>
      <c r="T1406" s="782"/>
    </row>
    <row r="1407" spans="2:20">
      <c r="B1407" s="1076"/>
      <c r="C1407" s="774"/>
      <c r="D1407" s="775"/>
      <c r="E1407" s="776"/>
      <c r="F1407" s="776"/>
      <c r="G1407" s="777"/>
      <c r="H1407" s="783"/>
      <c r="I1407" s="777"/>
      <c r="J1407" s="776"/>
      <c r="K1407" s="779"/>
      <c r="L1407" s="779"/>
      <c r="M1407" s="779"/>
      <c r="N1407" s="780"/>
      <c r="O1407" s="780"/>
      <c r="P1407" s="777"/>
      <c r="Q1407" s="781"/>
      <c r="R1407" s="782"/>
      <c r="S1407" s="782"/>
      <c r="T1407" s="782"/>
    </row>
    <row r="1408" spans="2:20">
      <c r="B1408" s="1076"/>
      <c r="C1408" s="774"/>
      <c r="D1408" s="775"/>
      <c r="E1408" s="776"/>
      <c r="F1408" s="776"/>
      <c r="G1408" s="777"/>
      <c r="H1408" s="783"/>
      <c r="I1408" s="777"/>
      <c r="J1408" s="776"/>
      <c r="K1408" s="779"/>
      <c r="L1408" s="779"/>
      <c r="M1408" s="779"/>
      <c r="N1408" s="780"/>
      <c r="O1408" s="780"/>
      <c r="P1408" s="777"/>
      <c r="Q1408" s="781"/>
      <c r="R1408" s="782"/>
      <c r="S1408" s="782"/>
      <c r="T1408" s="782"/>
    </row>
    <row r="1409" spans="2:20">
      <c r="B1409" s="1076"/>
      <c r="C1409" s="774"/>
      <c r="D1409" s="775"/>
      <c r="E1409" s="776"/>
      <c r="F1409" s="776"/>
      <c r="G1409" s="777"/>
      <c r="H1409" s="783"/>
      <c r="I1409" s="777"/>
      <c r="J1409" s="776"/>
      <c r="K1409" s="779"/>
      <c r="L1409" s="779"/>
      <c r="M1409" s="779"/>
      <c r="N1409" s="780"/>
      <c r="O1409" s="780"/>
      <c r="P1409" s="777"/>
      <c r="Q1409" s="781"/>
      <c r="R1409" s="782"/>
      <c r="S1409" s="782"/>
      <c r="T1409" s="782"/>
    </row>
    <row r="1410" spans="2:20">
      <c r="B1410" s="1076"/>
      <c r="C1410" s="774"/>
      <c r="D1410" s="775"/>
      <c r="E1410" s="776"/>
      <c r="F1410" s="776"/>
      <c r="G1410" s="777"/>
      <c r="H1410" s="783"/>
      <c r="I1410" s="777"/>
      <c r="J1410" s="776"/>
      <c r="K1410" s="779"/>
      <c r="L1410" s="779"/>
      <c r="M1410" s="779"/>
      <c r="N1410" s="780"/>
      <c r="O1410" s="780"/>
      <c r="P1410" s="777"/>
      <c r="Q1410" s="781"/>
      <c r="R1410" s="782"/>
      <c r="S1410" s="782"/>
      <c r="T1410" s="782"/>
    </row>
    <row r="1411" spans="2:20">
      <c r="B1411" s="1077"/>
      <c r="C1411" s="873"/>
      <c r="D1411" s="874"/>
      <c r="E1411" s="875"/>
      <c r="F1411" s="875"/>
      <c r="G1411" s="876"/>
      <c r="H1411" s="877"/>
      <c r="I1411" s="876"/>
      <c r="J1411" s="875"/>
      <c r="K1411" s="878"/>
      <c r="L1411" s="878"/>
      <c r="M1411" s="878"/>
      <c r="N1411" s="879"/>
      <c r="O1411" s="879"/>
      <c r="P1411" s="876"/>
      <c r="Q1411" s="880"/>
      <c r="R1411" s="881"/>
      <c r="S1411" s="881"/>
      <c r="T1411" s="881"/>
    </row>
    <row r="1412" spans="2:20">
      <c r="B1412" s="1075"/>
      <c r="C1412" s="785"/>
      <c r="D1412" s="786"/>
      <c r="E1412" s="787"/>
      <c r="F1412" s="787"/>
      <c r="G1412" s="788"/>
      <c r="H1412" s="797"/>
      <c r="I1412" s="788"/>
      <c r="J1412" s="787"/>
      <c r="K1412" s="790"/>
      <c r="L1412" s="790"/>
      <c r="M1412" s="790"/>
      <c r="N1412" s="791"/>
      <c r="O1412" s="791"/>
      <c r="P1412" s="788"/>
      <c r="Q1412" s="792"/>
      <c r="R1412" s="793"/>
      <c r="S1412" s="793"/>
      <c r="T1412" s="793"/>
    </row>
    <row r="1413" spans="2:20">
      <c r="B1413" s="1076"/>
      <c r="C1413" s="774"/>
      <c r="D1413" s="775"/>
      <c r="E1413" s="776"/>
      <c r="F1413" s="776"/>
      <c r="G1413" s="777"/>
      <c r="H1413" s="783"/>
      <c r="I1413" s="777"/>
      <c r="J1413" s="776"/>
      <c r="K1413" s="779"/>
      <c r="L1413" s="779"/>
      <c r="M1413" s="779"/>
      <c r="N1413" s="780"/>
      <c r="O1413" s="780"/>
      <c r="P1413" s="777"/>
      <c r="Q1413" s="781"/>
      <c r="R1413" s="782"/>
      <c r="S1413" s="782"/>
      <c r="T1413" s="782"/>
    </row>
    <row r="1414" spans="2:20">
      <c r="B1414" s="1076"/>
      <c r="C1414" s="774"/>
      <c r="D1414" s="775"/>
      <c r="E1414" s="776"/>
      <c r="F1414" s="776"/>
      <c r="G1414" s="777"/>
      <c r="H1414" s="783"/>
      <c r="I1414" s="777"/>
      <c r="J1414" s="776"/>
      <c r="K1414" s="779"/>
      <c r="L1414" s="779"/>
      <c r="M1414" s="779"/>
      <c r="N1414" s="780"/>
      <c r="O1414" s="780"/>
      <c r="P1414" s="777"/>
      <c r="Q1414" s="781"/>
      <c r="R1414" s="782"/>
      <c r="S1414" s="782"/>
      <c r="T1414" s="782"/>
    </row>
    <row r="1415" spans="2:20">
      <c r="B1415" s="1076"/>
      <c r="C1415" s="774"/>
      <c r="D1415" s="775"/>
      <c r="E1415" s="776"/>
      <c r="F1415" s="776"/>
      <c r="G1415" s="777"/>
      <c r="H1415" s="783"/>
      <c r="I1415" s="777"/>
      <c r="J1415" s="776"/>
      <c r="K1415" s="779"/>
      <c r="L1415" s="779"/>
      <c r="M1415" s="779"/>
      <c r="N1415" s="780"/>
      <c r="O1415" s="780"/>
      <c r="P1415" s="777"/>
      <c r="Q1415" s="781"/>
      <c r="R1415" s="782"/>
      <c r="S1415" s="782"/>
      <c r="T1415" s="782"/>
    </row>
    <row r="1416" spans="2:20">
      <c r="B1416" s="1076"/>
      <c r="C1416" s="774"/>
      <c r="D1416" s="775"/>
      <c r="E1416" s="776"/>
      <c r="F1416" s="776"/>
      <c r="G1416" s="777"/>
      <c r="H1416" s="783"/>
      <c r="I1416" s="777"/>
      <c r="J1416" s="776"/>
      <c r="K1416" s="779"/>
      <c r="L1416" s="779"/>
      <c r="M1416" s="779"/>
      <c r="N1416" s="780"/>
      <c r="O1416" s="780"/>
      <c r="P1416" s="777"/>
      <c r="Q1416" s="781"/>
      <c r="R1416" s="782"/>
      <c r="S1416" s="782"/>
      <c r="T1416" s="782"/>
    </row>
    <row r="1417" spans="2:20">
      <c r="B1417" s="1076"/>
      <c r="C1417" s="774"/>
      <c r="D1417" s="775"/>
      <c r="E1417" s="776"/>
      <c r="F1417" s="776"/>
      <c r="G1417" s="777"/>
      <c r="H1417" s="783"/>
      <c r="I1417" s="777"/>
      <c r="J1417" s="776"/>
      <c r="K1417" s="779"/>
      <c r="L1417" s="779"/>
      <c r="M1417" s="779"/>
      <c r="N1417" s="780"/>
      <c r="O1417" s="780"/>
      <c r="P1417" s="777"/>
      <c r="Q1417" s="781"/>
      <c r="R1417" s="782"/>
      <c r="S1417" s="782"/>
      <c r="T1417" s="782"/>
    </row>
    <row r="1418" spans="2:20">
      <c r="B1418" s="1076"/>
      <c r="C1418" s="774"/>
      <c r="D1418" s="775"/>
      <c r="E1418" s="776"/>
      <c r="F1418" s="776"/>
      <c r="G1418" s="777"/>
      <c r="H1418" s="783"/>
      <c r="I1418" s="777"/>
      <c r="J1418" s="776"/>
      <c r="K1418" s="779"/>
      <c r="L1418" s="779"/>
      <c r="M1418" s="779"/>
      <c r="N1418" s="780"/>
      <c r="O1418" s="780"/>
      <c r="P1418" s="777"/>
      <c r="Q1418" s="781"/>
      <c r="R1418" s="782"/>
      <c r="S1418" s="782"/>
      <c r="T1418" s="782"/>
    </row>
    <row r="1419" spans="2:20">
      <c r="B1419" s="1076"/>
      <c r="C1419" s="774"/>
      <c r="D1419" s="775"/>
      <c r="E1419" s="776"/>
      <c r="F1419" s="776"/>
      <c r="G1419" s="777"/>
      <c r="H1419" s="783"/>
      <c r="I1419" s="777"/>
      <c r="J1419" s="776"/>
      <c r="K1419" s="779"/>
      <c r="L1419" s="779"/>
      <c r="M1419" s="779"/>
      <c r="N1419" s="780"/>
      <c r="O1419" s="780"/>
      <c r="P1419" s="777"/>
      <c r="Q1419" s="781"/>
      <c r="R1419" s="782"/>
      <c r="S1419" s="782"/>
      <c r="T1419" s="782"/>
    </row>
    <row r="1420" spans="2:20">
      <c r="B1420" s="1076"/>
      <c r="C1420" s="774"/>
      <c r="D1420" s="775"/>
      <c r="E1420" s="776"/>
      <c r="F1420" s="776"/>
      <c r="G1420" s="777"/>
      <c r="H1420" s="783"/>
      <c r="I1420" s="777"/>
      <c r="J1420" s="776"/>
      <c r="K1420" s="779"/>
      <c r="L1420" s="779"/>
      <c r="M1420" s="779"/>
      <c r="N1420" s="780"/>
      <c r="O1420" s="780"/>
      <c r="P1420" s="777"/>
      <c r="Q1420" s="781"/>
      <c r="R1420" s="782"/>
      <c r="S1420" s="782"/>
      <c r="T1420" s="782"/>
    </row>
    <row r="1421" spans="2:20">
      <c r="B1421" s="1077"/>
      <c r="C1421" s="873"/>
      <c r="D1421" s="874"/>
      <c r="E1421" s="875"/>
      <c r="F1421" s="875"/>
      <c r="G1421" s="876"/>
      <c r="H1421" s="877"/>
      <c r="I1421" s="876"/>
      <c r="J1421" s="875"/>
      <c r="K1421" s="878"/>
      <c r="L1421" s="878"/>
      <c r="M1421" s="878"/>
      <c r="N1421" s="879"/>
      <c r="O1421" s="879"/>
      <c r="P1421" s="876"/>
      <c r="Q1421" s="880"/>
      <c r="R1421" s="881"/>
      <c r="S1421" s="881"/>
      <c r="T1421" s="881"/>
    </row>
    <row r="1422" spans="2:20">
      <c r="B1422" s="1076"/>
      <c r="C1422" s="774"/>
      <c r="D1422" s="775"/>
      <c r="E1422" s="776"/>
      <c r="F1422" s="776"/>
      <c r="G1422" s="777"/>
      <c r="H1422" s="783"/>
      <c r="I1422" s="777"/>
      <c r="J1422" s="776"/>
      <c r="K1422" s="779"/>
      <c r="L1422" s="779"/>
      <c r="M1422" s="779"/>
      <c r="N1422" s="780"/>
      <c r="O1422" s="780"/>
      <c r="P1422" s="777"/>
      <c r="Q1422" s="781"/>
      <c r="R1422" s="782"/>
      <c r="S1422" s="782"/>
      <c r="T1422" s="782"/>
    </row>
    <row r="1423" spans="2:20">
      <c r="B1423" s="1076"/>
      <c r="C1423" s="774"/>
      <c r="D1423" s="775"/>
      <c r="E1423" s="776"/>
      <c r="F1423" s="776"/>
      <c r="G1423" s="777"/>
      <c r="H1423" s="783"/>
      <c r="I1423" s="777"/>
      <c r="J1423" s="776"/>
      <c r="K1423" s="779"/>
      <c r="L1423" s="779"/>
      <c r="M1423" s="779"/>
      <c r="N1423" s="780"/>
      <c r="O1423" s="780"/>
      <c r="P1423" s="777"/>
      <c r="Q1423" s="781"/>
      <c r="R1423" s="782"/>
      <c r="S1423" s="782"/>
      <c r="T1423" s="782"/>
    </row>
    <row r="1424" spans="2:20">
      <c r="B1424" s="1076"/>
      <c r="C1424" s="774"/>
      <c r="D1424" s="775"/>
      <c r="E1424" s="776"/>
      <c r="F1424" s="776"/>
      <c r="G1424" s="777"/>
      <c r="H1424" s="783"/>
      <c r="I1424" s="777"/>
      <c r="J1424" s="776"/>
      <c r="K1424" s="779"/>
      <c r="L1424" s="779"/>
      <c r="M1424" s="779"/>
      <c r="N1424" s="780"/>
      <c r="O1424" s="780"/>
      <c r="P1424" s="777"/>
      <c r="Q1424" s="781"/>
      <c r="R1424" s="782"/>
      <c r="S1424" s="782"/>
      <c r="T1424" s="782"/>
    </row>
    <row r="1425" spans="2:20">
      <c r="B1425" s="1076"/>
      <c r="C1425" s="774"/>
      <c r="D1425" s="775"/>
      <c r="E1425" s="776"/>
      <c r="F1425" s="776"/>
      <c r="G1425" s="777"/>
      <c r="H1425" s="783"/>
      <c r="I1425" s="777"/>
      <c r="J1425" s="776"/>
      <c r="K1425" s="779"/>
      <c r="L1425" s="779"/>
      <c r="M1425" s="779"/>
      <c r="N1425" s="780"/>
      <c r="O1425" s="780"/>
      <c r="P1425" s="777"/>
      <c r="Q1425" s="781"/>
      <c r="R1425" s="782"/>
      <c r="S1425" s="782"/>
      <c r="T1425" s="782"/>
    </row>
    <row r="1426" spans="2:20">
      <c r="B1426" s="1076"/>
      <c r="C1426" s="774"/>
      <c r="D1426" s="775"/>
      <c r="E1426" s="776"/>
      <c r="F1426" s="776"/>
      <c r="G1426" s="777"/>
      <c r="H1426" s="783"/>
      <c r="I1426" s="777"/>
      <c r="J1426" s="776"/>
      <c r="K1426" s="779"/>
      <c r="L1426" s="779"/>
      <c r="M1426" s="779"/>
      <c r="N1426" s="780"/>
      <c r="O1426" s="780"/>
      <c r="P1426" s="777"/>
      <c r="Q1426" s="781"/>
      <c r="R1426" s="782"/>
      <c r="S1426" s="782"/>
      <c r="T1426" s="782"/>
    </row>
    <row r="1427" spans="2:20">
      <c r="B1427" s="1076"/>
      <c r="C1427" s="774"/>
      <c r="D1427" s="775"/>
      <c r="E1427" s="776"/>
      <c r="F1427" s="776"/>
      <c r="G1427" s="777"/>
      <c r="H1427" s="783"/>
      <c r="I1427" s="777"/>
      <c r="J1427" s="776"/>
      <c r="K1427" s="779"/>
      <c r="L1427" s="779"/>
      <c r="M1427" s="779"/>
      <c r="N1427" s="780"/>
      <c r="O1427" s="780"/>
      <c r="P1427" s="777"/>
      <c r="Q1427" s="781"/>
      <c r="R1427" s="782"/>
      <c r="S1427" s="782"/>
      <c r="T1427" s="782"/>
    </row>
    <row r="1428" spans="2:20">
      <c r="B1428" s="1076"/>
      <c r="C1428" s="774"/>
      <c r="D1428" s="775"/>
      <c r="E1428" s="776"/>
      <c r="F1428" s="776"/>
      <c r="G1428" s="777"/>
      <c r="H1428" s="783"/>
      <c r="I1428" s="777"/>
      <c r="J1428" s="776"/>
      <c r="K1428" s="779"/>
      <c r="L1428" s="779"/>
      <c r="M1428" s="779"/>
      <c r="N1428" s="780"/>
      <c r="O1428" s="780"/>
      <c r="P1428" s="777"/>
      <c r="Q1428" s="781"/>
      <c r="R1428" s="782"/>
      <c r="S1428" s="782"/>
      <c r="T1428" s="782"/>
    </row>
    <row r="1429" spans="2:20">
      <c r="B1429" s="1076"/>
      <c r="C1429" s="774"/>
      <c r="D1429" s="775"/>
      <c r="E1429" s="776"/>
      <c r="F1429" s="776"/>
      <c r="G1429" s="777"/>
      <c r="H1429" s="783"/>
      <c r="I1429" s="777"/>
      <c r="J1429" s="776"/>
      <c r="K1429" s="779"/>
      <c r="L1429" s="779"/>
      <c r="M1429" s="779"/>
      <c r="N1429" s="780"/>
      <c r="O1429" s="780"/>
      <c r="P1429" s="777"/>
      <c r="Q1429" s="781"/>
      <c r="R1429" s="782"/>
      <c r="S1429" s="782"/>
      <c r="T1429" s="782"/>
    </row>
    <row r="1430" spans="2:20">
      <c r="B1430" s="1076"/>
      <c r="C1430" s="774"/>
      <c r="D1430" s="775"/>
      <c r="E1430" s="776"/>
      <c r="F1430" s="776"/>
      <c r="G1430" s="777"/>
      <c r="H1430" s="783"/>
      <c r="I1430" s="777"/>
      <c r="J1430" s="776"/>
      <c r="K1430" s="779"/>
      <c r="L1430" s="779"/>
      <c r="M1430" s="779"/>
      <c r="N1430" s="780"/>
      <c r="O1430" s="780"/>
      <c r="P1430" s="777"/>
      <c r="Q1430" s="781"/>
      <c r="R1430" s="782"/>
      <c r="S1430" s="782"/>
      <c r="T1430" s="782"/>
    </row>
    <row r="1431" spans="2:20">
      <c r="B1431" s="1076"/>
      <c r="C1431" s="774"/>
      <c r="D1431" s="775"/>
      <c r="E1431" s="776"/>
      <c r="F1431" s="776"/>
      <c r="G1431" s="777"/>
      <c r="H1431" s="783"/>
      <c r="I1431" s="777"/>
      <c r="J1431" s="776"/>
      <c r="K1431" s="779"/>
      <c r="L1431" s="779"/>
      <c r="M1431" s="779"/>
      <c r="N1431" s="780"/>
      <c r="O1431" s="780"/>
      <c r="P1431" s="777"/>
      <c r="Q1431" s="781"/>
      <c r="R1431" s="782"/>
      <c r="S1431" s="782"/>
      <c r="T1431" s="782"/>
    </row>
    <row r="1432" spans="2:20">
      <c r="B1432" s="1078"/>
      <c r="C1432" s="1079"/>
      <c r="D1432" s="1080" t="s">
        <v>6087</v>
      </c>
      <c r="E1432" s="1078"/>
      <c r="F1432" s="1078"/>
      <c r="G1432" s="1078"/>
      <c r="H1432" s="1081"/>
      <c r="I1432" s="1078"/>
      <c r="J1432" s="1078"/>
      <c r="K1432" s="864"/>
      <c r="L1432" s="865"/>
      <c r="M1432" s="865"/>
      <c r="N1432" s="866"/>
      <c r="O1432" s="867"/>
      <c r="P1432" s="868"/>
      <c r="Q1432" s="869"/>
      <c r="R1432" s="870"/>
      <c r="S1432" s="870"/>
      <c r="T1432" s="870"/>
    </row>
    <row r="1433" spans="2:20">
      <c r="B1433" s="1075"/>
      <c r="C1433" s="785"/>
      <c r="D1433" s="786"/>
      <c r="E1433" s="787"/>
      <c r="F1433" s="787"/>
      <c r="G1433" s="788"/>
      <c r="H1433" s="797"/>
      <c r="I1433" s="788"/>
      <c r="J1433" s="787"/>
      <c r="K1433" s="790"/>
      <c r="L1433" s="790"/>
      <c r="M1433" s="790"/>
      <c r="N1433" s="791"/>
      <c r="O1433" s="791"/>
      <c r="P1433" s="788"/>
      <c r="Q1433" s="792"/>
      <c r="R1433" s="793"/>
      <c r="S1433" s="793"/>
      <c r="T1433" s="793"/>
    </row>
    <row r="1434" spans="2:20">
      <c r="B1434" s="1076"/>
      <c r="C1434" s="774"/>
      <c r="D1434" s="775"/>
      <c r="E1434" s="776"/>
      <c r="F1434" s="776"/>
      <c r="G1434" s="777"/>
      <c r="H1434" s="783"/>
      <c r="I1434" s="777"/>
      <c r="J1434" s="776"/>
      <c r="K1434" s="779"/>
      <c r="L1434" s="779"/>
      <c r="M1434" s="779"/>
      <c r="N1434" s="780"/>
      <c r="O1434" s="780"/>
      <c r="P1434" s="777"/>
      <c r="Q1434" s="781"/>
      <c r="R1434" s="782"/>
      <c r="S1434" s="782"/>
      <c r="T1434" s="782"/>
    </row>
    <row r="1435" spans="2:20">
      <c r="B1435" s="1076"/>
      <c r="C1435" s="774"/>
      <c r="D1435" s="775"/>
      <c r="E1435" s="776"/>
      <c r="F1435" s="776"/>
      <c r="G1435" s="777"/>
      <c r="H1435" s="783"/>
      <c r="I1435" s="777"/>
      <c r="J1435" s="776"/>
      <c r="K1435" s="779"/>
      <c r="L1435" s="779"/>
      <c r="M1435" s="779"/>
      <c r="N1435" s="780"/>
      <c r="O1435" s="780"/>
      <c r="P1435" s="777"/>
      <c r="Q1435" s="781"/>
      <c r="R1435" s="782"/>
      <c r="S1435" s="782"/>
      <c r="T1435" s="782"/>
    </row>
    <row r="1436" spans="2:20">
      <c r="B1436" s="1076"/>
      <c r="C1436" s="774"/>
      <c r="D1436" s="775"/>
      <c r="E1436" s="776"/>
      <c r="F1436" s="776"/>
      <c r="G1436" s="777"/>
      <c r="H1436" s="783"/>
      <c r="I1436" s="777"/>
      <c r="J1436" s="776"/>
      <c r="K1436" s="779"/>
      <c r="L1436" s="779"/>
      <c r="M1436" s="779"/>
      <c r="N1436" s="780"/>
      <c r="O1436" s="780"/>
      <c r="P1436" s="777"/>
      <c r="Q1436" s="781"/>
      <c r="R1436" s="782"/>
      <c r="S1436" s="782"/>
      <c r="T1436" s="782"/>
    </row>
    <row r="1437" spans="2:20">
      <c r="B1437" s="1076"/>
      <c r="C1437" s="774"/>
      <c r="D1437" s="775"/>
      <c r="E1437" s="776"/>
      <c r="F1437" s="776"/>
      <c r="G1437" s="777"/>
      <c r="H1437" s="783"/>
      <c r="I1437" s="777"/>
      <c r="J1437" s="776"/>
      <c r="K1437" s="779"/>
      <c r="L1437" s="779"/>
      <c r="M1437" s="779"/>
      <c r="N1437" s="780"/>
      <c r="O1437" s="780"/>
      <c r="P1437" s="777"/>
      <c r="Q1437" s="781"/>
      <c r="R1437" s="782"/>
      <c r="S1437" s="782"/>
      <c r="T1437" s="782"/>
    </row>
    <row r="1438" spans="2:20">
      <c r="B1438" s="1076"/>
      <c r="C1438" s="774"/>
      <c r="D1438" s="775"/>
      <c r="E1438" s="776"/>
      <c r="F1438" s="776"/>
      <c r="G1438" s="777"/>
      <c r="H1438" s="783"/>
      <c r="I1438" s="777"/>
      <c r="J1438" s="776"/>
      <c r="K1438" s="779"/>
      <c r="L1438" s="779"/>
      <c r="M1438" s="779"/>
      <c r="N1438" s="780"/>
      <c r="O1438" s="780"/>
      <c r="P1438" s="777"/>
      <c r="Q1438" s="781"/>
      <c r="R1438" s="782"/>
      <c r="S1438" s="782"/>
      <c r="T1438" s="782"/>
    </row>
    <row r="1439" spans="2:20">
      <c r="B1439" s="1076"/>
      <c r="C1439" s="774"/>
      <c r="D1439" s="775"/>
      <c r="E1439" s="776"/>
      <c r="F1439" s="776"/>
      <c r="G1439" s="777"/>
      <c r="H1439" s="783"/>
      <c r="I1439" s="777"/>
      <c r="J1439" s="776"/>
      <c r="K1439" s="779"/>
      <c r="L1439" s="779"/>
      <c r="M1439" s="779"/>
      <c r="N1439" s="780"/>
      <c r="O1439" s="780"/>
      <c r="P1439" s="777"/>
      <c r="Q1439" s="781"/>
      <c r="R1439" s="782"/>
      <c r="S1439" s="782"/>
      <c r="T1439" s="782"/>
    </row>
    <row r="1440" spans="2:20">
      <c r="B1440" s="1076"/>
      <c r="C1440" s="774"/>
      <c r="D1440" s="775"/>
      <c r="E1440" s="776"/>
      <c r="F1440" s="776"/>
      <c r="G1440" s="777"/>
      <c r="H1440" s="783"/>
      <c r="I1440" s="777"/>
      <c r="J1440" s="776"/>
      <c r="K1440" s="779"/>
      <c r="L1440" s="779"/>
      <c r="M1440" s="779"/>
      <c r="N1440" s="780"/>
      <c r="O1440" s="780"/>
      <c r="P1440" s="777"/>
      <c r="Q1440" s="781"/>
      <c r="R1440" s="782"/>
      <c r="S1440" s="782"/>
      <c r="T1440" s="782"/>
    </row>
    <row r="1441" spans="2:20">
      <c r="B1441" s="1076"/>
      <c r="C1441" s="774"/>
      <c r="D1441" s="775"/>
      <c r="E1441" s="776"/>
      <c r="F1441" s="776"/>
      <c r="G1441" s="777"/>
      <c r="H1441" s="783"/>
      <c r="I1441" s="777"/>
      <c r="J1441" s="776"/>
      <c r="K1441" s="779"/>
      <c r="L1441" s="779"/>
      <c r="M1441" s="779"/>
      <c r="N1441" s="780"/>
      <c r="O1441" s="780"/>
      <c r="P1441" s="777"/>
      <c r="Q1441" s="781"/>
      <c r="R1441" s="782"/>
      <c r="S1441" s="782"/>
      <c r="T1441" s="782"/>
    </row>
    <row r="1442" spans="2:20">
      <c r="B1442" s="1077"/>
      <c r="C1442" s="873"/>
      <c r="D1442" s="874"/>
      <c r="E1442" s="875"/>
      <c r="F1442" s="875"/>
      <c r="G1442" s="876"/>
      <c r="H1442" s="877"/>
      <c r="I1442" s="876"/>
      <c r="J1442" s="875"/>
      <c r="K1442" s="878"/>
      <c r="L1442" s="878"/>
      <c r="M1442" s="878"/>
      <c r="N1442" s="879"/>
      <c r="O1442" s="879"/>
      <c r="P1442" s="876"/>
      <c r="Q1442" s="880"/>
      <c r="R1442" s="881"/>
      <c r="S1442" s="881"/>
      <c r="T1442" s="881"/>
    </row>
    <row r="1443" spans="2:20">
      <c r="B1443" s="1075"/>
      <c r="C1443" s="785"/>
      <c r="D1443" s="786"/>
      <c r="E1443" s="787"/>
      <c r="F1443" s="787"/>
      <c r="G1443" s="788"/>
      <c r="H1443" s="797"/>
      <c r="I1443" s="788"/>
      <c r="J1443" s="787"/>
      <c r="K1443" s="790"/>
      <c r="L1443" s="790"/>
      <c r="M1443" s="790"/>
      <c r="N1443" s="791"/>
      <c r="O1443" s="791"/>
      <c r="P1443" s="788"/>
      <c r="Q1443" s="792"/>
      <c r="R1443" s="793"/>
      <c r="S1443" s="793"/>
      <c r="T1443" s="793"/>
    </row>
    <row r="1444" spans="2:20">
      <c r="B1444" s="1076"/>
      <c r="C1444" s="774"/>
      <c r="D1444" s="775"/>
      <c r="E1444" s="776"/>
      <c r="F1444" s="776"/>
      <c r="G1444" s="777"/>
      <c r="H1444" s="783"/>
      <c r="I1444" s="777"/>
      <c r="J1444" s="776"/>
      <c r="K1444" s="779"/>
      <c r="L1444" s="779"/>
      <c r="M1444" s="779"/>
      <c r="N1444" s="780"/>
      <c r="O1444" s="780"/>
      <c r="P1444" s="777"/>
      <c r="Q1444" s="781"/>
      <c r="R1444" s="782"/>
      <c r="S1444" s="782"/>
      <c r="T1444" s="782"/>
    </row>
    <row r="1445" spans="2:20">
      <c r="B1445" s="1076"/>
      <c r="C1445" s="774"/>
      <c r="D1445" s="775"/>
      <c r="E1445" s="776"/>
      <c r="F1445" s="776"/>
      <c r="G1445" s="777"/>
      <c r="H1445" s="783"/>
      <c r="I1445" s="777"/>
      <c r="J1445" s="776"/>
      <c r="K1445" s="779"/>
      <c r="L1445" s="779"/>
      <c r="M1445" s="779"/>
      <c r="N1445" s="780"/>
      <c r="O1445" s="780"/>
      <c r="P1445" s="777"/>
      <c r="Q1445" s="781"/>
      <c r="R1445" s="782"/>
      <c r="S1445" s="782"/>
      <c r="T1445" s="782"/>
    </row>
    <row r="1446" spans="2:20">
      <c r="B1446" s="1076"/>
      <c r="C1446" s="774"/>
      <c r="D1446" s="775"/>
      <c r="E1446" s="776"/>
      <c r="F1446" s="776"/>
      <c r="G1446" s="777"/>
      <c r="H1446" s="783"/>
      <c r="I1446" s="777"/>
      <c r="J1446" s="776"/>
      <c r="K1446" s="779"/>
      <c r="L1446" s="779"/>
      <c r="M1446" s="779"/>
      <c r="N1446" s="780"/>
      <c r="O1446" s="780"/>
      <c r="P1446" s="777"/>
      <c r="Q1446" s="781"/>
      <c r="R1446" s="782"/>
      <c r="S1446" s="782"/>
      <c r="T1446" s="782"/>
    </row>
    <row r="1447" spans="2:20">
      <c r="B1447" s="1076"/>
      <c r="C1447" s="774"/>
      <c r="D1447" s="775"/>
      <c r="E1447" s="776"/>
      <c r="F1447" s="776"/>
      <c r="G1447" s="777"/>
      <c r="H1447" s="783"/>
      <c r="I1447" s="777"/>
      <c r="J1447" s="776"/>
      <c r="K1447" s="779"/>
      <c r="L1447" s="779"/>
      <c r="M1447" s="779"/>
      <c r="N1447" s="780"/>
      <c r="O1447" s="780"/>
      <c r="P1447" s="777"/>
      <c r="Q1447" s="781"/>
      <c r="R1447" s="782"/>
      <c r="S1447" s="782"/>
      <c r="T1447" s="782"/>
    </row>
    <row r="1448" spans="2:20">
      <c r="B1448" s="1076"/>
      <c r="C1448" s="774"/>
      <c r="D1448" s="775"/>
      <c r="E1448" s="776"/>
      <c r="F1448" s="776"/>
      <c r="G1448" s="777"/>
      <c r="H1448" s="783"/>
      <c r="I1448" s="777"/>
      <c r="J1448" s="776"/>
      <c r="K1448" s="779"/>
      <c r="L1448" s="779"/>
      <c r="M1448" s="779"/>
      <c r="N1448" s="780"/>
      <c r="O1448" s="780"/>
      <c r="P1448" s="777"/>
      <c r="Q1448" s="781"/>
      <c r="R1448" s="782"/>
      <c r="S1448" s="782"/>
      <c r="T1448" s="782"/>
    </row>
    <row r="1449" spans="2:20">
      <c r="B1449" s="1076"/>
      <c r="C1449" s="774"/>
      <c r="D1449" s="775"/>
      <c r="E1449" s="776"/>
      <c r="F1449" s="776"/>
      <c r="G1449" s="777"/>
      <c r="H1449" s="783"/>
      <c r="I1449" s="777"/>
      <c r="J1449" s="776"/>
      <c r="K1449" s="779"/>
      <c r="L1449" s="779"/>
      <c r="M1449" s="779"/>
      <c r="N1449" s="780"/>
      <c r="O1449" s="780"/>
      <c r="P1449" s="777"/>
      <c r="Q1449" s="781"/>
      <c r="R1449" s="782"/>
      <c r="S1449" s="782"/>
      <c r="T1449" s="782"/>
    </row>
    <row r="1450" spans="2:20">
      <c r="B1450" s="1076"/>
      <c r="C1450" s="774"/>
      <c r="D1450" s="775"/>
      <c r="E1450" s="776"/>
      <c r="F1450" s="776"/>
      <c r="G1450" s="777"/>
      <c r="H1450" s="783"/>
      <c r="I1450" s="777"/>
      <c r="J1450" s="776"/>
      <c r="K1450" s="779"/>
      <c r="L1450" s="779"/>
      <c r="M1450" s="779"/>
      <c r="N1450" s="780"/>
      <c r="O1450" s="780"/>
      <c r="P1450" s="777"/>
      <c r="Q1450" s="781"/>
      <c r="R1450" s="782"/>
      <c r="S1450" s="782"/>
      <c r="T1450" s="782"/>
    </row>
    <row r="1451" spans="2:20">
      <c r="B1451" s="1076"/>
      <c r="C1451" s="774"/>
      <c r="D1451" s="775"/>
      <c r="E1451" s="776"/>
      <c r="F1451" s="776"/>
      <c r="G1451" s="777"/>
      <c r="H1451" s="783"/>
      <c r="I1451" s="777"/>
      <c r="J1451" s="776"/>
      <c r="K1451" s="779"/>
      <c r="L1451" s="779"/>
      <c r="M1451" s="779"/>
      <c r="N1451" s="780"/>
      <c r="O1451" s="780"/>
      <c r="P1451" s="777"/>
      <c r="Q1451" s="781"/>
      <c r="R1451" s="782"/>
      <c r="S1451" s="782"/>
      <c r="T1451" s="782"/>
    </row>
    <row r="1452" spans="2:20">
      <c r="B1452" s="1077"/>
      <c r="C1452" s="873"/>
      <c r="D1452" s="874"/>
      <c r="E1452" s="875"/>
      <c r="F1452" s="875"/>
      <c r="G1452" s="876"/>
      <c r="H1452" s="877"/>
      <c r="I1452" s="876"/>
      <c r="J1452" s="875"/>
      <c r="K1452" s="878"/>
      <c r="L1452" s="878"/>
      <c r="M1452" s="878"/>
      <c r="N1452" s="879"/>
      <c r="O1452" s="879"/>
      <c r="P1452" s="876"/>
      <c r="Q1452" s="880"/>
      <c r="R1452" s="881"/>
      <c r="S1452" s="881"/>
      <c r="T1452" s="881"/>
    </row>
    <row r="1453" spans="2:20">
      <c r="B1453" s="1075"/>
      <c r="C1453" s="785"/>
      <c r="D1453" s="786"/>
      <c r="E1453" s="787"/>
      <c r="F1453" s="787"/>
      <c r="G1453" s="788"/>
      <c r="H1453" s="797"/>
      <c r="I1453" s="788"/>
      <c r="J1453" s="787"/>
      <c r="K1453" s="790"/>
      <c r="L1453" s="790"/>
      <c r="M1453" s="790"/>
      <c r="N1453" s="791"/>
      <c r="O1453" s="791"/>
      <c r="P1453" s="788"/>
      <c r="Q1453" s="792"/>
      <c r="R1453" s="793"/>
      <c r="S1453" s="793"/>
      <c r="T1453" s="793"/>
    </row>
    <row r="1454" spans="2:20">
      <c r="B1454" s="1076"/>
      <c r="C1454" s="774"/>
      <c r="D1454" s="775"/>
      <c r="E1454" s="776"/>
      <c r="F1454" s="776"/>
      <c r="G1454" s="777"/>
      <c r="H1454" s="783"/>
      <c r="I1454" s="777"/>
      <c r="J1454" s="776"/>
      <c r="K1454" s="779"/>
      <c r="L1454" s="779"/>
      <c r="M1454" s="779"/>
      <c r="N1454" s="780"/>
      <c r="O1454" s="780"/>
      <c r="P1454" s="777"/>
      <c r="Q1454" s="781"/>
      <c r="R1454" s="782"/>
      <c r="S1454" s="782"/>
      <c r="T1454" s="782"/>
    </row>
    <row r="1455" spans="2:20">
      <c r="B1455" s="1076"/>
      <c r="C1455" s="774"/>
      <c r="D1455" s="775"/>
      <c r="E1455" s="776"/>
      <c r="F1455" s="776"/>
      <c r="G1455" s="777"/>
      <c r="H1455" s="783"/>
      <c r="I1455" s="777"/>
      <c r="J1455" s="776"/>
      <c r="K1455" s="779"/>
      <c r="L1455" s="779"/>
      <c r="M1455" s="779"/>
      <c r="N1455" s="780"/>
      <c r="O1455" s="780"/>
      <c r="P1455" s="777"/>
      <c r="Q1455" s="781"/>
      <c r="R1455" s="782"/>
      <c r="S1455" s="782"/>
      <c r="T1455" s="782"/>
    </row>
    <row r="1456" spans="2:20">
      <c r="B1456" s="1076"/>
      <c r="C1456" s="774"/>
      <c r="D1456" s="775"/>
      <c r="E1456" s="776"/>
      <c r="F1456" s="776"/>
      <c r="G1456" s="777"/>
      <c r="H1456" s="783"/>
      <c r="I1456" s="777"/>
      <c r="J1456" s="776"/>
      <c r="K1456" s="779"/>
      <c r="L1456" s="779"/>
      <c r="M1456" s="779"/>
      <c r="N1456" s="780"/>
      <c r="O1456" s="780"/>
      <c r="P1456" s="777"/>
      <c r="Q1456" s="781"/>
      <c r="R1456" s="782"/>
      <c r="S1456" s="782"/>
      <c r="T1456" s="782"/>
    </row>
    <row r="1457" spans="2:20">
      <c r="B1457" s="1076"/>
      <c r="C1457" s="774"/>
      <c r="D1457" s="775"/>
      <c r="E1457" s="776"/>
      <c r="F1457" s="776"/>
      <c r="G1457" s="777"/>
      <c r="H1457" s="783"/>
      <c r="I1457" s="777"/>
      <c r="J1457" s="776"/>
      <c r="K1457" s="779"/>
      <c r="L1457" s="779"/>
      <c r="M1457" s="779"/>
      <c r="N1457" s="780"/>
      <c r="O1457" s="780"/>
      <c r="P1457" s="777"/>
      <c r="Q1457" s="781"/>
      <c r="R1457" s="782"/>
      <c r="S1457" s="782"/>
      <c r="T1457" s="782"/>
    </row>
    <row r="1458" spans="2:20">
      <c r="B1458" s="1076"/>
      <c r="C1458" s="774"/>
      <c r="D1458" s="775"/>
      <c r="E1458" s="776"/>
      <c r="F1458" s="776"/>
      <c r="G1458" s="777"/>
      <c r="H1458" s="783"/>
      <c r="I1458" s="777"/>
      <c r="J1458" s="776"/>
      <c r="K1458" s="779"/>
      <c r="L1458" s="779"/>
      <c r="M1458" s="779"/>
      <c r="N1458" s="780"/>
      <c r="O1458" s="780"/>
      <c r="P1458" s="777"/>
      <c r="Q1458" s="781"/>
      <c r="R1458" s="782"/>
      <c r="S1458" s="782"/>
      <c r="T1458" s="782"/>
    </row>
    <row r="1459" spans="2:20">
      <c r="B1459" s="1076"/>
      <c r="C1459" s="774"/>
      <c r="D1459" s="775"/>
      <c r="E1459" s="776"/>
      <c r="F1459" s="776"/>
      <c r="G1459" s="777"/>
      <c r="H1459" s="783"/>
      <c r="I1459" s="777"/>
      <c r="J1459" s="776"/>
      <c r="K1459" s="779"/>
      <c r="L1459" s="779"/>
      <c r="M1459" s="779"/>
      <c r="N1459" s="780"/>
      <c r="O1459" s="780"/>
      <c r="P1459" s="777"/>
      <c r="Q1459" s="781"/>
      <c r="R1459" s="782"/>
      <c r="S1459" s="782"/>
      <c r="T1459" s="782"/>
    </row>
    <row r="1460" spans="2:20">
      <c r="B1460" s="1076"/>
      <c r="C1460" s="774"/>
      <c r="D1460" s="775"/>
      <c r="E1460" s="776"/>
      <c r="F1460" s="776"/>
      <c r="G1460" s="777"/>
      <c r="H1460" s="783"/>
      <c r="I1460" s="777"/>
      <c r="J1460" s="776"/>
      <c r="K1460" s="779"/>
      <c r="L1460" s="779"/>
      <c r="M1460" s="779"/>
      <c r="N1460" s="780"/>
      <c r="O1460" s="780"/>
      <c r="P1460" s="777"/>
      <c r="Q1460" s="781"/>
      <c r="R1460" s="782"/>
      <c r="S1460" s="782"/>
      <c r="T1460" s="782"/>
    </row>
    <row r="1461" spans="2:20">
      <c r="B1461" s="1076"/>
      <c r="C1461" s="774"/>
      <c r="D1461" s="775"/>
      <c r="E1461" s="776"/>
      <c r="F1461" s="776"/>
      <c r="G1461" s="777"/>
      <c r="H1461" s="783"/>
      <c r="I1461" s="777"/>
      <c r="J1461" s="776"/>
      <c r="K1461" s="779"/>
      <c r="L1461" s="779"/>
      <c r="M1461" s="779"/>
      <c r="N1461" s="780"/>
      <c r="O1461" s="780"/>
      <c r="P1461" s="777"/>
      <c r="Q1461" s="781"/>
      <c r="R1461" s="782"/>
      <c r="S1461" s="782"/>
      <c r="T1461" s="782"/>
    </row>
    <row r="1462" spans="2:20">
      <c r="B1462" s="1077"/>
      <c r="C1462" s="873"/>
      <c r="D1462" s="874"/>
      <c r="E1462" s="875"/>
      <c r="F1462" s="875"/>
      <c r="G1462" s="876"/>
      <c r="H1462" s="877"/>
      <c r="I1462" s="876"/>
      <c r="J1462" s="875"/>
      <c r="K1462" s="878"/>
      <c r="L1462" s="878"/>
      <c r="M1462" s="878"/>
      <c r="N1462" s="879"/>
      <c r="O1462" s="879"/>
      <c r="P1462" s="876"/>
      <c r="Q1462" s="880"/>
      <c r="R1462" s="881"/>
      <c r="S1462" s="881"/>
      <c r="T1462" s="881"/>
    </row>
    <row r="1463" spans="2:20">
      <c r="B1463" s="1075"/>
      <c r="C1463" s="785"/>
      <c r="D1463" s="786"/>
      <c r="E1463" s="787"/>
      <c r="F1463" s="787"/>
      <c r="G1463" s="788"/>
      <c r="H1463" s="797"/>
      <c r="I1463" s="788"/>
      <c r="J1463" s="787"/>
      <c r="K1463" s="790"/>
      <c r="L1463" s="790"/>
      <c r="M1463" s="790"/>
      <c r="N1463" s="791"/>
      <c r="O1463" s="791"/>
      <c r="P1463" s="788"/>
      <c r="Q1463" s="792"/>
      <c r="R1463" s="793"/>
      <c r="S1463" s="793"/>
      <c r="T1463" s="793"/>
    </row>
    <row r="1464" spans="2:20">
      <c r="B1464" s="1076"/>
      <c r="C1464" s="774"/>
      <c r="D1464" s="775"/>
      <c r="E1464" s="776"/>
      <c r="F1464" s="776"/>
      <c r="G1464" s="777"/>
      <c r="H1464" s="783"/>
      <c r="I1464" s="777"/>
      <c r="J1464" s="776"/>
      <c r="K1464" s="779"/>
      <c r="L1464" s="779"/>
      <c r="M1464" s="779"/>
      <c r="N1464" s="780"/>
      <c r="O1464" s="780"/>
      <c r="P1464" s="777"/>
      <c r="Q1464" s="781"/>
      <c r="R1464" s="782"/>
      <c r="S1464" s="782"/>
      <c r="T1464" s="782"/>
    </row>
    <row r="1465" spans="2:20">
      <c r="B1465" s="1076"/>
      <c r="C1465" s="774"/>
      <c r="D1465" s="775"/>
      <c r="E1465" s="776"/>
      <c r="F1465" s="776"/>
      <c r="G1465" s="777"/>
      <c r="H1465" s="783"/>
      <c r="I1465" s="777"/>
      <c r="J1465" s="776"/>
      <c r="K1465" s="779"/>
      <c r="L1465" s="779"/>
      <c r="M1465" s="779"/>
      <c r="N1465" s="780"/>
      <c r="O1465" s="780"/>
      <c r="P1465" s="777"/>
      <c r="Q1465" s="781"/>
      <c r="R1465" s="782"/>
      <c r="S1465" s="782"/>
      <c r="T1465" s="782"/>
    </row>
    <row r="1466" spans="2:20">
      <c r="B1466" s="1076"/>
      <c r="C1466" s="774"/>
      <c r="D1466" s="775"/>
      <c r="E1466" s="776"/>
      <c r="F1466" s="776"/>
      <c r="G1466" s="777"/>
      <c r="H1466" s="783"/>
      <c r="I1466" s="777"/>
      <c r="J1466" s="776"/>
      <c r="K1466" s="779"/>
      <c r="L1466" s="779"/>
      <c r="M1466" s="779"/>
      <c r="N1466" s="780"/>
      <c r="O1466" s="780"/>
      <c r="P1466" s="777"/>
      <c r="Q1466" s="781"/>
      <c r="R1466" s="782"/>
      <c r="S1466" s="782"/>
      <c r="T1466" s="782"/>
    </row>
    <row r="1467" spans="2:20">
      <c r="B1467" s="1076"/>
      <c r="C1467" s="774"/>
      <c r="D1467" s="775"/>
      <c r="E1467" s="776"/>
      <c r="F1467" s="776"/>
      <c r="G1467" s="777"/>
      <c r="H1467" s="783"/>
      <c r="I1467" s="777"/>
      <c r="J1467" s="776"/>
      <c r="K1467" s="779"/>
      <c r="L1467" s="779"/>
      <c r="M1467" s="779"/>
      <c r="N1467" s="780"/>
      <c r="O1467" s="780"/>
      <c r="P1467" s="777"/>
      <c r="Q1467" s="781"/>
      <c r="R1467" s="782"/>
      <c r="S1467" s="782"/>
      <c r="T1467" s="782"/>
    </row>
    <row r="1468" spans="2:20">
      <c r="B1468" s="1076"/>
      <c r="C1468" s="774"/>
      <c r="D1468" s="775"/>
      <c r="E1468" s="776"/>
      <c r="F1468" s="776"/>
      <c r="G1468" s="777"/>
      <c r="H1468" s="783"/>
      <c r="I1468" s="777"/>
      <c r="J1468" s="776"/>
      <c r="K1468" s="779"/>
      <c r="L1468" s="779"/>
      <c r="M1468" s="779"/>
      <c r="N1468" s="780"/>
      <c r="O1468" s="780"/>
      <c r="P1468" s="777"/>
      <c r="Q1468" s="781"/>
      <c r="R1468" s="782"/>
      <c r="S1468" s="782"/>
      <c r="T1468" s="782"/>
    </row>
    <row r="1469" spans="2:20">
      <c r="B1469" s="1076"/>
      <c r="C1469" s="774"/>
      <c r="D1469" s="775"/>
      <c r="E1469" s="776"/>
      <c r="F1469" s="776"/>
      <c r="G1469" s="777"/>
      <c r="H1469" s="783"/>
      <c r="I1469" s="777"/>
      <c r="J1469" s="776"/>
      <c r="K1469" s="779"/>
      <c r="L1469" s="779"/>
      <c r="M1469" s="779"/>
      <c r="N1469" s="780"/>
      <c r="O1469" s="780"/>
      <c r="P1469" s="777"/>
      <c r="Q1469" s="781"/>
      <c r="R1469" s="782"/>
      <c r="S1469" s="782"/>
      <c r="T1469" s="782"/>
    </row>
    <row r="1470" spans="2:20">
      <c r="B1470" s="1076"/>
      <c r="C1470" s="774"/>
      <c r="D1470" s="775"/>
      <c r="E1470" s="776"/>
      <c r="F1470" s="776"/>
      <c r="G1470" s="777"/>
      <c r="H1470" s="783"/>
      <c r="I1470" s="777"/>
      <c r="J1470" s="776"/>
      <c r="K1470" s="779"/>
      <c r="L1470" s="779"/>
      <c r="M1470" s="779"/>
      <c r="N1470" s="780"/>
      <c r="O1470" s="780"/>
      <c r="P1470" s="777"/>
      <c r="Q1470" s="781"/>
      <c r="R1470" s="782"/>
      <c r="S1470" s="782"/>
      <c r="T1470" s="782"/>
    </row>
    <row r="1471" spans="2:20">
      <c r="B1471" s="1076"/>
      <c r="C1471" s="774"/>
      <c r="D1471" s="775"/>
      <c r="E1471" s="776"/>
      <c r="F1471" s="776"/>
      <c r="G1471" s="777"/>
      <c r="H1471" s="783"/>
      <c r="I1471" s="777"/>
      <c r="J1471" s="776"/>
      <c r="K1471" s="779"/>
      <c r="L1471" s="779"/>
      <c r="M1471" s="779"/>
      <c r="N1471" s="780"/>
      <c r="O1471" s="780"/>
      <c r="P1471" s="777"/>
      <c r="Q1471" s="781"/>
      <c r="R1471" s="782"/>
      <c r="S1471" s="782"/>
      <c r="T1471" s="782"/>
    </row>
    <row r="1472" spans="2:20">
      <c r="B1472" s="1077"/>
      <c r="C1472" s="873"/>
      <c r="D1472" s="874"/>
      <c r="E1472" s="875"/>
      <c r="F1472" s="875"/>
      <c r="G1472" s="876"/>
      <c r="H1472" s="877"/>
      <c r="I1472" s="876"/>
      <c r="J1472" s="875"/>
      <c r="K1472" s="878"/>
      <c r="L1472" s="878"/>
      <c r="M1472" s="878"/>
      <c r="N1472" s="879"/>
      <c r="O1472" s="879"/>
      <c r="P1472" s="876"/>
      <c r="Q1472" s="880"/>
      <c r="R1472" s="881"/>
      <c r="S1472" s="881"/>
      <c r="T1472" s="881"/>
    </row>
    <row r="1473" spans="2:20">
      <c r="B1473" s="1075"/>
      <c r="C1473" s="785"/>
      <c r="D1473" s="786"/>
      <c r="E1473" s="787"/>
      <c r="F1473" s="787"/>
      <c r="G1473" s="788"/>
      <c r="H1473" s="797"/>
      <c r="I1473" s="788"/>
      <c r="J1473" s="787"/>
      <c r="K1473" s="790"/>
      <c r="L1473" s="790"/>
      <c r="M1473" s="790"/>
      <c r="N1473" s="791"/>
      <c r="O1473" s="791"/>
      <c r="P1473" s="788"/>
      <c r="Q1473" s="792"/>
      <c r="R1473" s="793"/>
      <c r="S1473" s="793"/>
      <c r="T1473" s="793"/>
    </row>
    <row r="1474" spans="2:20">
      <c r="B1474" s="1076"/>
      <c r="C1474" s="774"/>
      <c r="D1474" s="775"/>
      <c r="E1474" s="776"/>
      <c r="F1474" s="776"/>
      <c r="G1474" s="777"/>
      <c r="H1474" s="783"/>
      <c r="I1474" s="777"/>
      <c r="J1474" s="776"/>
      <c r="K1474" s="779"/>
      <c r="L1474" s="779"/>
      <c r="M1474" s="779"/>
      <c r="N1474" s="780"/>
      <c r="O1474" s="780"/>
      <c r="P1474" s="777"/>
      <c r="Q1474" s="781"/>
      <c r="R1474" s="782"/>
      <c r="S1474" s="782"/>
      <c r="T1474" s="782"/>
    </row>
    <row r="1475" spans="2:20">
      <c r="B1475" s="1076"/>
      <c r="C1475" s="774"/>
      <c r="D1475" s="775"/>
      <c r="E1475" s="776"/>
      <c r="F1475" s="776"/>
      <c r="G1475" s="777"/>
      <c r="H1475" s="783"/>
      <c r="I1475" s="777"/>
      <c r="J1475" s="776"/>
      <c r="K1475" s="779"/>
      <c r="L1475" s="779"/>
      <c r="M1475" s="779"/>
      <c r="N1475" s="780"/>
      <c r="O1475" s="780"/>
      <c r="P1475" s="777"/>
      <c r="Q1475" s="781"/>
      <c r="R1475" s="782"/>
      <c r="S1475" s="782"/>
      <c r="T1475" s="782"/>
    </row>
    <row r="1476" spans="2:20">
      <c r="B1476" s="1076"/>
      <c r="C1476" s="774"/>
      <c r="D1476" s="775"/>
      <c r="E1476" s="776"/>
      <c r="F1476" s="776"/>
      <c r="G1476" s="777"/>
      <c r="H1476" s="783"/>
      <c r="I1476" s="777"/>
      <c r="J1476" s="776"/>
      <c r="K1476" s="779"/>
      <c r="L1476" s="779"/>
      <c r="M1476" s="779"/>
      <c r="N1476" s="780"/>
      <c r="O1476" s="780"/>
      <c r="P1476" s="777"/>
      <c r="Q1476" s="781"/>
      <c r="R1476" s="782"/>
      <c r="S1476" s="782"/>
      <c r="T1476" s="782"/>
    </row>
    <row r="1477" spans="2:20">
      <c r="B1477" s="1076"/>
      <c r="C1477" s="774"/>
      <c r="D1477" s="775"/>
      <c r="E1477" s="776"/>
      <c r="F1477" s="776"/>
      <c r="G1477" s="777"/>
      <c r="H1477" s="783"/>
      <c r="I1477" s="777"/>
      <c r="J1477" s="776"/>
      <c r="K1477" s="779"/>
      <c r="L1477" s="779"/>
      <c r="M1477" s="779"/>
      <c r="N1477" s="780"/>
      <c r="O1477" s="780"/>
      <c r="P1477" s="777"/>
      <c r="Q1477" s="781"/>
      <c r="R1477" s="782"/>
      <c r="S1477" s="782"/>
      <c r="T1477" s="782"/>
    </row>
    <row r="1478" spans="2:20">
      <c r="B1478" s="1076"/>
      <c r="C1478" s="774"/>
      <c r="D1478" s="775"/>
      <c r="E1478" s="776"/>
      <c r="F1478" s="776"/>
      <c r="G1478" s="777"/>
      <c r="H1478" s="783"/>
      <c r="I1478" s="777"/>
      <c r="J1478" s="776"/>
      <c r="K1478" s="779"/>
      <c r="L1478" s="779"/>
      <c r="M1478" s="779"/>
      <c r="N1478" s="780"/>
      <c r="O1478" s="780"/>
      <c r="P1478" s="777"/>
      <c r="Q1478" s="781"/>
      <c r="R1478" s="782"/>
      <c r="S1478" s="782"/>
      <c r="T1478" s="782"/>
    </row>
    <row r="1479" spans="2:20">
      <c r="B1479" s="1076"/>
      <c r="C1479" s="774"/>
      <c r="D1479" s="775"/>
      <c r="E1479" s="776"/>
      <c r="F1479" s="776"/>
      <c r="G1479" s="777"/>
      <c r="H1479" s="783"/>
      <c r="I1479" s="777"/>
      <c r="J1479" s="776"/>
      <c r="K1479" s="779"/>
      <c r="L1479" s="779"/>
      <c r="M1479" s="779"/>
      <c r="N1479" s="780"/>
      <c r="O1479" s="780"/>
      <c r="P1479" s="777"/>
      <c r="Q1479" s="781"/>
      <c r="R1479" s="782"/>
      <c r="S1479" s="782"/>
      <c r="T1479" s="782"/>
    </row>
    <row r="1480" spans="2:20">
      <c r="B1480" s="1076"/>
      <c r="C1480" s="774"/>
      <c r="D1480" s="775"/>
      <c r="E1480" s="776"/>
      <c r="F1480" s="776"/>
      <c r="G1480" s="777"/>
      <c r="H1480" s="783"/>
      <c r="I1480" s="777"/>
      <c r="J1480" s="776"/>
      <c r="K1480" s="779"/>
      <c r="L1480" s="779"/>
      <c r="M1480" s="779"/>
      <c r="N1480" s="780"/>
      <c r="O1480" s="780"/>
      <c r="P1480" s="777"/>
      <c r="Q1480" s="781"/>
      <c r="R1480" s="782"/>
      <c r="S1480" s="782"/>
      <c r="T1480" s="782"/>
    </row>
    <row r="1481" spans="2:20">
      <c r="B1481" s="1076"/>
      <c r="C1481" s="774"/>
      <c r="D1481" s="775"/>
      <c r="E1481" s="776"/>
      <c r="F1481" s="776"/>
      <c r="G1481" s="777"/>
      <c r="H1481" s="783"/>
      <c r="I1481" s="777"/>
      <c r="J1481" s="776"/>
      <c r="K1481" s="779"/>
      <c r="L1481" s="779"/>
      <c r="M1481" s="779"/>
      <c r="N1481" s="780"/>
      <c r="O1481" s="780"/>
      <c r="P1481" s="777"/>
      <c r="Q1481" s="781"/>
      <c r="R1481" s="782"/>
      <c r="S1481" s="782"/>
      <c r="T1481" s="782"/>
    </row>
    <row r="1482" spans="2:20">
      <c r="B1482" s="1077"/>
      <c r="C1482" s="873"/>
      <c r="D1482" s="874"/>
      <c r="E1482" s="875"/>
      <c r="F1482" s="875"/>
      <c r="G1482" s="876"/>
      <c r="H1482" s="877"/>
      <c r="I1482" s="876"/>
      <c r="J1482" s="875"/>
      <c r="K1482" s="878"/>
      <c r="L1482" s="878"/>
      <c r="M1482" s="878"/>
      <c r="N1482" s="879"/>
      <c r="O1482" s="879"/>
      <c r="P1482" s="876"/>
      <c r="Q1482" s="880"/>
      <c r="R1482" s="881"/>
      <c r="S1482" s="881"/>
      <c r="T1482" s="881"/>
    </row>
    <row r="1483" spans="2:20">
      <c r="B1483" s="1075"/>
      <c r="C1483" s="785"/>
      <c r="D1483" s="786"/>
      <c r="E1483" s="787"/>
      <c r="F1483" s="787"/>
      <c r="G1483" s="788"/>
      <c r="H1483" s="797"/>
      <c r="I1483" s="788"/>
      <c r="J1483" s="787"/>
      <c r="K1483" s="790"/>
      <c r="L1483" s="790"/>
      <c r="M1483" s="790"/>
      <c r="N1483" s="791"/>
      <c r="O1483" s="791"/>
      <c r="P1483" s="788"/>
      <c r="Q1483" s="792"/>
      <c r="R1483" s="793"/>
      <c r="S1483" s="793"/>
      <c r="T1483" s="793"/>
    </row>
    <row r="1484" spans="2:20">
      <c r="B1484" s="1076"/>
      <c r="C1484" s="774"/>
      <c r="D1484" s="775"/>
      <c r="E1484" s="776"/>
      <c r="F1484" s="776"/>
      <c r="G1484" s="777"/>
      <c r="H1484" s="783"/>
      <c r="I1484" s="777"/>
      <c r="J1484" s="776"/>
      <c r="K1484" s="779"/>
      <c r="L1484" s="779"/>
      <c r="M1484" s="779"/>
      <c r="N1484" s="780"/>
      <c r="O1484" s="780"/>
      <c r="P1484" s="777"/>
      <c r="Q1484" s="781"/>
      <c r="R1484" s="782"/>
      <c r="S1484" s="782"/>
      <c r="T1484" s="782"/>
    </row>
    <row r="1485" spans="2:20">
      <c r="B1485" s="1076"/>
      <c r="C1485" s="774"/>
      <c r="D1485" s="775"/>
      <c r="E1485" s="776"/>
      <c r="F1485" s="776"/>
      <c r="G1485" s="777"/>
      <c r="H1485" s="783"/>
      <c r="I1485" s="777"/>
      <c r="J1485" s="776"/>
      <c r="K1485" s="779"/>
      <c r="L1485" s="779"/>
      <c r="M1485" s="779"/>
      <c r="N1485" s="780"/>
      <c r="O1485" s="780"/>
      <c r="P1485" s="777"/>
      <c r="Q1485" s="781"/>
      <c r="R1485" s="782"/>
      <c r="S1485" s="782"/>
      <c r="T1485" s="782"/>
    </row>
    <row r="1486" spans="2:20">
      <c r="B1486" s="1076"/>
      <c r="C1486" s="774"/>
      <c r="D1486" s="775"/>
      <c r="E1486" s="776"/>
      <c r="F1486" s="776"/>
      <c r="G1486" s="777"/>
      <c r="H1486" s="783"/>
      <c r="I1486" s="777"/>
      <c r="J1486" s="776"/>
      <c r="K1486" s="779"/>
      <c r="L1486" s="779"/>
      <c r="M1486" s="779"/>
      <c r="N1486" s="780"/>
      <c r="O1486" s="780"/>
      <c r="P1486" s="777"/>
      <c r="Q1486" s="781"/>
      <c r="R1486" s="782"/>
      <c r="S1486" s="782"/>
      <c r="T1486" s="782"/>
    </row>
    <row r="1487" spans="2:20">
      <c r="B1487" s="1076"/>
      <c r="C1487" s="774"/>
      <c r="D1487" s="775"/>
      <c r="E1487" s="776"/>
      <c r="F1487" s="776"/>
      <c r="G1487" s="777"/>
      <c r="H1487" s="783"/>
      <c r="I1487" s="777"/>
      <c r="J1487" s="776"/>
      <c r="K1487" s="779"/>
      <c r="L1487" s="779"/>
      <c r="M1487" s="779"/>
      <c r="N1487" s="780"/>
      <c r="O1487" s="780"/>
      <c r="P1487" s="777"/>
      <c r="Q1487" s="781"/>
      <c r="R1487" s="782"/>
      <c r="S1487" s="782"/>
      <c r="T1487" s="782"/>
    </row>
    <row r="1488" spans="2:20">
      <c r="B1488" s="1076"/>
      <c r="C1488" s="774"/>
      <c r="D1488" s="775"/>
      <c r="E1488" s="776"/>
      <c r="F1488" s="776"/>
      <c r="G1488" s="777"/>
      <c r="H1488" s="783"/>
      <c r="I1488" s="777"/>
      <c r="J1488" s="776"/>
      <c r="K1488" s="779"/>
      <c r="L1488" s="779"/>
      <c r="M1488" s="779"/>
      <c r="N1488" s="780"/>
      <c r="O1488" s="780"/>
      <c r="P1488" s="777"/>
      <c r="Q1488" s="781"/>
      <c r="R1488" s="782"/>
      <c r="S1488" s="782"/>
      <c r="T1488" s="782"/>
    </row>
    <row r="1489" spans="2:20">
      <c r="B1489" s="1076"/>
      <c r="C1489" s="774"/>
      <c r="D1489" s="775"/>
      <c r="E1489" s="776"/>
      <c r="F1489" s="776"/>
      <c r="G1489" s="777"/>
      <c r="H1489" s="783"/>
      <c r="I1489" s="777"/>
      <c r="J1489" s="776"/>
      <c r="K1489" s="779"/>
      <c r="L1489" s="779"/>
      <c r="M1489" s="779"/>
      <c r="N1489" s="780"/>
      <c r="O1489" s="780"/>
      <c r="P1489" s="777"/>
      <c r="Q1489" s="781"/>
      <c r="R1489" s="782"/>
      <c r="S1489" s="782"/>
      <c r="T1489" s="782"/>
    </row>
    <row r="1490" spans="2:20">
      <c r="B1490" s="1076"/>
      <c r="C1490" s="774"/>
      <c r="D1490" s="775"/>
      <c r="E1490" s="776"/>
      <c r="F1490" s="776"/>
      <c r="G1490" s="777"/>
      <c r="H1490" s="783"/>
      <c r="I1490" s="777"/>
      <c r="J1490" s="776"/>
      <c r="K1490" s="779"/>
      <c r="L1490" s="779"/>
      <c r="M1490" s="779"/>
      <c r="N1490" s="780"/>
      <c r="O1490" s="780"/>
      <c r="P1490" s="777"/>
      <c r="Q1490" s="781"/>
      <c r="R1490" s="782"/>
      <c r="S1490" s="782"/>
      <c r="T1490" s="782"/>
    </row>
    <row r="1491" spans="2:20">
      <c r="B1491" s="1076"/>
      <c r="C1491" s="774"/>
      <c r="D1491" s="775"/>
      <c r="E1491" s="776"/>
      <c r="F1491" s="776"/>
      <c r="G1491" s="777"/>
      <c r="H1491" s="783"/>
      <c r="I1491" s="777"/>
      <c r="J1491" s="776"/>
      <c r="K1491" s="779"/>
      <c r="L1491" s="779"/>
      <c r="M1491" s="779"/>
      <c r="N1491" s="780"/>
      <c r="O1491" s="780"/>
      <c r="P1491" s="777"/>
      <c r="Q1491" s="781"/>
      <c r="R1491" s="782"/>
      <c r="S1491" s="782"/>
      <c r="T1491" s="782"/>
    </row>
    <row r="1492" spans="2:20">
      <c r="B1492" s="1077"/>
      <c r="C1492" s="873"/>
      <c r="D1492" s="874"/>
      <c r="E1492" s="875"/>
      <c r="F1492" s="875"/>
      <c r="G1492" s="876"/>
      <c r="H1492" s="877"/>
      <c r="I1492" s="876"/>
      <c r="J1492" s="875"/>
      <c r="K1492" s="878"/>
      <c r="L1492" s="878"/>
      <c r="M1492" s="878"/>
      <c r="N1492" s="879"/>
      <c r="O1492" s="879"/>
      <c r="P1492" s="876"/>
      <c r="Q1492" s="880"/>
      <c r="R1492" s="881"/>
      <c r="S1492" s="881"/>
      <c r="T1492" s="881"/>
    </row>
    <row r="1493" spans="2:20">
      <c r="B1493" s="1076"/>
      <c r="C1493" s="774"/>
      <c r="D1493" s="775"/>
      <c r="E1493" s="776"/>
      <c r="F1493" s="776"/>
      <c r="G1493" s="777"/>
      <c r="H1493" s="783"/>
      <c r="I1493" s="777"/>
      <c r="J1493" s="776"/>
      <c r="K1493" s="779"/>
      <c r="L1493" s="779"/>
      <c r="M1493" s="779"/>
      <c r="N1493" s="780"/>
      <c r="O1493" s="780"/>
      <c r="P1493" s="777"/>
      <c r="Q1493" s="781"/>
      <c r="R1493" s="782"/>
      <c r="S1493" s="782"/>
      <c r="T1493" s="782"/>
    </row>
    <row r="1494" spans="2:20">
      <c r="B1494" s="1076"/>
      <c r="C1494" s="774"/>
      <c r="D1494" s="775"/>
      <c r="E1494" s="776"/>
      <c r="F1494" s="776"/>
      <c r="G1494" s="777"/>
      <c r="H1494" s="783"/>
      <c r="I1494" s="777"/>
      <c r="J1494" s="776"/>
      <c r="K1494" s="779"/>
      <c r="L1494" s="779"/>
      <c r="M1494" s="779"/>
      <c r="N1494" s="780"/>
      <c r="O1494" s="780"/>
      <c r="P1494" s="777"/>
      <c r="Q1494" s="781"/>
      <c r="R1494" s="782"/>
      <c r="S1494" s="782"/>
      <c r="T1494" s="782"/>
    </row>
    <row r="1495" spans="2:20">
      <c r="B1495" s="1076"/>
      <c r="C1495" s="774"/>
      <c r="D1495" s="775"/>
      <c r="E1495" s="776"/>
      <c r="F1495" s="776"/>
      <c r="G1495" s="777"/>
      <c r="H1495" s="783"/>
      <c r="I1495" s="777"/>
      <c r="J1495" s="776"/>
      <c r="K1495" s="779"/>
      <c r="L1495" s="779"/>
      <c r="M1495" s="779"/>
      <c r="N1495" s="780"/>
      <c r="O1495" s="780"/>
      <c r="P1495" s="777"/>
      <c r="Q1495" s="781"/>
      <c r="R1495" s="782"/>
      <c r="S1495" s="782"/>
      <c r="T1495" s="782"/>
    </row>
    <row r="1496" spans="2:20">
      <c r="B1496" s="1076"/>
      <c r="C1496" s="774"/>
      <c r="D1496" s="775"/>
      <c r="E1496" s="776"/>
      <c r="F1496" s="776"/>
      <c r="G1496" s="777"/>
      <c r="H1496" s="783"/>
      <c r="I1496" s="777"/>
      <c r="J1496" s="776"/>
      <c r="K1496" s="779"/>
      <c r="L1496" s="779"/>
      <c r="M1496" s="779"/>
      <c r="N1496" s="780"/>
      <c r="O1496" s="780"/>
      <c r="P1496" s="777"/>
      <c r="Q1496" s="781"/>
      <c r="R1496" s="782"/>
      <c r="S1496" s="782"/>
      <c r="T1496" s="782"/>
    </row>
    <row r="1497" spans="2:20">
      <c r="B1497" s="1076"/>
      <c r="C1497" s="774"/>
      <c r="D1497" s="775"/>
      <c r="E1497" s="776"/>
      <c r="F1497" s="776"/>
      <c r="G1497" s="777"/>
      <c r="H1497" s="783"/>
      <c r="I1497" s="777"/>
      <c r="J1497" s="776"/>
      <c r="K1497" s="779"/>
      <c r="L1497" s="779"/>
      <c r="M1497" s="779"/>
      <c r="N1497" s="780"/>
      <c r="O1497" s="780"/>
      <c r="P1497" s="777"/>
      <c r="Q1497" s="781"/>
      <c r="R1497" s="782"/>
      <c r="S1497" s="782"/>
      <c r="T1497" s="782"/>
    </row>
    <row r="1498" spans="2:20">
      <c r="B1498" s="1076"/>
      <c r="C1498" s="774"/>
      <c r="D1498" s="775"/>
      <c r="E1498" s="776"/>
      <c r="F1498" s="776"/>
      <c r="G1498" s="777"/>
      <c r="H1498" s="783"/>
      <c r="I1498" s="777"/>
      <c r="J1498" s="776"/>
      <c r="K1498" s="779"/>
      <c r="L1498" s="779"/>
      <c r="M1498" s="779"/>
      <c r="N1498" s="780"/>
      <c r="O1498" s="780"/>
      <c r="P1498" s="777"/>
      <c r="Q1498" s="781"/>
      <c r="R1498" s="782"/>
      <c r="S1498" s="782"/>
      <c r="T1498" s="782"/>
    </row>
    <row r="1499" spans="2:20">
      <c r="B1499" s="1076"/>
      <c r="C1499" s="774"/>
      <c r="D1499" s="775"/>
      <c r="E1499" s="776"/>
      <c r="F1499" s="776"/>
      <c r="G1499" s="777"/>
      <c r="H1499" s="783"/>
      <c r="I1499" s="777"/>
      <c r="J1499" s="776"/>
      <c r="K1499" s="779"/>
      <c r="L1499" s="779"/>
      <c r="M1499" s="779"/>
      <c r="N1499" s="780"/>
      <c r="O1499" s="780"/>
      <c r="P1499" s="777"/>
      <c r="Q1499" s="781"/>
      <c r="R1499" s="782"/>
      <c r="S1499" s="782"/>
      <c r="T1499" s="782"/>
    </row>
    <row r="1500" spans="2:20">
      <c r="B1500" s="1076"/>
      <c r="C1500" s="774"/>
      <c r="D1500" s="775"/>
      <c r="E1500" s="776"/>
      <c r="F1500" s="776"/>
      <c r="G1500" s="777"/>
      <c r="H1500" s="783"/>
      <c r="I1500" s="777"/>
      <c r="J1500" s="776"/>
      <c r="K1500" s="779"/>
      <c r="L1500" s="779"/>
      <c r="M1500" s="779"/>
      <c r="N1500" s="780"/>
      <c r="O1500" s="780"/>
      <c r="P1500" s="777"/>
      <c r="Q1500" s="781"/>
      <c r="R1500" s="782"/>
      <c r="S1500" s="782"/>
      <c r="T1500" s="782"/>
    </row>
    <row r="1501" spans="2:20">
      <c r="B1501" s="1076"/>
      <c r="C1501" s="774"/>
      <c r="D1501" s="775"/>
      <c r="E1501" s="776"/>
      <c r="F1501" s="776"/>
      <c r="G1501" s="777"/>
      <c r="H1501" s="783"/>
      <c r="I1501" s="777"/>
      <c r="J1501" s="776"/>
      <c r="K1501" s="779"/>
      <c r="L1501" s="779"/>
      <c r="M1501" s="779"/>
      <c r="N1501" s="780"/>
      <c r="O1501" s="780"/>
      <c r="P1501" s="777"/>
      <c r="Q1501" s="781"/>
      <c r="R1501" s="782"/>
      <c r="S1501" s="782"/>
      <c r="T1501" s="782"/>
    </row>
    <row r="1502" spans="2:20">
      <c r="B1502" s="1076"/>
      <c r="C1502" s="774"/>
      <c r="D1502" s="775"/>
      <c r="E1502" s="776"/>
      <c r="F1502" s="776"/>
      <c r="G1502" s="777"/>
      <c r="H1502" s="783"/>
      <c r="I1502" s="777"/>
      <c r="J1502" s="776"/>
      <c r="K1502" s="779"/>
      <c r="L1502" s="779"/>
      <c r="M1502" s="779"/>
      <c r="N1502" s="780"/>
      <c r="O1502" s="780"/>
      <c r="P1502" s="777"/>
      <c r="Q1502" s="781"/>
      <c r="R1502" s="782"/>
      <c r="S1502" s="782"/>
      <c r="T1502" s="782"/>
    </row>
    <row r="1503" spans="2:20">
      <c r="B1503" s="1078"/>
      <c r="C1503" s="1079"/>
      <c r="D1503" s="1080" t="s">
        <v>6087</v>
      </c>
      <c r="E1503" s="1078"/>
      <c r="F1503" s="1078"/>
      <c r="G1503" s="1078"/>
      <c r="H1503" s="1081"/>
      <c r="I1503" s="1078"/>
      <c r="J1503" s="1078"/>
      <c r="K1503" s="864"/>
      <c r="L1503" s="865"/>
      <c r="M1503" s="865"/>
      <c r="N1503" s="866"/>
      <c r="O1503" s="867"/>
      <c r="P1503" s="868"/>
      <c r="Q1503" s="869"/>
      <c r="R1503" s="870"/>
      <c r="S1503" s="870"/>
      <c r="T1503" s="870"/>
    </row>
    <row r="1504" spans="2:20">
      <c r="B1504" s="1075"/>
      <c r="C1504" s="785"/>
      <c r="D1504" s="786"/>
      <c r="E1504" s="787"/>
      <c r="F1504" s="787"/>
      <c r="G1504" s="788"/>
      <c r="H1504" s="797"/>
      <c r="I1504" s="788"/>
      <c r="J1504" s="787"/>
      <c r="K1504" s="790"/>
      <c r="L1504" s="790"/>
      <c r="M1504" s="790"/>
      <c r="N1504" s="791"/>
      <c r="O1504" s="791"/>
      <c r="P1504" s="788"/>
      <c r="Q1504" s="792"/>
      <c r="R1504" s="793"/>
      <c r="S1504" s="793"/>
      <c r="T1504" s="793"/>
    </row>
    <row r="1505" spans="2:20">
      <c r="B1505" s="1076"/>
      <c r="C1505" s="774"/>
      <c r="D1505" s="775"/>
      <c r="E1505" s="776"/>
      <c r="F1505" s="776"/>
      <c r="G1505" s="777"/>
      <c r="H1505" s="783"/>
      <c r="I1505" s="777"/>
      <c r="J1505" s="776"/>
      <c r="K1505" s="779"/>
      <c r="L1505" s="779"/>
      <c r="M1505" s="779"/>
      <c r="N1505" s="780"/>
      <c r="O1505" s="780"/>
      <c r="P1505" s="777"/>
      <c r="Q1505" s="781"/>
      <c r="R1505" s="782"/>
      <c r="S1505" s="782"/>
      <c r="T1505" s="782"/>
    </row>
    <row r="1506" spans="2:20">
      <c r="B1506" s="1076"/>
      <c r="C1506" s="774"/>
      <c r="D1506" s="775"/>
      <c r="E1506" s="776"/>
      <c r="F1506" s="776"/>
      <c r="G1506" s="777"/>
      <c r="H1506" s="783"/>
      <c r="I1506" s="777"/>
      <c r="J1506" s="776"/>
      <c r="K1506" s="779"/>
      <c r="L1506" s="779"/>
      <c r="M1506" s="779"/>
      <c r="N1506" s="780"/>
      <c r="O1506" s="780"/>
      <c r="P1506" s="777"/>
      <c r="Q1506" s="781"/>
      <c r="R1506" s="782"/>
      <c r="S1506" s="782"/>
      <c r="T1506" s="782"/>
    </row>
    <row r="1507" spans="2:20">
      <c r="B1507" s="1076"/>
      <c r="C1507" s="774"/>
      <c r="D1507" s="775"/>
      <c r="E1507" s="776"/>
      <c r="F1507" s="776"/>
      <c r="G1507" s="777"/>
      <c r="H1507" s="783"/>
      <c r="I1507" s="777"/>
      <c r="J1507" s="776"/>
      <c r="K1507" s="779"/>
      <c r="L1507" s="779"/>
      <c r="M1507" s="779"/>
      <c r="N1507" s="780"/>
      <c r="O1507" s="780"/>
      <c r="P1507" s="777"/>
      <c r="Q1507" s="781"/>
      <c r="R1507" s="782"/>
      <c r="S1507" s="782"/>
      <c r="T1507" s="782"/>
    </row>
    <row r="1508" spans="2:20">
      <c r="B1508" s="1076"/>
      <c r="C1508" s="774"/>
      <c r="D1508" s="775"/>
      <c r="E1508" s="776"/>
      <c r="F1508" s="776"/>
      <c r="G1508" s="777"/>
      <c r="H1508" s="783"/>
      <c r="I1508" s="777"/>
      <c r="J1508" s="776"/>
      <c r="K1508" s="779"/>
      <c r="L1508" s="779"/>
      <c r="M1508" s="779"/>
      <c r="N1508" s="780"/>
      <c r="O1508" s="780"/>
      <c r="P1508" s="777"/>
      <c r="Q1508" s="781"/>
      <c r="R1508" s="782"/>
      <c r="S1508" s="782"/>
      <c r="T1508" s="782"/>
    </row>
    <row r="1509" spans="2:20">
      <c r="B1509" s="1076"/>
      <c r="C1509" s="774"/>
      <c r="D1509" s="775"/>
      <c r="E1509" s="776"/>
      <c r="F1509" s="776"/>
      <c r="G1509" s="777"/>
      <c r="H1509" s="783"/>
      <c r="I1509" s="777"/>
      <c r="J1509" s="776"/>
      <c r="K1509" s="779"/>
      <c r="L1509" s="779"/>
      <c r="M1509" s="779"/>
      <c r="N1509" s="780"/>
      <c r="O1509" s="780"/>
      <c r="P1509" s="777"/>
      <c r="Q1509" s="781"/>
      <c r="R1509" s="782"/>
      <c r="S1509" s="782"/>
      <c r="T1509" s="782"/>
    </row>
    <row r="1510" spans="2:20">
      <c r="B1510" s="1076"/>
      <c r="C1510" s="774"/>
      <c r="D1510" s="775"/>
      <c r="E1510" s="776"/>
      <c r="F1510" s="776"/>
      <c r="G1510" s="777"/>
      <c r="H1510" s="783"/>
      <c r="I1510" s="777"/>
      <c r="J1510" s="776"/>
      <c r="K1510" s="779"/>
      <c r="L1510" s="779"/>
      <c r="M1510" s="779"/>
      <c r="N1510" s="780"/>
      <c r="O1510" s="780"/>
      <c r="P1510" s="777"/>
      <c r="Q1510" s="781"/>
      <c r="R1510" s="782"/>
      <c r="S1510" s="782"/>
      <c r="T1510" s="782"/>
    </row>
    <row r="1511" spans="2:20">
      <c r="B1511" s="1076"/>
      <c r="C1511" s="774"/>
      <c r="D1511" s="775"/>
      <c r="E1511" s="776"/>
      <c r="F1511" s="776"/>
      <c r="G1511" s="777"/>
      <c r="H1511" s="783"/>
      <c r="I1511" s="777"/>
      <c r="J1511" s="776"/>
      <c r="K1511" s="779"/>
      <c r="L1511" s="779"/>
      <c r="M1511" s="779"/>
      <c r="N1511" s="780"/>
      <c r="O1511" s="780"/>
      <c r="P1511" s="777"/>
      <c r="Q1511" s="781"/>
      <c r="R1511" s="782"/>
      <c r="S1511" s="782"/>
      <c r="T1511" s="782"/>
    </row>
    <row r="1512" spans="2:20">
      <c r="B1512" s="1076"/>
      <c r="C1512" s="774"/>
      <c r="D1512" s="775"/>
      <c r="E1512" s="776"/>
      <c r="F1512" s="776"/>
      <c r="G1512" s="777"/>
      <c r="H1512" s="783"/>
      <c r="I1512" s="777"/>
      <c r="J1512" s="776"/>
      <c r="K1512" s="779"/>
      <c r="L1512" s="779"/>
      <c r="M1512" s="779"/>
      <c r="N1512" s="780"/>
      <c r="O1512" s="780"/>
      <c r="P1512" s="777"/>
      <c r="Q1512" s="781"/>
      <c r="R1512" s="782"/>
      <c r="S1512" s="782"/>
      <c r="T1512" s="782"/>
    </row>
    <row r="1513" spans="2:20">
      <c r="B1513" s="1077"/>
      <c r="C1513" s="873"/>
      <c r="D1513" s="874"/>
      <c r="E1513" s="875"/>
      <c r="F1513" s="875"/>
      <c r="G1513" s="876"/>
      <c r="H1513" s="877"/>
      <c r="I1513" s="876"/>
      <c r="J1513" s="875"/>
      <c r="K1513" s="878"/>
      <c r="L1513" s="878"/>
      <c r="M1513" s="878"/>
      <c r="N1513" s="879"/>
      <c r="O1513" s="879"/>
      <c r="P1513" s="876"/>
      <c r="Q1513" s="880"/>
      <c r="R1513" s="881"/>
      <c r="S1513" s="881"/>
      <c r="T1513" s="881"/>
    </row>
    <row r="1514" spans="2:20">
      <c r="B1514" s="1075"/>
      <c r="C1514" s="785"/>
      <c r="D1514" s="786"/>
      <c r="E1514" s="787"/>
      <c r="F1514" s="787"/>
      <c r="G1514" s="788"/>
      <c r="H1514" s="797"/>
      <c r="I1514" s="788"/>
      <c r="J1514" s="787"/>
      <c r="K1514" s="790"/>
      <c r="L1514" s="790"/>
      <c r="M1514" s="790"/>
      <c r="N1514" s="791"/>
      <c r="O1514" s="791"/>
      <c r="P1514" s="788"/>
      <c r="Q1514" s="792"/>
      <c r="R1514" s="793"/>
      <c r="S1514" s="793"/>
      <c r="T1514" s="793"/>
    </row>
    <row r="1515" spans="2:20">
      <c r="B1515" s="1076"/>
      <c r="C1515" s="774"/>
      <c r="D1515" s="775"/>
      <c r="E1515" s="776"/>
      <c r="F1515" s="776"/>
      <c r="G1515" s="777"/>
      <c r="H1515" s="783"/>
      <c r="I1515" s="777"/>
      <c r="J1515" s="776"/>
      <c r="K1515" s="779"/>
      <c r="L1515" s="779"/>
      <c r="M1515" s="779"/>
      <c r="N1515" s="780"/>
      <c r="O1515" s="780"/>
      <c r="P1515" s="777"/>
      <c r="Q1515" s="781"/>
      <c r="R1515" s="782"/>
      <c r="S1515" s="782"/>
      <c r="T1515" s="782"/>
    </row>
    <row r="1516" spans="2:20">
      <c r="B1516" s="1076"/>
      <c r="C1516" s="774"/>
      <c r="D1516" s="775"/>
      <c r="E1516" s="776"/>
      <c r="F1516" s="776"/>
      <c r="G1516" s="777"/>
      <c r="H1516" s="783"/>
      <c r="I1516" s="777"/>
      <c r="J1516" s="776"/>
      <c r="K1516" s="779"/>
      <c r="L1516" s="779"/>
      <c r="M1516" s="779"/>
      <c r="N1516" s="780"/>
      <c r="O1516" s="780"/>
      <c r="P1516" s="777"/>
      <c r="Q1516" s="781"/>
      <c r="R1516" s="782"/>
      <c r="S1516" s="782"/>
      <c r="T1516" s="782"/>
    </row>
    <row r="1517" spans="2:20">
      <c r="B1517" s="1076"/>
      <c r="C1517" s="774"/>
      <c r="D1517" s="775"/>
      <c r="E1517" s="776"/>
      <c r="F1517" s="776"/>
      <c r="G1517" s="777"/>
      <c r="H1517" s="783"/>
      <c r="I1517" s="777"/>
      <c r="J1517" s="776"/>
      <c r="K1517" s="779"/>
      <c r="L1517" s="779"/>
      <c r="M1517" s="779"/>
      <c r="N1517" s="780"/>
      <c r="O1517" s="780"/>
      <c r="P1517" s="777"/>
      <c r="Q1517" s="781"/>
      <c r="R1517" s="782"/>
      <c r="S1517" s="782"/>
      <c r="T1517" s="782"/>
    </row>
    <row r="1518" spans="2:20">
      <c r="B1518" s="1076"/>
      <c r="C1518" s="774"/>
      <c r="D1518" s="775"/>
      <c r="E1518" s="776"/>
      <c r="F1518" s="776"/>
      <c r="G1518" s="777"/>
      <c r="H1518" s="783"/>
      <c r="I1518" s="777"/>
      <c r="J1518" s="776"/>
      <c r="K1518" s="779"/>
      <c r="L1518" s="779"/>
      <c r="M1518" s="779"/>
      <c r="N1518" s="780"/>
      <c r="O1518" s="780"/>
      <c r="P1518" s="777"/>
      <c r="Q1518" s="781"/>
      <c r="R1518" s="782"/>
      <c r="S1518" s="782"/>
      <c r="T1518" s="782"/>
    </row>
    <row r="1519" spans="2:20">
      <c r="B1519" s="1076"/>
      <c r="C1519" s="774"/>
      <c r="D1519" s="775"/>
      <c r="E1519" s="776"/>
      <c r="F1519" s="776"/>
      <c r="G1519" s="777"/>
      <c r="H1519" s="783"/>
      <c r="I1519" s="777"/>
      <c r="J1519" s="776"/>
      <c r="K1519" s="779"/>
      <c r="L1519" s="779"/>
      <c r="M1519" s="779"/>
      <c r="N1519" s="780"/>
      <c r="O1519" s="780"/>
      <c r="P1519" s="777"/>
      <c r="Q1519" s="781"/>
      <c r="R1519" s="782"/>
      <c r="S1519" s="782"/>
      <c r="T1519" s="782"/>
    </row>
    <row r="1520" spans="2:20">
      <c r="B1520" s="1076"/>
      <c r="C1520" s="774"/>
      <c r="D1520" s="775"/>
      <c r="E1520" s="776"/>
      <c r="F1520" s="776"/>
      <c r="G1520" s="777"/>
      <c r="H1520" s="783"/>
      <c r="I1520" s="777"/>
      <c r="J1520" s="776"/>
      <c r="K1520" s="779"/>
      <c r="L1520" s="779"/>
      <c r="M1520" s="779"/>
      <c r="N1520" s="780"/>
      <c r="O1520" s="780"/>
      <c r="P1520" s="777"/>
      <c r="Q1520" s="781"/>
      <c r="R1520" s="782"/>
      <c r="S1520" s="782"/>
      <c r="T1520" s="782"/>
    </row>
    <row r="1521" spans="2:20">
      <c r="B1521" s="1076"/>
      <c r="C1521" s="774"/>
      <c r="D1521" s="775"/>
      <c r="E1521" s="776"/>
      <c r="F1521" s="776"/>
      <c r="G1521" s="777"/>
      <c r="H1521" s="783"/>
      <c r="I1521" s="777"/>
      <c r="J1521" s="776"/>
      <c r="K1521" s="779"/>
      <c r="L1521" s="779"/>
      <c r="M1521" s="779"/>
      <c r="N1521" s="780"/>
      <c r="O1521" s="780"/>
      <c r="P1521" s="777"/>
      <c r="Q1521" s="781"/>
      <c r="R1521" s="782"/>
      <c r="S1521" s="782"/>
      <c r="T1521" s="782"/>
    </row>
    <row r="1522" spans="2:20">
      <c r="B1522" s="1076"/>
      <c r="C1522" s="774"/>
      <c r="D1522" s="775"/>
      <c r="E1522" s="776"/>
      <c r="F1522" s="776"/>
      <c r="G1522" s="777"/>
      <c r="H1522" s="783"/>
      <c r="I1522" s="777"/>
      <c r="J1522" s="776"/>
      <c r="K1522" s="779"/>
      <c r="L1522" s="779"/>
      <c r="M1522" s="779"/>
      <c r="N1522" s="780"/>
      <c r="O1522" s="780"/>
      <c r="P1522" s="777"/>
      <c r="Q1522" s="781"/>
      <c r="R1522" s="782"/>
      <c r="S1522" s="782"/>
      <c r="T1522" s="782"/>
    </row>
    <row r="1523" spans="2:20">
      <c r="B1523" s="1077"/>
      <c r="C1523" s="873"/>
      <c r="D1523" s="874"/>
      <c r="E1523" s="875"/>
      <c r="F1523" s="875"/>
      <c r="G1523" s="876"/>
      <c r="H1523" s="877"/>
      <c r="I1523" s="876"/>
      <c r="J1523" s="875"/>
      <c r="K1523" s="878"/>
      <c r="L1523" s="878"/>
      <c r="M1523" s="878"/>
      <c r="N1523" s="879"/>
      <c r="O1523" s="879"/>
      <c r="P1523" s="876"/>
      <c r="Q1523" s="880"/>
      <c r="R1523" s="881"/>
      <c r="S1523" s="881"/>
      <c r="T1523" s="881"/>
    </row>
    <row r="1524" spans="2:20">
      <c r="B1524" s="1075"/>
      <c r="C1524" s="785"/>
      <c r="D1524" s="786"/>
      <c r="E1524" s="787"/>
      <c r="F1524" s="787"/>
      <c r="G1524" s="788"/>
      <c r="H1524" s="797"/>
      <c r="I1524" s="788"/>
      <c r="J1524" s="787"/>
      <c r="K1524" s="790"/>
      <c r="L1524" s="790"/>
      <c r="M1524" s="790"/>
      <c r="N1524" s="791"/>
      <c r="O1524" s="791"/>
      <c r="P1524" s="788"/>
      <c r="Q1524" s="792"/>
      <c r="R1524" s="793"/>
      <c r="S1524" s="793"/>
      <c r="T1524" s="793"/>
    </row>
    <row r="1525" spans="2:20">
      <c r="B1525" s="1076"/>
      <c r="C1525" s="774"/>
      <c r="D1525" s="775"/>
      <c r="E1525" s="776"/>
      <c r="F1525" s="776"/>
      <c r="G1525" s="777"/>
      <c r="H1525" s="783"/>
      <c r="I1525" s="777"/>
      <c r="J1525" s="776"/>
      <c r="K1525" s="779"/>
      <c r="L1525" s="779"/>
      <c r="M1525" s="779"/>
      <c r="N1525" s="780"/>
      <c r="O1525" s="780"/>
      <c r="P1525" s="777"/>
      <c r="Q1525" s="781"/>
      <c r="R1525" s="782"/>
      <c r="S1525" s="782"/>
      <c r="T1525" s="782"/>
    </row>
    <row r="1526" spans="2:20">
      <c r="B1526" s="1076"/>
      <c r="C1526" s="774"/>
      <c r="D1526" s="775"/>
      <c r="E1526" s="776"/>
      <c r="F1526" s="776"/>
      <c r="G1526" s="777"/>
      <c r="H1526" s="783"/>
      <c r="I1526" s="777"/>
      <c r="J1526" s="776"/>
      <c r="K1526" s="779"/>
      <c r="L1526" s="779"/>
      <c r="M1526" s="779"/>
      <c r="N1526" s="780"/>
      <c r="O1526" s="780"/>
      <c r="P1526" s="777"/>
      <c r="Q1526" s="781"/>
      <c r="R1526" s="782"/>
      <c r="S1526" s="782"/>
      <c r="T1526" s="782"/>
    </row>
    <row r="1527" spans="2:20">
      <c r="B1527" s="1076"/>
      <c r="C1527" s="774"/>
      <c r="D1527" s="775"/>
      <c r="E1527" s="776"/>
      <c r="F1527" s="776"/>
      <c r="G1527" s="777"/>
      <c r="H1527" s="783"/>
      <c r="I1527" s="777"/>
      <c r="J1527" s="776"/>
      <c r="K1527" s="779"/>
      <c r="L1527" s="779"/>
      <c r="M1527" s="779"/>
      <c r="N1527" s="780"/>
      <c r="O1527" s="780"/>
      <c r="P1527" s="777"/>
      <c r="Q1527" s="781"/>
      <c r="R1527" s="782"/>
      <c r="S1527" s="782"/>
      <c r="T1527" s="782"/>
    </row>
    <row r="1528" spans="2:20">
      <c r="B1528" s="1076"/>
      <c r="C1528" s="774"/>
      <c r="D1528" s="775"/>
      <c r="E1528" s="776"/>
      <c r="F1528" s="776"/>
      <c r="G1528" s="777"/>
      <c r="H1528" s="783"/>
      <c r="I1528" s="777"/>
      <c r="J1528" s="776"/>
      <c r="K1528" s="779"/>
      <c r="L1528" s="779"/>
      <c r="M1528" s="779"/>
      <c r="N1528" s="780"/>
      <c r="O1528" s="780"/>
      <c r="P1528" s="777"/>
      <c r="Q1528" s="781"/>
      <c r="R1528" s="782"/>
      <c r="S1528" s="782"/>
      <c r="T1528" s="782"/>
    </row>
    <row r="1529" spans="2:20">
      <c r="B1529" s="1076"/>
      <c r="C1529" s="774"/>
      <c r="D1529" s="775"/>
      <c r="E1529" s="776"/>
      <c r="F1529" s="776"/>
      <c r="G1529" s="777"/>
      <c r="H1529" s="783"/>
      <c r="I1529" s="777"/>
      <c r="J1529" s="776"/>
      <c r="K1529" s="779"/>
      <c r="L1529" s="779"/>
      <c r="M1529" s="779"/>
      <c r="N1529" s="780"/>
      <c r="O1529" s="780"/>
      <c r="P1529" s="777"/>
      <c r="Q1529" s="781"/>
      <c r="R1529" s="782"/>
      <c r="S1529" s="782"/>
      <c r="T1529" s="782"/>
    </row>
    <row r="1530" spans="2:20">
      <c r="B1530" s="1076"/>
      <c r="C1530" s="774"/>
      <c r="D1530" s="775"/>
      <c r="E1530" s="776"/>
      <c r="F1530" s="776"/>
      <c r="G1530" s="777"/>
      <c r="H1530" s="783"/>
      <c r="I1530" s="777"/>
      <c r="J1530" s="776"/>
      <c r="K1530" s="779"/>
      <c r="L1530" s="779"/>
      <c r="M1530" s="779"/>
      <c r="N1530" s="780"/>
      <c r="O1530" s="780"/>
      <c r="P1530" s="777"/>
      <c r="Q1530" s="781"/>
      <c r="R1530" s="782"/>
      <c r="S1530" s="782"/>
      <c r="T1530" s="782"/>
    </row>
    <row r="1531" spans="2:20">
      <c r="B1531" s="1076"/>
      <c r="C1531" s="774"/>
      <c r="D1531" s="775"/>
      <c r="E1531" s="776"/>
      <c r="F1531" s="776"/>
      <c r="G1531" s="777"/>
      <c r="H1531" s="783"/>
      <c r="I1531" s="777"/>
      <c r="J1531" s="776"/>
      <c r="K1531" s="779"/>
      <c r="L1531" s="779"/>
      <c r="M1531" s="779"/>
      <c r="N1531" s="780"/>
      <c r="O1531" s="780"/>
      <c r="P1531" s="777"/>
      <c r="Q1531" s="781"/>
      <c r="R1531" s="782"/>
      <c r="S1531" s="782"/>
      <c r="T1531" s="782"/>
    </row>
    <row r="1532" spans="2:20">
      <c r="B1532" s="1076"/>
      <c r="C1532" s="774"/>
      <c r="D1532" s="775"/>
      <c r="E1532" s="776"/>
      <c r="F1532" s="776"/>
      <c r="G1532" s="777"/>
      <c r="H1532" s="783"/>
      <c r="I1532" s="777"/>
      <c r="J1532" s="776"/>
      <c r="K1532" s="779"/>
      <c r="L1532" s="779"/>
      <c r="M1532" s="779"/>
      <c r="N1532" s="780"/>
      <c r="O1532" s="780"/>
      <c r="P1532" s="777"/>
      <c r="Q1532" s="781"/>
      <c r="R1532" s="782"/>
      <c r="S1532" s="782"/>
      <c r="T1532" s="782"/>
    </row>
    <row r="1533" spans="2:20">
      <c r="B1533" s="1077"/>
      <c r="C1533" s="873"/>
      <c r="D1533" s="874"/>
      <c r="E1533" s="875"/>
      <c r="F1533" s="875"/>
      <c r="G1533" s="876"/>
      <c r="H1533" s="877"/>
      <c r="I1533" s="876"/>
      <c r="J1533" s="875"/>
      <c r="K1533" s="878"/>
      <c r="L1533" s="878"/>
      <c r="M1533" s="878"/>
      <c r="N1533" s="879"/>
      <c r="O1533" s="879"/>
      <c r="P1533" s="876"/>
      <c r="Q1533" s="880"/>
      <c r="R1533" s="881"/>
      <c r="S1533" s="881"/>
      <c r="T1533" s="881"/>
    </row>
    <row r="1534" spans="2:20">
      <c r="B1534" s="1075"/>
      <c r="C1534" s="785"/>
      <c r="D1534" s="786"/>
      <c r="E1534" s="787"/>
      <c r="F1534" s="787"/>
      <c r="G1534" s="788"/>
      <c r="H1534" s="797"/>
      <c r="I1534" s="788"/>
      <c r="J1534" s="787"/>
      <c r="K1534" s="790"/>
      <c r="L1534" s="790"/>
      <c r="M1534" s="790"/>
      <c r="N1534" s="791"/>
      <c r="O1534" s="791"/>
      <c r="P1534" s="788"/>
      <c r="Q1534" s="792"/>
      <c r="R1534" s="793"/>
      <c r="S1534" s="793"/>
      <c r="T1534" s="793"/>
    </row>
    <row r="1535" spans="2:20">
      <c r="B1535" s="1076"/>
      <c r="C1535" s="774"/>
      <c r="D1535" s="775"/>
      <c r="E1535" s="776"/>
      <c r="F1535" s="776"/>
      <c r="G1535" s="777"/>
      <c r="H1535" s="783"/>
      <c r="I1535" s="777"/>
      <c r="J1535" s="776"/>
      <c r="K1535" s="779"/>
      <c r="L1535" s="779"/>
      <c r="M1535" s="779"/>
      <c r="N1535" s="780"/>
      <c r="O1535" s="780"/>
      <c r="P1535" s="777"/>
      <c r="Q1535" s="781"/>
      <c r="R1535" s="782"/>
      <c r="S1535" s="782"/>
      <c r="T1535" s="782"/>
    </row>
    <row r="1536" spans="2:20">
      <c r="B1536" s="1076"/>
      <c r="C1536" s="774"/>
      <c r="D1536" s="775"/>
      <c r="E1536" s="776"/>
      <c r="F1536" s="776"/>
      <c r="G1536" s="777"/>
      <c r="H1536" s="783"/>
      <c r="I1536" s="777"/>
      <c r="J1536" s="776"/>
      <c r="K1536" s="779"/>
      <c r="L1536" s="779"/>
      <c r="M1536" s="779"/>
      <c r="N1536" s="780"/>
      <c r="O1536" s="780"/>
      <c r="P1536" s="777"/>
      <c r="Q1536" s="781"/>
      <c r="R1536" s="782"/>
      <c r="S1536" s="782"/>
      <c r="T1536" s="782"/>
    </row>
    <row r="1537" spans="2:20">
      <c r="B1537" s="1076"/>
      <c r="C1537" s="774"/>
      <c r="D1537" s="775"/>
      <c r="E1537" s="776"/>
      <c r="F1537" s="776"/>
      <c r="G1537" s="777"/>
      <c r="H1537" s="783"/>
      <c r="I1537" s="777"/>
      <c r="J1537" s="776"/>
      <c r="K1537" s="779"/>
      <c r="L1537" s="779"/>
      <c r="M1537" s="779"/>
      <c r="N1537" s="780"/>
      <c r="O1537" s="780"/>
      <c r="P1537" s="777"/>
      <c r="Q1537" s="781"/>
      <c r="R1537" s="782"/>
      <c r="S1537" s="782"/>
      <c r="T1537" s="782"/>
    </row>
    <row r="1538" spans="2:20">
      <c r="B1538" s="1076"/>
      <c r="C1538" s="774"/>
      <c r="D1538" s="775"/>
      <c r="E1538" s="776"/>
      <c r="F1538" s="776"/>
      <c r="G1538" s="777"/>
      <c r="H1538" s="783"/>
      <c r="I1538" s="777"/>
      <c r="J1538" s="776"/>
      <c r="K1538" s="779"/>
      <c r="L1538" s="779"/>
      <c r="M1538" s="779"/>
      <c r="N1538" s="780"/>
      <c r="O1538" s="780"/>
      <c r="P1538" s="777"/>
      <c r="Q1538" s="781"/>
      <c r="R1538" s="782"/>
      <c r="S1538" s="782"/>
      <c r="T1538" s="782"/>
    </row>
    <row r="1539" spans="2:20">
      <c r="B1539" s="1076"/>
      <c r="C1539" s="774"/>
      <c r="D1539" s="775"/>
      <c r="E1539" s="776"/>
      <c r="F1539" s="776"/>
      <c r="G1539" s="777"/>
      <c r="H1539" s="783"/>
      <c r="I1539" s="777"/>
      <c r="J1539" s="776"/>
      <c r="K1539" s="779"/>
      <c r="L1539" s="779"/>
      <c r="M1539" s="779"/>
      <c r="N1539" s="780"/>
      <c r="O1539" s="780"/>
      <c r="P1539" s="777"/>
      <c r="Q1539" s="781"/>
      <c r="R1539" s="782"/>
      <c r="S1539" s="782"/>
      <c r="T1539" s="782"/>
    </row>
    <row r="1540" spans="2:20">
      <c r="B1540" s="1076"/>
      <c r="C1540" s="774"/>
      <c r="D1540" s="775"/>
      <c r="E1540" s="776"/>
      <c r="F1540" s="776"/>
      <c r="G1540" s="777"/>
      <c r="H1540" s="783"/>
      <c r="I1540" s="777"/>
      <c r="J1540" s="776"/>
      <c r="K1540" s="779"/>
      <c r="L1540" s="779"/>
      <c r="M1540" s="779"/>
      <c r="N1540" s="780"/>
      <c r="O1540" s="780"/>
      <c r="P1540" s="777"/>
      <c r="Q1540" s="781"/>
      <c r="R1540" s="782"/>
      <c r="S1540" s="782"/>
      <c r="T1540" s="782"/>
    </row>
    <row r="1541" spans="2:20">
      <c r="B1541" s="1076"/>
      <c r="C1541" s="774"/>
      <c r="D1541" s="775"/>
      <c r="E1541" s="776"/>
      <c r="F1541" s="776"/>
      <c r="G1541" s="777"/>
      <c r="H1541" s="783"/>
      <c r="I1541" s="777"/>
      <c r="J1541" s="776"/>
      <c r="K1541" s="779"/>
      <c r="L1541" s="779"/>
      <c r="M1541" s="779"/>
      <c r="N1541" s="780"/>
      <c r="O1541" s="780"/>
      <c r="P1541" s="777"/>
      <c r="Q1541" s="781"/>
      <c r="R1541" s="782"/>
      <c r="S1541" s="782"/>
      <c r="T1541" s="782"/>
    </row>
    <row r="1542" spans="2:20">
      <c r="B1542" s="1076"/>
      <c r="C1542" s="774"/>
      <c r="D1542" s="775"/>
      <c r="E1542" s="776"/>
      <c r="F1542" s="776"/>
      <c r="G1542" s="777"/>
      <c r="H1542" s="783"/>
      <c r="I1542" s="777"/>
      <c r="J1542" s="776"/>
      <c r="K1542" s="779"/>
      <c r="L1542" s="779"/>
      <c r="M1542" s="779"/>
      <c r="N1542" s="780"/>
      <c r="O1542" s="780"/>
      <c r="P1542" s="777"/>
      <c r="Q1542" s="781"/>
      <c r="R1542" s="782"/>
      <c r="S1542" s="782"/>
      <c r="T1542" s="782"/>
    </row>
    <row r="1543" spans="2:20">
      <c r="B1543" s="1077"/>
      <c r="C1543" s="873"/>
      <c r="D1543" s="874"/>
      <c r="E1543" s="875"/>
      <c r="F1543" s="875"/>
      <c r="G1543" s="876"/>
      <c r="H1543" s="877"/>
      <c r="I1543" s="876"/>
      <c r="J1543" s="875"/>
      <c r="K1543" s="878"/>
      <c r="L1543" s="878"/>
      <c r="M1543" s="878"/>
      <c r="N1543" s="879"/>
      <c r="O1543" s="879"/>
      <c r="P1543" s="876"/>
      <c r="Q1543" s="880"/>
      <c r="R1543" s="881"/>
      <c r="S1543" s="881"/>
      <c r="T1543" s="881"/>
    </row>
    <row r="1544" spans="2:20">
      <c r="B1544" s="1075"/>
      <c r="C1544" s="785"/>
      <c r="D1544" s="786"/>
      <c r="E1544" s="787"/>
      <c r="F1544" s="787"/>
      <c r="G1544" s="788"/>
      <c r="H1544" s="797"/>
      <c r="I1544" s="788"/>
      <c r="J1544" s="787"/>
      <c r="K1544" s="790"/>
      <c r="L1544" s="790"/>
      <c r="M1544" s="790"/>
      <c r="N1544" s="791"/>
      <c r="O1544" s="791"/>
      <c r="P1544" s="788"/>
      <c r="Q1544" s="792"/>
      <c r="R1544" s="793"/>
      <c r="S1544" s="793"/>
      <c r="T1544" s="793"/>
    </row>
    <row r="1545" spans="2:20">
      <c r="B1545" s="1076"/>
      <c r="C1545" s="774"/>
      <c r="D1545" s="775"/>
      <c r="E1545" s="776"/>
      <c r="F1545" s="776"/>
      <c r="G1545" s="777"/>
      <c r="H1545" s="783"/>
      <c r="I1545" s="777"/>
      <c r="J1545" s="776"/>
      <c r="K1545" s="779"/>
      <c r="L1545" s="779"/>
      <c r="M1545" s="779"/>
      <c r="N1545" s="780"/>
      <c r="O1545" s="780"/>
      <c r="P1545" s="777"/>
      <c r="Q1545" s="781"/>
      <c r="R1545" s="782"/>
      <c r="S1545" s="782"/>
      <c r="T1545" s="782"/>
    </row>
    <row r="1546" spans="2:20">
      <c r="B1546" s="1076"/>
      <c r="C1546" s="774"/>
      <c r="D1546" s="775"/>
      <c r="E1546" s="776"/>
      <c r="F1546" s="776"/>
      <c r="G1546" s="777"/>
      <c r="H1546" s="783"/>
      <c r="I1546" s="777"/>
      <c r="J1546" s="776"/>
      <c r="K1546" s="779"/>
      <c r="L1546" s="779"/>
      <c r="M1546" s="779"/>
      <c r="N1546" s="780"/>
      <c r="O1546" s="780"/>
      <c r="P1546" s="777"/>
      <c r="Q1546" s="781"/>
      <c r="R1546" s="782"/>
      <c r="S1546" s="782"/>
      <c r="T1546" s="782"/>
    </row>
    <row r="1547" spans="2:20">
      <c r="B1547" s="1076"/>
      <c r="C1547" s="774"/>
      <c r="D1547" s="775"/>
      <c r="E1547" s="776"/>
      <c r="F1547" s="776"/>
      <c r="G1547" s="777"/>
      <c r="H1547" s="783"/>
      <c r="I1547" s="777"/>
      <c r="J1547" s="776"/>
      <c r="K1547" s="779"/>
      <c r="L1547" s="779"/>
      <c r="M1547" s="779"/>
      <c r="N1547" s="780"/>
      <c r="O1547" s="780"/>
      <c r="P1547" s="777"/>
      <c r="Q1547" s="781"/>
      <c r="R1547" s="782"/>
      <c r="S1547" s="782"/>
      <c r="T1547" s="782"/>
    </row>
    <row r="1548" spans="2:20">
      <c r="B1548" s="1076"/>
      <c r="C1548" s="774"/>
      <c r="D1548" s="775"/>
      <c r="E1548" s="776"/>
      <c r="F1548" s="776"/>
      <c r="G1548" s="777"/>
      <c r="H1548" s="783"/>
      <c r="I1548" s="777"/>
      <c r="J1548" s="776"/>
      <c r="K1548" s="779"/>
      <c r="L1548" s="779"/>
      <c r="M1548" s="779"/>
      <c r="N1548" s="780"/>
      <c r="O1548" s="780"/>
      <c r="P1548" s="777"/>
      <c r="Q1548" s="781"/>
      <c r="R1548" s="782"/>
      <c r="S1548" s="782"/>
      <c r="T1548" s="782"/>
    </row>
    <row r="1549" spans="2:20">
      <c r="B1549" s="1076"/>
      <c r="C1549" s="774"/>
      <c r="D1549" s="775"/>
      <c r="E1549" s="776"/>
      <c r="F1549" s="776"/>
      <c r="G1549" s="777"/>
      <c r="H1549" s="783"/>
      <c r="I1549" s="777"/>
      <c r="J1549" s="776"/>
      <c r="K1549" s="779"/>
      <c r="L1549" s="779"/>
      <c r="M1549" s="779"/>
      <c r="N1549" s="780"/>
      <c r="O1549" s="780"/>
      <c r="P1549" s="777"/>
      <c r="Q1549" s="781"/>
      <c r="R1549" s="782"/>
      <c r="S1549" s="782"/>
      <c r="T1549" s="782"/>
    </row>
    <row r="1550" spans="2:20">
      <c r="B1550" s="1076"/>
      <c r="C1550" s="774"/>
      <c r="D1550" s="775"/>
      <c r="E1550" s="776"/>
      <c r="F1550" s="776"/>
      <c r="G1550" s="777"/>
      <c r="H1550" s="783"/>
      <c r="I1550" s="777"/>
      <c r="J1550" s="776"/>
      <c r="K1550" s="779"/>
      <c r="L1550" s="779"/>
      <c r="M1550" s="779"/>
      <c r="N1550" s="780"/>
      <c r="O1550" s="780"/>
      <c r="P1550" s="777"/>
      <c r="Q1550" s="781"/>
      <c r="R1550" s="782"/>
      <c r="S1550" s="782"/>
      <c r="T1550" s="782"/>
    </row>
    <row r="1551" spans="2:20">
      <c r="B1551" s="1076"/>
      <c r="C1551" s="774"/>
      <c r="D1551" s="775"/>
      <c r="E1551" s="776"/>
      <c r="F1551" s="776"/>
      <c r="G1551" s="777"/>
      <c r="H1551" s="783"/>
      <c r="I1551" s="777"/>
      <c r="J1551" s="776"/>
      <c r="K1551" s="779"/>
      <c r="L1551" s="779"/>
      <c r="M1551" s="779"/>
      <c r="N1551" s="780"/>
      <c r="O1551" s="780"/>
      <c r="P1551" s="777"/>
      <c r="Q1551" s="781"/>
      <c r="R1551" s="782"/>
      <c r="S1551" s="782"/>
      <c r="T1551" s="782"/>
    </row>
    <row r="1552" spans="2:20">
      <c r="B1552" s="1076"/>
      <c r="C1552" s="774"/>
      <c r="D1552" s="775"/>
      <c r="E1552" s="776"/>
      <c r="F1552" s="776"/>
      <c r="G1552" s="777"/>
      <c r="H1552" s="783"/>
      <c r="I1552" s="777"/>
      <c r="J1552" s="776"/>
      <c r="K1552" s="779"/>
      <c r="L1552" s="779"/>
      <c r="M1552" s="779"/>
      <c r="N1552" s="780"/>
      <c r="O1552" s="780"/>
      <c r="P1552" s="777"/>
      <c r="Q1552" s="781"/>
      <c r="R1552" s="782"/>
      <c r="S1552" s="782"/>
      <c r="T1552" s="782"/>
    </row>
    <row r="1553" spans="2:20">
      <c r="B1553" s="1077"/>
      <c r="C1553" s="873"/>
      <c r="D1553" s="874"/>
      <c r="E1553" s="875"/>
      <c r="F1553" s="875"/>
      <c r="G1553" s="876"/>
      <c r="H1553" s="877"/>
      <c r="I1553" s="876"/>
      <c r="J1553" s="875"/>
      <c r="K1553" s="878"/>
      <c r="L1553" s="878"/>
      <c r="M1553" s="878"/>
      <c r="N1553" s="879"/>
      <c r="O1553" s="879"/>
      <c r="P1553" s="876"/>
      <c r="Q1553" s="880"/>
      <c r="R1553" s="881"/>
      <c r="S1553" s="881"/>
      <c r="T1553" s="881"/>
    </row>
    <row r="1554" spans="2:20">
      <c r="B1554" s="1075"/>
      <c r="C1554" s="785"/>
      <c r="D1554" s="786"/>
      <c r="E1554" s="787"/>
      <c r="F1554" s="787"/>
      <c r="G1554" s="788"/>
      <c r="H1554" s="797"/>
      <c r="I1554" s="788"/>
      <c r="J1554" s="787"/>
      <c r="K1554" s="790"/>
      <c r="L1554" s="790"/>
      <c r="M1554" s="790"/>
      <c r="N1554" s="791"/>
      <c r="O1554" s="791"/>
      <c r="P1554" s="788"/>
      <c r="Q1554" s="792"/>
      <c r="R1554" s="793"/>
      <c r="S1554" s="793"/>
      <c r="T1554" s="793"/>
    </row>
    <row r="1555" spans="2:20">
      <c r="B1555" s="1076"/>
      <c r="C1555" s="774"/>
      <c r="D1555" s="775"/>
      <c r="E1555" s="776"/>
      <c r="F1555" s="776"/>
      <c r="G1555" s="777"/>
      <c r="H1555" s="783"/>
      <c r="I1555" s="777"/>
      <c r="J1555" s="776"/>
      <c r="K1555" s="779"/>
      <c r="L1555" s="779"/>
      <c r="M1555" s="779"/>
      <c r="N1555" s="780"/>
      <c r="O1555" s="780"/>
      <c r="P1555" s="777"/>
      <c r="Q1555" s="781"/>
      <c r="R1555" s="782"/>
      <c r="S1555" s="782"/>
      <c r="T1555" s="782"/>
    </row>
    <row r="1556" spans="2:20">
      <c r="B1556" s="1076"/>
      <c r="C1556" s="774"/>
      <c r="D1556" s="775"/>
      <c r="E1556" s="776"/>
      <c r="F1556" s="776"/>
      <c r="G1556" s="777"/>
      <c r="H1556" s="783"/>
      <c r="I1556" s="777"/>
      <c r="J1556" s="776"/>
      <c r="K1556" s="779"/>
      <c r="L1556" s="779"/>
      <c r="M1556" s="779"/>
      <c r="N1556" s="780"/>
      <c r="O1556" s="780"/>
      <c r="P1556" s="777"/>
      <c r="Q1556" s="781"/>
      <c r="R1556" s="782"/>
      <c r="S1556" s="782"/>
      <c r="T1556" s="782"/>
    </row>
    <row r="1557" spans="2:20">
      <c r="B1557" s="1076"/>
      <c r="C1557" s="774"/>
      <c r="D1557" s="775"/>
      <c r="E1557" s="776"/>
      <c r="F1557" s="776"/>
      <c r="G1557" s="777"/>
      <c r="H1557" s="783"/>
      <c r="I1557" s="777"/>
      <c r="J1557" s="776"/>
      <c r="K1557" s="779"/>
      <c r="L1557" s="779"/>
      <c r="M1557" s="779"/>
      <c r="N1557" s="780"/>
      <c r="O1557" s="780"/>
      <c r="P1557" s="777"/>
      <c r="Q1557" s="781"/>
      <c r="R1557" s="782"/>
      <c r="S1557" s="782"/>
      <c r="T1557" s="782"/>
    </row>
    <row r="1558" spans="2:20">
      <c r="B1558" s="1076"/>
      <c r="C1558" s="774"/>
      <c r="D1558" s="775"/>
      <c r="E1558" s="776"/>
      <c r="F1558" s="776"/>
      <c r="G1558" s="777"/>
      <c r="H1558" s="783"/>
      <c r="I1558" s="777"/>
      <c r="J1558" s="776"/>
      <c r="K1558" s="779"/>
      <c r="L1558" s="779"/>
      <c r="M1558" s="779"/>
      <c r="N1558" s="780"/>
      <c r="O1558" s="780"/>
      <c r="P1558" s="777"/>
      <c r="Q1558" s="781"/>
      <c r="R1558" s="782"/>
      <c r="S1558" s="782"/>
      <c r="T1558" s="782"/>
    </row>
    <row r="1559" spans="2:20">
      <c r="B1559" s="1076"/>
      <c r="C1559" s="774"/>
      <c r="D1559" s="775"/>
      <c r="E1559" s="776"/>
      <c r="F1559" s="776"/>
      <c r="G1559" s="777"/>
      <c r="H1559" s="783"/>
      <c r="I1559" s="777"/>
      <c r="J1559" s="776"/>
      <c r="K1559" s="779"/>
      <c r="L1559" s="779"/>
      <c r="M1559" s="779"/>
      <c r="N1559" s="780"/>
      <c r="O1559" s="780"/>
      <c r="P1559" s="777"/>
      <c r="Q1559" s="781"/>
      <c r="R1559" s="782"/>
      <c r="S1559" s="782"/>
      <c r="T1559" s="782"/>
    </row>
    <row r="1560" spans="2:20">
      <c r="B1560" s="1076"/>
      <c r="C1560" s="774"/>
      <c r="D1560" s="775"/>
      <c r="E1560" s="776"/>
      <c r="F1560" s="776"/>
      <c r="G1560" s="777"/>
      <c r="H1560" s="783"/>
      <c r="I1560" s="777"/>
      <c r="J1560" s="776"/>
      <c r="K1560" s="779"/>
      <c r="L1560" s="779"/>
      <c r="M1560" s="779"/>
      <c r="N1560" s="780"/>
      <c r="O1560" s="780"/>
      <c r="P1560" s="777"/>
      <c r="Q1560" s="781"/>
      <c r="R1560" s="782"/>
      <c r="S1560" s="782"/>
      <c r="T1560" s="782"/>
    </row>
    <row r="1561" spans="2:20">
      <c r="B1561" s="1076"/>
      <c r="C1561" s="774"/>
      <c r="D1561" s="775"/>
      <c r="E1561" s="776"/>
      <c r="F1561" s="776"/>
      <c r="G1561" s="777"/>
      <c r="H1561" s="783"/>
      <c r="I1561" s="777"/>
      <c r="J1561" s="776"/>
      <c r="K1561" s="779"/>
      <c r="L1561" s="779"/>
      <c r="M1561" s="779"/>
      <c r="N1561" s="780"/>
      <c r="O1561" s="780"/>
      <c r="P1561" s="777"/>
      <c r="Q1561" s="781"/>
      <c r="R1561" s="782"/>
      <c r="S1561" s="782"/>
      <c r="T1561" s="782"/>
    </row>
    <row r="1562" spans="2:20">
      <c r="B1562" s="1076"/>
      <c r="C1562" s="774"/>
      <c r="D1562" s="775"/>
      <c r="E1562" s="776"/>
      <c r="F1562" s="776"/>
      <c r="G1562" s="777"/>
      <c r="H1562" s="783"/>
      <c r="I1562" s="777"/>
      <c r="J1562" s="776"/>
      <c r="K1562" s="779"/>
      <c r="L1562" s="779"/>
      <c r="M1562" s="779"/>
      <c r="N1562" s="780"/>
      <c r="O1562" s="780"/>
      <c r="P1562" s="777"/>
      <c r="Q1562" s="781"/>
      <c r="R1562" s="782"/>
      <c r="S1562" s="782"/>
      <c r="T1562" s="782"/>
    </row>
    <row r="1563" spans="2:20">
      <c r="B1563" s="1077"/>
      <c r="C1563" s="873"/>
      <c r="D1563" s="874"/>
      <c r="E1563" s="875"/>
      <c r="F1563" s="875"/>
      <c r="G1563" s="876"/>
      <c r="H1563" s="877"/>
      <c r="I1563" s="876"/>
      <c r="J1563" s="875"/>
      <c r="K1563" s="878"/>
      <c r="L1563" s="878"/>
      <c r="M1563" s="878"/>
      <c r="N1563" s="879"/>
      <c r="O1563" s="879"/>
      <c r="P1563" s="876"/>
      <c r="Q1563" s="880"/>
      <c r="R1563" s="881"/>
      <c r="S1563" s="881"/>
      <c r="T1563" s="881"/>
    </row>
    <row r="1564" spans="2:20">
      <c r="B1564" s="1076"/>
      <c r="C1564" s="774"/>
      <c r="D1564" s="775"/>
      <c r="E1564" s="776"/>
      <c r="F1564" s="776"/>
      <c r="G1564" s="777"/>
      <c r="H1564" s="783"/>
      <c r="I1564" s="777"/>
      <c r="J1564" s="776"/>
      <c r="K1564" s="779"/>
      <c r="L1564" s="779"/>
      <c r="M1564" s="779"/>
      <c r="N1564" s="780"/>
      <c r="O1564" s="780"/>
      <c r="P1564" s="777"/>
      <c r="Q1564" s="781"/>
      <c r="R1564" s="782"/>
      <c r="S1564" s="782"/>
      <c r="T1564" s="782"/>
    </row>
    <row r="1565" spans="2:20">
      <c r="B1565" s="1076"/>
      <c r="C1565" s="774"/>
      <c r="D1565" s="775"/>
      <c r="E1565" s="776"/>
      <c r="F1565" s="776"/>
      <c r="G1565" s="777"/>
      <c r="H1565" s="783"/>
      <c r="I1565" s="777"/>
      <c r="J1565" s="776"/>
      <c r="K1565" s="779"/>
      <c r="L1565" s="779"/>
      <c r="M1565" s="779"/>
      <c r="N1565" s="780"/>
      <c r="O1565" s="780"/>
      <c r="P1565" s="777"/>
      <c r="Q1565" s="781"/>
      <c r="R1565" s="782"/>
      <c r="S1565" s="782"/>
      <c r="T1565" s="782"/>
    </row>
    <row r="1566" spans="2:20">
      <c r="B1566" s="1076"/>
      <c r="C1566" s="774"/>
      <c r="D1566" s="775"/>
      <c r="E1566" s="776"/>
      <c r="F1566" s="776"/>
      <c r="G1566" s="777"/>
      <c r="H1566" s="783"/>
      <c r="I1566" s="777"/>
      <c r="J1566" s="776"/>
      <c r="K1566" s="779"/>
      <c r="L1566" s="779"/>
      <c r="M1566" s="779"/>
      <c r="N1566" s="780"/>
      <c r="O1566" s="780"/>
      <c r="P1566" s="777"/>
      <c r="Q1566" s="781"/>
      <c r="R1566" s="782"/>
      <c r="S1566" s="782"/>
      <c r="T1566" s="782"/>
    </row>
    <row r="1567" spans="2:20">
      <c r="B1567" s="1076"/>
      <c r="C1567" s="774"/>
      <c r="D1567" s="775"/>
      <c r="E1567" s="776"/>
      <c r="F1567" s="776"/>
      <c r="G1567" s="777"/>
      <c r="H1567" s="783"/>
      <c r="I1567" s="777"/>
      <c r="J1567" s="776"/>
      <c r="K1567" s="779"/>
      <c r="L1567" s="779"/>
      <c r="M1567" s="779"/>
      <c r="N1567" s="780"/>
      <c r="O1567" s="780"/>
      <c r="P1567" s="777"/>
      <c r="Q1567" s="781"/>
      <c r="R1567" s="782"/>
      <c r="S1567" s="782"/>
      <c r="T1567" s="782"/>
    </row>
    <row r="1568" spans="2:20">
      <c r="B1568" s="1076"/>
      <c r="C1568" s="774"/>
      <c r="D1568" s="775"/>
      <c r="E1568" s="776"/>
      <c r="F1568" s="776"/>
      <c r="G1568" s="777"/>
      <c r="H1568" s="783"/>
      <c r="I1568" s="777"/>
      <c r="J1568" s="776"/>
      <c r="K1568" s="779"/>
      <c r="L1568" s="779"/>
      <c r="M1568" s="779"/>
      <c r="N1568" s="780"/>
      <c r="O1568" s="780"/>
      <c r="P1568" s="777"/>
      <c r="Q1568" s="781"/>
      <c r="R1568" s="782"/>
      <c r="S1568" s="782"/>
      <c r="T1568" s="782"/>
    </row>
    <row r="1569" spans="2:20">
      <c r="B1569" s="1076"/>
      <c r="C1569" s="774"/>
      <c r="D1569" s="775"/>
      <c r="E1569" s="776"/>
      <c r="F1569" s="776"/>
      <c r="G1569" s="777"/>
      <c r="H1569" s="783"/>
      <c r="I1569" s="777"/>
      <c r="J1569" s="776"/>
      <c r="K1569" s="779"/>
      <c r="L1569" s="779"/>
      <c r="M1569" s="779"/>
      <c r="N1569" s="780"/>
      <c r="O1569" s="780"/>
      <c r="P1569" s="777"/>
      <c r="Q1569" s="781"/>
      <c r="R1569" s="782"/>
      <c r="S1569" s="782"/>
      <c r="T1569" s="782"/>
    </row>
    <row r="1570" spans="2:20">
      <c r="B1570" s="1076"/>
      <c r="C1570" s="774"/>
      <c r="D1570" s="775"/>
      <c r="E1570" s="776"/>
      <c r="F1570" s="776"/>
      <c r="G1570" s="777"/>
      <c r="H1570" s="783"/>
      <c r="I1570" s="777"/>
      <c r="J1570" s="776"/>
      <c r="K1570" s="779"/>
      <c r="L1570" s="779"/>
      <c r="M1570" s="779"/>
      <c r="N1570" s="780"/>
      <c r="O1570" s="780"/>
      <c r="P1570" s="777"/>
      <c r="Q1570" s="781"/>
      <c r="R1570" s="782"/>
      <c r="S1570" s="782"/>
      <c r="T1570" s="782"/>
    </row>
    <row r="1571" spans="2:20">
      <c r="B1571" s="1076"/>
      <c r="C1571" s="774"/>
      <c r="D1571" s="775"/>
      <c r="E1571" s="776"/>
      <c r="F1571" s="776"/>
      <c r="G1571" s="777"/>
      <c r="H1571" s="783"/>
      <c r="I1571" s="777"/>
      <c r="J1571" s="776"/>
      <c r="K1571" s="779"/>
      <c r="L1571" s="779"/>
      <c r="M1571" s="779"/>
      <c r="N1571" s="780"/>
      <c r="O1571" s="780"/>
      <c r="P1571" s="777"/>
      <c r="Q1571" s="781"/>
      <c r="R1571" s="782"/>
      <c r="S1571" s="782"/>
      <c r="T1571" s="782"/>
    </row>
    <row r="1572" spans="2:20">
      <c r="B1572" s="1076"/>
      <c r="C1572" s="774"/>
      <c r="D1572" s="775"/>
      <c r="E1572" s="776"/>
      <c r="F1572" s="776"/>
      <c r="G1572" s="777"/>
      <c r="H1572" s="783"/>
      <c r="I1572" s="777"/>
      <c r="J1572" s="776"/>
      <c r="K1572" s="779"/>
      <c r="L1572" s="779"/>
      <c r="M1572" s="779"/>
      <c r="N1572" s="780"/>
      <c r="O1572" s="780"/>
      <c r="P1572" s="777"/>
      <c r="Q1572" s="781"/>
      <c r="R1572" s="782"/>
      <c r="S1572" s="782"/>
      <c r="T1572" s="782"/>
    </row>
    <row r="1573" spans="2:20">
      <c r="B1573" s="1076"/>
      <c r="C1573" s="774"/>
      <c r="D1573" s="775"/>
      <c r="E1573" s="776"/>
      <c r="F1573" s="776"/>
      <c r="G1573" s="777"/>
      <c r="H1573" s="783"/>
      <c r="I1573" s="777"/>
      <c r="J1573" s="776"/>
      <c r="K1573" s="779"/>
      <c r="L1573" s="779"/>
      <c r="M1573" s="779"/>
      <c r="N1573" s="780"/>
      <c r="O1573" s="780"/>
      <c r="P1573" s="777"/>
      <c r="Q1573" s="781"/>
      <c r="R1573" s="782"/>
      <c r="S1573" s="782"/>
      <c r="T1573" s="782"/>
    </row>
    <row r="1574" spans="2:20">
      <c r="B1574" s="1078"/>
      <c r="C1574" s="1079"/>
      <c r="D1574" s="1080" t="s">
        <v>6087</v>
      </c>
      <c r="E1574" s="1078"/>
      <c r="F1574" s="1078"/>
      <c r="G1574" s="1078"/>
      <c r="H1574" s="1081"/>
      <c r="I1574" s="1078"/>
      <c r="J1574" s="1078"/>
      <c r="K1574" s="864"/>
      <c r="L1574" s="865"/>
      <c r="M1574" s="865"/>
      <c r="N1574" s="866"/>
      <c r="O1574" s="867"/>
      <c r="P1574" s="868"/>
      <c r="Q1574" s="869"/>
      <c r="R1574" s="870"/>
      <c r="S1574" s="870"/>
      <c r="T1574" s="870"/>
    </row>
    <row r="1575" spans="2:20">
      <c r="B1575" s="1075"/>
      <c r="C1575" s="785"/>
      <c r="D1575" s="786"/>
      <c r="E1575" s="787"/>
      <c r="F1575" s="787"/>
      <c r="G1575" s="788"/>
      <c r="H1575" s="797"/>
      <c r="I1575" s="788"/>
      <c r="J1575" s="787"/>
      <c r="K1575" s="790"/>
      <c r="L1575" s="790"/>
      <c r="M1575" s="790"/>
      <c r="N1575" s="791"/>
      <c r="O1575" s="791"/>
      <c r="P1575" s="788"/>
      <c r="Q1575" s="792"/>
      <c r="R1575" s="793"/>
      <c r="S1575" s="793"/>
      <c r="T1575" s="793"/>
    </row>
    <row r="1576" spans="2:20">
      <c r="B1576" s="1076"/>
      <c r="C1576" s="774"/>
      <c r="D1576" s="775"/>
      <c r="E1576" s="776"/>
      <c r="F1576" s="776"/>
      <c r="G1576" s="777"/>
      <c r="H1576" s="783"/>
      <c r="I1576" s="777"/>
      <c r="J1576" s="776"/>
      <c r="K1576" s="779"/>
      <c r="L1576" s="779"/>
      <c r="M1576" s="779"/>
      <c r="N1576" s="780"/>
      <c r="O1576" s="780"/>
      <c r="P1576" s="777"/>
      <c r="Q1576" s="781"/>
      <c r="R1576" s="782"/>
      <c r="S1576" s="782"/>
      <c r="T1576" s="782"/>
    </row>
    <row r="1577" spans="2:20">
      <c r="B1577" s="1076"/>
      <c r="C1577" s="774"/>
      <c r="D1577" s="775"/>
      <c r="E1577" s="776"/>
      <c r="F1577" s="776"/>
      <c r="G1577" s="777"/>
      <c r="H1577" s="783"/>
      <c r="I1577" s="777"/>
      <c r="J1577" s="776"/>
      <c r="K1577" s="779"/>
      <c r="L1577" s="779"/>
      <c r="M1577" s="779"/>
      <c r="N1577" s="780"/>
      <c r="O1577" s="780"/>
      <c r="P1577" s="777"/>
      <c r="Q1577" s="781"/>
      <c r="R1577" s="782"/>
      <c r="S1577" s="782"/>
      <c r="T1577" s="782"/>
    </row>
    <row r="1578" spans="2:20">
      <c r="B1578" s="1076"/>
      <c r="C1578" s="774"/>
      <c r="D1578" s="775"/>
      <c r="E1578" s="776"/>
      <c r="F1578" s="776"/>
      <c r="G1578" s="777"/>
      <c r="H1578" s="783"/>
      <c r="I1578" s="777"/>
      <c r="J1578" s="776"/>
      <c r="K1578" s="779"/>
      <c r="L1578" s="779"/>
      <c r="M1578" s="779"/>
      <c r="N1578" s="780"/>
      <c r="O1578" s="780"/>
      <c r="P1578" s="777"/>
      <c r="Q1578" s="781"/>
      <c r="R1578" s="782"/>
      <c r="S1578" s="782"/>
      <c r="T1578" s="782"/>
    </row>
    <row r="1579" spans="2:20">
      <c r="B1579" s="1076"/>
      <c r="C1579" s="774"/>
      <c r="D1579" s="775"/>
      <c r="E1579" s="776"/>
      <c r="F1579" s="776"/>
      <c r="G1579" s="777"/>
      <c r="H1579" s="783"/>
      <c r="I1579" s="777"/>
      <c r="J1579" s="776"/>
      <c r="K1579" s="779"/>
      <c r="L1579" s="779"/>
      <c r="M1579" s="779"/>
      <c r="N1579" s="780"/>
      <c r="O1579" s="780"/>
      <c r="P1579" s="777"/>
      <c r="Q1579" s="781"/>
      <c r="R1579" s="782"/>
      <c r="S1579" s="782"/>
      <c r="T1579" s="782"/>
    </row>
    <row r="1580" spans="2:20">
      <c r="B1580" s="1076"/>
      <c r="C1580" s="774"/>
      <c r="D1580" s="775"/>
      <c r="E1580" s="776"/>
      <c r="F1580" s="776"/>
      <c r="G1580" s="777"/>
      <c r="H1580" s="783"/>
      <c r="I1580" s="777"/>
      <c r="J1580" s="776"/>
      <c r="K1580" s="779"/>
      <c r="L1580" s="779"/>
      <c r="M1580" s="779"/>
      <c r="N1580" s="780"/>
      <c r="O1580" s="780"/>
      <c r="P1580" s="777"/>
      <c r="Q1580" s="781"/>
      <c r="R1580" s="782"/>
      <c r="S1580" s="782"/>
      <c r="T1580" s="782"/>
    </row>
    <row r="1581" spans="2:20">
      <c r="B1581" s="1076"/>
      <c r="C1581" s="774"/>
      <c r="D1581" s="775"/>
      <c r="E1581" s="776"/>
      <c r="F1581" s="776"/>
      <c r="G1581" s="777"/>
      <c r="H1581" s="783"/>
      <c r="I1581" s="777"/>
      <c r="J1581" s="776"/>
      <c r="K1581" s="779"/>
      <c r="L1581" s="779"/>
      <c r="M1581" s="779"/>
      <c r="N1581" s="780"/>
      <c r="O1581" s="780"/>
      <c r="P1581" s="777"/>
      <c r="Q1581" s="781"/>
      <c r="R1581" s="782"/>
      <c r="S1581" s="782"/>
      <c r="T1581" s="782"/>
    </row>
    <row r="1582" spans="2:20">
      <c r="B1582" s="1076"/>
      <c r="C1582" s="774"/>
      <c r="D1582" s="775"/>
      <c r="E1582" s="776"/>
      <c r="F1582" s="776"/>
      <c r="G1582" s="777"/>
      <c r="H1582" s="783"/>
      <c r="I1582" s="777"/>
      <c r="J1582" s="776"/>
      <c r="K1582" s="779"/>
      <c r="L1582" s="779"/>
      <c r="M1582" s="779"/>
      <c r="N1582" s="780"/>
      <c r="O1582" s="780"/>
      <c r="P1582" s="777"/>
      <c r="Q1582" s="781"/>
      <c r="R1582" s="782"/>
      <c r="S1582" s="782"/>
      <c r="T1582" s="782"/>
    </row>
    <row r="1583" spans="2:20">
      <c r="B1583" s="1076"/>
      <c r="C1583" s="774"/>
      <c r="D1583" s="775"/>
      <c r="E1583" s="776"/>
      <c r="F1583" s="776"/>
      <c r="G1583" s="777"/>
      <c r="H1583" s="783"/>
      <c r="I1583" s="777"/>
      <c r="J1583" s="776"/>
      <c r="K1583" s="779"/>
      <c r="L1583" s="779"/>
      <c r="M1583" s="779"/>
      <c r="N1583" s="780"/>
      <c r="O1583" s="780"/>
      <c r="P1583" s="777"/>
      <c r="Q1583" s="781"/>
      <c r="R1583" s="782"/>
      <c r="S1583" s="782"/>
      <c r="T1583" s="782"/>
    </row>
    <row r="1584" spans="2:20">
      <c r="B1584" s="1077"/>
      <c r="C1584" s="873"/>
      <c r="D1584" s="874"/>
      <c r="E1584" s="875"/>
      <c r="F1584" s="875"/>
      <c r="G1584" s="876"/>
      <c r="H1584" s="877"/>
      <c r="I1584" s="876"/>
      <c r="J1584" s="875"/>
      <c r="K1584" s="878"/>
      <c r="L1584" s="878"/>
      <c r="M1584" s="878"/>
      <c r="N1584" s="879"/>
      <c r="O1584" s="879"/>
      <c r="P1584" s="876"/>
      <c r="Q1584" s="880"/>
      <c r="R1584" s="881"/>
      <c r="S1584" s="881"/>
      <c r="T1584" s="881"/>
    </row>
    <row r="1585" spans="2:20">
      <c r="B1585" s="1075"/>
      <c r="C1585" s="785"/>
      <c r="D1585" s="786"/>
      <c r="E1585" s="787"/>
      <c r="F1585" s="787"/>
      <c r="G1585" s="788"/>
      <c r="H1585" s="797"/>
      <c r="I1585" s="788"/>
      <c r="J1585" s="787"/>
      <c r="K1585" s="790"/>
      <c r="L1585" s="790"/>
      <c r="M1585" s="790"/>
      <c r="N1585" s="791"/>
      <c r="O1585" s="791"/>
      <c r="P1585" s="788"/>
      <c r="Q1585" s="792"/>
      <c r="R1585" s="793"/>
      <c r="S1585" s="793"/>
      <c r="T1585" s="793"/>
    </row>
    <row r="1586" spans="2:20">
      <c r="B1586" s="1076"/>
      <c r="C1586" s="774"/>
      <c r="D1586" s="775"/>
      <c r="E1586" s="776"/>
      <c r="F1586" s="776"/>
      <c r="G1586" s="777"/>
      <c r="H1586" s="783"/>
      <c r="I1586" s="777"/>
      <c r="J1586" s="776"/>
      <c r="K1586" s="779"/>
      <c r="L1586" s="779"/>
      <c r="M1586" s="779"/>
      <c r="N1586" s="780"/>
      <c r="O1586" s="780"/>
      <c r="P1586" s="777"/>
      <c r="Q1586" s="781"/>
      <c r="R1586" s="782"/>
      <c r="S1586" s="782"/>
      <c r="T1586" s="782"/>
    </row>
    <row r="1587" spans="2:20">
      <c r="B1587" s="1076"/>
      <c r="C1587" s="774"/>
      <c r="D1587" s="775"/>
      <c r="E1587" s="776"/>
      <c r="F1587" s="776"/>
      <c r="G1587" s="777"/>
      <c r="H1587" s="783"/>
      <c r="I1587" s="777"/>
      <c r="J1587" s="776"/>
      <c r="K1587" s="779"/>
      <c r="L1587" s="779"/>
      <c r="M1587" s="779"/>
      <c r="N1587" s="780"/>
      <c r="O1587" s="780"/>
      <c r="P1587" s="777"/>
      <c r="Q1587" s="781"/>
      <c r="R1587" s="782"/>
      <c r="S1587" s="782"/>
      <c r="T1587" s="782"/>
    </row>
    <row r="1588" spans="2:20">
      <c r="B1588" s="1076"/>
      <c r="C1588" s="774"/>
      <c r="D1588" s="775"/>
      <c r="E1588" s="776"/>
      <c r="F1588" s="776"/>
      <c r="G1588" s="777"/>
      <c r="H1588" s="783"/>
      <c r="I1588" s="777"/>
      <c r="J1588" s="776"/>
      <c r="K1588" s="779"/>
      <c r="L1588" s="779"/>
      <c r="M1588" s="779"/>
      <c r="N1588" s="780"/>
      <c r="O1588" s="780"/>
      <c r="P1588" s="777"/>
      <c r="Q1588" s="781"/>
      <c r="R1588" s="782"/>
      <c r="S1588" s="782"/>
      <c r="T1588" s="782"/>
    </row>
    <row r="1589" spans="2:20">
      <c r="B1589" s="1076"/>
      <c r="C1589" s="774"/>
      <c r="D1589" s="775"/>
      <c r="E1589" s="776"/>
      <c r="F1589" s="776"/>
      <c r="G1589" s="777"/>
      <c r="H1589" s="783"/>
      <c r="I1589" s="777"/>
      <c r="J1589" s="776"/>
      <c r="K1589" s="779"/>
      <c r="L1589" s="779"/>
      <c r="M1589" s="779"/>
      <c r="N1589" s="780"/>
      <c r="O1589" s="780"/>
      <c r="P1589" s="777"/>
      <c r="Q1589" s="781"/>
      <c r="R1589" s="782"/>
      <c r="S1589" s="782"/>
      <c r="T1589" s="782"/>
    </row>
    <row r="1590" spans="2:20">
      <c r="B1590" s="1076"/>
      <c r="C1590" s="774"/>
      <c r="D1590" s="775"/>
      <c r="E1590" s="776"/>
      <c r="F1590" s="776"/>
      <c r="G1590" s="777"/>
      <c r="H1590" s="783"/>
      <c r="I1590" s="777"/>
      <c r="J1590" s="776"/>
      <c r="K1590" s="779"/>
      <c r="L1590" s="779"/>
      <c r="M1590" s="779"/>
      <c r="N1590" s="780"/>
      <c r="O1590" s="780"/>
      <c r="P1590" s="777"/>
      <c r="Q1590" s="781"/>
      <c r="R1590" s="782"/>
      <c r="S1590" s="782"/>
      <c r="T1590" s="782"/>
    </row>
    <row r="1591" spans="2:20">
      <c r="B1591" s="1076"/>
      <c r="C1591" s="774"/>
      <c r="D1591" s="775"/>
      <c r="E1591" s="776"/>
      <c r="F1591" s="776"/>
      <c r="G1591" s="777"/>
      <c r="H1591" s="783"/>
      <c r="I1591" s="777"/>
      <c r="J1591" s="776"/>
      <c r="K1591" s="779"/>
      <c r="L1591" s="779"/>
      <c r="M1591" s="779"/>
      <c r="N1591" s="780"/>
      <c r="O1591" s="780"/>
      <c r="P1591" s="777"/>
      <c r="Q1591" s="781"/>
      <c r="R1591" s="782"/>
      <c r="S1591" s="782"/>
      <c r="T1591" s="782"/>
    </row>
    <row r="1592" spans="2:20">
      <c r="B1592" s="1076"/>
      <c r="C1592" s="774"/>
      <c r="D1592" s="775"/>
      <c r="E1592" s="776"/>
      <c r="F1592" s="776"/>
      <c r="G1592" s="777"/>
      <c r="H1592" s="783"/>
      <c r="I1592" s="777"/>
      <c r="J1592" s="776"/>
      <c r="K1592" s="779"/>
      <c r="L1592" s="779"/>
      <c r="M1592" s="779"/>
      <c r="N1592" s="780"/>
      <c r="O1592" s="780"/>
      <c r="P1592" s="777"/>
      <c r="Q1592" s="781"/>
      <c r="R1592" s="782"/>
      <c r="S1592" s="782"/>
      <c r="T1592" s="782"/>
    </row>
    <row r="1593" spans="2:20">
      <c r="B1593" s="1076"/>
      <c r="C1593" s="774"/>
      <c r="D1593" s="775"/>
      <c r="E1593" s="776"/>
      <c r="F1593" s="776"/>
      <c r="G1593" s="777"/>
      <c r="H1593" s="783"/>
      <c r="I1593" s="777"/>
      <c r="J1593" s="776"/>
      <c r="K1593" s="779"/>
      <c r="L1593" s="779"/>
      <c r="M1593" s="779"/>
      <c r="N1593" s="780"/>
      <c r="O1593" s="780"/>
      <c r="P1593" s="777"/>
      <c r="Q1593" s="781"/>
      <c r="R1593" s="782"/>
      <c r="S1593" s="782"/>
      <c r="T1593" s="782"/>
    </row>
    <row r="1594" spans="2:20">
      <c r="B1594" s="1077"/>
      <c r="C1594" s="873"/>
      <c r="D1594" s="874"/>
      <c r="E1594" s="875"/>
      <c r="F1594" s="875"/>
      <c r="G1594" s="876"/>
      <c r="H1594" s="877"/>
      <c r="I1594" s="876"/>
      <c r="J1594" s="875"/>
      <c r="K1594" s="878"/>
      <c r="L1594" s="878"/>
      <c r="M1594" s="878"/>
      <c r="N1594" s="879"/>
      <c r="O1594" s="879"/>
      <c r="P1594" s="876"/>
      <c r="Q1594" s="880"/>
      <c r="R1594" s="881"/>
      <c r="S1594" s="881"/>
      <c r="T1594" s="881"/>
    </row>
    <row r="1595" spans="2:20">
      <c r="B1595" s="1075"/>
      <c r="C1595" s="785"/>
      <c r="D1595" s="786"/>
      <c r="E1595" s="787"/>
      <c r="F1595" s="787"/>
      <c r="G1595" s="788"/>
      <c r="H1595" s="797"/>
      <c r="I1595" s="788"/>
      <c r="J1595" s="787"/>
      <c r="K1595" s="790"/>
      <c r="L1595" s="790"/>
      <c r="M1595" s="790"/>
      <c r="N1595" s="791"/>
      <c r="O1595" s="791"/>
      <c r="P1595" s="788"/>
      <c r="Q1595" s="792"/>
      <c r="R1595" s="793"/>
      <c r="S1595" s="793"/>
      <c r="T1595" s="793"/>
    </row>
    <row r="1596" spans="2:20">
      <c r="B1596" s="1076"/>
      <c r="C1596" s="774"/>
      <c r="D1596" s="775"/>
      <c r="E1596" s="776"/>
      <c r="F1596" s="776"/>
      <c r="G1596" s="777"/>
      <c r="H1596" s="783"/>
      <c r="I1596" s="777"/>
      <c r="J1596" s="776"/>
      <c r="K1596" s="779"/>
      <c r="L1596" s="779"/>
      <c r="M1596" s="779"/>
      <c r="N1596" s="780"/>
      <c r="O1596" s="780"/>
      <c r="P1596" s="777"/>
      <c r="Q1596" s="781"/>
      <c r="R1596" s="782"/>
      <c r="S1596" s="782"/>
      <c r="T1596" s="782"/>
    </row>
    <row r="1597" spans="2:20">
      <c r="B1597" s="1076"/>
      <c r="C1597" s="774"/>
      <c r="D1597" s="775"/>
      <c r="E1597" s="776"/>
      <c r="F1597" s="776"/>
      <c r="G1597" s="777"/>
      <c r="H1597" s="783"/>
      <c r="I1597" s="777"/>
      <c r="J1597" s="776"/>
      <c r="K1597" s="779"/>
      <c r="L1597" s="779"/>
      <c r="M1597" s="779"/>
      <c r="N1597" s="780"/>
      <c r="O1597" s="780"/>
      <c r="P1597" s="777"/>
      <c r="Q1597" s="781"/>
      <c r="R1597" s="782"/>
      <c r="S1597" s="782"/>
      <c r="T1597" s="782"/>
    </row>
    <row r="1598" spans="2:20">
      <c r="B1598" s="1076"/>
      <c r="C1598" s="774"/>
      <c r="D1598" s="775"/>
      <c r="E1598" s="776"/>
      <c r="F1598" s="776"/>
      <c r="G1598" s="777"/>
      <c r="H1598" s="783"/>
      <c r="I1598" s="777"/>
      <c r="J1598" s="776"/>
      <c r="K1598" s="779"/>
      <c r="L1598" s="779"/>
      <c r="M1598" s="779"/>
      <c r="N1598" s="780"/>
      <c r="O1598" s="780"/>
      <c r="P1598" s="777"/>
      <c r="Q1598" s="781"/>
      <c r="R1598" s="782"/>
      <c r="S1598" s="782"/>
      <c r="T1598" s="782"/>
    </row>
    <row r="1599" spans="2:20">
      <c r="B1599" s="1076"/>
      <c r="C1599" s="774"/>
      <c r="D1599" s="775"/>
      <c r="E1599" s="776"/>
      <c r="F1599" s="776"/>
      <c r="G1599" s="777"/>
      <c r="H1599" s="783"/>
      <c r="I1599" s="777"/>
      <c r="J1599" s="776"/>
      <c r="K1599" s="779"/>
      <c r="L1599" s="779"/>
      <c r="M1599" s="779"/>
      <c r="N1599" s="780"/>
      <c r="O1599" s="780"/>
      <c r="P1599" s="777"/>
      <c r="Q1599" s="781"/>
      <c r="R1599" s="782"/>
      <c r="S1599" s="782"/>
      <c r="T1599" s="782"/>
    </row>
    <row r="1600" spans="2:20">
      <c r="B1600" s="1076"/>
      <c r="C1600" s="774"/>
      <c r="D1600" s="775"/>
      <c r="E1600" s="776"/>
      <c r="F1600" s="776"/>
      <c r="G1600" s="777"/>
      <c r="H1600" s="783"/>
      <c r="I1600" s="777"/>
      <c r="J1600" s="776"/>
      <c r="K1600" s="779"/>
      <c r="L1600" s="779"/>
      <c r="M1600" s="779"/>
      <c r="N1600" s="780"/>
      <c r="O1600" s="780"/>
      <c r="P1600" s="777"/>
      <c r="Q1600" s="781"/>
      <c r="R1600" s="782"/>
      <c r="S1600" s="782"/>
      <c r="T1600" s="782"/>
    </row>
    <row r="1601" spans="2:20">
      <c r="B1601" s="1076"/>
      <c r="C1601" s="774"/>
      <c r="D1601" s="775"/>
      <c r="E1601" s="776"/>
      <c r="F1601" s="776"/>
      <c r="G1601" s="777"/>
      <c r="H1601" s="783"/>
      <c r="I1601" s="777"/>
      <c r="J1601" s="776"/>
      <c r="K1601" s="779"/>
      <c r="L1601" s="779"/>
      <c r="M1601" s="779"/>
      <c r="N1601" s="780"/>
      <c r="O1601" s="780"/>
      <c r="P1601" s="777"/>
      <c r="Q1601" s="781"/>
      <c r="R1601" s="782"/>
      <c r="S1601" s="782"/>
      <c r="T1601" s="782"/>
    </row>
    <row r="1602" spans="2:20">
      <c r="B1602" s="1076"/>
      <c r="C1602" s="774"/>
      <c r="D1602" s="775"/>
      <c r="E1602" s="776"/>
      <c r="F1602" s="776"/>
      <c r="G1602" s="777"/>
      <c r="H1602" s="783"/>
      <c r="I1602" s="777"/>
      <c r="J1602" s="776"/>
      <c r="K1602" s="779"/>
      <c r="L1602" s="779"/>
      <c r="M1602" s="779"/>
      <c r="N1602" s="780"/>
      <c r="O1602" s="780"/>
      <c r="P1602" s="777"/>
      <c r="Q1602" s="781"/>
      <c r="R1602" s="782"/>
      <c r="S1602" s="782"/>
      <c r="T1602" s="782"/>
    </row>
    <row r="1603" spans="2:20">
      <c r="B1603" s="1076"/>
      <c r="C1603" s="774"/>
      <c r="D1603" s="775"/>
      <c r="E1603" s="776"/>
      <c r="F1603" s="776"/>
      <c r="G1603" s="777"/>
      <c r="H1603" s="783"/>
      <c r="I1603" s="777"/>
      <c r="J1603" s="776"/>
      <c r="K1603" s="779"/>
      <c r="L1603" s="779"/>
      <c r="M1603" s="779"/>
      <c r="N1603" s="780"/>
      <c r="O1603" s="780"/>
      <c r="P1603" s="777"/>
      <c r="Q1603" s="781"/>
      <c r="R1603" s="782"/>
      <c r="S1603" s="782"/>
      <c r="T1603" s="782"/>
    </row>
    <row r="1604" spans="2:20">
      <c r="B1604" s="1077"/>
      <c r="C1604" s="873"/>
      <c r="D1604" s="874"/>
      <c r="E1604" s="875"/>
      <c r="F1604" s="875"/>
      <c r="G1604" s="876"/>
      <c r="H1604" s="877"/>
      <c r="I1604" s="876"/>
      <c r="J1604" s="875"/>
      <c r="K1604" s="878"/>
      <c r="L1604" s="878"/>
      <c r="M1604" s="878"/>
      <c r="N1604" s="879"/>
      <c r="O1604" s="879"/>
      <c r="P1604" s="876"/>
      <c r="Q1604" s="880"/>
      <c r="R1604" s="881"/>
      <c r="S1604" s="881"/>
      <c r="T1604" s="881"/>
    </row>
    <row r="1605" spans="2:20">
      <c r="B1605" s="1075"/>
      <c r="C1605" s="785"/>
      <c r="D1605" s="786"/>
      <c r="E1605" s="787"/>
      <c r="F1605" s="787"/>
      <c r="G1605" s="788"/>
      <c r="H1605" s="797"/>
      <c r="I1605" s="788"/>
      <c r="J1605" s="787"/>
      <c r="K1605" s="790"/>
      <c r="L1605" s="790"/>
      <c r="M1605" s="790"/>
      <c r="N1605" s="791"/>
      <c r="O1605" s="791"/>
      <c r="P1605" s="788"/>
      <c r="Q1605" s="792"/>
      <c r="R1605" s="793"/>
      <c r="S1605" s="793"/>
      <c r="T1605" s="793"/>
    </row>
    <row r="1606" spans="2:20">
      <c r="B1606" s="1076"/>
      <c r="C1606" s="774"/>
      <c r="D1606" s="775"/>
      <c r="E1606" s="776"/>
      <c r="F1606" s="776"/>
      <c r="G1606" s="777"/>
      <c r="H1606" s="783"/>
      <c r="I1606" s="777"/>
      <c r="J1606" s="776"/>
      <c r="K1606" s="779"/>
      <c r="L1606" s="779"/>
      <c r="M1606" s="779"/>
      <c r="N1606" s="780"/>
      <c r="O1606" s="780"/>
      <c r="P1606" s="777"/>
      <c r="Q1606" s="781"/>
      <c r="R1606" s="782"/>
      <c r="S1606" s="782"/>
      <c r="T1606" s="782"/>
    </row>
    <row r="1607" spans="2:20">
      <c r="B1607" s="1076"/>
      <c r="C1607" s="774"/>
      <c r="D1607" s="775"/>
      <c r="E1607" s="776"/>
      <c r="F1607" s="776"/>
      <c r="G1607" s="777"/>
      <c r="H1607" s="783"/>
      <c r="I1607" s="777"/>
      <c r="J1607" s="776"/>
      <c r="K1607" s="779"/>
      <c r="L1607" s="779"/>
      <c r="M1607" s="779"/>
      <c r="N1607" s="780"/>
      <c r="O1607" s="780"/>
      <c r="P1607" s="777"/>
      <c r="Q1607" s="781"/>
      <c r="R1607" s="782"/>
      <c r="S1607" s="782"/>
      <c r="T1607" s="782"/>
    </row>
    <row r="1608" spans="2:20">
      <c r="B1608" s="1076"/>
      <c r="C1608" s="774"/>
      <c r="D1608" s="775"/>
      <c r="E1608" s="776"/>
      <c r="F1608" s="776"/>
      <c r="G1608" s="777"/>
      <c r="H1608" s="783"/>
      <c r="I1608" s="777"/>
      <c r="J1608" s="776"/>
      <c r="K1608" s="779"/>
      <c r="L1608" s="779"/>
      <c r="M1608" s="779"/>
      <c r="N1608" s="780"/>
      <c r="O1608" s="780"/>
      <c r="P1608" s="777"/>
      <c r="Q1608" s="781"/>
      <c r="R1608" s="782"/>
      <c r="S1608" s="782"/>
      <c r="T1608" s="782"/>
    </row>
    <row r="1609" spans="2:20">
      <c r="B1609" s="1076"/>
      <c r="C1609" s="774"/>
      <c r="D1609" s="775"/>
      <c r="E1609" s="776"/>
      <c r="F1609" s="776"/>
      <c r="G1609" s="777"/>
      <c r="H1609" s="783"/>
      <c r="I1609" s="777"/>
      <c r="J1609" s="776"/>
      <c r="K1609" s="779"/>
      <c r="L1609" s="779"/>
      <c r="M1609" s="779"/>
      <c r="N1609" s="780"/>
      <c r="O1609" s="780"/>
      <c r="P1609" s="777"/>
      <c r="Q1609" s="781"/>
      <c r="R1609" s="782"/>
      <c r="S1609" s="782"/>
      <c r="T1609" s="782"/>
    </row>
    <row r="1610" spans="2:20">
      <c r="B1610" s="1076"/>
      <c r="C1610" s="774"/>
      <c r="D1610" s="775"/>
      <c r="E1610" s="776"/>
      <c r="F1610" s="776"/>
      <c r="G1610" s="777"/>
      <c r="H1610" s="783"/>
      <c r="I1610" s="777"/>
      <c r="J1610" s="776"/>
      <c r="K1610" s="779"/>
      <c r="L1610" s="779"/>
      <c r="M1610" s="779"/>
      <c r="N1610" s="780"/>
      <c r="O1610" s="780"/>
      <c r="P1610" s="777"/>
      <c r="Q1610" s="781"/>
      <c r="R1610" s="782"/>
      <c r="S1610" s="782"/>
      <c r="T1610" s="782"/>
    </row>
    <row r="1611" spans="2:20">
      <c r="B1611" s="1076"/>
      <c r="C1611" s="774"/>
      <c r="D1611" s="775"/>
      <c r="E1611" s="776"/>
      <c r="F1611" s="776"/>
      <c r="G1611" s="777"/>
      <c r="H1611" s="783"/>
      <c r="I1611" s="777"/>
      <c r="J1611" s="776"/>
      <c r="K1611" s="779"/>
      <c r="L1611" s="779"/>
      <c r="M1611" s="779"/>
      <c r="N1611" s="780"/>
      <c r="O1611" s="780"/>
      <c r="P1611" s="777"/>
      <c r="Q1611" s="781"/>
      <c r="R1611" s="782"/>
      <c r="S1611" s="782"/>
      <c r="T1611" s="782"/>
    </row>
    <row r="1612" spans="2:20">
      <c r="B1612" s="1076"/>
      <c r="C1612" s="774"/>
      <c r="D1612" s="775"/>
      <c r="E1612" s="776"/>
      <c r="F1612" s="776"/>
      <c r="G1612" s="777"/>
      <c r="H1612" s="783"/>
      <c r="I1612" s="777"/>
      <c r="J1612" s="776"/>
      <c r="K1612" s="779"/>
      <c r="L1612" s="779"/>
      <c r="M1612" s="779"/>
      <c r="N1612" s="780"/>
      <c r="O1612" s="780"/>
      <c r="P1612" s="777"/>
      <c r="Q1612" s="781"/>
      <c r="R1612" s="782"/>
      <c r="S1612" s="782"/>
      <c r="T1612" s="782"/>
    </row>
    <row r="1613" spans="2:20">
      <c r="B1613" s="1076"/>
      <c r="C1613" s="774"/>
      <c r="D1613" s="775"/>
      <c r="E1613" s="776"/>
      <c r="F1613" s="776"/>
      <c r="G1613" s="777"/>
      <c r="H1613" s="783"/>
      <c r="I1613" s="777"/>
      <c r="J1613" s="776"/>
      <c r="K1613" s="779"/>
      <c r="L1613" s="779"/>
      <c r="M1613" s="779"/>
      <c r="N1613" s="780"/>
      <c r="O1613" s="780"/>
      <c r="P1613" s="777"/>
      <c r="Q1613" s="781"/>
      <c r="R1613" s="782"/>
      <c r="S1613" s="782"/>
      <c r="T1613" s="782"/>
    </row>
    <row r="1614" spans="2:20">
      <c r="B1614" s="1077"/>
      <c r="C1614" s="873"/>
      <c r="D1614" s="874"/>
      <c r="E1614" s="875"/>
      <c r="F1614" s="875"/>
      <c r="G1614" s="876"/>
      <c r="H1614" s="877"/>
      <c r="I1614" s="876"/>
      <c r="J1614" s="875"/>
      <c r="K1614" s="878"/>
      <c r="L1614" s="878"/>
      <c r="M1614" s="878"/>
      <c r="N1614" s="879"/>
      <c r="O1614" s="879"/>
      <c r="P1614" s="876"/>
      <c r="Q1614" s="880"/>
      <c r="R1614" s="881"/>
      <c r="S1614" s="881"/>
      <c r="T1614" s="881"/>
    </row>
    <row r="1615" spans="2:20">
      <c r="B1615" s="1075"/>
      <c r="C1615" s="785"/>
      <c r="D1615" s="786"/>
      <c r="E1615" s="787"/>
      <c r="F1615" s="787"/>
      <c r="G1615" s="788"/>
      <c r="H1615" s="797"/>
      <c r="I1615" s="788"/>
      <c r="J1615" s="787"/>
      <c r="K1615" s="790"/>
      <c r="L1615" s="790"/>
      <c r="M1615" s="790"/>
      <c r="N1615" s="791"/>
      <c r="O1615" s="791"/>
      <c r="P1615" s="788"/>
      <c r="Q1615" s="792"/>
      <c r="R1615" s="793"/>
      <c r="S1615" s="793"/>
      <c r="T1615" s="793"/>
    </row>
    <row r="1616" spans="2:20">
      <c r="B1616" s="1076"/>
      <c r="C1616" s="774"/>
      <c r="D1616" s="775"/>
      <c r="E1616" s="776"/>
      <c r="F1616" s="776"/>
      <c r="G1616" s="777"/>
      <c r="H1616" s="783"/>
      <c r="I1616" s="777"/>
      <c r="J1616" s="776"/>
      <c r="K1616" s="779"/>
      <c r="L1616" s="779"/>
      <c r="M1616" s="779"/>
      <c r="N1616" s="780"/>
      <c r="O1616" s="780"/>
      <c r="P1616" s="777"/>
      <c r="Q1616" s="781"/>
      <c r="R1616" s="782"/>
      <c r="S1616" s="782"/>
      <c r="T1616" s="782"/>
    </row>
    <row r="1617" spans="2:20">
      <c r="B1617" s="1076"/>
      <c r="C1617" s="774"/>
      <c r="D1617" s="775"/>
      <c r="E1617" s="776"/>
      <c r="F1617" s="776"/>
      <c r="G1617" s="777"/>
      <c r="H1617" s="783"/>
      <c r="I1617" s="777"/>
      <c r="J1617" s="776"/>
      <c r="K1617" s="779"/>
      <c r="L1617" s="779"/>
      <c r="M1617" s="779"/>
      <c r="N1617" s="780"/>
      <c r="O1617" s="780"/>
      <c r="P1617" s="777"/>
      <c r="Q1617" s="781"/>
      <c r="R1617" s="782"/>
      <c r="S1617" s="782"/>
      <c r="T1617" s="782"/>
    </row>
    <row r="1618" spans="2:20">
      <c r="B1618" s="1076"/>
      <c r="C1618" s="774"/>
      <c r="D1618" s="775"/>
      <c r="E1618" s="776"/>
      <c r="F1618" s="776"/>
      <c r="G1618" s="777"/>
      <c r="H1618" s="783"/>
      <c r="I1618" s="777"/>
      <c r="J1618" s="776"/>
      <c r="K1618" s="779"/>
      <c r="L1618" s="779"/>
      <c r="M1618" s="779"/>
      <c r="N1618" s="780"/>
      <c r="O1618" s="780"/>
      <c r="P1618" s="777"/>
      <c r="Q1618" s="781"/>
      <c r="R1618" s="782"/>
      <c r="S1618" s="782"/>
      <c r="T1618" s="782"/>
    </row>
    <row r="1619" spans="2:20">
      <c r="B1619" s="1076"/>
      <c r="C1619" s="774"/>
      <c r="D1619" s="775"/>
      <c r="E1619" s="776"/>
      <c r="F1619" s="776"/>
      <c r="G1619" s="777"/>
      <c r="H1619" s="783"/>
      <c r="I1619" s="777"/>
      <c r="J1619" s="776"/>
      <c r="K1619" s="779"/>
      <c r="L1619" s="779"/>
      <c r="M1619" s="779"/>
      <c r="N1619" s="780"/>
      <c r="O1619" s="780"/>
      <c r="P1619" s="777"/>
      <c r="Q1619" s="781"/>
      <c r="R1619" s="782"/>
      <c r="S1619" s="782"/>
      <c r="T1619" s="782"/>
    </row>
    <row r="1620" spans="2:20">
      <c r="B1620" s="1076"/>
      <c r="C1620" s="774"/>
      <c r="D1620" s="775"/>
      <c r="E1620" s="776"/>
      <c r="F1620" s="776"/>
      <c r="G1620" s="777"/>
      <c r="H1620" s="783"/>
      <c r="I1620" s="777"/>
      <c r="J1620" s="776"/>
      <c r="K1620" s="779"/>
      <c r="L1620" s="779"/>
      <c r="M1620" s="779"/>
      <c r="N1620" s="780"/>
      <c r="O1620" s="780"/>
      <c r="P1620" s="777"/>
      <c r="Q1620" s="781"/>
      <c r="R1620" s="782"/>
      <c r="S1620" s="782"/>
      <c r="T1620" s="782"/>
    </row>
    <row r="1621" spans="2:20">
      <c r="B1621" s="1076"/>
      <c r="C1621" s="774"/>
      <c r="D1621" s="775"/>
      <c r="E1621" s="776"/>
      <c r="F1621" s="776"/>
      <c r="G1621" s="777"/>
      <c r="H1621" s="783"/>
      <c r="I1621" s="777"/>
      <c r="J1621" s="776"/>
      <c r="K1621" s="779"/>
      <c r="L1621" s="779"/>
      <c r="M1621" s="779"/>
      <c r="N1621" s="780"/>
      <c r="O1621" s="780"/>
      <c r="P1621" s="777"/>
      <c r="Q1621" s="781"/>
      <c r="R1621" s="782"/>
      <c r="S1621" s="782"/>
      <c r="T1621" s="782"/>
    </row>
    <row r="1622" spans="2:20">
      <c r="B1622" s="1076"/>
      <c r="C1622" s="774"/>
      <c r="D1622" s="775"/>
      <c r="E1622" s="776"/>
      <c r="F1622" s="776"/>
      <c r="G1622" s="777"/>
      <c r="H1622" s="783"/>
      <c r="I1622" s="777"/>
      <c r="J1622" s="776"/>
      <c r="K1622" s="779"/>
      <c r="L1622" s="779"/>
      <c r="M1622" s="779"/>
      <c r="N1622" s="780"/>
      <c r="O1622" s="780"/>
      <c r="P1622" s="777"/>
      <c r="Q1622" s="781"/>
      <c r="R1622" s="782"/>
      <c r="S1622" s="782"/>
      <c r="T1622" s="782"/>
    </row>
    <row r="1623" spans="2:20">
      <c r="B1623" s="1076"/>
      <c r="C1623" s="774"/>
      <c r="D1623" s="775"/>
      <c r="E1623" s="776"/>
      <c r="F1623" s="776"/>
      <c r="G1623" s="777"/>
      <c r="H1623" s="783"/>
      <c r="I1623" s="777"/>
      <c r="J1623" s="776"/>
      <c r="K1623" s="779"/>
      <c r="L1623" s="779"/>
      <c r="M1623" s="779"/>
      <c r="N1623" s="780"/>
      <c r="O1623" s="780"/>
      <c r="P1623" s="777"/>
      <c r="Q1623" s="781"/>
      <c r="R1623" s="782"/>
      <c r="S1623" s="782"/>
      <c r="T1623" s="782"/>
    </row>
    <row r="1624" spans="2:20">
      <c r="B1624" s="1077"/>
      <c r="C1624" s="873"/>
      <c r="D1624" s="874"/>
      <c r="E1624" s="875"/>
      <c r="F1624" s="875"/>
      <c r="G1624" s="876"/>
      <c r="H1624" s="877"/>
      <c r="I1624" s="876"/>
      <c r="J1624" s="875"/>
      <c r="K1624" s="878"/>
      <c r="L1624" s="878"/>
      <c r="M1624" s="878"/>
      <c r="N1624" s="879"/>
      <c r="O1624" s="879"/>
      <c r="P1624" s="876"/>
      <c r="Q1624" s="880"/>
      <c r="R1624" s="881"/>
      <c r="S1624" s="881"/>
      <c r="T1624" s="881"/>
    </row>
    <row r="1625" spans="2:20">
      <c r="B1625" s="1075"/>
      <c r="C1625" s="785"/>
      <c r="D1625" s="786"/>
      <c r="E1625" s="787"/>
      <c r="F1625" s="787"/>
      <c r="G1625" s="788"/>
      <c r="H1625" s="797"/>
      <c r="I1625" s="788"/>
      <c r="J1625" s="787"/>
      <c r="K1625" s="790"/>
      <c r="L1625" s="790"/>
      <c r="M1625" s="790"/>
      <c r="N1625" s="791"/>
      <c r="O1625" s="791"/>
      <c r="P1625" s="788"/>
      <c r="Q1625" s="792"/>
      <c r="R1625" s="793"/>
      <c r="S1625" s="793"/>
      <c r="T1625" s="793"/>
    </row>
    <row r="1626" spans="2:20">
      <c r="B1626" s="1076"/>
      <c r="C1626" s="774"/>
      <c r="D1626" s="775"/>
      <c r="E1626" s="776"/>
      <c r="F1626" s="776"/>
      <c r="G1626" s="777"/>
      <c r="H1626" s="783"/>
      <c r="I1626" s="777"/>
      <c r="J1626" s="776"/>
      <c r="K1626" s="779"/>
      <c r="L1626" s="779"/>
      <c r="M1626" s="779"/>
      <c r="N1626" s="780"/>
      <c r="O1626" s="780"/>
      <c r="P1626" s="777"/>
      <c r="Q1626" s="781"/>
      <c r="R1626" s="782"/>
      <c r="S1626" s="782"/>
      <c r="T1626" s="782"/>
    </row>
    <row r="1627" spans="2:20">
      <c r="B1627" s="1076"/>
      <c r="C1627" s="774"/>
      <c r="D1627" s="775"/>
      <c r="E1627" s="776"/>
      <c r="F1627" s="776"/>
      <c r="G1627" s="777"/>
      <c r="H1627" s="783"/>
      <c r="I1627" s="777"/>
      <c r="J1627" s="776"/>
      <c r="K1627" s="779"/>
      <c r="L1627" s="779"/>
      <c r="M1627" s="779"/>
      <c r="N1627" s="780"/>
      <c r="O1627" s="780"/>
      <c r="P1627" s="777"/>
      <c r="Q1627" s="781"/>
      <c r="R1627" s="782"/>
      <c r="S1627" s="782"/>
      <c r="T1627" s="782"/>
    </row>
    <row r="1628" spans="2:20">
      <c r="B1628" s="1076"/>
      <c r="C1628" s="774"/>
      <c r="D1628" s="775"/>
      <c r="E1628" s="776"/>
      <c r="F1628" s="776"/>
      <c r="G1628" s="777"/>
      <c r="H1628" s="783"/>
      <c r="I1628" s="777"/>
      <c r="J1628" s="776"/>
      <c r="K1628" s="779"/>
      <c r="L1628" s="779"/>
      <c r="M1628" s="779"/>
      <c r="N1628" s="780"/>
      <c r="O1628" s="780"/>
      <c r="P1628" s="777"/>
      <c r="Q1628" s="781"/>
      <c r="R1628" s="782"/>
      <c r="S1628" s="782"/>
      <c r="T1628" s="782"/>
    </row>
    <row r="1629" spans="2:20">
      <c r="B1629" s="1076"/>
      <c r="C1629" s="774"/>
      <c r="D1629" s="775"/>
      <c r="E1629" s="776"/>
      <c r="F1629" s="776"/>
      <c r="G1629" s="777"/>
      <c r="H1629" s="783"/>
      <c r="I1629" s="777"/>
      <c r="J1629" s="776"/>
      <c r="K1629" s="779"/>
      <c r="L1629" s="779"/>
      <c r="M1629" s="779"/>
      <c r="N1629" s="780"/>
      <c r="O1629" s="780"/>
      <c r="P1629" s="777"/>
      <c r="Q1629" s="781"/>
      <c r="R1629" s="782"/>
      <c r="S1629" s="782"/>
      <c r="T1629" s="782"/>
    </row>
    <row r="1630" spans="2:20">
      <c r="B1630" s="1076"/>
      <c r="C1630" s="774"/>
      <c r="D1630" s="775"/>
      <c r="E1630" s="776"/>
      <c r="F1630" s="776"/>
      <c r="G1630" s="777"/>
      <c r="H1630" s="783"/>
      <c r="I1630" s="777"/>
      <c r="J1630" s="776"/>
      <c r="K1630" s="779"/>
      <c r="L1630" s="779"/>
      <c r="M1630" s="779"/>
      <c r="N1630" s="780"/>
      <c r="O1630" s="780"/>
      <c r="P1630" s="777"/>
      <c r="Q1630" s="781"/>
      <c r="R1630" s="782"/>
      <c r="S1630" s="782"/>
      <c r="T1630" s="782"/>
    </row>
    <row r="1631" spans="2:20">
      <c r="B1631" s="1076"/>
      <c r="C1631" s="774"/>
      <c r="D1631" s="775"/>
      <c r="E1631" s="776"/>
      <c r="F1631" s="776"/>
      <c r="G1631" s="777"/>
      <c r="H1631" s="783"/>
      <c r="I1631" s="777"/>
      <c r="J1631" s="776"/>
      <c r="K1631" s="779"/>
      <c r="L1631" s="779"/>
      <c r="M1631" s="779"/>
      <c r="N1631" s="780"/>
      <c r="O1631" s="780"/>
      <c r="P1631" s="777"/>
      <c r="Q1631" s="781"/>
      <c r="R1631" s="782"/>
      <c r="S1631" s="782"/>
      <c r="T1631" s="782"/>
    </row>
    <row r="1632" spans="2:20">
      <c r="B1632" s="1076"/>
      <c r="C1632" s="774"/>
      <c r="D1632" s="775"/>
      <c r="E1632" s="776"/>
      <c r="F1632" s="776"/>
      <c r="G1632" s="777"/>
      <c r="H1632" s="783"/>
      <c r="I1632" s="777"/>
      <c r="J1632" s="776"/>
      <c r="K1632" s="779"/>
      <c r="L1632" s="779"/>
      <c r="M1632" s="779"/>
      <c r="N1632" s="780"/>
      <c r="O1632" s="780"/>
      <c r="P1632" s="777"/>
      <c r="Q1632" s="781"/>
      <c r="R1632" s="782"/>
      <c r="S1632" s="782"/>
      <c r="T1632" s="782"/>
    </row>
    <row r="1633" spans="2:20">
      <c r="B1633" s="1076"/>
      <c r="C1633" s="774"/>
      <c r="D1633" s="775"/>
      <c r="E1633" s="776"/>
      <c r="F1633" s="776"/>
      <c r="G1633" s="777"/>
      <c r="H1633" s="783"/>
      <c r="I1633" s="777"/>
      <c r="J1633" s="776"/>
      <c r="K1633" s="779"/>
      <c r="L1633" s="779"/>
      <c r="M1633" s="779"/>
      <c r="N1633" s="780"/>
      <c r="O1633" s="780"/>
      <c r="P1633" s="777"/>
      <c r="Q1633" s="781"/>
      <c r="R1633" s="782"/>
      <c r="S1633" s="782"/>
      <c r="T1633" s="782"/>
    </row>
    <row r="1634" spans="2:20">
      <c r="B1634" s="1077"/>
      <c r="C1634" s="873"/>
      <c r="D1634" s="874"/>
      <c r="E1634" s="875"/>
      <c r="F1634" s="875"/>
      <c r="G1634" s="876"/>
      <c r="H1634" s="877"/>
      <c r="I1634" s="876"/>
      <c r="J1634" s="875"/>
      <c r="K1634" s="878"/>
      <c r="L1634" s="878"/>
      <c r="M1634" s="878"/>
      <c r="N1634" s="879"/>
      <c r="O1634" s="879"/>
      <c r="P1634" s="876"/>
      <c r="Q1634" s="880"/>
      <c r="R1634" s="881"/>
      <c r="S1634" s="881"/>
      <c r="T1634" s="881"/>
    </row>
    <row r="1635" spans="2:20">
      <c r="B1635" s="1076"/>
      <c r="C1635" s="774"/>
      <c r="D1635" s="775"/>
      <c r="E1635" s="776"/>
      <c r="F1635" s="776"/>
      <c r="G1635" s="777"/>
      <c r="H1635" s="783"/>
      <c r="I1635" s="777"/>
      <c r="J1635" s="776"/>
      <c r="K1635" s="779"/>
      <c r="L1635" s="779"/>
      <c r="M1635" s="779"/>
      <c r="N1635" s="780"/>
      <c r="O1635" s="780"/>
      <c r="P1635" s="777"/>
      <c r="Q1635" s="781"/>
      <c r="R1635" s="782"/>
      <c r="S1635" s="782"/>
      <c r="T1635" s="782"/>
    </row>
    <row r="1636" spans="2:20">
      <c r="B1636" s="1076"/>
      <c r="C1636" s="774"/>
      <c r="D1636" s="775"/>
      <c r="E1636" s="776"/>
      <c r="F1636" s="776"/>
      <c r="G1636" s="777"/>
      <c r="H1636" s="783"/>
      <c r="I1636" s="777"/>
      <c r="J1636" s="776"/>
      <c r="K1636" s="779"/>
      <c r="L1636" s="779"/>
      <c r="M1636" s="779"/>
      <c r="N1636" s="780"/>
      <c r="O1636" s="780"/>
      <c r="P1636" s="777"/>
      <c r="Q1636" s="781"/>
      <c r="R1636" s="782"/>
      <c r="S1636" s="782"/>
      <c r="T1636" s="782"/>
    </row>
    <row r="1637" spans="2:20">
      <c r="B1637" s="1076"/>
      <c r="C1637" s="774"/>
      <c r="D1637" s="775"/>
      <c r="E1637" s="776"/>
      <c r="F1637" s="776"/>
      <c r="G1637" s="777"/>
      <c r="H1637" s="783"/>
      <c r="I1637" s="777"/>
      <c r="J1637" s="776"/>
      <c r="K1637" s="779"/>
      <c r="L1637" s="779"/>
      <c r="M1637" s="779"/>
      <c r="N1637" s="780"/>
      <c r="O1637" s="780"/>
      <c r="P1637" s="777"/>
      <c r="Q1637" s="781"/>
      <c r="R1637" s="782"/>
      <c r="S1637" s="782"/>
      <c r="T1637" s="782"/>
    </row>
    <row r="1638" spans="2:20">
      <c r="B1638" s="1076"/>
      <c r="C1638" s="774"/>
      <c r="D1638" s="775"/>
      <c r="E1638" s="776"/>
      <c r="F1638" s="776"/>
      <c r="G1638" s="777"/>
      <c r="H1638" s="783"/>
      <c r="I1638" s="777"/>
      <c r="J1638" s="776"/>
      <c r="K1638" s="779"/>
      <c r="L1638" s="779"/>
      <c r="M1638" s="779"/>
      <c r="N1638" s="780"/>
      <c r="O1638" s="780"/>
      <c r="P1638" s="777"/>
      <c r="Q1638" s="781"/>
      <c r="R1638" s="782"/>
      <c r="S1638" s="782"/>
      <c r="T1638" s="782"/>
    </row>
    <row r="1639" spans="2:20">
      <c r="B1639" s="1076"/>
      <c r="C1639" s="774"/>
      <c r="D1639" s="775"/>
      <c r="E1639" s="776"/>
      <c r="F1639" s="776"/>
      <c r="G1639" s="777"/>
      <c r="H1639" s="783"/>
      <c r="I1639" s="777"/>
      <c r="J1639" s="776"/>
      <c r="K1639" s="779"/>
      <c r="L1639" s="779"/>
      <c r="M1639" s="779"/>
      <c r="N1639" s="780"/>
      <c r="O1639" s="780"/>
      <c r="P1639" s="777"/>
      <c r="Q1639" s="781"/>
      <c r="R1639" s="782"/>
      <c r="S1639" s="782"/>
      <c r="T1639" s="782"/>
    </row>
    <row r="1640" spans="2:20">
      <c r="B1640" s="1076"/>
      <c r="C1640" s="774"/>
      <c r="D1640" s="775"/>
      <c r="E1640" s="776"/>
      <c r="F1640" s="776"/>
      <c r="G1640" s="777"/>
      <c r="H1640" s="783"/>
      <c r="I1640" s="777"/>
      <c r="J1640" s="776"/>
      <c r="K1640" s="779"/>
      <c r="L1640" s="779"/>
      <c r="M1640" s="779"/>
      <c r="N1640" s="780"/>
      <c r="O1640" s="780"/>
      <c r="P1640" s="777"/>
      <c r="Q1640" s="781"/>
      <c r="R1640" s="782"/>
      <c r="S1640" s="782"/>
      <c r="T1640" s="782"/>
    </row>
    <row r="1641" spans="2:20">
      <c r="B1641" s="1076"/>
      <c r="C1641" s="774"/>
      <c r="D1641" s="775"/>
      <c r="E1641" s="776"/>
      <c r="F1641" s="776"/>
      <c r="G1641" s="777"/>
      <c r="H1641" s="783"/>
      <c r="I1641" s="777"/>
      <c r="J1641" s="776"/>
      <c r="K1641" s="779"/>
      <c r="L1641" s="779"/>
      <c r="M1641" s="779"/>
      <c r="N1641" s="780"/>
      <c r="O1641" s="780"/>
      <c r="P1641" s="777"/>
      <c r="Q1641" s="781"/>
      <c r="R1641" s="782"/>
      <c r="S1641" s="782"/>
      <c r="T1641" s="782"/>
    </row>
    <row r="1642" spans="2:20">
      <c r="B1642" s="1076"/>
      <c r="C1642" s="774"/>
      <c r="D1642" s="775"/>
      <c r="E1642" s="776"/>
      <c r="F1642" s="776"/>
      <c r="G1642" s="777"/>
      <c r="H1642" s="783"/>
      <c r="I1642" s="777"/>
      <c r="J1642" s="776"/>
      <c r="K1642" s="779"/>
      <c r="L1642" s="779"/>
      <c r="M1642" s="779"/>
      <c r="N1642" s="780"/>
      <c r="O1642" s="780"/>
      <c r="P1642" s="777"/>
      <c r="Q1642" s="781"/>
      <c r="R1642" s="782"/>
      <c r="S1642" s="782"/>
      <c r="T1642" s="782"/>
    </row>
    <row r="1643" spans="2:20">
      <c r="B1643" s="1076"/>
      <c r="C1643" s="774"/>
      <c r="D1643" s="775"/>
      <c r="E1643" s="776"/>
      <c r="F1643" s="776"/>
      <c r="G1643" s="777"/>
      <c r="H1643" s="783"/>
      <c r="I1643" s="777"/>
      <c r="J1643" s="776"/>
      <c r="K1643" s="779"/>
      <c r="L1643" s="779"/>
      <c r="M1643" s="779"/>
      <c r="N1643" s="780"/>
      <c r="O1643" s="780"/>
      <c r="P1643" s="777"/>
      <c r="Q1643" s="781"/>
      <c r="R1643" s="782"/>
      <c r="S1643" s="782"/>
      <c r="T1643" s="782"/>
    </row>
    <row r="1644" spans="2:20">
      <c r="B1644" s="1076"/>
      <c r="C1644" s="774"/>
      <c r="D1644" s="775"/>
      <c r="E1644" s="776"/>
      <c r="F1644" s="776"/>
      <c r="G1644" s="777"/>
      <c r="H1644" s="783"/>
      <c r="I1644" s="777"/>
      <c r="J1644" s="776"/>
      <c r="K1644" s="779"/>
      <c r="L1644" s="779"/>
      <c r="M1644" s="779"/>
      <c r="N1644" s="780"/>
      <c r="O1644" s="780"/>
      <c r="P1644" s="777"/>
      <c r="Q1644" s="781"/>
      <c r="R1644" s="782"/>
      <c r="S1644" s="782"/>
      <c r="T1644" s="782"/>
    </row>
    <row r="1645" spans="2:20">
      <c r="B1645" s="1078"/>
      <c r="C1645" s="1079"/>
      <c r="D1645" s="1080" t="s">
        <v>6087</v>
      </c>
      <c r="E1645" s="1078"/>
      <c r="F1645" s="1078"/>
      <c r="G1645" s="1078"/>
      <c r="H1645" s="1081"/>
      <c r="I1645" s="1078"/>
      <c r="J1645" s="1078"/>
      <c r="K1645" s="864"/>
      <c r="L1645" s="865"/>
      <c r="M1645" s="865"/>
      <c r="N1645" s="866"/>
      <c r="O1645" s="867"/>
      <c r="P1645" s="868"/>
      <c r="Q1645" s="869"/>
      <c r="R1645" s="870"/>
      <c r="S1645" s="870"/>
      <c r="T1645" s="870"/>
    </row>
    <row r="1646" spans="2:20">
      <c r="B1646" s="1075"/>
      <c r="C1646" s="785"/>
      <c r="D1646" s="786"/>
      <c r="E1646" s="787"/>
      <c r="F1646" s="787"/>
      <c r="G1646" s="788"/>
      <c r="H1646" s="797"/>
      <c r="I1646" s="788"/>
      <c r="J1646" s="787"/>
      <c r="K1646" s="790"/>
      <c r="L1646" s="790"/>
      <c r="M1646" s="790"/>
      <c r="N1646" s="791"/>
      <c r="O1646" s="791"/>
      <c r="P1646" s="788"/>
      <c r="Q1646" s="792"/>
      <c r="R1646" s="793"/>
      <c r="S1646" s="793"/>
      <c r="T1646" s="793"/>
    </row>
    <row r="1647" spans="2:20">
      <c r="B1647" s="1076"/>
      <c r="C1647" s="774"/>
      <c r="D1647" s="775"/>
      <c r="E1647" s="776"/>
      <c r="F1647" s="776"/>
      <c r="G1647" s="777"/>
      <c r="H1647" s="783"/>
      <c r="I1647" s="777"/>
      <c r="J1647" s="776"/>
      <c r="K1647" s="779"/>
      <c r="L1647" s="779"/>
      <c r="M1647" s="779"/>
      <c r="N1647" s="780"/>
      <c r="O1647" s="780"/>
      <c r="P1647" s="777"/>
      <c r="Q1647" s="781"/>
      <c r="R1647" s="782"/>
      <c r="S1647" s="782"/>
      <c r="T1647" s="782"/>
    </row>
    <row r="1648" spans="2:20">
      <c r="B1648" s="1076"/>
      <c r="C1648" s="774"/>
      <c r="D1648" s="775"/>
      <c r="E1648" s="776"/>
      <c r="F1648" s="776"/>
      <c r="G1648" s="777"/>
      <c r="H1648" s="783"/>
      <c r="I1648" s="777"/>
      <c r="J1648" s="776"/>
      <c r="K1648" s="779"/>
      <c r="L1648" s="779"/>
      <c r="M1648" s="779"/>
      <c r="N1648" s="780"/>
      <c r="O1648" s="780"/>
      <c r="P1648" s="777"/>
      <c r="Q1648" s="781"/>
      <c r="R1648" s="782"/>
      <c r="S1648" s="782"/>
      <c r="T1648" s="782"/>
    </row>
    <row r="1649" spans="2:20">
      <c r="B1649" s="1076"/>
      <c r="C1649" s="774"/>
      <c r="D1649" s="775"/>
      <c r="E1649" s="776"/>
      <c r="F1649" s="776"/>
      <c r="G1649" s="777"/>
      <c r="H1649" s="783"/>
      <c r="I1649" s="777"/>
      <c r="J1649" s="776"/>
      <c r="K1649" s="779"/>
      <c r="L1649" s="779"/>
      <c r="M1649" s="779"/>
      <c r="N1649" s="780"/>
      <c r="O1649" s="780"/>
      <c r="P1649" s="777"/>
      <c r="Q1649" s="781"/>
      <c r="R1649" s="782"/>
      <c r="S1649" s="782"/>
      <c r="T1649" s="782"/>
    </row>
    <row r="1650" spans="2:20">
      <c r="B1650" s="1076"/>
      <c r="C1650" s="774"/>
      <c r="D1650" s="775"/>
      <c r="E1650" s="776"/>
      <c r="F1650" s="776"/>
      <c r="G1650" s="777"/>
      <c r="H1650" s="783"/>
      <c r="I1650" s="777"/>
      <c r="J1650" s="776"/>
      <c r="K1650" s="779"/>
      <c r="L1650" s="779"/>
      <c r="M1650" s="779"/>
      <c r="N1650" s="780"/>
      <c r="O1650" s="780"/>
      <c r="P1650" s="777"/>
      <c r="Q1650" s="781"/>
      <c r="R1650" s="782"/>
      <c r="S1650" s="782"/>
      <c r="T1650" s="782"/>
    </row>
    <row r="1651" spans="2:20">
      <c r="B1651" s="1076"/>
      <c r="C1651" s="774"/>
      <c r="D1651" s="775"/>
      <c r="E1651" s="776"/>
      <c r="F1651" s="776"/>
      <c r="G1651" s="777"/>
      <c r="H1651" s="783"/>
      <c r="I1651" s="777"/>
      <c r="J1651" s="776"/>
      <c r="K1651" s="779"/>
      <c r="L1651" s="779"/>
      <c r="M1651" s="779"/>
      <c r="N1651" s="780"/>
      <c r="O1651" s="780"/>
      <c r="P1651" s="777"/>
      <c r="Q1651" s="781"/>
      <c r="R1651" s="782"/>
      <c r="S1651" s="782"/>
      <c r="T1651" s="782"/>
    </row>
    <row r="1652" spans="2:20">
      <c r="B1652" s="1076"/>
      <c r="C1652" s="774"/>
      <c r="D1652" s="775"/>
      <c r="E1652" s="776"/>
      <c r="F1652" s="776"/>
      <c r="G1652" s="777"/>
      <c r="H1652" s="783"/>
      <c r="I1652" s="777"/>
      <c r="J1652" s="776"/>
      <c r="K1652" s="779"/>
      <c r="L1652" s="779"/>
      <c r="M1652" s="779"/>
      <c r="N1652" s="780"/>
      <c r="O1652" s="780"/>
      <c r="P1652" s="777"/>
      <c r="Q1652" s="781"/>
      <c r="R1652" s="782"/>
      <c r="S1652" s="782"/>
      <c r="T1652" s="782"/>
    </row>
    <row r="1653" spans="2:20">
      <c r="B1653" s="1076"/>
      <c r="C1653" s="774"/>
      <c r="D1653" s="775"/>
      <c r="E1653" s="776"/>
      <c r="F1653" s="776"/>
      <c r="G1653" s="777"/>
      <c r="H1653" s="783"/>
      <c r="I1653" s="777"/>
      <c r="J1653" s="776"/>
      <c r="K1653" s="779"/>
      <c r="L1653" s="779"/>
      <c r="M1653" s="779"/>
      <c r="N1653" s="780"/>
      <c r="O1653" s="780"/>
      <c r="P1653" s="777"/>
      <c r="Q1653" s="781"/>
      <c r="R1653" s="782"/>
      <c r="S1653" s="782"/>
      <c r="T1653" s="782"/>
    </row>
    <row r="1654" spans="2:20">
      <c r="B1654" s="1076"/>
      <c r="C1654" s="774"/>
      <c r="D1654" s="775"/>
      <c r="E1654" s="776"/>
      <c r="F1654" s="776"/>
      <c r="G1654" s="777"/>
      <c r="H1654" s="783"/>
      <c r="I1654" s="777"/>
      <c r="J1654" s="776"/>
      <c r="K1654" s="779"/>
      <c r="L1654" s="779"/>
      <c r="M1654" s="779"/>
      <c r="N1654" s="780"/>
      <c r="O1654" s="780"/>
      <c r="P1654" s="777"/>
      <c r="Q1654" s="781"/>
      <c r="R1654" s="782"/>
      <c r="S1654" s="782"/>
      <c r="T1654" s="782"/>
    </row>
    <row r="1655" spans="2:20">
      <c r="B1655" s="1077"/>
      <c r="C1655" s="873"/>
      <c r="D1655" s="874"/>
      <c r="E1655" s="875"/>
      <c r="F1655" s="875"/>
      <c r="G1655" s="876"/>
      <c r="H1655" s="877"/>
      <c r="I1655" s="876"/>
      <c r="J1655" s="875"/>
      <c r="K1655" s="878"/>
      <c r="L1655" s="878"/>
      <c r="M1655" s="878"/>
      <c r="N1655" s="879"/>
      <c r="O1655" s="879"/>
      <c r="P1655" s="876"/>
      <c r="Q1655" s="880"/>
      <c r="R1655" s="881"/>
      <c r="S1655" s="881"/>
      <c r="T1655" s="881"/>
    </row>
    <row r="1656" spans="2:20">
      <c r="B1656" s="1075"/>
      <c r="C1656" s="785"/>
      <c r="D1656" s="786"/>
      <c r="E1656" s="787"/>
      <c r="F1656" s="787"/>
      <c r="G1656" s="788"/>
      <c r="H1656" s="797"/>
      <c r="I1656" s="788"/>
      <c r="J1656" s="787"/>
      <c r="K1656" s="790"/>
      <c r="L1656" s="790"/>
      <c r="M1656" s="790"/>
      <c r="N1656" s="791"/>
      <c r="O1656" s="791"/>
      <c r="P1656" s="788"/>
      <c r="Q1656" s="792"/>
      <c r="R1656" s="793"/>
      <c r="S1656" s="793"/>
      <c r="T1656" s="793"/>
    </row>
    <row r="1657" spans="2:20">
      <c r="B1657" s="1076"/>
      <c r="C1657" s="774"/>
      <c r="D1657" s="775"/>
      <c r="E1657" s="776"/>
      <c r="F1657" s="776"/>
      <c r="G1657" s="777"/>
      <c r="H1657" s="783"/>
      <c r="I1657" s="777"/>
      <c r="J1657" s="776"/>
      <c r="K1657" s="779"/>
      <c r="L1657" s="779"/>
      <c r="M1657" s="779"/>
      <c r="N1657" s="780"/>
      <c r="O1657" s="780"/>
      <c r="P1657" s="777"/>
      <c r="Q1657" s="781"/>
      <c r="R1657" s="782"/>
      <c r="S1657" s="782"/>
      <c r="T1657" s="782"/>
    </row>
    <row r="1658" spans="2:20">
      <c r="B1658" s="1076"/>
      <c r="C1658" s="774"/>
      <c r="D1658" s="775"/>
      <c r="E1658" s="776"/>
      <c r="F1658" s="776"/>
      <c r="G1658" s="777"/>
      <c r="H1658" s="783"/>
      <c r="I1658" s="777"/>
      <c r="J1658" s="776"/>
      <c r="K1658" s="779"/>
      <c r="L1658" s="779"/>
      <c r="M1658" s="779"/>
      <c r="N1658" s="780"/>
      <c r="O1658" s="780"/>
      <c r="P1658" s="777"/>
      <c r="Q1658" s="781"/>
      <c r="R1658" s="782"/>
      <c r="S1658" s="782"/>
      <c r="T1658" s="782"/>
    </row>
    <row r="1659" spans="2:20">
      <c r="B1659" s="1076"/>
      <c r="C1659" s="774"/>
      <c r="D1659" s="775"/>
      <c r="E1659" s="776"/>
      <c r="F1659" s="776"/>
      <c r="G1659" s="777"/>
      <c r="H1659" s="783"/>
      <c r="I1659" s="777"/>
      <c r="J1659" s="776"/>
      <c r="K1659" s="779"/>
      <c r="L1659" s="779"/>
      <c r="M1659" s="779"/>
      <c r="N1659" s="780"/>
      <c r="O1659" s="780"/>
      <c r="P1659" s="777"/>
      <c r="Q1659" s="781"/>
      <c r="R1659" s="782"/>
      <c r="S1659" s="782"/>
      <c r="T1659" s="782"/>
    </row>
    <row r="1660" spans="2:20">
      <c r="B1660" s="1076"/>
      <c r="C1660" s="774"/>
      <c r="D1660" s="775"/>
      <c r="E1660" s="776"/>
      <c r="F1660" s="776"/>
      <c r="G1660" s="777"/>
      <c r="H1660" s="783"/>
      <c r="I1660" s="777"/>
      <c r="J1660" s="776"/>
      <c r="K1660" s="779"/>
      <c r="L1660" s="779"/>
      <c r="M1660" s="779"/>
      <c r="N1660" s="780"/>
      <c r="O1660" s="780"/>
      <c r="P1660" s="777"/>
      <c r="Q1660" s="781"/>
      <c r="R1660" s="782"/>
      <c r="S1660" s="782"/>
      <c r="T1660" s="782"/>
    </row>
    <row r="1661" spans="2:20">
      <c r="B1661" s="1076"/>
      <c r="C1661" s="774"/>
      <c r="D1661" s="775"/>
      <c r="E1661" s="776"/>
      <c r="F1661" s="776"/>
      <c r="G1661" s="777"/>
      <c r="H1661" s="783"/>
      <c r="I1661" s="777"/>
      <c r="J1661" s="776"/>
      <c r="K1661" s="779"/>
      <c r="L1661" s="779"/>
      <c r="M1661" s="779"/>
      <c r="N1661" s="780"/>
      <c r="O1661" s="780"/>
      <c r="P1661" s="777"/>
      <c r="Q1661" s="781"/>
      <c r="R1661" s="782"/>
      <c r="S1661" s="782"/>
      <c r="T1661" s="782"/>
    </row>
    <row r="1662" spans="2:20">
      <c r="B1662" s="1076"/>
      <c r="C1662" s="774"/>
      <c r="D1662" s="775"/>
      <c r="E1662" s="776"/>
      <c r="F1662" s="776"/>
      <c r="G1662" s="777"/>
      <c r="H1662" s="783"/>
      <c r="I1662" s="777"/>
      <c r="J1662" s="776"/>
      <c r="K1662" s="779"/>
      <c r="L1662" s="779"/>
      <c r="M1662" s="779"/>
      <c r="N1662" s="780"/>
      <c r="O1662" s="780"/>
      <c r="P1662" s="777"/>
      <c r="Q1662" s="781"/>
      <c r="R1662" s="782"/>
      <c r="S1662" s="782"/>
      <c r="T1662" s="782"/>
    </row>
    <row r="1663" spans="2:20">
      <c r="B1663" s="1076"/>
      <c r="C1663" s="774"/>
      <c r="D1663" s="775"/>
      <c r="E1663" s="776"/>
      <c r="F1663" s="776"/>
      <c r="G1663" s="777"/>
      <c r="H1663" s="783"/>
      <c r="I1663" s="777"/>
      <c r="J1663" s="776"/>
      <c r="K1663" s="779"/>
      <c r="L1663" s="779"/>
      <c r="M1663" s="779"/>
      <c r="N1663" s="780"/>
      <c r="O1663" s="780"/>
      <c r="P1663" s="777"/>
      <c r="Q1663" s="781"/>
      <c r="R1663" s="782"/>
      <c r="S1663" s="782"/>
      <c r="T1663" s="782"/>
    </row>
    <row r="1664" spans="2:20">
      <c r="B1664" s="1076"/>
      <c r="C1664" s="774"/>
      <c r="D1664" s="775"/>
      <c r="E1664" s="776"/>
      <c r="F1664" s="776"/>
      <c r="G1664" s="777"/>
      <c r="H1664" s="783"/>
      <c r="I1664" s="777"/>
      <c r="J1664" s="776"/>
      <c r="K1664" s="779"/>
      <c r="L1664" s="779"/>
      <c r="M1664" s="779"/>
      <c r="N1664" s="780"/>
      <c r="O1664" s="780"/>
      <c r="P1664" s="777"/>
      <c r="Q1664" s="781"/>
      <c r="R1664" s="782"/>
      <c r="S1664" s="782"/>
      <c r="T1664" s="782"/>
    </row>
    <row r="1665" spans="2:20">
      <c r="B1665" s="1077"/>
      <c r="C1665" s="873"/>
      <c r="D1665" s="874"/>
      <c r="E1665" s="875"/>
      <c r="F1665" s="875"/>
      <c r="G1665" s="876"/>
      <c r="H1665" s="877"/>
      <c r="I1665" s="876"/>
      <c r="J1665" s="875"/>
      <c r="K1665" s="878"/>
      <c r="L1665" s="878"/>
      <c r="M1665" s="878"/>
      <c r="N1665" s="879"/>
      <c r="O1665" s="879"/>
      <c r="P1665" s="876"/>
      <c r="Q1665" s="880"/>
      <c r="R1665" s="881"/>
      <c r="S1665" s="881"/>
      <c r="T1665" s="881"/>
    </row>
    <row r="1666" spans="2:20">
      <c r="B1666" s="1075"/>
      <c r="C1666" s="785"/>
      <c r="D1666" s="786"/>
      <c r="E1666" s="787"/>
      <c r="F1666" s="787"/>
      <c r="G1666" s="788"/>
      <c r="H1666" s="797"/>
      <c r="I1666" s="788"/>
      <c r="J1666" s="787"/>
      <c r="K1666" s="790"/>
      <c r="L1666" s="790"/>
      <c r="M1666" s="790"/>
      <c r="N1666" s="791"/>
      <c r="O1666" s="791"/>
      <c r="P1666" s="788"/>
      <c r="Q1666" s="792"/>
      <c r="R1666" s="793"/>
      <c r="S1666" s="793"/>
      <c r="T1666" s="793"/>
    </row>
    <row r="1667" spans="2:20">
      <c r="B1667" s="1076"/>
      <c r="C1667" s="774"/>
      <c r="D1667" s="775"/>
      <c r="E1667" s="776"/>
      <c r="F1667" s="776"/>
      <c r="G1667" s="777"/>
      <c r="H1667" s="783"/>
      <c r="I1667" s="777"/>
      <c r="J1667" s="776"/>
      <c r="K1667" s="779"/>
      <c r="L1667" s="779"/>
      <c r="M1667" s="779"/>
      <c r="N1667" s="780"/>
      <c r="O1667" s="780"/>
      <c r="P1667" s="777"/>
      <c r="Q1667" s="781"/>
      <c r="R1667" s="782"/>
      <c r="S1667" s="782"/>
      <c r="T1667" s="782"/>
    </row>
    <row r="1668" spans="2:20">
      <c r="B1668" s="1076"/>
      <c r="C1668" s="774"/>
      <c r="D1668" s="775"/>
      <c r="E1668" s="776"/>
      <c r="F1668" s="776"/>
      <c r="G1668" s="777"/>
      <c r="H1668" s="783"/>
      <c r="I1668" s="777"/>
      <c r="J1668" s="776"/>
      <c r="K1668" s="779"/>
      <c r="L1668" s="779"/>
      <c r="M1668" s="779"/>
      <c r="N1668" s="780"/>
      <c r="O1668" s="780"/>
      <c r="P1668" s="777"/>
      <c r="Q1668" s="781"/>
      <c r="R1668" s="782"/>
      <c r="S1668" s="782"/>
      <c r="T1668" s="782"/>
    </row>
    <row r="1669" spans="2:20">
      <c r="B1669" s="1076"/>
      <c r="C1669" s="774"/>
      <c r="D1669" s="775"/>
      <c r="E1669" s="776"/>
      <c r="F1669" s="776"/>
      <c r="G1669" s="777"/>
      <c r="H1669" s="783"/>
      <c r="I1669" s="777"/>
      <c r="J1669" s="776"/>
      <c r="K1669" s="779"/>
      <c r="L1669" s="779"/>
      <c r="M1669" s="779"/>
      <c r="N1669" s="780"/>
      <c r="O1669" s="780"/>
      <c r="P1669" s="777"/>
      <c r="Q1669" s="781"/>
      <c r="R1669" s="782"/>
      <c r="S1669" s="782"/>
      <c r="T1669" s="782"/>
    </row>
    <row r="1670" spans="2:20">
      <c r="B1670" s="1076"/>
      <c r="C1670" s="774"/>
      <c r="D1670" s="775"/>
      <c r="E1670" s="776"/>
      <c r="F1670" s="776"/>
      <c r="G1670" s="777"/>
      <c r="H1670" s="783"/>
      <c r="I1670" s="777"/>
      <c r="J1670" s="776"/>
      <c r="K1670" s="779"/>
      <c r="L1670" s="779"/>
      <c r="M1670" s="779"/>
      <c r="N1670" s="780"/>
      <c r="O1670" s="780"/>
      <c r="P1670" s="777"/>
      <c r="Q1670" s="781"/>
      <c r="R1670" s="782"/>
      <c r="S1670" s="782"/>
      <c r="T1670" s="782"/>
    </row>
    <row r="1671" spans="2:20">
      <c r="B1671" s="1076"/>
      <c r="C1671" s="774"/>
      <c r="D1671" s="775"/>
      <c r="E1671" s="776"/>
      <c r="F1671" s="776"/>
      <c r="G1671" s="777"/>
      <c r="H1671" s="783"/>
      <c r="I1671" s="777"/>
      <c r="J1671" s="776"/>
      <c r="K1671" s="779"/>
      <c r="L1671" s="779"/>
      <c r="M1671" s="779"/>
      <c r="N1671" s="780"/>
      <c r="O1671" s="780"/>
      <c r="P1671" s="777"/>
      <c r="Q1671" s="781"/>
      <c r="R1671" s="782"/>
      <c r="S1671" s="782"/>
      <c r="T1671" s="782"/>
    </row>
    <row r="1672" spans="2:20">
      <c r="B1672" s="1076"/>
      <c r="C1672" s="774"/>
      <c r="D1672" s="775"/>
      <c r="E1672" s="776"/>
      <c r="F1672" s="776"/>
      <c r="G1672" s="777"/>
      <c r="H1672" s="783"/>
      <c r="I1672" s="777"/>
      <c r="J1672" s="776"/>
      <c r="K1672" s="779"/>
      <c r="L1672" s="779"/>
      <c r="M1672" s="779"/>
      <c r="N1672" s="780"/>
      <c r="O1672" s="780"/>
      <c r="P1672" s="777"/>
      <c r="Q1672" s="781"/>
      <c r="R1672" s="782"/>
      <c r="S1672" s="782"/>
      <c r="T1672" s="782"/>
    </row>
    <row r="1673" spans="2:20">
      <c r="B1673" s="1076"/>
      <c r="C1673" s="774"/>
      <c r="D1673" s="775"/>
      <c r="E1673" s="776"/>
      <c r="F1673" s="776"/>
      <c r="G1673" s="777"/>
      <c r="H1673" s="783"/>
      <c r="I1673" s="777"/>
      <c r="J1673" s="776"/>
      <c r="K1673" s="779"/>
      <c r="L1673" s="779"/>
      <c r="M1673" s="779"/>
      <c r="N1673" s="780"/>
      <c r="O1673" s="780"/>
      <c r="P1673" s="777"/>
      <c r="Q1673" s="781"/>
      <c r="R1673" s="782"/>
      <c r="S1673" s="782"/>
      <c r="T1673" s="782"/>
    </row>
    <row r="1674" spans="2:20">
      <c r="B1674" s="1076"/>
      <c r="C1674" s="774"/>
      <c r="D1674" s="775"/>
      <c r="E1674" s="776"/>
      <c r="F1674" s="776"/>
      <c r="G1674" s="777"/>
      <c r="H1674" s="783"/>
      <c r="I1674" s="777"/>
      <c r="J1674" s="776"/>
      <c r="K1674" s="779"/>
      <c r="L1674" s="779"/>
      <c r="M1674" s="779"/>
      <c r="N1674" s="780"/>
      <c r="O1674" s="780"/>
      <c r="P1674" s="777"/>
      <c r="Q1674" s="781"/>
      <c r="R1674" s="782"/>
      <c r="S1674" s="782"/>
      <c r="T1674" s="782"/>
    </row>
    <row r="1675" spans="2:20">
      <c r="B1675" s="1077"/>
      <c r="C1675" s="873"/>
      <c r="D1675" s="874"/>
      <c r="E1675" s="875"/>
      <c r="F1675" s="875"/>
      <c r="G1675" s="876"/>
      <c r="H1675" s="877"/>
      <c r="I1675" s="876"/>
      <c r="J1675" s="875"/>
      <c r="K1675" s="878"/>
      <c r="L1675" s="878"/>
      <c r="M1675" s="878"/>
      <c r="N1675" s="879"/>
      <c r="O1675" s="879"/>
      <c r="P1675" s="876"/>
      <c r="Q1675" s="880"/>
      <c r="R1675" s="881"/>
      <c r="S1675" s="881"/>
      <c r="T1675" s="881"/>
    </row>
    <row r="1676" spans="2:20">
      <c r="B1676" s="1075"/>
      <c r="C1676" s="785"/>
      <c r="D1676" s="786"/>
      <c r="E1676" s="787"/>
      <c r="F1676" s="787"/>
      <c r="G1676" s="788"/>
      <c r="H1676" s="797"/>
      <c r="I1676" s="788"/>
      <c r="J1676" s="787"/>
      <c r="K1676" s="790"/>
      <c r="L1676" s="790"/>
      <c r="M1676" s="790"/>
      <c r="N1676" s="791"/>
      <c r="O1676" s="791"/>
      <c r="P1676" s="788"/>
      <c r="Q1676" s="792"/>
      <c r="R1676" s="793"/>
      <c r="S1676" s="793"/>
      <c r="T1676" s="793"/>
    </row>
    <row r="1677" spans="2:20">
      <c r="B1677" s="1076"/>
      <c r="C1677" s="774"/>
      <c r="D1677" s="775"/>
      <c r="E1677" s="776"/>
      <c r="F1677" s="776"/>
      <c r="G1677" s="777"/>
      <c r="H1677" s="783"/>
      <c r="I1677" s="777"/>
      <c r="J1677" s="776"/>
      <c r="K1677" s="779"/>
      <c r="L1677" s="779"/>
      <c r="M1677" s="779"/>
      <c r="N1677" s="780"/>
      <c r="O1677" s="780"/>
      <c r="P1677" s="777"/>
      <c r="Q1677" s="781"/>
      <c r="R1677" s="782"/>
      <c r="S1677" s="782"/>
      <c r="T1677" s="782"/>
    </row>
    <row r="1678" spans="2:20">
      <c r="B1678" s="1076"/>
      <c r="C1678" s="774"/>
      <c r="D1678" s="775"/>
      <c r="E1678" s="776"/>
      <c r="F1678" s="776"/>
      <c r="G1678" s="777"/>
      <c r="H1678" s="783"/>
      <c r="I1678" s="777"/>
      <c r="J1678" s="776"/>
      <c r="K1678" s="779"/>
      <c r="L1678" s="779"/>
      <c r="M1678" s="779"/>
      <c r="N1678" s="780"/>
      <c r="O1678" s="780"/>
      <c r="P1678" s="777"/>
      <c r="Q1678" s="781"/>
      <c r="R1678" s="782"/>
      <c r="S1678" s="782"/>
      <c r="T1678" s="782"/>
    </row>
    <row r="1679" spans="2:20">
      <c r="B1679" s="1076"/>
      <c r="C1679" s="774"/>
      <c r="D1679" s="775"/>
      <c r="E1679" s="776"/>
      <c r="F1679" s="776"/>
      <c r="G1679" s="777"/>
      <c r="H1679" s="783"/>
      <c r="I1679" s="777"/>
      <c r="J1679" s="776"/>
      <c r="K1679" s="779"/>
      <c r="L1679" s="779"/>
      <c r="M1679" s="779"/>
      <c r="N1679" s="780"/>
      <c r="O1679" s="780"/>
      <c r="P1679" s="777"/>
      <c r="Q1679" s="781"/>
      <c r="R1679" s="782"/>
      <c r="S1679" s="782"/>
      <c r="T1679" s="782"/>
    </row>
    <row r="1680" spans="2:20">
      <c r="B1680" s="1076"/>
      <c r="C1680" s="774"/>
      <c r="D1680" s="775"/>
      <c r="E1680" s="776"/>
      <c r="F1680" s="776"/>
      <c r="G1680" s="777"/>
      <c r="H1680" s="783"/>
      <c r="I1680" s="777"/>
      <c r="J1680" s="776"/>
      <c r="K1680" s="779"/>
      <c r="L1680" s="779"/>
      <c r="M1680" s="779"/>
      <c r="N1680" s="780"/>
      <c r="O1680" s="780"/>
      <c r="P1680" s="777"/>
      <c r="Q1680" s="781"/>
      <c r="R1680" s="782"/>
      <c r="S1680" s="782"/>
      <c r="T1680" s="782"/>
    </row>
    <row r="1681" spans="2:20">
      <c r="B1681" s="1076"/>
      <c r="C1681" s="774"/>
      <c r="D1681" s="775"/>
      <c r="E1681" s="776"/>
      <c r="F1681" s="776"/>
      <c r="G1681" s="777"/>
      <c r="H1681" s="783"/>
      <c r="I1681" s="777"/>
      <c r="J1681" s="776"/>
      <c r="K1681" s="779"/>
      <c r="L1681" s="779"/>
      <c r="M1681" s="779"/>
      <c r="N1681" s="780"/>
      <c r="O1681" s="780"/>
      <c r="P1681" s="777"/>
      <c r="Q1681" s="781"/>
      <c r="R1681" s="782"/>
      <c r="S1681" s="782"/>
      <c r="T1681" s="782"/>
    </row>
    <row r="1682" spans="2:20">
      <c r="B1682" s="1076"/>
      <c r="C1682" s="774"/>
      <c r="D1682" s="775"/>
      <c r="E1682" s="776"/>
      <c r="F1682" s="776"/>
      <c r="G1682" s="777"/>
      <c r="H1682" s="783"/>
      <c r="I1682" s="777"/>
      <c r="J1682" s="776"/>
      <c r="K1682" s="779"/>
      <c r="L1682" s="779"/>
      <c r="M1682" s="779"/>
      <c r="N1682" s="780"/>
      <c r="O1682" s="780"/>
      <c r="P1682" s="777"/>
      <c r="Q1682" s="781"/>
      <c r="R1682" s="782"/>
      <c r="S1682" s="782"/>
      <c r="T1682" s="782"/>
    </row>
    <row r="1683" spans="2:20">
      <c r="B1683" s="1076"/>
      <c r="C1683" s="774"/>
      <c r="D1683" s="775"/>
      <c r="E1683" s="776"/>
      <c r="F1683" s="776"/>
      <c r="G1683" s="777"/>
      <c r="H1683" s="783"/>
      <c r="I1683" s="777"/>
      <c r="J1683" s="776"/>
      <c r="K1683" s="779"/>
      <c r="L1683" s="779"/>
      <c r="M1683" s="779"/>
      <c r="N1683" s="780"/>
      <c r="O1683" s="780"/>
      <c r="P1683" s="777"/>
      <c r="Q1683" s="781"/>
      <c r="R1683" s="782"/>
      <c r="S1683" s="782"/>
      <c r="T1683" s="782"/>
    </row>
    <row r="1684" spans="2:20">
      <c r="B1684" s="1076"/>
      <c r="C1684" s="774"/>
      <c r="D1684" s="775"/>
      <c r="E1684" s="776"/>
      <c r="F1684" s="776"/>
      <c r="G1684" s="777"/>
      <c r="H1684" s="783"/>
      <c r="I1684" s="777"/>
      <c r="J1684" s="776"/>
      <c r="K1684" s="779"/>
      <c r="L1684" s="779"/>
      <c r="M1684" s="779"/>
      <c r="N1684" s="780"/>
      <c r="O1684" s="780"/>
      <c r="P1684" s="777"/>
      <c r="Q1684" s="781"/>
      <c r="R1684" s="782"/>
      <c r="S1684" s="782"/>
      <c r="T1684" s="782"/>
    </row>
    <row r="1685" spans="2:20">
      <c r="B1685" s="1077"/>
      <c r="C1685" s="873"/>
      <c r="D1685" s="874"/>
      <c r="E1685" s="875"/>
      <c r="F1685" s="875"/>
      <c r="G1685" s="876"/>
      <c r="H1685" s="877"/>
      <c r="I1685" s="876"/>
      <c r="J1685" s="875"/>
      <c r="K1685" s="878"/>
      <c r="L1685" s="878"/>
      <c r="M1685" s="878"/>
      <c r="N1685" s="879"/>
      <c r="O1685" s="879"/>
      <c r="P1685" s="876"/>
      <c r="Q1685" s="880"/>
      <c r="R1685" s="881"/>
      <c r="S1685" s="881"/>
      <c r="T1685" s="881"/>
    </row>
    <row r="1686" spans="2:20">
      <c r="B1686" s="1075"/>
      <c r="C1686" s="785"/>
      <c r="D1686" s="786"/>
      <c r="E1686" s="787"/>
      <c r="F1686" s="787"/>
      <c r="G1686" s="788"/>
      <c r="H1686" s="797"/>
      <c r="I1686" s="788"/>
      <c r="J1686" s="787"/>
      <c r="K1686" s="790"/>
      <c r="L1686" s="790"/>
      <c r="M1686" s="790"/>
      <c r="N1686" s="791"/>
      <c r="O1686" s="791"/>
      <c r="P1686" s="788"/>
      <c r="Q1686" s="792"/>
      <c r="R1686" s="793"/>
      <c r="S1686" s="793"/>
      <c r="T1686" s="793"/>
    </row>
    <row r="1687" spans="2:20">
      <c r="B1687" s="1076"/>
      <c r="C1687" s="774"/>
      <c r="D1687" s="775"/>
      <c r="E1687" s="776"/>
      <c r="F1687" s="776"/>
      <c r="G1687" s="777"/>
      <c r="H1687" s="783"/>
      <c r="I1687" s="777"/>
      <c r="J1687" s="776"/>
      <c r="K1687" s="779"/>
      <c r="L1687" s="779"/>
      <c r="M1687" s="779"/>
      <c r="N1687" s="780"/>
      <c r="O1687" s="780"/>
      <c r="P1687" s="777"/>
      <c r="Q1687" s="781"/>
      <c r="R1687" s="782"/>
      <c r="S1687" s="782"/>
      <c r="T1687" s="782"/>
    </row>
    <row r="1688" spans="2:20">
      <c r="B1688" s="1076"/>
      <c r="C1688" s="774"/>
      <c r="D1688" s="775"/>
      <c r="E1688" s="776"/>
      <c r="F1688" s="776"/>
      <c r="G1688" s="777"/>
      <c r="H1688" s="783"/>
      <c r="I1688" s="777"/>
      <c r="J1688" s="776"/>
      <c r="K1688" s="779"/>
      <c r="L1688" s="779"/>
      <c r="M1688" s="779"/>
      <c r="N1688" s="780"/>
      <c r="O1688" s="780"/>
      <c r="P1688" s="777"/>
      <c r="Q1688" s="781"/>
      <c r="R1688" s="782"/>
      <c r="S1688" s="782"/>
      <c r="T1688" s="782"/>
    </row>
    <row r="1689" spans="2:20">
      <c r="B1689" s="1076"/>
      <c r="C1689" s="774"/>
      <c r="D1689" s="775"/>
      <c r="E1689" s="776"/>
      <c r="F1689" s="776"/>
      <c r="G1689" s="777"/>
      <c r="H1689" s="783"/>
      <c r="I1689" s="777"/>
      <c r="J1689" s="776"/>
      <c r="K1689" s="779"/>
      <c r="L1689" s="779"/>
      <c r="M1689" s="779"/>
      <c r="N1689" s="780"/>
      <c r="O1689" s="780"/>
      <c r="P1689" s="777"/>
      <c r="Q1689" s="781"/>
      <c r="R1689" s="782"/>
      <c r="S1689" s="782"/>
      <c r="T1689" s="782"/>
    </row>
    <row r="1690" spans="2:20">
      <c r="B1690" s="1076"/>
      <c r="C1690" s="774"/>
      <c r="D1690" s="775"/>
      <c r="E1690" s="776"/>
      <c r="F1690" s="776"/>
      <c r="G1690" s="777"/>
      <c r="H1690" s="783"/>
      <c r="I1690" s="777"/>
      <c r="J1690" s="776"/>
      <c r="K1690" s="779"/>
      <c r="L1690" s="779"/>
      <c r="M1690" s="779"/>
      <c r="N1690" s="780"/>
      <c r="O1690" s="780"/>
      <c r="P1690" s="777"/>
      <c r="Q1690" s="781"/>
      <c r="R1690" s="782"/>
      <c r="S1690" s="782"/>
      <c r="T1690" s="782"/>
    </row>
    <row r="1691" spans="2:20">
      <c r="B1691" s="1076"/>
      <c r="C1691" s="774"/>
      <c r="D1691" s="775"/>
      <c r="E1691" s="776"/>
      <c r="F1691" s="776"/>
      <c r="G1691" s="777"/>
      <c r="H1691" s="783"/>
      <c r="I1691" s="777"/>
      <c r="J1691" s="776"/>
      <c r="K1691" s="779"/>
      <c r="L1691" s="779"/>
      <c r="M1691" s="779"/>
      <c r="N1691" s="780"/>
      <c r="O1691" s="780"/>
      <c r="P1691" s="777"/>
      <c r="Q1691" s="781"/>
      <c r="R1691" s="782"/>
      <c r="S1691" s="782"/>
      <c r="T1691" s="782"/>
    </row>
    <row r="1692" spans="2:20">
      <c r="B1692" s="1076"/>
      <c r="C1692" s="774"/>
      <c r="D1692" s="775"/>
      <c r="E1692" s="776"/>
      <c r="F1692" s="776"/>
      <c r="G1692" s="777"/>
      <c r="H1692" s="783"/>
      <c r="I1692" s="777"/>
      <c r="J1692" s="776"/>
      <c r="K1692" s="779"/>
      <c r="L1692" s="779"/>
      <c r="M1692" s="779"/>
      <c r="N1692" s="780"/>
      <c r="O1692" s="780"/>
      <c r="P1692" s="777"/>
      <c r="Q1692" s="781"/>
      <c r="R1692" s="782"/>
      <c r="S1692" s="782"/>
      <c r="T1692" s="782"/>
    </row>
    <row r="1693" spans="2:20">
      <c r="B1693" s="1076"/>
      <c r="C1693" s="774"/>
      <c r="D1693" s="775"/>
      <c r="E1693" s="776"/>
      <c r="F1693" s="776"/>
      <c r="G1693" s="777"/>
      <c r="H1693" s="783"/>
      <c r="I1693" s="777"/>
      <c r="J1693" s="776"/>
      <c r="K1693" s="779"/>
      <c r="L1693" s="779"/>
      <c r="M1693" s="779"/>
      <c r="N1693" s="780"/>
      <c r="O1693" s="780"/>
      <c r="P1693" s="777"/>
      <c r="Q1693" s="781"/>
      <c r="R1693" s="782"/>
      <c r="S1693" s="782"/>
      <c r="T1693" s="782"/>
    </row>
    <row r="1694" spans="2:20">
      <c r="B1694" s="1076"/>
      <c r="C1694" s="774"/>
      <c r="D1694" s="775"/>
      <c r="E1694" s="776"/>
      <c r="F1694" s="776"/>
      <c r="G1694" s="777"/>
      <c r="H1694" s="783"/>
      <c r="I1694" s="777"/>
      <c r="J1694" s="776"/>
      <c r="K1694" s="779"/>
      <c r="L1694" s="779"/>
      <c r="M1694" s="779"/>
      <c r="N1694" s="780"/>
      <c r="O1694" s="780"/>
      <c r="P1694" s="777"/>
      <c r="Q1694" s="781"/>
      <c r="R1694" s="782"/>
      <c r="S1694" s="782"/>
      <c r="T1694" s="782"/>
    </row>
    <row r="1695" spans="2:20">
      <c r="B1695" s="1077"/>
      <c r="C1695" s="873"/>
      <c r="D1695" s="874"/>
      <c r="E1695" s="875"/>
      <c r="F1695" s="875"/>
      <c r="G1695" s="876"/>
      <c r="H1695" s="877"/>
      <c r="I1695" s="876"/>
      <c r="J1695" s="875"/>
      <c r="K1695" s="878"/>
      <c r="L1695" s="878"/>
      <c r="M1695" s="878"/>
      <c r="N1695" s="879"/>
      <c r="O1695" s="879"/>
      <c r="P1695" s="876"/>
      <c r="Q1695" s="880"/>
      <c r="R1695" s="881"/>
      <c r="S1695" s="881"/>
      <c r="T1695" s="881"/>
    </row>
    <row r="1696" spans="2:20">
      <c r="B1696" s="1075"/>
      <c r="C1696" s="785"/>
      <c r="D1696" s="786"/>
      <c r="E1696" s="787"/>
      <c r="F1696" s="787"/>
      <c r="G1696" s="788"/>
      <c r="H1696" s="797"/>
      <c r="I1696" s="788"/>
      <c r="J1696" s="787"/>
      <c r="K1696" s="790"/>
      <c r="L1696" s="790"/>
      <c r="M1696" s="790"/>
      <c r="N1696" s="791"/>
      <c r="O1696" s="791"/>
      <c r="P1696" s="788"/>
      <c r="Q1696" s="792"/>
      <c r="R1696" s="793"/>
      <c r="S1696" s="793"/>
      <c r="T1696" s="793"/>
    </row>
    <row r="1697" spans="2:20">
      <c r="B1697" s="1076"/>
      <c r="C1697" s="774"/>
      <c r="D1697" s="775"/>
      <c r="E1697" s="776"/>
      <c r="F1697" s="776"/>
      <c r="G1697" s="777"/>
      <c r="H1697" s="783"/>
      <c r="I1697" s="777"/>
      <c r="J1697" s="776"/>
      <c r="K1697" s="779"/>
      <c r="L1697" s="779"/>
      <c r="M1697" s="779"/>
      <c r="N1697" s="780"/>
      <c r="O1697" s="780"/>
      <c r="P1697" s="777"/>
      <c r="Q1697" s="781"/>
      <c r="R1697" s="782"/>
      <c r="S1697" s="782"/>
      <c r="T1697" s="782"/>
    </row>
    <row r="1698" spans="2:20">
      <c r="B1698" s="1076"/>
      <c r="C1698" s="774"/>
      <c r="D1698" s="775"/>
      <c r="E1698" s="776"/>
      <c r="F1698" s="776"/>
      <c r="G1698" s="777"/>
      <c r="H1698" s="783"/>
      <c r="I1698" s="777"/>
      <c r="J1698" s="776"/>
      <c r="K1698" s="779"/>
      <c r="L1698" s="779"/>
      <c r="M1698" s="779"/>
      <c r="N1698" s="780"/>
      <c r="O1698" s="780"/>
      <c r="P1698" s="777"/>
      <c r="Q1698" s="781"/>
      <c r="R1698" s="782"/>
      <c r="S1698" s="782"/>
      <c r="T1698" s="782"/>
    </row>
    <row r="1699" spans="2:20">
      <c r="B1699" s="1076"/>
      <c r="C1699" s="774"/>
      <c r="D1699" s="775"/>
      <c r="E1699" s="776"/>
      <c r="F1699" s="776"/>
      <c r="G1699" s="777"/>
      <c r="H1699" s="783"/>
      <c r="I1699" s="777"/>
      <c r="J1699" s="776"/>
      <c r="K1699" s="779"/>
      <c r="L1699" s="779"/>
      <c r="M1699" s="779"/>
      <c r="N1699" s="780"/>
      <c r="O1699" s="780"/>
      <c r="P1699" s="777"/>
      <c r="Q1699" s="781"/>
      <c r="R1699" s="782"/>
      <c r="S1699" s="782"/>
      <c r="T1699" s="782"/>
    </row>
    <row r="1700" spans="2:20">
      <c r="B1700" s="1076"/>
      <c r="C1700" s="774"/>
      <c r="D1700" s="775"/>
      <c r="E1700" s="776"/>
      <c r="F1700" s="776"/>
      <c r="G1700" s="777"/>
      <c r="H1700" s="783"/>
      <c r="I1700" s="777"/>
      <c r="J1700" s="776"/>
      <c r="K1700" s="779"/>
      <c r="L1700" s="779"/>
      <c r="M1700" s="779"/>
      <c r="N1700" s="780"/>
      <c r="O1700" s="780"/>
      <c r="P1700" s="777"/>
      <c r="Q1700" s="781"/>
      <c r="R1700" s="782"/>
      <c r="S1700" s="782"/>
      <c r="T1700" s="782"/>
    </row>
    <row r="1701" spans="2:20">
      <c r="B1701" s="1076"/>
      <c r="C1701" s="774"/>
      <c r="D1701" s="775"/>
      <c r="E1701" s="776"/>
      <c r="F1701" s="776"/>
      <c r="G1701" s="777"/>
      <c r="H1701" s="783"/>
      <c r="I1701" s="777"/>
      <c r="J1701" s="776"/>
      <c r="K1701" s="779"/>
      <c r="L1701" s="779"/>
      <c r="M1701" s="779"/>
      <c r="N1701" s="780"/>
      <c r="O1701" s="780"/>
      <c r="P1701" s="777"/>
      <c r="Q1701" s="781"/>
      <c r="R1701" s="782"/>
      <c r="S1701" s="782"/>
      <c r="T1701" s="782"/>
    </row>
    <row r="1702" spans="2:20">
      <c r="B1702" s="1076"/>
      <c r="C1702" s="774"/>
      <c r="D1702" s="775"/>
      <c r="E1702" s="776"/>
      <c r="F1702" s="776"/>
      <c r="G1702" s="777"/>
      <c r="H1702" s="783"/>
      <c r="I1702" s="777"/>
      <c r="J1702" s="776"/>
      <c r="K1702" s="779"/>
      <c r="L1702" s="779"/>
      <c r="M1702" s="779"/>
      <c r="N1702" s="780"/>
      <c r="O1702" s="780"/>
      <c r="P1702" s="777"/>
      <c r="Q1702" s="781"/>
      <c r="R1702" s="782"/>
      <c r="S1702" s="782"/>
      <c r="T1702" s="782"/>
    </row>
    <row r="1703" spans="2:20">
      <c r="B1703" s="1076"/>
      <c r="C1703" s="774"/>
      <c r="D1703" s="775"/>
      <c r="E1703" s="776"/>
      <c r="F1703" s="776"/>
      <c r="G1703" s="777"/>
      <c r="H1703" s="783"/>
      <c r="I1703" s="777"/>
      <c r="J1703" s="776"/>
      <c r="K1703" s="779"/>
      <c r="L1703" s="779"/>
      <c r="M1703" s="779"/>
      <c r="N1703" s="780"/>
      <c r="O1703" s="780"/>
      <c r="P1703" s="777"/>
      <c r="Q1703" s="781"/>
      <c r="R1703" s="782"/>
      <c r="S1703" s="782"/>
      <c r="T1703" s="782"/>
    </row>
    <row r="1704" spans="2:20">
      <c r="B1704" s="1076"/>
      <c r="C1704" s="774"/>
      <c r="D1704" s="775"/>
      <c r="E1704" s="776"/>
      <c r="F1704" s="776"/>
      <c r="G1704" s="777"/>
      <c r="H1704" s="783"/>
      <c r="I1704" s="777"/>
      <c r="J1704" s="776"/>
      <c r="K1704" s="779"/>
      <c r="L1704" s="779"/>
      <c r="M1704" s="779"/>
      <c r="N1704" s="780"/>
      <c r="O1704" s="780"/>
      <c r="P1704" s="777"/>
      <c r="Q1704" s="781"/>
      <c r="R1704" s="782"/>
      <c r="S1704" s="782"/>
      <c r="T1704" s="782"/>
    </row>
    <row r="1705" spans="2:20">
      <c r="B1705" s="1077"/>
      <c r="C1705" s="873"/>
      <c r="D1705" s="874"/>
      <c r="E1705" s="875"/>
      <c r="F1705" s="875"/>
      <c r="G1705" s="876"/>
      <c r="H1705" s="877"/>
      <c r="I1705" s="876"/>
      <c r="J1705" s="875"/>
      <c r="K1705" s="878"/>
      <c r="L1705" s="878"/>
      <c r="M1705" s="878"/>
      <c r="N1705" s="879"/>
      <c r="O1705" s="879"/>
      <c r="P1705" s="876"/>
      <c r="Q1705" s="880"/>
      <c r="R1705" s="881"/>
      <c r="S1705" s="881"/>
      <c r="T1705" s="881"/>
    </row>
    <row r="1706" spans="2:20">
      <c r="B1706" s="1076"/>
      <c r="C1706" s="774"/>
      <c r="D1706" s="775"/>
      <c r="E1706" s="776"/>
      <c r="F1706" s="776"/>
      <c r="G1706" s="777"/>
      <c r="H1706" s="783"/>
      <c r="I1706" s="777"/>
      <c r="J1706" s="776"/>
      <c r="K1706" s="779"/>
      <c r="L1706" s="779"/>
      <c r="M1706" s="779"/>
      <c r="N1706" s="780"/>
      <c r="O1706" s="780"/>
      <c r="P1706" s="777"/>
      <c r="Q1706" s="781"/>
      <c r="R1706" s="782"/>
      <c r="S1706" s="782"/>
      <c r="T1706" s="782"/>
    </row>
    <row r="1707" spans="2:20">
      <c r="B1707" s="1076"/>
      <c r="C1707" s="774"/>
      <c r="D1707" s="775"/>
      <c r="E1707" s="776"/>
      <c r="F1707" s="776"/>
      <c r="G1707" s="777"/>
      <c r="H1707" s="783"/>
      <c r="I1707" s="777"/>
      <c r="J1707" s="776"/>
      <c r="K1707" s="779"/>
      <c r="L1707" s="779"/>
      <c r="M1707" s="779"/>
      <c r="N1707" s="780"/>
      <c r="O1707" s="780"/>
      <c r="P1707" s="777"/>
      <c r="Q1707" s="781"/>
      <c r="R1707" s="782"/>
      <c r="S1707" s="782"/>
      <c r="T1707" s="782"/>
    </row>
    <row r="1708" spans="2:20">
      <c r="B1708" s="1076"/>
      <c r="C1708" s="774"/>
      <c r="D1708" s="775"/>
      <c r="E1708" s="776"/>
      <c r="F1708" s="776"/>
      <c r="G1708" s="777"/>
      <c r="H1708" s="783"/>
      <c r="I1708" s="777"/>
      <c r="J1708" s="776"/>
      <c r="K1708" s="779"/>
      <c r="L1708" s="779"/>
      <c r="M1708" s="779"/>
      <c r="N1708" s="780"/>
      <c r="O1708" s="780"/>
      <c r="P1708" s="777"/>
      <c r="Q1708" s="781"/>
      <c r="R1708" s="782"/>
      <c r="S1708" s="782"/>
      <c r="T1708" s="782"/>
    </row>
    <row r="1709" spans="2:20">
      <c r="B1709" s="1076"/>
      <c r="C1709" s="774"/>
      <c r="D1709" s="775"/>
      <c r="E1709" s="776"/>
      <c r="F1709" s="776"/>
      <c r="G1709" s="777"/>
      <c r="H1709" s="783"/>
      <c r="I1709" s="777"/>
      <c r="J1709" s="776"/>
      <c r="K1709" s="779"/>
      <c r="L1709" s="779"/>
      <c r="M1709" s="779"/>
      <c r="N1709" s="780"/>
      <c r="O1709" s="780"/>
      <c r="P1709" s="777"/>
      <c r="Q1709" s="781"/>
      <c r="R1709" s="782"/>
      <c r="S1709" s="782"/>
      <c r="T1709" s="782"/>
    </row>
    <row r="1710" spans="2:20">
      <c r="B1710" s="1076"/>
      <c r="C1710" s="774"/>
      <c r="D1710" s="775"/>
      <c r="E1710" s="776"/>
      <c r="F1710" s="776"/>
      <c r="G1710" s="777"/>
      <c r="H1710" s="783"/>
      <c r="I1710" s="777"/>
      <c r="J1710" s="776"/>
      <c r="K1710" s="779"/>
      <c r="L1710" s="779"/>
      <c r="M1710" s="779"/>
      <c r="N1710" s="780"/>
      <c r="O1710" s="780"/>
      <c r="P1710" s="777"/>
      <c r="Q1710" s="781"/>
      <c r="R1710" s="782"/>
      <c r="S1710" s="782"/>
      <c r="T1710" s="782"/>
    </row>
    <row r="1711" spans="2:20">
      <c r="B1711" s="1076"/>
      <c r="C1711" s="774"/>
      <c r="D1711" s="775"/>
      <c r="E1711" s="776"/>
      <c r="F1711" s="776"/>
      <c r="G1711" s="777"/>
      <c r="H1711" s="783"/>
      <c r="I1711" s="777"/>
      <c r="J1711" s="776"/>
      <c r="K1711" s="779"/>
      <c r="L1711" s="779"/>
      <c r="M1711" s="779"/>
      <c r="N1711" s="780"/>
      <c r="O1711" s="780"/>
      <c r="P1711" s="777"/>
      <c r="Q1711" s="781"/>
      <c r="R1711" s="782"/>
      <c r="S1711" s="782"/>
      <c r="T1711" s="782"/>
    </row>
    <row r="1712" spans="2:20">
      <c r="B1712" s="1076"/>
      <c r="C1712" s="774"/>
      <c r="D1712" s="775"/>
      <c r="E1712" s="776"/>
      <c r="F1712" s="776"/>
      <c r="G1712" s="777"/>
      <c r="H1712" s="783"/>
      <c r="I1712" s="777"/>
      <c r="J1712" s="776"/>
      <c r="K1712" s="779"/>
      <c r="L1712" s="779"/>
      <c r="M1712" s="779"/>
      <c r="N1712" s="780"/>
      <c r="O1712" s="780"/>
      <c r="P1712" s="777"/>
      <c r="Q1712" s="781"/>
      <c r="R1712" s="782"/>
      <c r="S1712" s="782"/>
      <c r="T1712" s="782"/>
    </row>
    <row r="1713" spans="2:20">
      <c r="B1713" s="1076"/>
      <c r="C1713" s="774"/>
      <c r="D1713" s="775"/>
      <c r="E1713" s="776"/>
      <c r="F1713" s="776"/>
      <c r="G1713" s="777"/>
      <c r="H1713" s="783"/>
      <c r="I1713" s="777"/>
      <c r="J1713" s="776"/>
      <c r="K1713" s="779"/>
      <c r="L1713" s="779"/>
      <c r="M1713" s="779"/>
      <c r="N1713" s="780"/>
      <c r="O1713" s="780"/>
      <c r="P1713" s="777"/>
      <c r="Q1713" s="781"/>
      <c r="R1713" s="782"/>
      <c r="S1713" s="782"/>
      <c r="T1713" s="782"/>
    </row>
    <row r="1714" spans="2:20">
      <c r="B1714" s="1076"/>
      <c r="C1714" s="774"/>
      <c r="D1714" s="775"/>
      <c r="E1714" s="776"/>
      <c r="F1714" s="776"/>
      <c r="G1714" s="777"/>
      <c r="H1714" s="783"/>
      <c r="I1714" s="777"/>
      <c r="J1714" s="776"/>
      <c r="K1714" s="779"/>
      <c r="L1714" s="779"/>
      <c r="M1714" s="779"/>
      <c r="N1714" s="780"/>
      <c r="O1714" s="780"/>
      <c r="P1714" s="777"/>
      <c r="Q1714" s="781"/>
      <c r="R1714" s="782"/>
      <c r="S1714" s="782"/>
      <c r="T1714" s="782"/>
    </row>
    <row r="1715" spans="2:20">
      <c r="B1715" s="1076"/>
      <c r="C1715" s="774"/>
      <c r="D1715" s="775"/>
      <c r="E1715" s="776"/>
      <c r="F1715" s="776"/>
      <c r="G1715" s="777"/>
      <c r="H1715" s="783"/>
      <c r="I1715" s="777"/>
      <c r="J1715" s="776"/>
      <c r="K1715" s="779"/>
      <c r="L1715" s="779"/>
      <c r="M1715" s="779"/>
      <c r="N1715" s="780"/>
      <c r="O1715" s="780"/>
      <c r="P1715" s="777"/>
      <c r="Q1715" s="781"/>
      <c r="R1715" s="782"/>
      <c r="S1715" s="782"/>
      <c r="T1715" s="782"/>
    </row>
    <row r="1716" spans="2:20">
      <c r="B1716" s="1078"/>
      <c r="C1716" s="1079"/>
      <c r="D1716" s="1080" t="s">
        <v>6087</v>
      </c>
      <c r="E1716" s="1078"/>
      <c r="F1716" s="1078"/>
      <c r="G1716" s="1078"/>
      <c r="H1716" s="1081"/>
      <c r="I1716" s="1078"/>
      <c r="J1716" s="1078"/>
      <c r="K1716" s="864"/>
      <c r="L1716" s="865"/>
      <c r="M1716" s="865"/>
      <c r="N1716" s="866"/>
      <c r="O1716" s="867"/>
      <c r="P1716" s="868"/>
      <c r="Q1716" s="869"/>
      <c r="R1716" s="870"/>
      <c r="S1716" s="870"/>
      <c r="T1716" s="870"/>
    </row>
    <row r="1717" spans="2:20">
      <c r="B1717" s="1075"/>
      <c r="C1717" s="785"/>
      <c r="D1717" s="786"/>
      <c r="E1717" s="787"/>
      <c r="F1717" s="787"/>
      <c r="G1717" s="788"/>
      <c r="H1717" s="797"/>
      <c r="I1717" s="788"/>
      <c r="J1717" s="787"/>
      <c r="K1717" s="790"/>
      <c r="L1717" s="790"/>
      <c r="M1717" s="790"/>
      <c r="N1717" s="791"/>
      <c r="O1717" s="791"/>
      <c r="P1717" s="788"/>
      <c r="Q1717" s="792"/>
      <c r="R1717" s="793"/>
      <c r="S1717" s="793"/>
      <c r="T1717" s="793"/>
    </row>
    <row r="1718" spans="2:20">
      <c r="B1718" s="1076"/>
      <c r="C1718" s="774"/>
      <c r="D1718" s="775"/>
      <c r="E1718" s="776"/>
      <c r="F1718" s="776"/>
      <c r="G1718" s="777"/>
      <c r="H1718" s="783"/>
      <c r="I1718" s="777"/>
      <c r="J1718" s="776"/>
      <c r="K1718" s="779"/>
      <c r="L1718" s="779"/>
      <c r="M1718" s="779"/>
      <c r="N1718" s="780"/>
      <c r="O1718" s="780"/>
      <c r="P1718" s="777"/>
      <c r="Q1718" s="781"/>
      <c r="R1718" s="782"/>
      <c r="S1718" s="782"/>
      <c r="T1718" s="782"/>
    </row>
    <row r="1719" spans="2:20">
      <c r="B1719" s="1076"/>
      <c r="C1719" s="774"/>
      <c r="D1719" s="775"/>
      <c r="E1719" s="776"/>
      <c r="F1719" s="776"/>
      <c r="G1719" s="777"/>
      <c r="H1719" s="783"/>
      <c r="I1719" s="777"/>
      <c r="J1719" s="776"/>
      <c r="K1719" s="779"/>
      <c r="L1719" s="779"/>
      <c r="M1719" s="779"/>
      <c r="N1719" s="780"/>
      <c r="O1719" s="780"/>
      <c r="P1719" s="777"/>
      <c r="Q1719" s="781"/>
      <c r="R1719" s="782"/>
      <c r="S1719" s="782"/>
      <c r="T1719" s="782"/>
    </row>
    <row r="1720" spans="2:20">
      <c r="B1720" s="1076"/>
      <c r="C1720" s="774"/>
      <c r="D1720" s="775"/>
      <c r="E1720" s="776"/>
      <c r="F1720" s="776"/>
      <c r="G1720" s="777"/>
      <c r="H1720" s="783"/>
      <c r="I1720" s="777"/>
      <c r="J1720" s="776"/>
      <c r="K1720" s="779"/>
      <c r="L1720" s="779"/>
      <c r="M1720" s="779"/>
      <c r="N1720" s="780"/>
      <c r="O1720" s="780"/>
      <c r="P1720" s="777"/>
      <c r="Q1720" s="781"/>
      <c r="R1720" s="782"/>
      <c r="S1720" s="782"/>
      <c r="T1720" s="782"/>
    </row>
    <row r="1721" spans="2:20">
      <c r="B1721" s="1076"/>
      <c r="C1721" s="774"/>
      <c r="D1721" s="775"/>
      <c r="E1721" s="776"/>
      <c r="F1721" s="776"/>
      <c r="G1721" s="777"/>
      <c r="H1721" s="783"/>
      <c r="I1721" s="777"/>
      <c r="J1721" s="776"/>
      <c r="K1721" s="779"/>
      <c r="L1721" s="779"/>
      <c r="M1721" s="779"/>
      <c r="N1721" s="780"/>
      <c r="O1721" s="780"/>
      <c r="P1721" s="777"/>
      <c r="Q1721" s="781"/>
      <c r="R1721" s="782"/>
      <c r="S1721" s="782"/>
      <c r="T1721" s="782"/>
    </row>
    <row r="1722" spans="2:20">
      <c r="B1722" s="1076"/>
      <c r="C1722" s="774"/>
      <c r="D1722" s="775"/>
      <c r="E1722" s="776"/>
      <c r="F1722" s="776"/>
      <c r="G1722" s="777"/>
      <c r="H1722" s="783"/>
      <c r="I1722" s="777"/>
      <c r="J1722" s="776"/>
      <c r="K1722" s="779"/>
      <c r="L1722" s="779"/>
      <c r="M1722" s="779"/>
      <c r="N1722" s="780"/>
      <c r="O1722" s="780"/>
      <c r="P1722" s="777"/>
      <c r="Q1722" s="781"/>
      <c r="R1722" s="782"/>
      <c r="S1722" s="782"/>
      <c r="T1722" s="782"/>
    </row>
    <row r="1723" spans="2:20">
      <c r="B1723" s="1076"/>
      <c r="C1723" s="774"/>
      <c r="D1723" s="775"/>
      <c r="E1723" s="776"/>
      <c r="F1723" s="776"/>
      <c r="G1723" s="777"/>
      <c r="H1723" s="783"/>
      <c r="I1723" s="777"/>
      <c r="J1723" s="776"/>
      <c r="K1723" s="779"/>
      <c r="L1723" s="779"/>
      <c r="M1723" s="779"/>
      <c r="N1723" s="780"/>
      <c r="O1723" s="780"/>
      <c r="P1723" s="777"/>
      <c r="Q1723" s="781"/>
      <c r="R1723" s="782"/>
      <c r="S1723" s="782"/>
      <c r="T1723" s="782"/>
    </row>
    <row r="1724" spans="2:20">
      <c r="B1724" s="1076"/>
      <c r="C1724" s="774"/>
      <c r="D1724" s="775"/>
      <c r="E1724" s="776"/>
      <c r="F1724" s="776"/>
      <c r="G1724" s="777"/>
      <c r="H1724" s="783"/>
      <c r="I1724" s="777"/>
      <c r="J1724" s="776"/>
      <c r="K1724" s="779"/>
      <c r="L1724" s="779"/>
      <c r="M1724" s="779"/>
      <c r="N1724" s="780"/>
      <c r="O1724" s="780"/>
      <c r="P1724" s="777"/>
      <c r="Q1724" s="781"/>
      <c r="R1724" s="782"/>
      <c r="S1724" s="782"/>
      <c r="T1724" s="782"/>
    </row>
    <row r="1725" spans="2:20">
      <c r="B1725" s="1076"/>
      <c r="C1725" s="774"/>
      <c r="D1725" s="775"/>
      <c r="E1725" s="776"/>
      <c r="F1725" s="776"/>
      <c r="G1725" s="777"/>
      <c r="H1725" s="783"/>
      <c r="I1725" s="777"/>
      <c r="J1725" s="776"/>
      <c r="K1725" s="779"/>
      <c r="L1725" s="779"/>
      <c r="M1725" s="779"/>
      <c r="N1725" s="780"/>
      <c r="O1725" s="780"/>
      <c r="P1725" s="777"/>
      <c r="Q1725" s="781"/>
      <c r="R1725" s="782"/>
      <c r="S1725" s="782"/>
      <c r="T1725" s="782"/>
    </row>
    <row r="1726" spans="2:20">
      <c r="B1726" s="1077"/>
      <c r="C1726" s="873"/>
      <c r="D1726" s="874"/>
      <c r="E1726" s="875"/>
      <c r="F1726" s="875"/>
      <c r="G1726" s="876"/>
      <c r="H1726" s="877"/>
      <c r="I1726" s="876"/>
      <c r="J1726" s="875"/>
      <c r="K1726" s="878"/>
      <c r="L1726" s="878"/>
      <c r="M1726" s="878"/>
      <c r="N1726" s="879"/>
      <c r="O1726" s="879"/>
      <c r="P1726" s="876"/>
      <c r="Q1726" s="880"/>
      <c r="R1726" s="881"/>
      <c r="S1726" s="881"/>
      <c r="T1726" s="881"/>
    </row>
    <row r="1727" spans="2:20">
      <c r="B1727" s="1075"/>
      <c r="C1727" s="785"/>
      <c r="D1727" s="786"/>
      <c r="E1727" s="787"/>
      <c r="F1727" s="787"/>
      <c r="G1727" s="788"/>
      <c r="H1727" s="797"/>
      <c r="I1727" s="788"/>
      <c r="J1727" s="787"/>
      <c r="K1727" s="790"/>
      <c r="L1727" s="790"/>
      <c r="M1727" s="790"/>
      <c r="N1727" s="791"/>
      <c r="O1727" s="791"/>
      <c r="P1727" s="788"/>
      <c r="Q1727" s="792"/>
      <c r="R1727" s="793"/>
      <c r="S1727" s="793"/>
      <c r="T1727" s="793"/>
    </row>
    <row r="1728" spans="2:20">
      <c r="B1728" s="1076"/>
      <c r="C1728" s="774"/>
      <c r="D1728" s="775"/>
      <c r="E1728" s="776"/>
      <c r="F1728" s="776"/>
      <c r="G1728" s="777"/>
      <c r="H1728" s="783"/>
      <c r="I1728" s="777"/>
      <c r="J1728" s="776"/>
      <c r="K1728" s="779"/>
      <c r="L1728" s="779"/>
      <c r="M1728" s="779"/>
      <c r="N1728" s="780"/>
      <c r="O1728" s="780"/>
      <c r="P1728" s="777"/>
      <c r="Q1728" s="781"/>
      <c r="R1728" s="782"/>
      <c r="S1728" s="782"/>
      <c r="T1728" s="782"/>
    </row>
    <row r="1729" spans="2:20">
      <c r="B1729" s="1076"/>
      <c r="C1729" s="774"/>
      <c r="D1729" s="775"/>
      <c r="E1729" s="776"/>
      <c r="F1729" s="776"/>
      <c r="G1729" s="777"/>
      <c r="H1729" s="783"/>
      <c r="I1729" s="777"/>
      <c r="J1729" s="776"/>
      <c r="K1729" s="779"/>
      <c r="L1729" s="779"/>
      <c r="M1729" s="779"/>
      <c r="N1729" s="780"/>
      <c r="O1729" s="780"/>
      <c r="P1729" s="777"/>
      <c r="Q1729" s="781"/>
      <c r="R1729" s="782"/>
      <c r="S1729" s="782"/>
      <c r="T1729" s="782"/>
    </row>
    <row r="1730" spans="2:20">
      <c r="B1730" s="1076"/>
      <c r="C1730" s="774"/>
      <c r="D1730" s="775"/>
      <c r="E1730" s="776"/>
      <c r="F1730" s="776"/>
      <c r="G1730" s="777"/>
      <c r="H1730" s="783"/>
      <c r="I1730" s="777"/>
      <c r="J1730" s="776"/>
      <c r="K1730" s="779"/>
      <c r="L1730" s="779"/>
      <c r="M1730" s="779"/>
      <c r="N1730" s="780"/>
      <c r="O1730" s="780"/>
      <c r="P1730" s="777"/>
      <c r="Q1730" s="781"/>
      <c r="R1730" s="782"/>
      <c r="S1730" s="782"/>
      <c r="T1730" s="782"/>
    </row>
    <row r="1731" spans="2:20">
      <c r="B1731" s="1076"/>
      <c r="C1731" s="774"/>
      <c r="D1731" s="775"/>
      <c r="E1731" s="776"/>
      <c r="F1731" s="776"/>
      <c r="G1731" s="777"/>
      <c r="H1731" s="783"/>
      <c r="I1731" s="777"/>
      <c r="J1731" s="776"/>
      <c r="K1731" s="779"/>
      <c r="L1731" s="779"/>
      <c r="M1731" s="779"/>
      <c r="N1731" s="780"/>
      <c r="O1731" s="780"/>
      <c r="P1731" s="777"/>
      <c r="Q1731" s="781"/>
      <c r="R1731" s="782"/>
      <c r="S1731" s="782"/>
      <c r="T1731" s="782"/>
    </row>
    <row r="1732" spans="2:20">
      <c r="B1732" s="1076"/>
      <c r="C1732" s="774"/>
      <c r="D1732" s="775"/>
      <c r="E1732" s="776"/>
      <c r="F1732" s="776"/>
      <c r="G1732" s="777"/>
      <c r="H1732" s="783"/>
      <c r="I1732" s="777"/>
      <c r="J1732" s="776"/>
      <c r="K1732" s="779"/>
      <c r="L1732" s="779"/>
      <c r="M1732" s="779"/>
      <c r="N1732" s="780"/>
      <c r="O1732" s="780"/>
      <c r="P1732" s="777"/>
      <c r="Q1732" s="781"/>
      <c r="R1732" s="782"/>
      <c r="S1732" s="782"/>
      <c r="T1732" s="782"/>
    </row>
    <row r="1733" spans="2:20">
      <c r="B1733" s="1076"/>
      <c r="C1733" s="774"/>
      <c r="D1733" s="775"/>
      <c r="E1733" s="776"/>
      <c r="F1733" s="776"/>
      <c r="G1733" s="777"/>
      <c r="H1733" s="783"/>
      <c r="I1733" s="777"/>
      <c r="J1733" s="776"/>
      <c r="K1733" s="779"/>
      <c r="L1733" s="779"/>
      <c r="M1733" s="779"/>
      <c r="N1733" s="780"/>
      <c r="O1733" s="780"/>
      <c r="P1733" s="777"/>
      <c r="Q1733" s="781"/>
      <c r="R1733" s="782"/>
      <c r="S1733" s="782"/>
      <c r="T1733" s="782"/>
    </row>
    <row r="1734" spans="2:20">
      <c r="B1734" s="1076"/>
      <c r="C1734" s="774"/>
      <c r="D1734" s="775"/>
      <c r="E1734" s="776"/>
      <c r="F1734" s="776"/>
      <c r="G1734" s="777"/>
      <c r="H1734" s="783"/>
      <c r="I1734" s="777"/>
      <c r="J1734" s="776"/>
      <c r="K1734" s="779"/>
      <c r="L1734" s="779"/>
      <c r="M1734" s="779"/>
      <c r="N1734" s="780"/>
      <c r="O1734" s="780"/>
      <c r="P1734" s="777"/>
      <c r="Q1734" s="781"/>
      <c r="R1734" s="782"/>
      <c r="S1734" s="782"/>
      <c r="T1734" s="782"/>
    </row>
    <row r="1735" spans="2:20">
      <c r="B1735" s="1076"/>
      <c r="C1735" s="774"/>
      <c r="D1735" s="775"/>
      <c r="E1735" s="776"/>
      <c r="F1735" s="776"/>
      <c r="G1735" s="777"/>
      <c r="H1735" s="783"/>
      <c r="I1735" s="777"/>
      <c r="J1735" s="776"/>
      <c r="K1735" s="779"/>
      <c r="L1735" s="779"/>
      <c r="M1735" s="779"/>
      <c r="N1735" s="780"/>
      <c r="O1735" s="780"/>
      <c r="P1735" s="777"/>
      <c r="Q1735" s="781"/>
      <c r="R1735" s="782"/>
      <c r="S1735" s="782"/>
      <c r="T1735" s="782"/>
    </row>
    <row r="1736" spans="2:20">
      <c r="B1736" s="1077"/>
      <c r="C1736" s="873"/>
      <c r="D1736" s="874"/>
      <c r="E1736" s="875"/>
      <c r="F1736" s="875"/>
      <c r="G1736" s="876"/>
      <c r="H1736" s="877"/>
      <c r="I1736" s="876"/>
      <c r="J1736" s="875"/>
      <c r="K1736" s="878"/>
      <c r="L1736" s="878"/>
      <c r="M1736" s="878"/>
      <c r="N1736" s="879"/>
      <c r="O1736" s="879"/>
      <c r="P1736" s="876"/>
      <c r="Q1736" s="880"/>
      <c r="R1736" s="881"/>
      <c r="S1736" s="881"/>
      <c r="T1736" s="881"/>
    </row>
    <row r="1737" spans="2:20">
      <c r="B1737" s="1075"/>
      <c r="C1737" s="785"/>
      <c r="D1737" s="786"/>
      <c r="E1737" s="787"/>
      <c r="F1737" s="787"/>
      <c r="G1737" s="788"/>
      <c r="H1737" s="797"/>
      <c r="I1737" s="788"/>
      <c r="J1737" s="787"/>
      <c r="K1737" s="790"/>
      <c r="L1737" s="790"/>
      <c r="M1737" s="790"/>
      <c r="N1737" s="791"/>
      <c r="O1737" s="791"/>
      <c r="P1737" s="788"/>
      <c r="Q1737" s="792"/>
      <c r="R1737" s="793"/>
      <c r="S1737" s="793"/>
      <c r="T1737" s="793"/>
    </row>
    <row r="1738" spans="2:20">
      <c r="B1738" s="1076"/>
      <c r="C1738" s="774"/>
      <c r="D1738" s="775"/>
      <c r="E1738" s="776"/>
      <c r="F1738" s="776"/>
      <c r="G1738" s="777"/>
      <c r="H1738" s="783"/>
      <c r="I1738" s="777"/>
      <c r="J1738" s="776"/>
      <c r="K1738" s="779"/>
      <c r="L1738" s="779"/>
      <c r="M1738" s="779"/>
      <c r="N1738" s="780"/>
      <c r="O1738" s="780"/>
      <c r="P1738" s="777"/>
      <c r="Q1738" s="781"/>
      <c r="R1738" s="782"/>
      <c r="S1738" s="782"/>
      <c r="T1738" s="782"/>
    </row>
    <row r="1739" spans="2:20">
      <c r="B1739" s="1076"/>
      <c r="C1739" s="774"/>
      <c r="D1739" s="775"/>
      <c r="E1739" s="776"/>
      <c r="F1739" s="776"/>
      <c r="G1739" s="777"/>
      <c r="H1739" s="783"/>
      <c r="I1739" s="777"/>
      <c r="J1739" s="776"/>
      <c r="K1739" s="779"/>
      <c r="L1739" s="779"/>
      <c r="M1739" s="779"/>
      <c r="N1739" s="780"/>
      <c r="O1739" s="780"/>
      <c r="P1739" s="777"/>
      <c r="Q1739" s="781"/>
      <c r="R1739" s="782"/>
      <c r="S1739" s="782"/>
      <c r="T1739" s="782"/>
    </row>
    <row r="1740" spans="2:20">
      <c r="B1740" s="1076"/>
      <c r="C1740" s="774"/>
      <c r="D1740" s="775"/>
      <c r="E1740" s="776"/>
      <c r="F1740" s="776"/>
      <c r="G1740" s="777"/>
      <c r="H1740" s="783"/>
      <c r="I1740" s="777"/>
      <c r="J1740" s="776"/>
      <c r="K1740" s="779"/>
      <c r="L1740" s="779"/>
      <c r="M1740" s="779"/>
      <c r="N1740" s="780"/>
      <c r="O1740" s="780"/>
      <c r="P1740" s="777"/>
      <c r="Q1740" s="781"/>
      <c r="R1740" s="782"/>
      <c r="S1740" s="782"/>
      <c r="T1740" s="782"/>
    </row>
    <row r="1741" spans="2:20">
      <c r="B1741" s="1076"/>
      <c r="C1741" s="774"/>
      <c r="D1741" s="775"/>
      <c r="E1741" s="776"/>
      <c r="F1741" s="776"/>
      <c r="G1741" s="777"/>
      <c r="H1741" s="783"/>
      <c r="I1741" s="777"/>
      <c r="J1741" s="776"/>
      <c r="K1741" s="779"/>
      <c r="L1741" s="779"/>
      <c r="M1741" s="779"/>
      <c r="N1741" s="780"/>
      <c r="O1741" s="780"/>
      <c r="P1741" s="777"/>
      <c r="Q1741" s="781"/>
      <c r="R1741" s="782"/>
      <c r="S1741" s="782"/>
      <c r="T1741" s="782"/>
    </row>
    <row r="1742" spans="2:20">
      <c r="B1742" s="1076"/>
      <c r="C1742" s="774"/>
      <c r="D1742" s="775"/>
      <c r="E1742" s="776"/>
      <c r="F1742" s="776"/>
      <c r="G1742" s="777"/>
      <c r="H1742" s="783"/>
      <c r="I1742" s="777"/>
      <c r="J1742" s="776"/>
      <c r="K1742" s="779"/>
      <c r="L1742" s="779"/>
      <c r="M1742" s="779"/>
      <c r="N1742" s="780"/>
      <c r="O1742" s="780"/>
      <c r="P1742" s="777"/>
      <c r="Q1742" s="781"/>
      <c r="R1742" s="782"/>
      <c r="S1742" s="782"/>
      <c r="T1742" s="782"/>
    </row>
    <row r="1743" spans="2:20">
      <c r="B1743" s="1076"/>
      <c r="C1743" s="774"/>
      <c r="D1743" s="775"/>
      <c r="E1743" s="776"/>
      <c r="F1743" s="776"/>
      <c r="G1743" s="777"/>
      <c r="H1743" s="783"/>
      <c r="I1743" s="777"/>
      <c r="J1743" s="776"/>
      <c r="K1743" s="779"/>
      <c r="L1743" s="779"/>
      <c r="M1743" s="779"/>
      <c r="N1743" s="780"/>
      <c r="O1743" s="780"/>
      <c r="P1743" s="777"/>
      <c r="Q1743" s="781"/>
      <c r="R1743" s="782"/>
      <c r="S1743" s="782"/>
      <c r="T1743" s="782"/>
    </row>
    <row r="1744" spans="2:20">
      <c r="B1744" s="1076"/>
      <c r="C1744" s="774"/>
      <c r="D1744" s="775"/>
      <c r="E1744" s="776"/>
      <c r="F1744" s="776"/>
      <c r="G1744" s="777"/>
      <c r="H1744" s="783"/>
      <c r="I1744" s="777"/>
      <c r="J1744" s="776"/>
      <c r="K1744" s="779"/>
      <c r="L1744" s="779"/>
      <c r="M1744" s="779"/>
      <c r="N1744" s="780"/>
      <c r="O1744" s="780"/>
      <c r="P1744" s="777"/>
      <c r="Q1744" s="781"/>
      <c r="R1744" s="782"/>
      <c r="S1744" s="782"/>
      <c r="T1744" s="782"/>
    </row>
    <row r="1745" spans="2:20">
      <c r="B1745" s="1076"/>
      <c r="C1745" s="774"/>
      <c r="D1745" s="775"/>
      <c r="E1745" s="776"/>
      <c r="F1745" s="776"/>
      <c r="G1745" s="777"/>
      <c r="H1745" s="783"/>
      <c r="I1745" s="777"/>
      <c r="J1745" s="776"/>
      <c r="K1745" s="779"/>
      <c r="L1745" s="779"/>
      <c r="M1745" s="779"/>
      <c r="N1745" s="780"/>
      <c r="O1745" s="780"/>
      <c r="P1745" s="777"/>
      <c r="Q1745" s="781"/>
      <c r="R1745" s="782"/>
      <c r="S1745" s="782"/>
      <c r="T1745" s="782"/>
    </row>
    <row r="1746" spans="2:20">
      <c r="B1746" s="1077"/>
      <c r="C1746" s="873"/>
      <c r="D1746" s="874"/>
      <c r="E1746" s="875"/>
      <c r="F1746" s="875"/>
      <c r="G1746" s="876"/>
      <c r="H1746" s="877"/>
      <c r="I1746" s="876"/>
      <c r="J1746" s="875"/>
      <c r="K1746" s="878"/>
      <c r="L1746" s="878"/>
      <c r="M1746" s="878"/>
      <c r="N1746" s="879"/>
      <c r="O1746" s="879"/>
      <c r="P1746" s="876"/>
      <c r="Q1746" s="880"/>
      <c r="R1746" s="881"/>
      <c r="S1746" s="881"/>
      <c r="T1746" s="881"/>
    </row>
    <row r="1747" spans="2:20">
      <c r="B1747" s="1075"/>
      <c r="C1747" s="785"/>
      <c r="D1747" s="786"/>
      <c r="E1747" s="787"/>
      <c r="F1747" s="787"/>
      <c r="G1747" s="788"/>
      <c r="H1747" s="797"/>
      <c r="I1747" s="788"/>
      <c r="J1747" s="787"/>
      <c r="K1747" s="790"/>
      <c r="L1747" s="790"/>
      <c r="M1747" s="790"/>
      <c r="N1747" s="791"/>
      <c r="O1747" s="791"/>
      <c r="P1747" s="788"/>
      <c r="Q1747" s="792"/>
      <c r="R1747" s="793"/>
      <c r="S1747" s="793"/>
      <c r="T1747" s="793"/>
    </row>
    <row r="1748" spans="2:20">
      <c r="B1748" s="1076"/>
      <c r="C1748" s="774"/>
      <c r="D1748" s="775"/>
      <c r="E1748" s="776"/>
      <c r="F1748" s="776"/>
      <c r="G1748" s="777"/>
      <c r="H1748" s="783"/>
      <c r="I1748" s="777"/>
      <c r="J1748" s="776"/>
      <c r="K1748" s="779"/>
      <c r="L1748" s="779"/>
      <c r="M1748" s="779"/>
      <c r="N1748" s="780"/>
      <c r="O1748" s="780"/>
      <c r="P1748" s="777"/>
      <c r="Q1748" s="781"/>
      <c r="R1748" s="782"/>
      <c r="S1748" s="782"/>
      <c r="T1748" s="782"/>
    </row>
    <row r="1749" spans="2:20">
      <c r="B1749" s="1076"/>
      <c r="C1749" s="774"/>
      <c r="D1749" s="775"/>
      <c r="E1749" s="776"/>
      <c r="F1749" s="776"/>
      <c r="G1749" s="777"/>
      <c r="H1749" s="783"/>
      <c r="I1749" s="777"/>
      <c r="J1749" s="776"/>
      <c r="K1749" s="779"/>
      <c r="L1749" s="779"/>
      <c r="M1749" s="779"/>
      <c r="N1749" s="780"/>
      <c r="O1749" s="780"/>
      <c r="P1749" s="777"/>
      <c r="Q1749" s="781"/>
      <c r="R1749" s="782"/>
      <c r="S1749" s="782"/>
      <c r="T1749" s="782"/>
    </row>
    <row r="1750" spans="2:20">
      <c r="B1750" s="1076"/>
      <c r="C1750" s="774"/>
      <c r="D1750" s="775"/>
      <c r="E1750" s="776"/>
      <c r="F1750" s="776"/>
      <c r="G1750" s="777"/>
      <c r="H1750" s="783"/>
      <c r="I1750" s="777"/>
      <c r="J1750" s="776"/>
      <c r="K1750" s="779"/>
      <c r="L1750" s="779"/>
      <c r="M1750" s="779"/>
      <c r="N1750" s="780"/>
      <c r="O1750" s="780"/>
      <c r="P1750" s="777"/>
      <c r="Q1750" s="781"/>
      <c r="R1750" s="782"/>
      <c r="S1750" s="782"/>
      <c r="T1750" s="782"/>
    </row>
    <row r="1751" spans="2:20">
      <c r="B1751" s="1076"/>
      <c r="C1751" s="774"/>
      <c r="D1751" s="775"/>
      <c r="E1751" s="776"/>
      <c r="F1751" s="776"/>
      <c r="G1751" s="777"/>
      <c r="H1751" s="783"/>
      <c r="I1751" s="777"/>
      <c r="J1751" s="776"/>
      <c r="K1751" s="779"/>
      <c r="L1751" s="779"/>
      <c r="M1751" s="779"/>
      <c r="N1751" s="780"/>
      <c r="O1751" s="780"/>
      <c r="P1751" s="777"/>
      <c r="Q1751" s="781"/>
      <c r="R1751" s="782"/>
      <c r="S1751" s="782"/>
      <c r="T1751" s="782"/>
    </row>
    <row r="1752" spans="2:20">
      <c r="B1752" s="1076"/>
      <c r="C1752" s="774"/>
      <c r="D1752" s="775"/>
      <c r="E1752" s="776"/>
      <c r="F1752" s="776"/>
      <c r="G1752" s="777"/>
      <c r="H1752" s="783"/>
      <c r="I1752" s="777"/>
      <c r="J1752" s="776"/>
      <c r="K1752" s="779"/>
      <c r="L1752" s="779"/>
      <c r="M1752" s="779"/>
      <c r="N1752" s="780"/>
      <c r="O1752" s="780"/>
      <c r="P1752" s="777"/>
      <c r="Q1752" s="781"/>
      <c r="R1752" s="782"/>
      <c r="S1752" s="782"/>
      <c r="T1752" s="782"/>
    </row>
    <row r="1753" spans="2:20">
      <c r="B1753" s="1076"/>
      <c r="C1753" s="774"/>
      <c r="D1753" s="775"/>
      <c r="E1753" s="776"/>
      <c r="F1753" s="776"/>
      <c r="G1753" s="777"/>
      <c r="H1753" s="783"/>
      <c r="I1753" s="777"/>
      <c r="J1753" s="776"/>
      <c r="K1753" s="779"/>
      <c r="L1753" s="779"/>
      <c r="M1753" s="779"/>
      <c r="N1753" s="780"/>
      <c r="O1753" s="780"/>
      <c r="P1753" s="777"/>
      <c r="Q1753" s="781"/>
      <c r="R1753" s="782"/>
      <c r="S1753" s="782"/>
      <c r="T1753" s="782"/>
    </row>
    <row r="1754" spans="2:20">
      <c r="B1754" s="1076"/>
      <c r="C1754" s="774"/>
      <c r="D1754" s="775"/>
      <c r="E1754" s="776"/>
      <c r="F1754" s="776"/>
      <c r="G1754" s="777"/>
      <c r="H1754" s="783"/>
      <c r="I1754" s="777"/>
      <c r="J1754" s="776"/>
      <c r="K1754" s="779"/>
      <c r="L1754" s="779"/>
      <c r="M1754" s="779"/>
      <c r="N1754" s="780"/>
      <c r="O1754" s="780"/>
      <c r="P1754" s="777"/>
      <c r="Q1754" s="781"/>
      <c r="R1754" s="782"/>
      <c r="S1754" s="782"/>
      <c r="T1754" s="782"/>
    </row>
    <row r="1755" spans="2:20">
      <c r="B1755" s="1076"/>
      <c r="C1755" s="774"/>
      <c r="D1755" s="775"/>
      <c r="E1755" s="776"/>
      <c r="F1755" s="776"/>
      <c r="G1755" s="777"/>
      <c r="H1755" s="783"/>
      <c r="I1755" s="777"/>
      <c r="J1755" s="776"/>
      <c r="K1755" s="779"/>
      <c r="L1755" s="779"/>
      <c r="M1755" s="779"/>
      <c r="N1755" s="780"/>
      <c r="O1755" s="780"/>
      <c r="P1755" s="777"/>
      <c r="Q1755" s="781"/>
      <c r="R1755" s="782"/>
      <c r="S1755" s="782"/>
      <c r="T1755" s="782"/>
    </row>
    <row r="1756" spans="2:20">
      <c r="B1756" s="1077"/>
      <c r="C1756" s="873"/>
      <c r="D1756" s="874"/>
      <c r="E1756" s="875"/>
      <c r="F1756" s="875"/>
      <c r="G1756" s="876"/>
      <c r="H1756" s="877"/>
      <c r="I1756" s="876"/>
      <c r="J1756" s="875"/>
      <c r="K1756" s="878"/>
      <c r="L1756" s="878"/>
      <c r="M1756" s="878"/>
      <c r="N1756" s="879"/>
      <c r="O1756" s="879"/>
      <c r="P1756" s="876"/>
      <c r="Q1756" s="880"/>
      <c r="R1756" s="881"/>
      <c r="S1756" s="881"/>
      <c r="T1756" s="881"/>
    </row>
    <row r="1757" spans="2:20">
      <c r="B1757" s="1075"/>
      <c r="C1757" s="785"/>
      <c r="D1757" s="786"/>
      <c r="E1757" s="787"/>
      <c r="F1757" s="787"/>
      <c r="G1757" s="788"/>
      <c r="H1757" s="797"/>
      <c r="I1757" s="788"/>
      <c r="J1757" s="787"/>
      <c r="K1757" s="790"/>
      <c r="L1757" s="790"/>
      <c r="M1757" s="790"/>
      <c r="N1757" s="791"/>
      <c r="O1757" s="791"/>
      <c r="P1757" s="788"/>
      <c r="Q1757" s="792"/>
      <c r="R1757" s="793"/>
      <c r="S1757" s="793"/>
      <c r="T1757" s="793"/>
    </row>
    <row r="1758" spans="2:20">
      <c r="B1758" s="1076"/>
      <c r="C1758" s="774"/>
      <c r="D1758" s="775"/>
      <c r="E1758" s="776"/>
      <c r="F1758" s="776"/>
      <c r="G1758" s="777"/>
      <c r="H1758" s="783"/>
      <c r="I1758" s="777"/>
      <c r="J1758" s="776"/>
      <c r="K1758" s="779"/>
      <c r="L1758" s="779"/>
      <c r="M1758" s="779"/>
      <c r="N1758" s="780"/>
      <c r="O1758" s="780"/>
      <c r="P1758" s="777"/>
      <c r="Q1758" s="781"/>
      <c r="R1758" s="782"/>
      <c r="S1758" s="782"/>
      <c r="T1758" s="782"/>
    </row>
    <row r="1759" spans="2:20">
      <c r="B1759" s="1076"/>
      <c r="C1759" s="774"/>
      <c r="D1759" s="775"/>
      <c r="E1759" s="776"/>
      <c r="F1759" s="776"/>
      <c r="G1759" s="777"/>
      <c r="H1759" s="783"/>
      <c r="I1759" s="777"/>
      <c r="J1759" s="776"/>
      <c r="K1759" s="779"/>
      <c r="L1759" s="779"/>
      <c r="M1759" s="779"/>
      <c r="N1759" s="780"/>
      <c r="O1759" s="780"/>
      <c r="P1759" s="777"/>
      <c r="Q1759" s="781"/>
      <c r="R1759" s="782"/>
      <c r="S1759" s="782"/>
      <c r="T1759" s="782"/>
    </row>
    <row r="1760" spans="2:20">
      <c r="B1760" s="1076"/>
      <c r="C1760" s="774"/>
      <c r="D1760" s="775"/>
      <c r="E1760" s="776"/>
      <c r="F1760" s="776"/>
      <c r="G1760" s="777"/>
      <c r="H1760" s="783"/>
      <c r="I1760" s="777"/>
      <c r="J1760" s="776"/>
      <c r="K1760" s="779"/>
      <c r="L1760" s="779"/>
      <c r="M1760" s="779"/>
      <c r="N1760" s="780"/>
      <c r="O1760" s="780"/>
      <c r="P1760" s="777"/>
      <c r="Q1760" s="781"/>
      <c r="R1760" s="782"/>
      <c r="S1760" s="782"/>
      <c r="T1760" s="782"/>
    </row>
    <row r="1761" spans="2:20">
      <c r="B1761" s="1076"/>
      <c r="C1761" s="774"/>
      <c r="D1761" s="775"/>
      <c r="E1761" s="776"/>
      <c r="F1761" s="776"/>
      <c r="G1761" s="777"/>
      <c r="H1761" s="783"/>
      <c r="I1761" s="777"/>
      <c r="J1761" s="776"/>
      <c r="K1761" s="779"/>
      <c r="L1761" s="779"/>
      <c r="M1761" s="779"/>
      <c r="N1761" s="780"/>
      <c r="O1761" s="780"/>
      <c r="P1761" s="777"/>
      <c r="Q1761" s="781"/>
      <c r="R1761" s="782"/>
      <c r="S1761" s="782"/>
      <c r="T1761" s="782"/>
    </row>
    <row r="1762" spans="2:20">
      <c r="B1762" s="1076"/>
      <c r="C1762" s="774"/>
      <c r="D1762" s="775"/>
      <c r="E1762" s="776"/>
      <c r="F1762" s="776"/>
      <c r="G1762" s="777"/>
      <c r="H1762" s="783"/>
      <c r="I1762" s="777"/>
      <c r="J1762" s="776"/>
      <c r="K1762" s="779"/>
      <c r="L1762" s="779"/>
      <c r="M1762" s="779"/>
      <c r="N1762" s="780"/>
      <c r="O1762" s="780"/>
      <c r="P1762" s="777"/>
      <c r="Q1762" s="781"/>
      <c r="R1762" s="782"/>
      <c r="S1762" s="782"/>
      <c r="T1762" s="782"/>
    </row>
    <row r="1763" spans="2:20">
      <c r="B1763" s="1076"/>
      <c r="C1763" s="774"/>
      <c r="D1763" s="775"/>
      <c r="E1763" s="776"/>
      <c r="F1763" s="776"/>
      <c r="G1763" s="777"/>
      <c r="H1763" s="783"/>
      <c r="I1763" s="777"/>
      <c r="J1763" s="776"/>
      <c r="K1763" s="779"/>
      <c r="L1763" s="779"/>
      <c r="M1763" s="779"/>
      <c r="N1763" s="780"/>
      <c r="O1763" s="780"/>
      <c r="P1763" s="777"/>
      <c r="Q1763" s="781"/>
      <c r="R1763" s="782"/>
      <c r="S1763" s="782"/>
      <c r="T1763" s="782"/>
    </row>
    <row r="1764" spans="2:20">
      <c r="B1764" s="1076"/>
      <c r="C1764" s="774"/>
      <c r="D1764" s="775"/>
      <c r="E1764" s="776"/>
      <c r="F1764" s="776"/>
      <c r="G1764" s="777"/>
      <c r="H1764" s="783"/>
      <c r="I1764" s="777"/>
      <c r="J1764" s="776"/>
      <c r="K1764" s="779"/>
      <c r="L1764" s="779"/>
      <c r="M1764" s="779"/>
      <c r="N1764" s="780"/>
      <c r="O1764" s="780"/>
      <c r="P1764" s="777"/>
      <c r="Q1764" s="781"/>
      <c r="R1764" s="782"/>
      <c r="S1764" s="782"/>
      <c r="T1764" s="782"/>
    </row>
    <row r="1765" spans="2:20">
      <c r="B1765" s="1076"/>
      <c r="C1765" s="774"/>
      <c r="D1765" s="775"/>
      <c r="E1765" s="776"/>
      <c r="F1765" s="776"/>
      <c r="G1765" s="777"/>
      <c r="H1765" s="783"/>
      <c r="I1765" s="777"/>
      <c r="J1765" s="776"/>
      <c r="K1765" s="779"/>
      <c r="L1765" s="779"/>
      <c r="M1765" s="779"/>
      <c r="N1765" s="780"/>
      <c r="O1765" s="780"/>
      <c r="P1765" s="777"/>
      <c r="Q1765" s="781"/>
      <c r="R1765" s="782"/>
      <c r="S1765" s="782"/>
      <c r="T1765" s="782"/>
    </row>
    <row r="1766" spans="2:20">
      <c r="B1766" s="1077"/>
      <c r="C1766" s="873"/>
      <c r="D1766" s="874"/>
      <c r="E1766" s="875"/>
      <c r="F1766" s="875"/>
      <c r="G1766" s="876"/>
      <c r="H1766" s="877"/>
      <c r="I1766" s="876"/>
      <c r="J1766" s="875"/>
      <c r="K1766" s="878"/>
      <c r="L1766" s="878"/>
      <c r="M1766" s="878"/>
      <c r="N1766" s="879"/>
      <c r="O1766" s="879"/>
      <c r="P1766" s="876"/>
      <c r="Q1766" s="880"/>
      <c r="R1766" s="881"/>
      <c r="S1766" s="881"/>
      <c r="T1766" s="881"/>
    </row>
    <row r="1767" spans="2:20">
      <c r="B1767" s="1075"/>
      <c r="C1767" s="785"/>
      <c r="D1767" s="786"/>
      <c r="E1767" s="787"/>
      <c r="F1767" s="787"/>
      <c r="G1767" s="788"/>
      <c r="H1767" s="797"/>
      <c r="I1767" s="788"/>
      <c r="J1767" s="787"/>
      <c r="K1767" s="790"/>
      <c r="L1767" s="790"/>
      <c r="M1767" s="790"/>
      <c r="N1767" s="791"/>
      <c r="O1767" s="791"/>
      <c r="P1767" s="788"/>
      <c r="Q1767" s="792"/>
      <c r="R1767" s="793"/>
      <c r="S1767" s="793"/>
      <c r="T1767" s="793"/>
    </row>
    <row r="1768" spans="2:20">
      <c r="B1768" s="1076"/>
      <c r="C1768" s="774"/>
      <c r="D1768" s="775"/>
      <c r="E1768" s="776"/>
      <c r="F1768" s="776"/>
      <c r="G1768" s="777"/>
      <c r="H1768" s="783"/>
      <c r="I1768" s="777"/>
      <c r="J1768" s="776"/>
      <c r="K1768" s="779"/>
      <c r="L1768" s="779"/>
      <c r="M1768" s="779"/>
      <c r="N1768" s="780"/>
      <c r="O1768" s="780"/>
      <c r="P1768" s="777"/>
      <c r="Q1768" s="781"/>
      <c r="R1768" s="782"/>
      <c r="S1768" s="782"/>
      <c r="T1768" s="782"/>
    </row>
    <row r="1769" spans="2:20">
      <c r="B1769" s="1076"/>
      <c r="C1769" s="774"/>
      <c r="D1769" s="775"/>
      <c r="E1769" s="776"/>
      <c r="F1769" s="776"/>
      <c r="G1769" s="777"/>
      <c r="H1769" s="783"/>
      <c r="I1769" s="777"/>
      <c r="J1769" s="776"/>
      <c r="K1769" s="779"/>
      <c r="L1769" s="779"/>
      <c r="M1769" s="779"/>
      <c r="N1769" s="780"/>
      <c r="O1769" s="780"/>
      <c r="P1769" s="777"/>
      <c r="Q1769" s="781"/>
      <c r="R1769" s="782"/>
      <c r="S1769" s="782"/>
      <c r="T1769" s="782"/>
    </row>
    <row r="1770" spans="2:20">
      <c r="B1770" s="1076"/>
      <c r="C1770" s="774"/>
      <c r="D1770" s="775"/>
      <c r="E1770" s="776"/>
      <c r="F1770" s="776"/>
      <c r="G1770" s="777"/>
      <c r="H1770" s="783"/>
      <c r="I1770" s="777"/>
      <c r="J1770" s="776"/>
      <c r="K1770" s="779"/>
      <c r="L1770" s="779"/>
      <c r="M1770" s="779"/>
      <c r="N1770" s="780"/>
      <c r="O1770" s="780"/>
      <c r="P1770" s="777"/>
      <c r="Q1770" s="781"/>
      <c r="R1770" s="782"/>
      <c r="S1770" s="782"/>
      <c r="T1770" s="782"/>
    </row>
    <row r="1771" spans="2:20">
      <c r="B1771" s="1076"/>
      <c r="C1771" s="774"/>
      <c r="D1771" s="775"/>
      <c r="E1771" s="776"/>
      <c r="F1771" s="776"/>
      <c r="G1771" s="777"/>
      <c r="H1771" s="783"/>
      <c r="I1771" s="777"/>
      <c r="J1771" s="776"/>
      <c r="K1771" s="779"/>
      <c r="L1771" s="779"/>
      <c r="M1771" s="779"/>
      <c r="N1771" s="780"/>
      <c r="O1771" s="780"/>
      <c r="P1771" s="777"/>
      <c r="Q1771" s="781"/>
      <c r="R1771" s="782"/>
      <c r="S1771" s="782"/>
      <c r="T1771" s="782"/>
    </row>
    <row r="1772" spans="2:20">
      <c r="B1772" s="1076"/>
      <c r="C1772" s="774"/>
      <c r="D1772" s="775"/>
      <c r="E1772" s="776"/>
      <c r="F1772" s="776"/>
      <c r="G1772" s="777"/>
      <c r="H1772" s="783"/>
      <c r="I1772" s="777"/>
      <c r="J1772" s="776"/>
      <c r="K1772" s="779"/>
      <c r="L1772" s="779"/>
      <c r="M1772" s="779"/>
      <c r="N1772" s="780"/>
      <c r="O1772" s="780"/>
      <c r="P1772" s="777"/>
      <c r="Q1772" s="781"/>
      <c r="R1772" s="782"/>
      <c r="S1772" s="782"/>
      <c r="T1772" s="782"/>
    </row>
    <row r="1773" spans="2:20">
      <c r="B1773" s="1076"/>
      <c r="C1773" s="774"/>
      <c r="D1773" s="775"/>
      <c r="E1773" s="776"/>
      <c r="F1773" s="776"/>
      <c r="G1773" s="777"/>
      <c r="H1773" s="783"/>
      <c r="I1773" s="777"/>
      <c r="J1773" s="776"/>
      <c r="K1773" s="779"/>
      <c r="L1773" s="779"/>
      <c r="M1773" s="779"/>
      <c r="N1773" s="780"/>
      <c r="O1773" s="780"/>
      <c r="P1773" s="777"/>
      <c r="Q1773" s="781"/>
      <c r="R1773" s="782"/>
      <c r="S1773" s="782"/>
      <c r="T1773" s="782"/>
    </row>
    <row r="1774" spans="2:20">
      <c r="B1774" s="1076"/>
      <c r="C1774" s="774"/>
      <c r="D1774" s="775"/>
      <c r="E1774" s="776"/>
      <c r="F1774" s="776"/>
      <c r="G1774" s="777"/>
      <c r="H1774" s="783"/>
      <c r="I1774" s="777"/>
      <c r="J1774" s="776"/>
      <c r="K1774" s="779"/>
      <c r="L1774" s="779"/>
      <c r="M1774" s="779"/>
      <c r="N1774" s="780"/>
      <c r="O1774" s="780"/>
      <c r="P1774" s="777"/>
      <c r="Q1774" s="781"/>
      <c r="R1774" s="782"/>
      <c r="S1774" s="782"/>
      <c r="T1774" s="782"/>
    </row>
    <row r="1775" spans="2:20">
      <c r="B1775" s="1076"/>
      <c r="C1775" s="774"/>
      <c r="D1775" s="775"/>
      <c r="E1775" s="776"/>
      <c r="F1775" s="776"/>
      <c r="G1775" s="777"/>
      <c r="H1775" s="783"/>
      <c r="I1775" s="777"/>
      <c r="J1775" s="776"/>
      <c r="K1775" s="779"/>
      <c r="L1775" s="779"/>
      <c r="M1775" s="779"/>
      <c r="N1775" s="780"/>
      <c r="O1775" s="780"/>
      <c r="P1775" s="777"/>
      <c r="Q1775" s="781"/>
      <c r="R1775" s="782"/>
      <c r="S1775" s="782"/>
      <c r="T1775" s="782"/>
    </row>
    <row r="1776" spans="2:20">
      <c r="B1776" s="1077"/>
      <c r="C1776" s="873"/>
      <c r="D1776" s="874"/>
      <c r="E1776" s="875"/>
      <c r="F1776" s="875"/>
      <c r="G1776" s="876"/>
      <c r="H1776" s="877"/>
      <c r="I1776" s="876"/>
      <c r="J1776" s="875"/>
      <c r="K1776" s="878"/>
      <c r="L1776" s="878"/>
      <c r="M1776" s="878"/>
      <c r="N1776" s="879"/>
      <c r="O1776" s="879"/>
      <c r="P1776" s="876"/>
      <c r="Q1776" s="880"/>
      <c r="R1776" s="881"/>
      <c r="S1776" s="881"/>
      <c r="T1776" s="881"/>
    </row>
    <row r="1777" spans="2:20">
      <c r="B1777" s="1076"/>
      <c r="C1777" s="774"/>
      <c r="D1777" s="775"/>
      <c r="E1777" s="776"/>
      <c r="F1777" s="776"/>
      <c r="G1777" s="777"/>
      <c r="H1777" s="783"/>
      <c r="I1777" s="777"/>
      <c r="J1777" s="776"/>
      <c r="K1777" s="779"/>
      <c r="L1777" s="779"/>
      <c r="M1777" s="779"/>
      <c r="N1777" s="780"/>
      <c r="O1777" s="780"/>
      <c r="P1777" s="777"/>
      <c r="Q1777" s="781"/>
      <c r="R1777" s="782"/>
      <c r="S1777" s="782"/>
      <c r="T1777" s="782"/>
    </row>
    <row r="1778" spans="2:20">
      <c r="B1778" s="1076"/>
      <c r="C1778" s="774"/>
      <c r="D1778" s="775"/>
      <c r="E1778" s="776"/>
      <c r="F1778" s="776"/>
      <c r="G1778" s="777"/>
      <c r="H1778" s="783"/>
      <c r="I1778" s="777"/>
      <c r="J1778" s="776"/>
      <c r="K1778" s="779"/>
      <c r="L1778" s="779"/>
      <c r="M1778" s="779"/>
      <c r="N1778" s="780"/>
      <c r="O1778" s="780"/>
      <c r="P1778" s="777"/>
      <c r="Q1778" s="781"/>
      <c r="R1778" s="782"/>
      <c r="S1778" s="782"/>
      <c r="T1778" s="782"/>
    </row>
    <row r="1779" spans="2:20">
      <c r="B1779" s="1076"/>
      <c r="C1779" s="774"/>
      <c r="D1779" s="775"/>
      <c r="E1779" s="776"/>
      <c r="F1779" s="776"/>
      <c r="G1779" s="777"/>
      <c r="H1779" s="783"/>
      <c r="I1779" s="777"/>
      <c r="J1779" s="776"/>
      <c r="K1779" s="779"/>
      <c r="L1779" s="779"/>
      <c r="M1779" s="779"/>
      <c r="N1779" s="780"/>
      <c r="O1779" s="780"/>
      <c r="P1779" s="777"/>
      <c r="Q1779" s="781"/>
      <c r="R1779" s="782"/>
      <c r="S1779" s="782"/>
      <c r="T1779" s="782"/>
    </row>
    <row r="1780" spans="2:20">
      <c r="B1780" s="1076"/>
      <c r="C1780" s="774"/>
      <c r="D1780" s="775"/>
      <c r="E1780" s="776"/>
      <c r="F1780" s="776"/>
      <c r="G1780" s="777"/>
      <c r="H1780" s="783"/>
      <c r="I1780" s="777"/>
      <c r="J1780" s="776"/>
      <c r="K1780" s="779"/>
      <c r="L1780" s="779"/>
      <c r="M1780" s="779"/>
      <c r="N1780" s="780"/>
      <c r="O1780" s="780"/>
      <c r="P1780" s="777"/>
      <c r="Q1780" s="781"/>
      <c r="R1780" s="782"/>
      <c r="S1780" s="782"/>
      <c r="T1780" s="782"/>
    </row>
    <row r="1781" spans="2:20">
      <c r="B1781" s="1076"/>
      <c r="C1781" s="774"/>
      <c r="D1781" s="775"/>
      <c r="E1781" s="776"/>
      <c r="F1781" s="776"/>
      <c r="G1781" s="777"/>
      <c r="H1781" s="783"/>
      <c r="I1781" s="777"/>
      <c r="J1781" s="776"/>
      <c r="K1781" s="779"/>
      <c r="L1781" s="779"/>
      <c r="M1781" s="779"/>
      <c r="N1781" s="780"/>
      <c r="O1781" s="780"/>
      <c r="P1781" s="777"/>
      <c r="Q1781" s="781"/>
      <c r="R1781" s="782"/>
      <c r="S1781" s="782"/>
      <c r="T1781" s="782"/>
    </row>
    <row r="1782" spans="2:20">
      <c r="B1782" s="1076"/>
      <c r="C1782" s="774"/>
      <c r="D1782" s="775"/>
      <c r="E1782" s="776"/>
      <c r="F1782" s="776"/>
      <c r="G1782" s="777"/>
      <c r="H1782" s="783"/>
      <c r="I1782" s="777"/>
      <c r="J1782" s="776"/>
      <c r="K1782" s="779"/>
      <c r="L1782" s="779"/>
      <c r="M1782" s="779"/>
      <c r="N1782" s="780"/>
      <c r="O1782" s="780"/>
      <c r="P1782" s="777"/>
      <c r="Q1782" s="781"/>
      <c r="R1782" s="782"/>
      <c r="S1782" s="782"/>
      <c r="T1782" s="782"/>
    </row>
    <row r="1783" spans="2:20">
      <c r="B1783" s="1076"/>
      <c r="C1783" s="774"/>
      <c r="D1783" s="775"/>
      <c r="E1783" s="776"/>
      <c r="F1783" s="776"/>
      <c r="G1783" s="777"/>
      <c r="H1783" s="783"/>
      <c r="I1783" s="777"/>
      <c r="J1783" s="776"/>
      <c r="K1783" s="779"/>
      <c r="L1783" s="779"/>
      <c r="M1783" s="779"/>
      <c r="N1783" s="780"/>
      <c r="O1783" s="780"/>
      <c r="P1783" s="777"/>
      <c r="Q1783" s="781"/>
      <c r="R1783" s="782"/>
      <c r="S1783" s="782"/>
      <c r="T1783" s="782"/>
    </row>
    <row r="1784" spans="2:20">
      <c r="B1784" s="1076"/>
      <c r="C1784" s="774"/>
      <c r="D1784" s="775"/>
      <c r="E1784" s="776"/>
      <c r="F1784" s="776"/>
      <c r="G1784" s="777"/>
      <c r="H1784" s="783"/>
      <c r="I1784" s="777"/>
      <c r="J1784" s="776"/>
      <c r="K1784" s="779"/>
      <c r="L1784" s="779"/>
      <c r="M1784" s="779"/>
      <c r="N1784" s="780"/>
      <c r="O1784" s="780"/>
      <c r="P1784" s="777"/>
      <c r="Q1784" s="781"/>
      <c r="R1784" s="782"/>
      <c r="S1784" s="782"/>
      <c r="T1784" s="782"/>
    </row>
    <row r="1785" spans="2:20">
      <c r="B1785" s="1076"/>
      <c r="C1785" s="774"/>
      <c r="D1785" s="775"/>
      <c r="E1785" s="776"/>
      <c r="F1785" s="776"/>
      <c r="G1785" s="777"/>
      <c r="H1785" s="783"/>
      <c r="I1785" s="777"/>
      <c r="J1785" s="776"/>
      <c r="K1785" s="779"/>
      <c r="L1785" s="779"/>
      <c r="M1785" s="779"/>
      <c r="N1785" s="780"/>
      <c r="O1785" s="780"/>
      <c r="P1785" s="777"/>
      <c r="Q1785" s="781"/>
      <c r="R1785" s="782"/>
      <c r="S1785" s="782"/>
      <c r="T1785" s="782"/>
    </row>
    <row r="1786" spans="2:20">
      <c r="B1786" s="1076"/>
      <c r="C1786" s="774"/>
      <c r="D1786" s="775"/>
      <c r="E1786" s="776"/>
      <c r="F1786" s="776"/>
      <c r="G1786" s="777"/>
      <c r="H1786" s="783"/>
      <c r="I1786" s="777"/>
      <c r="J1786" s="776"/>
      <c r="K1786" s="779"/>
      <c r="L1786" s="779"/>
      <c r="M1786" s="779"/>
      <c r="N1786" s="780"/>
      <c r="O1786" s="780"/>
      <c r="P1786" s="777"/>
      <c r="Q1786" s="781"/>
      <c r="R1786" s="782"/>
      <c r="S1786" s="782"/>
      <c r="T1786" s="782"/>
    </row>
    <row r="1787" spans="2:20">
      <c r="B1787" s="1078"/>
      <c r="C1787" s="1079"/>
      <c r="D1787" s="1080" t="s">
        <v>6087</v>
      </c>
      <c r="E1787" s="1078"/>
      <c r="F1787" s="1078"/>
      <c r="G1787" s="1078"/>
      <c r="H1787" s="1081"/>
      <c r="I1787" s="1078"/>
      <c r="J1787" s="1078"/>
      <c r="K1787" s="864"/>
      <c r="L1787" s="865"/>
      <c r="M1787" s="865"/>
      <c r="N1787" s="866"/>
      <c r="O1787" s="867"/>
      <c r="P1787" s="868"/>
      <c r="Q1787" s="869"/>
      <c r="R1787" s="870"/>
      <c r="S1787" s="870"/>
      <c r="T1787" s="870"/>
    </row>
    <row r="1788" spans="2:20">
      <c r="B1788" s="1075"/>
      <c r="C1788" s="785"/>
      <c r="D1788" s="786"/>
      <c r="E1788" s="787"/>
      <c r="F1788" s="787"/>
      <c r="G1788" s="788"/>
      <c r="H1788" s="797"/>
      <c r="I1788" s="788"/>
      <c r="J1788" s="787"/>
      <c r="K1788" s="790"/>
      <c r="L1788" s="790"/>
      <c r="M1788" s="790"/>
      <c r="N1788" s="791"/>
      <c r="O1788" s="791"/>
      <c r="P1788" s="788"/>
      <c r="Q1788" s="792"/>
      <c r="R1788" s="793"/>
      <c r="S1788" s="793"/>
      <c r="T1788" s="793"/>
    </row>
    <row r="1789" spans="2:20">
      <c r="B1789" s="1076"/>
      <c r="C1789" s="774"/>
      <c r="D1789" s="775"/>
      <c r="E1789" s="776"/>
      <c r="F1789" s="776"/>
      <c r="G1789" s="777"/>
      <c r="H1789" s="783"/>
      <c r="I1789" s="777"/>
      <c r="J1789" s="776"/>
      <c r="K1789" s="779"/>
      <c r="L1789" s="779"/>
      <c r="M1789" s="779"/>
      <c r="N1789" s="780"/>
      <c r="O1789" s="780"/>
      <c r="P1789" s="777"/>
      <c r="Q1789" s="781"/>
      <c r="R1789" s="782"/>
      <c r="S1789" s="782"/>
      <c r="T1789" s="782"/>
    </row>
    <row r="1790" spans="2:20">
      <c r="B1790" s="1076"/>
      <c r="C1790" s="774"/>
      <c r="D1790" s="775"/>
      <c r="E1790" s="776"/>
      <c r="F1790" s="776"/>
      <c r="G1790" s="777"/>
      <c r="H1790" s="783"/>
      <c r="I1790" s="777"/>
      <c r="J1790" s="776"/>
      <c r="K1790" s="779"/>
      <c r="L1790" s="779"/>
      <c r="M1790" s="779"/>
      <c r="N1790" s="780"/>
      <c r="O1790" s="780"/>
      <c r="P1790" s="777"/>
      <c r="Q1790" s="781"/>
      <c r="R1790" s="782"/>
      <c r="S1790" s="782"/>
      <c r="T1790" s="782"/>
    </row>
    <row r="1791" spans="2:20">
      <c r="B1791" s="1076"/>
      <c r="C1791" s="774"/>
      <c r="D1791" s="775"/>
      <c r="E1791" s="776"/>
      <c r="F1791" s="776"/>
      <c r="G1791" s="777"/>
      <c r="H1791" s="783"/>
      <c r="I1791" s="777"/>
      <c r="J1791" s="776"/>
      <c r="K1791" s="779"/>
      <c r="L1791" s="779"/>
      <c r="M1791" s="779"/>
      <c r="N1791" s="780"/>
      <c r="O1791" s="780"/>
      <c r="P1791" s="777"/>
      <c r="Q1791" s="781"/>
      <c r="R1791" s="782"/>
      <c r="S1791" s="782"/>
      <c r="T1791" s="782"/>
    </row>
    <row r="1792" spans="2:20">
      <c r="B1792" s="1076"/>
      <c r="C1792" s="774"/>
      <c r="D1792" s="775"/>
      <c r="E1792" s="776"/>
      <c r="F1792" s="776"/>
      <c r="G1792" s="777"/>
      <c r="H1792" s="783"/>
      <c r="I1792" s="777"/>
      <c r="J1792" s="776"/>
      <c r="K1792" s="779"/>
      <c r="L1792" s="779"/>
      <c r="M1792" s="779"/>
      <c r="N1792" s="780"/>
      <c r="O1792" s="780"/>
      <c r="P1792" s="777"/>
      <c r="Q1792" s="781"/>
      <c r="R1792" s="782"/>
      <c r="S1792" s="782"/>
      <c r="T1792" s="782"/>
    </row>
    <row r="1793" spans="2:20">
      <c r="B1793" s="1076"/>
      <c r="C1793" s="774"/>
      <c r="D1793" s="775"/>
      <c r="E1793" s="776"/>
      <c r="F1793" s="776"/>
      <c r="G1793" s="777"/>
      <c r="H1793" s="783"/>
      <c r="I1793" s="777"/>
      <c r="J1793" s="776"/>
      <c r="K1793" s="779"/>
      <c r="L1793" s="779"/>
      <c r="M1793" s="779"/>
      <c r="N1793" s="780"/>
      <c r="O1793" s="780"/>
      <c r="P1793" s="777"/>
      <c r="Q1793" s="781"/>
      <c r="R1793" s="782"/>
      <c r="S1793" s="782"/>
      <c r="T1793" s="782"/>
    </row>
    <row r="1794" spans="2:20">
      <c r="B1794" s="1076"/>
      <c r="C1794" s="774"/>
      <c r="D1794" s="775"/>
      <c r="E1794" s="776"/>
      <c r="F1794" s="776"/>
      <c r="G1794" s="777"/>
      <c r="H1794" s="783"/>
      <c r="I1794" s="777"/>
      <c r="J1794" s="776"/>
      <c r="K1794" s="779"/>
      <c r="L1794" s="779"/>
      <c r="M1794" s="779"/>
      <c r="N1794" s="780"/>
      <c r="O1794" s="780"/>
      <c r="P1794" s="777"/>
      <c r="Q1794" s="781"/>
      <c r="R1794" s="782"/>
      <c r="S1794" s="782"/>
      <c r="T1794" s="782"/>
    </row>
    <row r="1795" spans="2:20">
      <c r="B1795" s="1076"/>
      <c r="C1795" s="774"/>
      <c r="D1795" s="775"/>
      <c r="E1795" s="776"/>
      <c r="F1795" s="776"/>
      <c r="G1795" s="777"/>
      <c r="H1795" s="783"/>
      <c r="I1795" s="777"/>
      <c r="J1795" s="776"/>
      <c r="K1795" s="779"/>
      <c r="L1795" s="779"/>
      <c r="M1795" s="779"/>
      <c r="N1795" s="780"/>
      <c r="O1795" s="780"/>
      <c r="P1795" s="777"/>
      <c r="Q1795" s="781"/>
      <c r="R1795" s="782"/>
      <c r="S1795" s="782"/>
      <c r="T1795" s="782"/>
    </row>
    <row r="1796" spans="2:20">
      <c r="B1796" s="1076"/>
      <c r="C1796" s="774"/>
      <c r="D1796" s="775"/>
      <c r="E1796" s="776"/>
      <c r="F1796" s="776"/>
      <c r="G1796" s="777"/>
      <c r="H1796" s="783"/>
      <c r="I1796" s="777"/>
      <c r="J1796" s="776"/>
      <c r="K1796" s="779"/>
      <c r="L1796" s="779"/>
      <c r="M1796" s="779"/>
      <c r="N1796" s="780"/>
      <c r="O1796" s="780"/>
      <c r="P1796" s="777"/>
      <c r="Q1796" s="781"/>
      <c r="R1796" s="782"/>
      <c r="S1796" s="782"/>
      <c r="T1796" s="782"/>
    </row>
    <row r="1797" spans="2:20">
      <c r="B1797" s="1077"/>
      <c r="C1797" s="873"/>
      <c r="D1797" s="874"/>
      <c r="E1797" s="875"/>
      <c r="F1797" s="875"/>
      <c r="G1797" s="876"/>
      <c r="H1797" s="877"/>
      <c r="I1797" s="876"/>
      <c r="J1797" s="875"/>
      <c r="K1797" s="878"/>
      <c r="L1797" s="878"/>
      <c r="M1797" s="878"/>
      <c r="N1797" s="879"/>
      <c r="O1797" s="879"/>
      <c r="P1797" s="876"/>
      <c r="Q1797" s="880"/>
      <c r="R1797" s="881"/>
      <c r="S1797" s="881"/>
      <c r="T1797" s="881"/>
    </row>
    <row r="1798" spans="2:20">
      <c r="B1798" s="1075"/>
      <c r="C1798" s="785"/>
      <c r="D1798" s="786"/>
      <c r="E1798" s="787"/>
      <c r="F1798" s="787"/>
      <c r="G1798" s="788"/>
      <c r="H1798" s="797"/>
      <c r="I1798" s="788"/>
      <c r="J1798" s="787"/>
      <c r="K1798" s="790"/>
      <c r="L1798" s="790"/>
      <c r="M1798" s="790"/>
      <c r="N1798" s="791"/>
      <c r="O1798" s="791"/>
      <c r="P1798" s="788"/>
      <c r="Q1798" s="792"/>
      <c r="R1798" s="793"/>
      <c r="S1798" s="793"/>
      <c r="T1798" s="793"/>
    </row>
    <row r="1799" spans="2:20">
      <c r="B1799" s="1076"/>
      <c r="C1799" s="774"/>
      <c r="D1799" s="775"/>
      <c r="E1799" s="776"/>
      <c r="F1799" s="776"/>
      <c r="G1799" s="777"/>
      <c r="H1799" s="783"/>
      <c r="I1799" s="777"/>
      <c r="J1799" s="776"/>
      <c r="K1799" s="779"/>
      <c r="L1799" s="779"/>
      <c r="M1799" s="779"/>
      <c r="N1799" s="780"/>
      <c r="O1799" s="780"/>
      <c r="P1799" s="777"/>
      <c r="Q1799" s="781"/>
      <c r="R1799" s="782"/>
      <c r="S1799" s="782"/>
      <c r="T1799" s="782"/>
    </row>
    <row r="1800" spans="2:20">
      <c r="B1800" s="1076"/>
      <c r="C1800" s="774"/>
      <c r="D1800" s="775"/>
      <c r="E1800" s="776"/>
      <c r="F1800" s="776"/>
      <c r="G1800" s="777"/>
      <c r="H1800" s="783"/>
      <c r="I1800" s="777"/>
      <c r="J1800" s="776"/>
      <c r="K1800" s="779"/>
      <c r="L1800" s="779"/>
      <c r="M1800" s="779"/>
      <c r="N1800" s="780"/>
      <c r="O1800" s="780"/>
      <c r="P1800" s="777"/>
      <c r="Q1800" s="781"/>
      <c r="R1800" s="782"/>
      <c r="S1800" s="782"/>
      <c r="T1800" s="782"/>
    </row>
    <row r="1801" spans="2:20">
      <c r="B1801" s="1076"/>
      <c r="C1801" s="774"/>
      <c r="D1801" s="775"/>
      <c r="E1801" s="776"/>
      <c r="F1801" s="776"/>
      <c r="G1801" s="777"/>
      <c r="H1801" s="783"/>
      <c r="I1801" s="777"/>
      <c r="J1801" s="776"/>
      <c r="K1801" s="779"/>
      <c r="L1801" s="779"/>
      <c r="M1801" s="779"/>
      <c r="N1801" s="780"/>
      <c r="O1801" s="780"/>
      <c r="P1801" s="777"/>
      <c r="Q1801" s="781"/>
      <c r="R1801" s="782"/>
      <c r="S1801" s="782"/>
      <c r="T1801" s="782"/>
    </row>
    <row r="1802" spans="2:20">
      <c r="B1802" s="1076"/>
      <c r="C1802" s="774"/>
      <c r="D1802" s="775"/>
      <c r="E1802" s="776"/>
      <c r="F1802" s="776"/>
      <c r="G1802" s="777"/>
      <c r="H1802" s="783"/>
      <c r="I1802" s="777"/>
      <c r="J1802" s="776"/>
      <c r="K1802" s="779"/>
      <c r="L1802" s="779"/>
      <c r="M1802" s="779"/>
      <c r="N1802" s="780"/>
      <c r="O1802" s="780"/>
      <c r="P1802" s="777"/>
      <c r="Q1802" s="781"/>
      <c r="R1802" s="782"/>
      <c r="S1802" s="782"/>
      <c r="T1802" s="782"/>
    </row>
    <row r="1803" spans="2:20">
      <c r="B1803" s="1076"/>
      <c r="C1803" s="774"/>
      <c r="D1803" s="775"/>
      <c r="E1803" s="776"/>
      <c r="F1803" s="776"/>
      <c r="G1803" s="777"/>
      <c r="H1803" s="783"/>
      <c r="I1803" s="777"/>
      <c r="J1803" s="776"/>
      <c r="K1803" s="779"/>
      <c r="L1803" s="779"/>
      <c r="M1803" s="779"/>
      <c r="N1803" s="780"/>
      <c r="O1803" s="780"/>
      <c r="P1803" s="777"/>
      <c r="Q1803" s="781"/>
      <c r="R1803" s="782"/>
      <c r="S1803" s="782"/>
      <c r="T1803" s="782"/>
    </row>
    <row r="1804" spans="2:20">
      <c r="B1804" s="1076"/>
      <c r="C1804" s="774"/>
      <c r="D1804" s="775"/>
      <c r="E1804" s="776"/>
      <c r="F1804" s="776"/>
      <c r="G1804" s="777"/>
      <c r="H1804" s="783"/>
      <c r="I1804" s="777"/>
      <c r="J1804" s="776"/>
      <c r="K1804" s="779"/>
      <c r="L1804" s="779"/>
      <c r="M1804" s="779"/>
      <c r="N1804" s="780"/>
      <c r="O1804" s="780"/>
      <c r="P1804" s="777"/>
      <c r="Q1804" s="781"/>
      <c r="R1804" s="782"/>
      <c r="S1804" s="782"/>
      <c r="T1804" s="782"/>
    </row>
    <row r="1805" spans="2:20">
      <c r="B1805" s="1076"/>
      <c r="C1805" s="774"/>
      <c r="D1805" s="775"/>
      <c r="E1805" s="776"/>
      <c r="F1805" s="776"/>
      <c r="G1805" s="777"/>
      <c r="H1805" s="783"/>
      <c r="I1805" s="777"/>
      <c r="J1805" s="776"/>
      <c r="K1805" s="779"/>
      <c r="L1805" s="779"/>
      <c r="M1805" s="779"/>
      <c r="N1805" s="780"/>
      <c r="O1805" s="780"/>
      <c r="P1805" s="777"/>
      <c r="Q1805" s="781"/>
      <c r="R1805" s="782"/>
      <c r="S1805" s="782"/>
      <c r="T1805" s="782"/>
    </row>
    <row r="1806" spans="2:20">
      <c r="B1806" s="1076"/>
      <c r="C1806" s="774"/>
      <c r="D1806" s="775"/>
      <c r="E1806" s="776"/>
      <c r="F1806" s="776"/>
      <c r="G1806" s="777"/>
      <c r="H1806" s="783"/>
      <c r="I1806" s="777"/>
      <c r="J1806" s="776"/>
      <c r="K1806" s="779"/>
      <c r="L1806" s="779"/>
      <c r="M1806" s="779"/>
      <c r="N1806" s="780"/>
      <c r="O1806" s="780"/>
      <c r="P1806" s="777"/>
      <c r="Q1806" s="781"/>
      <c r="R1806" s="782"/>
      <c r="S1806" s="782"/>
      <c r="T1806" s="782"/>
    </row>
    <row r="1807" spans="2:20">
      <c r="B1807" s="1077"/>
      <c r="C1807" s="873"/>
      <c r="D1807" s="874"/>
      <c r="E1807" s="875"/>
      <c r="F1807" s="875"/>
      <c r="G1807" s="876"/>
      <c r="H1807" s="877"/>
      <c r="I1807" s="876"/>
      <c r="J1807" s="875"/>
      <c r="K1807" s="878"/>
      <c r="L1807" s="878"/>
      <c r="M1807" s="878"/>
      <c r="N1807" s="879"/>
      <c r="O1807" s="879"/>
      <c r="P1807" s="876"/>
      <c r="Q1807" s="880"/>
      <c r="R1807" s="881"/>
      <c r="S1807" s="881"/>
      <c r="T1807" s="881"/>
    </row>
    <row r="1808" spans="2:20">
      <c r="B1808" s="1075"/>
      <c r="C1808" s="785"/>
      <c r="D1808" s="786"/>
      <c r="E1808" s="787"/>
      <c r="F1808" s="787"/>
      <c r="G1808" s="788"/>
      <c r="H1808" s="797"/>
      <c r="I1808" s="788"/>
      <c r="J1808" s="787"/>
      <c r="K1808" s="790"/>
      <c r="L1808" s="790"/>
      <c r="M1808" s="790"/>
      <c r="N1808" s="791"/>
      <c r="O1808" s="791"/>
      <c r="P1808" s="788"/>
      <c r="Q1808" s="792"/>
      <c r="R1808" s="793"/>
      <c r="S1808" s="793"/>
      <c r="T1808" s="793"/>
    </row>
    <row r="1809" spans="2:20">
      <c r="B1809" s="1076"/>
      <c r="C1809" s="774"/>
      <c r="D1809" s="775"/>
      <c r="E1809" s="776"/>
      <c r="F1809" s="776"/>
      <c r="G1809" s="777"/>
      <c r="H1809" s="783"/>
      <c r="I1809" s="777"/>
      <c r="J1809" s="776"/>
      <c r="K1809" s="779"/>
      <c r="L1809" s="779"/>
      <c r="M1809" s="779"/>
      <c r="N1809" s="780"/>
      <c r="O1809" s="780"/>
      <c r="P1809" s="777"/>
      <c r="Q1809" s="781"/>
      <c r="R1809" s="782"/>
      <c r="S1809" s="782"/>
      <c r="T1809" s="782"/>
    </row>
    <row r="1810" spans="2:20">
      <c r="B1810" s="1076"/>
      <c r="C1810" s="774"/>
      <c r="D1810" s="775"/>
      <c r="E1810" s="776"/>
      <c r="F1810" s="776"/>
      <c r="G1810" s="777"/>
      <c r="H1810" s="783"/>
      <c r="I1810" s="777"/>
      <c r="J1810" s="776"/>
      <c r="K1810" s="779"/>
      <c r="L1810" s="779"/>
      <c r="M1810" s="779"/>
      <c r="N1810" s="780"/>
      <c r="O1810" s="780"/>
      <c r="P1810" s="777"/>
      <c r="Q1810" s="781"/>
      <c r="R1810" s="782"/>
      <c r="S1810" s="782"/>
      <c r="T1810" s="782"/>
    </row>
    <row r="1811" spans="2:20">
      <c r="B1811" s="1076"/>
      <c r="C1811" s="774"/>
      <c r="D1811" s="775"/>
      <c r="E1811" s="776"/>
      <c r="F1811" s="776"/>
      <c r="G1811" s="777"/>
      <c r="H1811" s="783"/>
      <c r="I1811" s="777"/>
      <c r="J1811" s="776"/>
      <c r="K1811" s="779"/>
      <c r="L1811" s="779"/>
      <c r="M1811" s="779"/>
      <c r="N1811" s="780"/>
      <c r="O1811" s="780"/>
      <c r="P1811" s="777"/>
      <c r="Q1811" s="781"/>
      <c r="R1811" s="782"/>
      <c r="S1811" s="782"/>
      <c r="T1811" s="782"/>
    </row>
    <row r="1812" spans="2:20">
      <c r="B1812" s="1076"/>
      <c r="C1812" s="774"/>
      <c r="D1812" s="775"/>
      <c r="E1812" s="776"/>
      <c r="F1812" s="776"/>
      <c r="G1812" s="777"/>
      <c r="H1812" s="783"/>
      <c r="I1812" s="777"/>
      <c r="J1812" s="776"/>
      <c r="K1812" s="779"/>
      <c r="L1812" s="779"/>
      <c r="M1812" s="779"/>
      <c r="N1812" s="780"/>
      <c r="O1812" s="780"/>
      <c r="P1812" s="777"/>
      <c r="Q1812" s="781"/>
      <c r="R1812" s="782"/>
      <c r="S1812" s="782"/>
      <c r="T1812" s="782"/>
    </row>
    <row r="1813" spans="2:20">
      <c r="B1813" s="1076"/>
      <c r="C1813" s="774"/>
      <c r="D1813" s="775"/>
      <c r="E1813" s="776"/>
      <c r="F1813" s="776"/>
      <c r="G1813" s="777"/>
      <c r="H1813" s="783"/>
      <c r="I1813" s="777"/>
      <c r="J1813" s="776"/>
      <c r="K1813" s="779"/>
      <c r="L1813" s="779"/>
      <c r="M1813" s="779"/>
      <c r="N1813" s="780"/>
      <c r="O1813" s="780"/>
      <c r="P1813" s="777"/>
      <c r="Q1813" s="781"/>
      <c r="R1813" s="782"/>
      <c r="S1813" s="782"/>
      <c r="T1813" s="782"/>
    </row>
    <row r="1814" spans="2:20">
      <c r="B1814" s="1076"/>
      <c r="C1814" s="774"/>
      <c r="D1814" s="775"/>
      <c r="E1814" s="776"/>
      <c r="F1814" s="776"/>
      <c r="G1814" s="777"/>
      <c r="H1814" s="783"/>
      <c r="I1814" s="777"/>
      <c r="J1814" s="776"/>
      <c r="K1814" s="779"/>
      <c r="L1814" s="779"/>
      <c r="M1814" s="779"/>
      <c r="N1814" s="780"/>
      <c r="O1814" s="780"/>
      <c r="P1814" s="777"/>
      <c r="Q1814" s="781"/>
      <c r="R1814" s="782"/>
      <c r="S1814" s="782"/>
      <c r="T1814" s="782"/>
    </row>
    <row r="1815" spans="2:20">
      <c r="B1815" s="1076"/>
      <c r="C1815" s="774"/>
      <c r="D1815" s="775"/>
      <c r="E1815" s="776"/>
      <c r="F1815" s="776"/>
      <c r="G1815" s="777"/>
      <c r="H1815" s="783"/>
      <c r="I1815" s="777"/>
      <c r="J1815" s="776"/>
      <c r="K1815" s="779"/>
      <c r="L1815" s="779"/>
      <c r="M1815" s="779"/>
      <c r="N1815" s="780"/>
      <c r="O1815" s="780"/>
      <c r="P1815" s="777"/>
      <c r="Q1815" s="781"/>
      <c r="R1815" s="782"/>
      <c r="S1815" s="782"/>
      <c r="T1815" s="782"/>
    </row>
    <row r="1816" spans="2:20">
      <c r="B1816" s="1076"/>
      <c r="C1816" s="774"/>
      <c r="D1816" s="775"/>
      <c r="E1816" s="776"/>
      <c r="F1816" s="776"/>
      <c r="G1816" s="777"/>
      <c r="H1816" s="783"/>
      <c r="I1816" s="777"/>
      <c r="J1816" s="776"/>
      <c r="K1816" s="779"/>
      <c r="L1816" s="779"/>
      <c r="M1816" s="779"/>
      <c r="N1816" s="780"/>
      <c r="O1816" s="780"/>
      <c r="P1816" s="777"/>
      <c r="Q1816" s="781"/>
      <c r="R1816" s="782"/>
      <c r="S1816" s="782"/>
      <c r="T1816" s="782"/>
    </row>
    <row r="1817" spans="2:20">
      <c r="B1817" s="1077"/>
      <c r="C1817" s="873"/>
      <c r="D1817" s="874"/>
      <c r="E1817" s="875"/>
      <c r="F1817" s="875"/>
      <c r="G1817" s="876"/>
      <c r="H1817" s="877"/>
      <c r="I1817" s="876"/>
      <c r="J1817" s="875"/>
      <c r="K1817" s="878"/>
      <c r="L1817" s="878"/>
      <c r="M1817" s="878"/>
      <c r="N1817" s="879"/>
      <c r="O1817" s="879"/>
      <c r="P1817" s="876"/>
      <c r="Q1817" s="880"/>
      <c r="R1817" s="881"/>
      <c r="S1817" s="881"/>
      <c r="T1817" s="881"/>
    </row>
    <row r="1818" spans="2:20">
      <c r="B1818" s="1075"/>
      <c r="C1818" s="785"/>
      <c r="D1818" s="786"/>
      <c r="E1818" s="787"/>
      <c r="F1818" s="787"/>
      <c r="G1818" s="788"/>
      <c r="H1818" s="797"/>
      <c r="I1818" s="788"/>
      <c r="J1818" s="787"/>
      <c r="K1818" s="790"/>
      <c r="L1818" s="790"/>
      <c r="M1818" s="790"/>
      <c r="N1818" s="791"/>
      <c r="O1818" s="791"/>
      <c r="P1818" s="788"/>
      <c r="Q1818" s="792"/>
      <c r="R1818" s="793"/>
      <c r="S1818" s="793"/>
      <c r="T1818" s="793"/>
    </row>
    <row r="1819" spans="2:20">
      <c r="B1819" s="1076"/>
      <c r="C1819" s="774"/>
      <c r="D1819" s="775"/>
      <c r="E1819" s="776"/>
      <c r="F1819" s="776"/>
      <c r="G1819" s="777"/>
      <c r="H1819" s="783"/>
      <c r="I1819" s="777"/>
      <c r="J1819" s="776"/>
      <c r="K1819" s="779"/>
      <c r="L1819" s="779"/>
      <c r="M1819" s="779"/>
      <c r="N1819" s="780"/>
      <c r="O1819" s="780"/>
      <c r="P1819" s="777"/>
      <c r="Q1819" s="781"/>
      <c r="R1819" s="782"/>
      <c r="S1819" s="782"/>
      <c r="T1819" s="782"/>
    </row>
    <row r="1820" spans="2:20">
      <c r="B1820" s="1076"/>
      <c r="C1820" s="774"/>
      <c r="D1820" s="775"/>
      <c r="E1820" s="776"/>
      <c r="F1820" s="776"/>
      <c r="G1820" s="777"/>
      <c r="H1820" s="783"/>
      <c r="I1820" s="777"/>
      <c r="J1820" s="776"/>
      <c r="K1820" s="779"/>
      <c r="L1820" s="779"/>
      <c r="M1820" s="779"/>
      <c r="N1820" s="780"/>
      <c r="O1820" s="780"/>
      <c r="P1820" s="777"/>
      <c r="Q1820" s="781"/>
      <c r="R1820" s="782"/>
      <c r="S1820" s="782"/>
      <c r="T1820" s="782"/>
    </row>
    <row r="1821" spans="2:20">
      <c r="B1821" s="1076"/>
      <c r="C1821" s="774"/>
      <c r="D1821" s="775"/>
      <c r="E1821" s="776"/>
      <c r="F1821" s="776"/>
      <c r="G1821" s="777"/>
      <c r="H1821" s="783"/>
      <c r="I1821" s="777"/>
      <c r="J1821" s="776"/>
      <c r="K1821" s="779"/>
      <c r="L1821" s="779"/>
      <c r="M1821" s="779"/>
      <c r="N1821" s="780"/>
      <c r="O1821" s="780"/>
      <c r="P1821" s="777"/>
      <c r="Q1821" s="781"/>
      <c r="R1821" s="782"/>
      <c r="S1821" s="782"/>
      <c r="T1821" s="782"/>
    </row>
    <row r="1822" spans="2:20">
      <c r="B1822" s="1076"/>
      <c r="C1822" s="774"/>
      <c r="D1822" s="775"/>
      <c r="E1822" s="776"/>
      <c r="F1822" s="776"/>
      <c r="G1822" s="777"/>
      <c r="H1822" s="783"/>
      <c r="I1822" s="777"/>
      <c r="J1822" s="776"/>
      <c r="K1822" s="779"/>
      <c r="L1822" s="779"/>
      <c r="M1822" s="779"/>
      <c r="N1822" s="780"/>
      <c r="O1822" s="780"/>
      <c r="P1822" s="777"/>
      <c r="Q1822" s="781"/>
      <c r="R1822" s="782"/>
      <c r="S1822" s="782"/>
      <c r="T1822" s="782"/>
    </row>
    <row r="1823" spans="2:20">
      <c r="B1823" s="1076"/>
      <c r="C1823" s="774"/>
      <c r="D1823" s="775"/>
      <c r="E1823" s="776"/>
      <c r="F1823" s="776"/>
      <c r="G1823" s="777"/>
      <c r="H1823" s="783"/>
      <c r="I1823" s="777"/>
      <c r="J1823" s="776"/>
      <c r="K1823" s="779"/>
      <c r="L1823" s="779"/>
      <c r="M1823" s="779"/>
      <c r="N1823" s="780"/>
      <c r="O1823" s="780"/>
      <c r="P1823" s="777"/>
      <c r="Q1823" s="781"/>
      <c r="R1823" s="782"/>
      <c r="S1823" s="782"/>
      <c r="T1823" s="782"/>
    </row>
    <row r="1824" spans="2:20">
      <c r="B1824" s="1076"/>
      <c r="C1824" s="774"/>
      <c r="D1824" s="775"/>
      <c r="E1824" s="776"/>
      <c r="F1824" s="776"/>
      <c r="G1824" s="777"/>
      <c r="H1824" s="783"/>
      <c r="I1824" s="777"/>
      <c r="J1824" s="776"/>
      <c r="K1824" s="779"/>
      <c r="L1824" s="779"/>
      <c r="M1824" s="779"/>
      <c r="N1824" s="780"/>
      <c r="O1824" s="780"/>
      <c r="P1824" s="777"/>
      <c r="Q1824" s="781"/>
      <c r="R1824" s="782"/>
      <c r="S1824" s="782"/>
      <c r="T1824" s="782"/>
    </row>
    <row r="1825" spans="2:20">
      <c r="B1825" s="1076"/>
      <c r="C1825" s="774"/>
      <c r="D1825" s="775"/>
      <c r="E1825" s="776"/>
      <c r="F1825" s="776"/>
      <c r="G1825" s="777"/>
      <c r="H1825" s="783"/>
      <c r="I1825" s="777"/>
      <c r="J1825" s="776"/>
      <c r="K1825" s="779"/>
      <c r="L1825" s="779"/>
      <c r="M1825" s="779"/>
      <c r="N1825" s="780"/>
      <c r="O1825" s="780"/>
      <c r="P1825" s="777"/>
      <c r="Q1825" s="781"/>
      <c r="R1825" s="782"/>
      <c r="S1825" s="782"/>
      <c r="T1825" s="782"/>
    </row>
    <row r="1826" spans="2:20">
      <c r="B1826" s="1076"/>
      <c r="C1826" s="774"/>
      <c r="D1826" s="775"/>
      <c r="E1826" s="776"/>
      <c r="F1826" s="776"/>
      <c r="G1826" s="777"/>
      <c r="H1826" s="783"/>
      <c r="I1826" s="777"/>
      <c r="J1826" s="776"/>
      <c r="K1826" s="779"/>
      <c r="L1826" s="779"/>
      <c r="M1826" s="779"/>
      <c r="N1826" s="780"/>
      <c r="O1826" s="780"/>
      <c r="P1826" s="777"/>
      <c r="Q1826" s="781"/>
      <c r="R1826" s="782"/>
      <c r="S1826" s="782"/>
      <c r="T1826" s="782"/>
    </row>
    <row r="1827" spans="2:20">
      <c r="B1827" s="1077"/>
      <c r="C1827" s="873"/>
      <c r="D1827" s="874"/>
      <c r="E1827" s="875"/>
      <c r="F1827" s="875"/>
      <c r="G1827" s="876"/>
      <c r="H1827" s="877"/>
      <c r="I1827" s="876"/>
      <c r="J1827" s="875"/>
      <c r="K1827" s="878"/>
      <c r="L1827" s="878"/>
      <c r="M1827" s="878"/>
      <c r="N1827" s="879"/>
      <c r="O1827" s="879"/>
      <c r="P1827" s="876"/>
      <c r="Q1827" s="880"/>
      <c r="R1827" s="881"/>
      <c r="S1827" s="881"/>
      <c r="T1827" s="881"/>
    </row>
    <row r="1828" spans="2:20">
      <c r="B1828" s="1075"/>
      <c r="C1828" s="785"/>
      <c r="D1828" s="786"/>
      <c r="E1828" s="787"/>
      <c r="F1828" s="787"/>
      <c r="G1828" s="788"/>
      <c r="H1828" s="797"/>
      <c r="I1828" s="788"/>
      <c r="J1828" s="787"/>
      <c r="K1828" s="790"/>
      <c r="L1828" s="790"/>
      <c r="M1828" s="790"/>
      <c r="N1828" s="791"/>
      <c r="O1828" s="791"/>
      <c r="P1828" s="788"/>
      <c r="Q1828" s="792"/>
      <c r="R1828" s="793"/>
      <c r="S1828" s="793"/>
      <c r="T1828" s="793"/>
    </row>
    <row r="1829" spans="2:20">
      <c r="B1829" s="1076"/>
      <c r="C1829" s="774"/>
      <c r="D1829" s="775"/>
      <c r="E1829" s="776"/>
      <c r="F1829" s="776"/>
      <c r="G1829" s="777"/>
      <c r="H1829" s="783"/>
      <c r="I1829" s="777"/>
      <c r="J1829" s="776"/>
      <c r="K1829" s="779"/>
      <c r="L1829" s="779"/>
      <c r="M1829" s="779"/>
      <c r="N1829" s="780"/>
      <c r="O1829" s="780"/>
      <c r="P1829" s="777"/>
      <c r="Q1829" s="781"/>
      <c r="R1829" s="782"/>
      <c r="S1829" s="782"/>
      <c r="T1829" s="782"/>
    </row>
    <row r="1830" spans="2:20">
      <c r="B1830" s="1076"/>
      <c r="C1830" s="774"/>
      <c r="D1830" s="775"/>
      <c r="E1830" s="776"/>
      <c r="F1830" s="776"/>
      <c r="G1830" s="777"/>
      <c r="H1830" s="783"/>
      <c r="I1830" s="777"/>
      <c r="J1830" s="776"/>
      <c r="K1830" s="779"/>
      <c r="L1830" s="779"/>
      <c r="M1830" s="779"/>
      <c r="N1830" s="780"/>
      <c r="O1830" s="780"/>
      <c r="P1830" s="777"/>
      <c r="Q1830" s="781"/>
      <c r="R1830" s="782"/>
      <c r="S1830" s="782"/>
      <c r="T1830" s="782"/>
    </row>
    <row r="1831" spans="2:20">
      <c r="B1831" s="1076"/>
      <c r="C1831" s="774"/>
      <c r="D1831" s="775"/>
      <c r="E1831" s="776"/>
      <c r="F1831" s="776"/>
      <c r="G1831" s="777"/>
      <c r="H1831" s="783"/>
      <c r="I1831" s="777"/>
      <c r="J1831" s="776"/>
      <c r="K1831" s="779"/>
      <c r="L1831" s="779"/>
      <c r="M1831" s="779"/>
      <c r="N1831" s="780"/>
      <c r="O1831" s="780"/>
      <c r="P1831" s="777"/>
      <c r="Q1831" s="781"/>
      <c r="R1831" s="782"/>
      <c r="S1831" s="782"/>
      <c r="T1831" s="782"/>
    </row>
    <row r="1832" spans="2:20">
      <c r="B1832" s="1076"/>
      <c r="C1832" s="774"/>
      <c r="D1832" s="775"/>
      <c r="E1832" s="776"/>
      <c r="F1832" s="776"/>
      <c r="G1832" s="777"/>
      <c r="H1832" s="783"/>
      <c r="I1832" s="777"/>
      <c r="J1832" s="776"/>
      <c r="K1832" s="779"/>
      <c r="L1832" s="779"/>
      <c r="M1832" s="779"/>
      <c r="N1832" s="780"/>
      <c r="O1832" s="780"/>
      <c r="P1832" s="777"/>
      <c r="Q1832" s="781"/>
      <c r="R1832" s="782"/>
      <c r="S1832" s="782"/>
      <c r="T1832" s="782"/>
    </row>
    <row r="1833" spans="2:20">
      <c r="B1833" s="1076"/>
      <c r="C1833" s="774"/>
      <c r="D1833" s="775"/>
      <c r="E1833" s="776"/>
      <c r="F1833" s="776"/>
      <c r="G1833" s="777"/>
      <c r="H1833" s="783"/>
      <c r="I1833" s="777"/>
      <c r="J1833" s="776"/>
      <c r="K1833" s="779"/>
      <c r="L1833" s="779"/>
      <c r="M1833" s="779"/>
      <c r="N1833" s="780"/>
      <c r="O1833" s="780"/>
      <c r="P1833" s="777"/>
      <c r="Q1833" s="781"/>
      <c r="R1833" s="782"/>
      <c r="S1833" s="782"/>
      <c r="T1833" s="782"/>
    </row>
    <row r="1834" spans="2:20">
      <c r="B1834" s="1076"/>
      <c r="C1834" s="774"/>
      <c r="D1834" s="775"/>
      <c r="E1834" s="776"/>
      <c r="F1834" s="776"/>
      <c r="G1834" s="777"/>
      <c r="H1834" s="783"/>
      <c r="I1834" s="777"/>
      <c r="J1834" s="776"/>
      <c r="K1834" s="779"/>
      <c r="L1834" s="779"/>
      <c r="M1834" s="779"/>
      <c r="N1834" s="780"/>
      <c r="O1834" s="780"/>
      <c r="P1834" s="777"/>
      <c r="Q1834" s="781"/>
      <c r="R1834" s="782"/>
      <c r="S1834" s="782"/>
      <c r="T1834" s="782"/>
    </row>
    <row r="1835" spans="2:20">
      <c r="B1835" s="1076"/>
      <c r="C1835" s="774"/>
      <c r="D1835" s="775"/>
      <c r="E1835" s="776"/>
      <c r="F1835" s="776"/>
      <c r="G1835" s="777"/>
      <c r="H1835" s="783"/>
      <c r="I1835" s="777"/>
      <c r="J1835" s="776"/>
      <c r="K1835" s="779"/>
      <c r="L1835" s="779"/>
      <c r="M1835" s="779"/>
      <c r="N1835" s="780"/>
      <c r="O1835" s="780"/>
      <c r="P1835" s="777"/>
      <c r="Q1835" s="781"/>
      <c r="R1835" s="782"/>
      <c r="S1835" s="782"/>
      <c r="T1835" s="782"/>
    </row>
    <row r="1836" spans="2:20">
      <c r="B1836" s="1076"/>
      <c r="C1836" s="774"/>
      <c r="D1836" s="775"/>
      <c r="E1836" s="776"/>
      <c r="F1836" s="776"/>
      <c r="G1836" s="777"/>
      <c r="H1836" s="783"/>
      <c r="I1836" s="777"/>
      <c r="J1836" s="776"/>
      <c r="K1836" s="779"/>
      <c r="L1836" s="779"/>
      <c r="M1836" s="779"/>
      <c r="N1836" s="780"/>
      <c r="O1836" s="780"/>
      <c r="P1836" s="777"/>
      <c r="Q1836" s="781"/>
      <c r="R1836" s="782"/>
      <c r="S1836" s="782"/>
      <c r="T1836" s="782"/>
    </row>
    <row r="1837" spans="2:20">
      <c r="B1837" s="1077"/>
      <c r="C1837" s="873"/>
      <c r="D1837" s="874"/>
      <c r="E1837" s="875"/>
      <c r="F1837" s="875"/>
      <c r="G1837" s="876"/>
      <c r="H1837" s="877"/>
      <c r="I1837" s="876"/>
      <c r="J1837" s="875"/>
      <c r="K1837" s="878"/>
      <c r="L1837" s="878"/>
      <c r="M1837" s="878"/>
      <c r="N1837" s="879"/>
      <c r="O1837" s="879"/>
      <c r="P1837" s="876"/>
      <c r="Q1837" s="880"/>
      <c r="R1837" s="881"/>
      <c r="S1837" s="881"/>
      <c r="T1837" s="881"/>
    </row>
    <row r="1838" spans="2:20">
      <c r="B1838" s="1075"/>
      <c r="C1838" s="785"/>
      <c r="D1838" s="786"/>
      <c r="E1838" s="787"/>
      <c r="F1838" s="787"/>
      <c r="G1838" s="788"/>
      <c r="H1838" s="797"/>
      <c r="I1838" s="788"/>
      <c r="J1838" s="787"/>
      <c r="K1838" s="790"/>
      <c r="L1838" s="790"/>
      <c r="M1838" s="790"/>
      <c r="N1838" s="791"/>
      <c r="O1838" s="791"/>
      <c r="P1838" s="788"/>
      <c r="Q1838" s="792"/>
      <c r="R1838" s="793"/>
      <c r="S1838" s="793"/>
      <c r="T1838" s="793"/>
    </row>
    <row r="1839" spans="2:20">
      <c r="B1839" s="1076"/>
      <c r="C1839" s="774"/>
      <c r="D1839" s="775"/>
      <c r="E1839" s="776"/>
      <c r="F1839" s="776"/>
      <c r="G1839" s="777"/>
      <c r="H1839" s="783"/>
      <c r="I1839" s="777"/>
      <c r="J1839" s="776"/>
      <c r="K1839" s="779"/>
      <c r="L1839" s="779"/>
      <c r="M1839" s="779"/>
      <c r="N1839" s="780"/>
      <c r="O1839" s="780"/>
      <c r="P1839" s="777"/>
      <c r="Q1839" s="781"/>
      <c r="R1839" s="782"/>
      <c r="S1839" s="782"/>
      <c r="T1839" s="782"/>
    </row>
    <row r="1840" spans="2:20">
      <c r="B1840" s="1076"/>
      <c r="C1840" s="774"/>
      <c r="D1840" s="775"/>
      <c r="E1840" s="776"/>
      <c r="F1840" s="776"/>
      <c r="G1840" s="777"/>
      <c r="H1840" s="783"/>
      <c r="I1840" s="777"/>
      <c r="J1840" s="776"/>
      <c r="K1840" s="779"/>
      <c r="L1840" s="779"/>
      <c r="M1840" s="779"/>
      <c r="N1840" s="780"/>
      <c r="O1840" s="780"/>
      <c r="P1840" s="777"/>
      <c r="Q1840" s="781"/>
      <c r="R1840" s="782"/>
      <c r="S1840" s="782"/>
      <c r="T1840" s="782"/>
    </row>
    <row r="1841" spans="2:20">
      <c r="B1841" s="1076"/>
      <c r="C1841" s="774"/>
      <c r="D1841" s="775"/>
      <c r="E1841" s="776"/>
      <c r="F1841" s="776"/>
      <c r="G1841" s="777"/>
      <c r="H1841" s="783"/>
      <c r="I1841" s="777"/>
      <c r="J1841" s="776"/>
      <c r="K1841" s="779"/>
      <c r="L1841" s="779"/>
      <c r="M1841" s="779"/>
      <c r="N1841" s="780"/>
      <c r="O1841" s="780"/>
      <c r="P1841" s="777"/>
      <c r="Q1841" s="781"/>
      <c r="R1841" s="782"/>
      <c r="S1841" s="782"/>
      <c r="T1841" s="782"/>
    </row>
    <row r="1842" spans="2:20">
      <c r="B1842" s="1076"/>
      <c r="C1842" s="774"/>
      <c r="D1842" s="775"/>
      <c r="E1842" s="776"/>
      <c r="F1842" s="776"/>
      <c r="G1842" s="777"/>
      <c r="H1842" s="783"/>
      <c r="I1842" s="777"/>
      <c r="J1842" s="776"/>
      <c r="K1842" s="779"/>
      <c r="L1842" s="779"/>
      <c r="M1842" s="779"/>
      <c r="N1842" s="780"/>
      <c r="O1842" s="780"/>
      <c r="P1842" s="777"/>
      <c r="Q1842" s="781"/>
      <c r="R1842" s="782"/>
      <c r="S1842" s="782"/>
      <c r="T1842" s="782"/>
    </row>
    <row r="1843" spans="2:20">
      <c r="B1843" s="1076"/>
      <c r="C1843" s="774"/>
      <c r="D1843" s="775"/>
      <c r="E1843" s="776"/>
      <c r="F1843" s="776"/>
      <c r="G1843" s="777"/>
      <c r="H1843" s="783"/>
      <c r="I1843" s="777"/>
      <c r="J1843" s="776"/>
      <c r="K1843" s="779"/>
      <c r="L1843" s="779"/>
      <c r="M1843" s="779"/>
      <c r="N1843" s="780"/>
      <c r="O1843" s="780"/>
      <c r="P1843" s="777"/>
      <c r="Q1843" s="781"/>
      <c r="R1843" s="782"/>
      <c r="S1843" s="782"/>
      <c r="T1843" s="782"/>
    </row>
    <row r="1844" spans="2:20">
      <c r="B1844" s="1076"/>
      <c r="C1844" s="774"/>
      <c r="D1844" s="775"/>
      <c r="E1844" s="776"/>
      <c r="F1844" s="776"/>
      <c r="G1844" s="777"/>
      <c r="H1844" s="783"/>
      <c r="I1844" s="777"/>
      <c r="J1844" s="776"/>
      <c r="K1844" s="779"/>
      <c r="L1844" s="779"/>
      <c r="M1844" s="779"/>
      <c r="N1844" s="780"/>
      <c r="O1844" s="780"/>
      <c r="P1844" s="777"/>
      <c r="Q1844" s="781"/>
      <c r="R1844" s="782"/>
      <c r="S1844" s="782"/>
      <c r="T1844" s="782"/>
    </row>
    <row r="1845" spans="2:20">
      <c r="B1845" s="1076"/>
      <c r="C1845" s="774"/>
      <c r="D1845" s="775"/>
      <c r="E1845" s="776"/>
      <c r="F1845" s="776"/>
      <c r="G1845" s="777"/>
      <c r="H1845" s="783"/>
      <c r="I1845" s="777"/>
      <c r="J1845" s="776"/>
      <c r="K1845" s="779"/>
      <c r="L1845" s="779"/>
      <c r="M1845" s="779"/>
      <c r="N1845" s="780"/>
      <c r="O1845" s="780"/>
      <c r="P1845" s="777"/>
      <c r="Q1845" s="781"/>
      <c r="R1845" s="782"/>
      <c r="S1845" s="782"/>
      <c r="T1845" s="782"/>
    </row>
    <row r="1846" spans="2:20">
      <c r="B1846" s="1076"/>
      <c r="C1846" s="774"/>
      <c r="D1846" s="775"/>
      <c r="E1846" s="776"/>
      <c r="F1846" s="776"/>
      <c r="G1846" s="777"/>
      <c r="H1846" s="783"/>
      <c r="I1846" s="777"/>
      <c r="J1846" s="776"/>
      <c r="K1846" s="779"/>
      <c r="L1846" s="779"/>
      <c r="M1846" s="779"/>
      <c r="N1846" s="780"/>
      <c r="O1846" s="780"/>
      <c r="P1846" s="777"/>
      <c r="Q1846" s="781"/>
      <c r="R1846" s="782"/>
      <c r="S1846" s="782"/>
      <c r="T1846" s="782"/>
    </row>
    <row r="1847" spans="2:20">
      <c r="B1847" s="1077"/>
      <c r="C1847" s="873"/>
      <c r="D1847" s="874"/>
      <c r="E1847" s="875"/>
      <c r="F1847" s="875"/>
      <c r="G1847" s="876"/>
      <c r="H1847" s="877"/>
      <c r="I1847" s="876"/>
      <c r="J1847" s="875"/>
      <c r="K1847" s="878"/>
      <c r="L1847" s="878"/>
      <c r="M1847" s="878"/>
      <c r="N1847" s="879"/>
      <c r="O1847" s="879"/>
      <c r="P1847" s="876"/>
      <c r="Q1847" s="880"/>
      <c r="R1847" s="881"/>
      <c r="S1847" s="881"/>
      <c r="T1847" s="881"/>
    </row>
    <row r="1848" spans="2:20">
      <c r="B1848" s="1076"/>
      <c r="C1848" s="774"/>
      <c r="D1848" s="775"/>
      <c r="E1848" s="776"/>
      <c r="F1848" s="776"/>
      <c r="G1848" s="777"/>
      <c r="H1848" s="783"/>
      <c r="I1848" s="777"/>
      <c r="J1848" s="776"/>
      <c r="K1848" s="779"/>
      <c r="L1848" s="779"/>
      <c r="M1848" s="779"/>
      <c r="N1848" s="780"/>
      <c r="O1848" s="780"/>
      <c r="P1848" s="777"/>
      <c r="Q1848" s="781"/>
      <c r="R1848" s="782"/>
      <c r="S1848" s="782"/>
      <c r="T1848" s="782"/>
    </row>
    <row r="1849" spans="2:20">
      <c r="B1849" s="1076"/>
      <c r="C1849" s="774"/>
      <c r="D1849" s="775"/>
      <c r="E1849" s="776"/>
      <c r="F1849" s="776"/>
      <c r="G1849" s="777"/>
      <c r="H1849" s="783"/>
      <c r="I1849" s="777"/>
      <c r="J1849" s="776"/>
      <c r="K1849" s="779"/>
      <c r="L1849" s="779"/>
      <c r="M1849" s="779"/>
      <c r="N1849" s="780"/>
      <c r="O1849" s="780"/>
      <c r="P1849" s="777"/>
      <c r="Q1849" s="781"/>
      <c r="R1849" s="782"/>
      <c r="S1849" s="782"/>
      <c r="T1849" s="782"/>
    </row>
    <row r="1850" spans="2:20">
      <c r="B1850" s="1076"/>
      <c r="C1850" s="774"/>
      <c r="D1850" s="775"/>
      <c r="E1850" s="776"/>
      <c r="F1850" s="776"/>
      <c r="G1850" s="777"/>
      <c r="H1850" s="783"/>
      <c r="I1850" s="777"/>
      <c r="J1850" s="776"/>
      <c r="K1850" s="779"/>
      <c r="L1850" s="779"/>
      <c r="M1850" s="779"/>
      <c r="N1850" s="780"/>
      <c r="O1850" s="780"/>
      <c r="P1850" s="777"/>
      <c r="Q1850" s="781"/>
      <c r="R1850" s="782"/>
      <c r="S1850" s="782"/>
      <c r="T1850" s="782"/>
    </row>
    <row r="1851" spans="2:20">
      <c r="B1851" s="1076"/>
      <c r="C1851" s="774"/>
      <c r="D1851" s="775"/>
      <c r="E1851" s="776"/>
      <c r="F1851" s="776"/>
      <c r="G1851" s="777"/>
      <c r="H1851" s="783"/>
      <c r="I1851" s="777"/>
      <c r="J1851" s="776"/>
      <c r="K1851" s="779"/>
      <c r="L1851" s="779"/>
      <c r="M1851" s="779"/>
      <c r="N1851" s="780"/>
      <c r="O1851" s="780"/>
      <c r="P1851" s="777"/>
      <c r="Q1851" s="781"/>
      <c r="R1851" s="782"/>
      <c r="S1851" s="782"/>
      <c r="T1851" s="782"/>
    </row>
    <row r="1852" spans="2:20">
      <c r="B1852" s="1076"/>
      <c r="C1852" s="774"/>
      <c r="D1852" s="775"/>
      <c r="E1852" s="776"/>
      <c r="F1852" s="776"/>
      <c r="G1852" s="777"/>
      <c r="H1852" s="783"/>
      <c r="I1852" s="777"/>
      <c r="J1852" s="776"/>
      <c r="K1852" s="779"/>
      <c r="L1852" s="779"/>
      <c r="M1852" s="779"/>
      <c r="N1852" s="780"/>
      <c r="O1852" s="780"/>
      <c r="P1852" s="777"/>
      <c r="Q1852" s="781"/>
      <c r="R1852" s="782"/>
      <c r="S1852" s="782"/>
      <c r="T1852" s="782"/>
    </row>
    <row r="1853" spans="2:20">
      <c r="B1853" s="1076"/>
      <c r="C1853" s="774"/>
      <c r="D1853" s="775"/>
      <c r="E1853" s="776"/>
      <c r="F1853" s="776"/>
      <c r="G1853" s="777"/>
      <c r="H1853" s="783"/>
      <c r="I1853" s="777"/>
      <c r="J1853" s="776"/>
      <c r="K1853" s="779"/>
      <c r="L1853" s="779"/>
      <c r="M1853" s="779"/>
      <c r="N1853" s="780"/>
      <c r="O1853" s="780"/>
      <c r="P1853" s="777"/>
      <c r="Q1853" s="781"/>
      <c r="R1853" s="782"/>
      <c r="S1853" s="782"/>
      <c r="T1853" s="782"/>
    </row>
    <row r="1854" spans="2:20">
      <c r="B1854" s="1076"/>
      <c r="C1854" s="774"/>
      <c r="D1854" s="775"/>
      <c r="E1854" s="776"/>
      <c r="F1854" s="776"/>
      <c r="G1854" s="777"/>
      <c r="H1854" s="783"/>
      <c r="I1854" s="777"/>
      <c r="J1854" s="776"/>
      <c r="K1854" s="779"/>
      <c r="L1854" s="779"/>
      <c r="M1854" s="779"/>
      <c r="N1854" s="780"/>
      <c r="O1854" s="780"/>
      <c r="P1854" s="777"/>
      <c r="Q1854" s="781"/>
      <c r="R1854" s="782"/>
      <c r="S1854" s="782"/>
      <c r="T1854" s="782"/>
    </row>
    <row r="1855" spans="2:20">
      <c r="B1855" s="1076"/>
      <c r="C1855" s="774"/>
      <c r="D1855" s="775"/>
      <c r="E1855" s="776"/>
      <c r="F1855" s="776"/>
      <c r="G1855" s="777"/>
      <c r="H1855" s="783"/>
      <c r="I1855" s="777"/>
      <c r="J1855" s="776"/>
      <c r="K1855" s="779"/>
      <c r="L1855" s="779"/>
      <c r="M1855" s="779"/>
      <c r="N1855" s="780"/>
      <c r="O1855" s="780"/>
      <c r="P1855" s="777"/>
      <c r="Q1855" s="781"/>
      <c r="R1855" s="782"/>
      <c r="S1855" s="782"/>
      <c r="T1855" s="782"/>
    </row>
    <row r="1856" spans="2:20">
      <c r="B1856" s="1076"/>
      <c r="C1856" s="774"/>
      <c r="D1856" s="775"/>
      <c r="E1856" s="776"/>
      <c r="F1856" s="776"/>
      <c r="G1856" s="777"/>
      <c r="H1856" s="783"/>
      <c r="I1856" s="777"/>
      <c r="J1856" s="776"/>
      <c r="K1856" s="779"/>
      <c r="L1856" s="779"/>
      <c r="M1856" s="779"/>
      <c r="N1856" s="780"/>
      <c r="O1856" s="780"/>
      <c r="P1856" s="777"/>
      <c r="Q1856" s="781"/>
      <c r="R1856" s="782"/>
      <c r="S1856" s="782"/>
      <c r="T1856" s="782"/>
    </row>
    <row r="1857" spans="2:20">
      <c r="B1857" s="1076"/>
      <c r="C1857" s="774"/>
      <c r="D1857" s="775"/>
      <c r="E1857" s="776"/>
      <c r="F1857" s="776"/>
      <c r="G1857" s="777"/>
      <c r="H1857" s="783"/>
      <c r="I1857" s="777"/>
      <c r="J1857" s="776"/>
      <c r="K1857" s="779"/>
      <c r="L1857" s="779"/>
      <c r="M1857" s="779"/>
      <c r="N1857" s="780"/>
      <c r="O1857" s="780"/>
      <c r="P1857" s="777"/>
      <c r="Q1857" s="781"/>
      <c r="R1857" s="782"/>
      <c r="S1857" s="782"/>
      <c r="T1857" s="782"/>
    </row>
    <row r="1858" spans="2:20">
      <c r="B1858" s="1078"/>
      <c r="C1858" s="1079"/>
      <c r="D1858" s="1080" t="s">
        <v>6087</v>
      </c>
      <c r="E1858" s="1078"/>
      <c r="F1858" s="1078"/>
      <c r="G1858" s="1078"/>
      <c r="H1858" s="1081"/>
      <c r="I1858" s="1078"/>
      <c r="J1858" s="1078"/>
      <c r="K1858" s="864"/>
      <c r="L1858" s="865"/>
      <c r="M1858" s="865"/>
      <c r="N1858" s="866"/>
      <c r="O1858" s="867"/>
      <c r="P1858" s="868"/>
      <c r="Q1858" s="869"/>
      <c r="R1858" s="870"/>
      <c r="S1858" s="870"/>
      <c r="T1858" s="870"/>
    </row>
    <row r="1859" spans="2:20">
      <c r="B1859" s="1075"/>
      <c r="C1859" s="785"/>
      <c r="D1859" s="786"/>
      <c r="E1859" s="787"/>
      <c r="F1859" s="787"/>
      <c r="G1859" s="788"/>
      <c r="H1859" s="797"/>
      <c r="I1859" s="788"/>
      <c r="J1859" s="787"/>
      <c r="K1859" s="790"/>
      <c r="L1859" s="790"/>
      <c r="M1859" s="790"/>
      <c r="N1859" s="791"/>
      <c r="O1859" s="791"/>
      <c r="P1859" s="788"/>
      <c r="Q1859" s="792"/>
      <c r="R1859" s="793"/>
      <c r="S1859" s="793"/>
      <c r="T1859" s="793"/>
    </row>
    <row r="1860" spans="2:20">
      <c r="B1860" s="1076"/>
      <c r="C1860" s="774"/>
      <c r="D1860" s="775"/>
      <c r="E1860" s="776"/>
      <c r="F1860" s="776"/>
      <c r="G1860" s="777"/>
      <c r="H1860" s="783"/>
      <c r="I1860" s="777"/>
      <c r="J1860" s="776"/>
      <c r="K1860" s="779"/>
      <c r="L1860" s="779"/>
      <c r="M1860" s="779"/>
      <c r="N1860" s="780"/>
      <c r="O1860" s="780"/>
      <c r="P1860" s="777"/>
      <c r="Q1860" s="781"/>
      <c r="R1860" s="782"/>
      <c r="S1860" s="782"/>
      <c r="T1860" s="782"/>
    </row>
    <row r="1861" spans="2:20">
      <c r="B1861" s="1076"/>
      <c r="C1861" s="774"/>
      <c r="D1861" s="775"/>
      <c r="E1861" s="776"/>
      <c r="F1861" s="776"/>
      <c r="G1861" s="777"/>
      <c r="H1861" s="783"/>
      <c r="I1861" s="777"/>
      <c r="J1861" s="776"/>
      <c r="K1861" s="779"/>
      <c r="L1861" s="779"/>
      <c r="M1861" s="779"/>
      <c r="N1861" s="780"/>
      <c r="O1861" s="780"/>
      <c r="P1861" s="777"/>
      <c r="Q1861" s="781"/>
      <c r="R1861" s="782"/>
      <c r="S1861" s="782"/>
      <c r="T1861" s="782"/>
    </row>
    <row r="1862" spans="2:20">
      <c r="B1862" s="1076"/>
      <c r="C1862" s="774"/>
      <c r="D1862" s="775"/>
      <c r="E1862" s="776"/>
      <c r="F1862" s="776"/>
      <c r="G1862" s="777"/>
      <c r="H1862" s="783"/>
      <c r="I1862" s="777"/>
      <c r="J1862" s="776"/>
      <c r="K1862" s="779"/>
      <c r="L1862" s="779"/>
      <c r="M1862" s="779"/>
      <c r="N1862" s="780"/>
      <c r="O1862" s="780"/>
      <c r="P1862" s="777"/>
      <c r="Q1862" s="781"/>
      <c r="R1862" s="782"/>
      <c r="S1862" s="782"/>
      <c r="T1862" s="782"/>
    </row>
    <row r="1863" spans="2:20">
      <c r="B1863" s="1076"/>
      <c r="C1863" s="774"/>
      <c r="D1863" s="775"/>
      <c r="E1863" s="776"/>
      <c r="F1863" s="776"/>
      <c r="G1863" s="777"/>
      <c r="H1863" s="783"/>
      <c r="I1863" s="777"/>
      <c r="J1863" s="776"/>
      <c r="K1863" s="779"/>
      <c r="L1863" s="779"/>
      <c r="M1863" s="779"/>
      <c r="N1863" s="780"/>
      <c r="O1863" s="780"/>
      <c r="P1863" s="777"/>
      <c r="Q1863" s="781"/>
      <c r="R1863" s="782"/>
      <c r="S1863" s="782"/>
      <c r="T1863" s="782"/>
    </row>
    <row r="1864" spans="2:20">
      <c r="B1864" s="1076"/>
      <c r="C1864" s="774"/>
      <c r="D1864" s="775"/>
      <c r="E1864" s="776"/>
      <c r="F1864" s="776"/>
      <c r="G1864" s="777"/>
      <c r="H1864" s="783"/>
      <c r="I1864" s="777"/>
      <c r="J1864" s="776"/>
      <c r="K1864" s="779"/>
      <c r="L1864" s="779"/>
      <c r="M1864" s="779"/>
      <c r="N1864" s="780"/>
      <c r="O1864" s="780"/>
      <c r="P1864" s="777"/>
      <c r="Q1864" s="781"/>
      <c r="R1864" s="782"/>
      <c r="S1864" s="782"/>
      <c r="T1864" s="782"/>
    </row>
    <row r="1865" spans="2:20">
      <c r="B1865" s="1076"/>
      <c r="C1865" s="774"/>
      <c r="D1865" s="775"/>
      <c r="E1865" s="776"/>
      <c r="F1865" s="776"/>
      <c r="G1865" s="777"/>
      <c r="H1865" s="783"/>
      <c r="I1865" s="777"/>
      <c r="J1865" s="776"/>
      <c r="K1865" s="779"/>
      <c r="L1865" s="779"/>
      <c r="M1865" s="779"/>
      <c r="N1865" s="780"/>
      <c r="O1865" s="780"/>
      <c r="P1865" s="777"/>
      <c r="Q1865" s="781"/>
      <c r="R1865" s="782"/>
      <c r="S1865" s="782"/>
      <c r="T1865" s="782"/>
    </row>
    <row r="1866" spans="2:20">
      <c r="B1866" s="1076"/>
      <c r="C1866" s="774"/>
      <c r="D1866" s="775"/>
      <c r="E1866" s="776"/>
      <c r="F1866" s="776"/>
      <c r="G1866" s="777"/>
      <c r="H1866" s="783"/>
      <c r="I1866" s="777"/>
      <c r="J1866" s="776"/>
      <c r="K1866" s="779"/>
      <c r="L1866" s="779"/>
      <c r="M1866" s="779"/>
      <c r="N1866" s="780"/>
      <c r="O1866" s="780"/>
      <c r="P1866" s="777"/>
      <c r="Q1866" s="781"/>
      <c r="R1866" s="782"/>
      <c r="S1866" s="782"/>
      <c r="T1866" s="782"/>
    </row>
    <row r="1867" spans="2:20">
      <c r="B1867" s="1076"/>
      <c r="C1867" s="774"/>
      <c r="D1867" s="775"/>
      <c r="E1867" s="776"/>
      <c r="F1867" s="776"/>
      <c r="G1867" s="777"/>
      <c r="H1867" s="783"/>
      <c r="I1867" s="777"/>
      <c r="J1867" s="776"/>
      <c r="K1867" s="779"/>
      <c r="L1867" s="779"/>
      <c r="M1867" s="779"/>
      <c r="N1867" s="780"/>
      <c r="O1867" s="780"/>
      <c r="P1867" s="777"/>
      <c r="Q1867" s="781"/>
      <c r="R1867" s="782"/>
      <c r="S1867" s="782"/>
      <c r="T1867" s="782"/>
    </row>
    <row r="1868" spans="2:20">
      <c r="B1868" s="1077"/>
      <c r="C1868" s="873"/>
      <c r="D1868" s="874"/>
      <c r="E1868" s="875"/>
      <c r="F1868" s="875"/>
      <c r="G1868" s="876"/>
      <c r="H1868" s="877"/>
      <c r="I1868" s="876"/>
      <c r="J1868" s="875"/>
      <c r="K1868" s="878"/>
      <c r="L1868" s="878"/>
      <c r="M1868" s="878"/>
      <c r="N1868" s="879"/>
      <c r="O1868" s="879"/>
      <c r="P1868" s="876"/>
      <c r="Q1868" s="880"/>
      <c r="R1868" s="881"/>
      <c r="S1868" s="881"/>
      <c r="T1868" s="881"/>
    </row>
    <row r="1869" spans="2:20">
      <c r="B1869" s="1075"/>
      <c r="C1869" s="785"/>
      <c r="D1869" s="786"/>
      <c r="E1869" s="787"/>
      <c r="F1869" s="787"/>
      <c r="G1869" s="788"/>
      <c r="H1869" s="797"/>
      <c r="I1869" s="788"/>
      <c r="J1869" s="787"/>
      <c r="K1869" s="790"/>
      <c r="L1869" s="790"/>
      <c r="M1869" s="790"/>
      <c r="N1869" s="791"/>
      <c r="O1869" s="791"/>
      <c r="P1869" s="788"/>
      <c r="Q1869" s="792"/>
      <c r="R1869" s="793"/>
      <c r="S1869" s="793"/>
      <c r="T1869" s="793"/>
    </row>
    <row r="1870" spans="2:20">
      <c r="B1870" s="1076"/>
      <c r="C1870" s="774"/>
      <c r="D1870" s="775"/>
      <c r="E1870" s="776"/>
      <c r="F1870" s="776"/>
      <c r="G1870" s="777"/>
      <c r="H1870" s="783"/>
      <c r="I1870" s="777"/>
      <c r="J1870" s="776"/>
      <c r="K1870" s="779"/>
      <c r="L1870" s="779"/>
      <c r="M1870" s="779"/>
      <c r="N1870" s="780"/>
      <c r="O1870" s="780"/>
      <c r="P1870" s="777"/>
      <c r="Q1870" s="781"/>
      <c r="R1870" s="782"/>
      <c r="S1870" s="782"/>
      <c r="T1870" s="782"/>
    </row>
    <row r="1871" spans="2:20">
      <c r="B1871" s="1076"/>
      <c r="C1871" s="774"/>
      <c r="D1871" s="775"/>
      <c r="E1871" s="776"/>
      <c r="F1871" s="776"/>
      <c r="G1871" s="777"/>
      <c r="H1871" s="783"/>
      <c r="I1871" s="777"/>
      <c r="J1871" s="776"/>
      <c r="K1871" s="779"/>
      <c r="L1871" s="779"/>
      <c r="M1871" s="779"/>
      <c r="N1871" s="780"/>
      <c r="O1871" s="780"/>
      <c r="P1871" s="777"/>
      <c r="Q1871" s="781"/>
      <c r="R1871" s="782"/>
      <c r="S1871" s="782"/>
      <c r="T1871" s="782"/>
    </row>
    <row r="1872" spans="2:20">
      <c r="B1872" s="1076"/>
      <c r="C1872" s="774"/>
      <c r="D1872" s="775"/>
      <c r="E1872" s="776"/>
      <c r="F1872" s="776"/>
      <c r="G1872" s="777"/>
      <c r="H1872" s="783"/>
      <c r="I1872" s="777"/>
      <c r="J1872" s="776"/>
      <c r="K1872" s="779"/>
      <c r="L1872" s="779"/>
      <c r="M1872" s="779"/>
      <c r="N1872" s="780"/>
      <c r="O1872" s="780"/>
      <c r="P1872" s="777"/>
      <c r="Q1872" s="781"/>
      <c r="R1872" s="782"/>
      <c r="S1872" s="782"/>
      <c r="T1872" s="782"/>
    </row>
    <row r="1873" spans="2:20">
      <c r="B1873" s="1076"/>
      <c r="C1873" s="774"/>
      <c r="D1873" s="775"/>
      <c r="E1873" s="776"/>
      <c r="F1873" s="776"/>
      <c r="G1873" s="777"/>
      <c r="H1873" s="783"/>
      <c r="I1873" s="777"/>
      <c r="J1873" s="776"/>
      <c r="K1873" s="779"/>
      <c r="L1873" s="779"/>
      <c r="M1873" s="779"/>
      <c r="N1873" s="780"/>
      <c r="O1873" s="780"/>
      <c r="P1873" s="777"/>
      <c r="Q1873" s="781"/>
      <c r="R1873" s="782"/>
      <c r="S1873" s="782"/>
      <c r="T1873" s="782"/>
    </row>
    <row r="1874" spans="2:20">
      <c r="B1874" s="1076"/>
      <c r="C1874" s="774"/>
      <c r="D1874" s="775"/>
      <c r="E1874" s="776"/>
      <c r="F1874" s="776"/>
      <c r="G1874" s="777"/>
      <c r="H1874" s="783"/>
      <c r="I1874" s="777"/>
      <c r="J1874" s="776"/>
      <c r="K1874" s="779"/>
      <c r="L1874" s="779"/>
      <c r="M1874" s="779"/>
      <c r="N1874" s="780"/>
      <c r="O1874" s="780"/>
      <c r="P1874" s="777"/>
      <c r="Q1874" s="781"/>
      <c r="R1874" s="782"/>
      <c r="S1874" s="782"/>
      <c r="T1874" s="782"/>
    </row>
    <row r="1875" spans="2:20">
      <c r="B1875" s="1076"/>
      <c r="C1875" s="774"/>
      <c r="D1875" s="775"/>
      <c r="E1875" s="776"/>
      <c r="F1875" s="776"/>
      <c r="G1875" s="777"/>
      <c r="H1875" s="783"/>
      <c r="I1875" s="777"/>
      <c r="J1875" s="776"/>
      <c r="K1875" s="779"/>
      <c r="L1875" s="779"/>
      <c r="M1875" s="779"/>
      <c r="N1875" s="780"/>
      <c r="O1875" s="780"/>
      <c r="P1875" s="777"/>
      <c r="Q1875" s="781"/>
      <c r="R1875" s="782"/>
      <c r="S1875" s="782"/>
      <c r="T1875" s="782"/>
    </row>
    <row r="1876" spans="2:20">
      <c r="B1876" s="1076"/>
      <c r="C1876" s="774"/>
      <c r="D1876" s="775"/>
      <c r="E1876" s="776"/>
      <c r="F1876" s="776"/>
      <c r="G1876" s="777"/>
      <c r="H1876" s="783"/>
      <c r="I1876" s="777"/>
      <c r="J1876" s="776"/>
      <c r="K1876" s="779"/>
      <c r="L1876" s="779"/>
      <c r="M1876" s="779"/>
      <c r="N1876" s="780"/>
      <c r="O1876" s="780"/>
      <c r="P1876" s="777"/>
      <c r="Q1876" s="781"/>
      <c r="R1876" s="782"/>
      <c r="S1876" s="782"/>
      <c r="T1876" s="782"/>
    </row>
    <row r="1877" spans="2:20">
      <c r="B1877" s="1076"/>
      <c r="C1877" s="774"/>
      <c r="D1877" s="775"/>
      <c r="E1877" s="776"/>
      <c r="F1877" s="776"/>
      <c r="G1877" s="777"/>
      <c r="H1877" s="783"/>
      <c r="I1877" s="777"/>
      <c r="J1877" s="776"/>
      <c r="K1877" s="779"/>
      <c r="L1877" s="779"/>
      <c r="M1877" s="779"/>
      <c r="N1877" s="780"/>
      <c r="O1877" s="780"/>
      <c r="P1877" s="777"/>
      <c r="Q1877" s="781"/>
      <c r="R1877" s="782"/>
      <c r="S1877" s="782"/>
      <c r="T1877" s="782"/>
    </row>
    <row r="1878" spans="2:20">
      <c r="B1878" s="1077"/>
      <c r="C1878" s="873"/>
      <c r="D1878" s="874"/>
      <c r="E1878" s="875"/>
      <c r="F1878" s="875"/>
      <c r="G1878" s="876"/>
      <c r="H1878" s="877"/>
      <c r="I1878" s="876"/>
      <c r="J1878" s="875"/>
      <c r="K1878" s="878"/>
      <c r="L1878" s="878"/>
      <c r="M1878" s="878"/>
      <c r="N1878" s="879"/>
      <c r="O1878" s="879"/>
      <c r="P1878" s="876"/>
      <c r="Q1878" s="880"/>
      <c r="R1878" s="881"/>
      <c r="S1878" s="881"/>
      <c r="T1878" s="881"/>
    </row>
    <row r="1879" spans="2:20">
      <c r="B1879" s="1075"/>
      <c r="C1879" s="785"/>
      <c r="D1879" s="786"/>
      <c r="E1879" s="787"/>
      <c r="F1879" s="787"/>
      <c r="G1879" s="788"/>
      <c r="H1879" s="797"/>
      <c r="I1879" s="788"/>
      <c r="J1879" s="787"/>
      <c r="K1879" s="790"/>
      <c r="L1879" s="790"/>
      <c r="M1879" s="790"/>
      <c r="N1879" s="791"/>
      <c r="O1879" s="791"/>
      <c r="P1879" s="788"/>
      <c r="Q1879" s="792"/>
      <c r="R1879" s="793"/>
      <c r="S1879" s="793"/>
      <c r="T1879" s="793"/>
    </row>
    <row r="1880" spans="2:20">
      <c r="B1880" s="1076"/>
      <c r="C1880" s="774"/>
      <c r="D1880" s="775"/>
      <c r="E1880" s="776"/>
      <c r="F1880" s="776"/>
      <c r="G1880" s="777"/>
      <c r="H1880" s="783"/>
      <c r="I1880" s="777"/>
      <c r="J1880" s="776"/>
      <c r="K1880" s="779"/>
      <c r="L1880" s="779"/>
      <c r="M1880" s="779"/>
      <c r="N1880" s="780"/>
      <c r="O1880" s="780"/>
      <c r="P1880" s="777"/>
      <c r="Q1880" s="781"/>
      <c r="R1880" s="782"/>
      <c r="S1880" s="782"/>
      <c r="T1880" s="782"/>
    </row>
    <row r="1881" spans="2:20">
      <c r="B1881" s="1076"/>
      <c r="C1881" s="774"/>
      <c r="D1881" s="775"/>
      <c r="E1881" s="776"/>
      <c r="F1881" s="776"/>
      <c r="G1881" s="777"/>
      <c r="H1881" s="783"/>
      <c r="I1881" s="777"/>
      <c r="J1881" s="776"/>
      <c r="K1881" s="779"/>
      <c r="L1881" s="779"/>
      <c r="M1881" s="779"/>
      <c r="N1881" s="780"/>
      <c r="O1881" s="780"/>
      <c r="P1881" s="777"/>
      <c r="Q1881" s="781"/>
      <c r="R1881" s="782"/>
      <c r="S1881" s="782"/>
      <c r="T1881" s="782"/>
    </row>
    <row r="1882" spans="2:20">
      <c r="B1882" s="1076"/>
      <c r="C1882" s="774"/>
      <c r="D1882" s="775"/>
      <c r="E1882" s="776"/>
      <c r="F1882" s="776"/>
      <c r="G1882" s="777"/>
      <c r="H1882" s="783"/>
      <c r="I1882" s="777"/>
      <c r="J1882" s="776"/>
      <c r="K1882" s="779"/>
      <c r="L1882" s="779"/>
      <c r="M1882" s="779"/>
      <c r="N1882" s="780"/>
      <c r="O1882" s="780"/>
      <c r="P1882" s="777"/>
      <c r="Q1882" s="781"/>
      <c r="R1882" s="782"/>
      <c r="S1882" s="782"/>
      <c r="T1882" s="782"/>
    </row>
    <row r="1883" spans="2:20">
      <c r="B1883" s="1076"/>
      <c r="C1883" s="774"/>
      <c r="D1883" s="775"/>
      <c r="E1883" s="776"/>
      <c r="F1883" s="776"/>
      <c r="G1883" s="777"/>
      <c r="H1883" s="783"/>
      <c r="I1883" s="777"/>
      <c r="J1883" s="776"/>
      <c r="K1883" s="779"/>
      <c r="L1883" s="779"/>
      <c r="M1883" s="779"/>
      <c r="N1883" s="780"/>
      <c r="O1883" s="780"/>
      <c r="P1883" s="777"/>
      <c r="Q1883" s="781"/>
      <c r="R1883" s="782"/>
      <c r="S1883" s="782"/>
      <c r="T1883" s="782"/>
    </row>
    <row r="1884" spans="2:20">
      <c r="B1884" s="1076"/>
      <c r="C1884" s="774"/>
      <c r="D1884" s="775"/>
      <c r="E1884" s="776"/>
      <c r="F1884" s="776"/>
      <c r="G1884" s="777"/>
      <c r="H1884" s="783"/>
      <c r="I1884" s="777"/>
      <c r="J1884" s="776"/>
      <c r="K1884" s="779"/>
      <c r="L1884" s="779"/>
      <c r="M1884" s="779"/>
      <c r="N1884" s="780"/>
      <c r="O1884" s="780"/>
      <c r="P1884" s="777"/>
      <c r="Q1884" s="781"/>
      <c r="R1884" s="782"/>
      <c r="S1884" s="782"/>
      <c r="T1884" s="782"/>
    </row>
    <row r="1885" spans="2:20">
      <c r="B1885" s="1076"/>
      <c r="C1885" s="774"/>
      <c r="D1885" s="775"/>
      <c r="E1885" s="776"/>
      <c r="F1885" s="776"/>
      <c r="G1885" s="777"/>
      <c r="H1885" s="783"/>
      <c r="I1885" s="777"/>
      <c r="J1885" s="776"/>
      <c r="K1885" s="779"/>
      <c r="L1885" s="779"/>
      <c r="M1885" s="779"/>
      <c r="N1885" s="780"/>
      <c r="O1885" s="780"/>
      <c r="P1885" s="777"/>
      <c r="Q1885" s="781"/>
      <c r="R1885" s="782"/>
      <c r="S1885" s="782"/>
      <c r="T1885" s="782"/>
    </row>
    <row r="1886" spans="2:20">
      <c r="B1886" s="1076"/>
      <c r="C1886" s="774"/>
      <c r="D1886" s="775"/>
      <c r="E1886" s="776"/>
      <c r="F1886" s="776"/>
      <c r="G1886" s="777"/>
      <c r="H1886" s="783"/>
      <c r="I1886" s="777"/>
      <c r="J1886" s="776"/>
      <c r="K1886" s="779"/>
      <c r="L1886" s="779"/>
      <c r="M1886" s="779"/>
      <c r="N1886" s="780"/>
      <c r="O1886" s="780"/>
      <c r="P1886" s="777"/>
      <c r="Q1886" s="781"/>
      <c r="R1886" s="782"/>
      <c r="S1886" s="782"/>
      <c r="T1886" s="782"/>
    </row>
    <row r="1887" spans="2:20">
      <c r="B1887" s="1076"/>
      <c r="C1887" s="774"/>
      <c r="D1887" s="775"/>
      <c r="E1887" s="776"/>
      <c r="F1887" s="776"/>
      <c r="G1887" s="777"/>
      <c r="H1887" s="783"/>
      <c r="I1887" s="777"/>
      <c r="J1887" s="776"/>
      <c r="K1887" s="779"/>
      <c r="L1887" s="779"/>
      <c r="M1887" s="779"/>
      <c r="N1887" s="780"/>
      <c r="O1887" s="780"/>
      <c r="P1887" s="777"/>
      <c r="Q1887" s="781"/>
      <c r="R1887" s="782"/>
      <c r="S1887" s="782"/>
      <c r="T1887" s="782"/>
    </row>
    <row r="1888" spans="2:20">
      <c r="B1888" s="1077"/>
      <c r="C1888" s="873"/>
      <c r="D1888" s="874"/>
      <c r="E1888" s="875"/>
      <c r="F1888" s="875"/>
      <c r="G1888" s="876"/>
      <c r="H1888" s="877"/>
      <c r="I1888" s="876"/>
      <c r="J1888" s="875"/>
      <c r="K1888" s="878"/>
      <c r="L1888" s="878"/>
      <c r="M1888" s="878"/>
      <c r="N1888" s="879"/>
      <c r="O1888" s="879"/>
      <c r="P1888" s="876"/>
      <c r="Q1888" s="880"/>
      <c r="R1888" s="881"/>
      <c r="S1888" s="881"/>
      <c r="T1888" s="881"/>
    </row>
    <row r="1889" spans="2:20">
      <c r="B1889" s="1075"/>
      <c r="C1889" s="785"/>
      <c r="D1889" s="786"/>
      <c r="E1889" s="787"/>
      <c r="F1889" s="787"/>
      <c r="G1889" s="788"/>
      <c r="H1889" s="797"/>
      <c r="I1889" s="788"/>
      <c r="J1889" s="787"/>
      <c r="K1889" s="790"/>
      <c r="L1889" s="790"/>
      <c r="M1889" s="790"/>
      <c r="N1889" s="791"/>
      <c r="O1889" s="791"/>
      <c r="P1889" s="788"/>
      <c r="Q1889" s="792"/>
      <c r="R1889" s="793"/>
      <c r="S1889" s="793"/>
      <c r="T1889" s="793"/>
    </row>
    <row r="1890" spans="2:20">
      <c r="B1890" s="1076"/>
      <c r="C1890" s="774"/>
      <c r="D1890" s="775"/>
      <c r="E1890" s="776"/>
      <c r="F1890" s="776"/>
      <c r="G1890" s="777"/>
      <c r="H1890" s="783"/>
      <c r="I1890" s="777"/>
      <c r="J1890" s="776"/>
      <c r="K1890" s="779"/>
      <c r="L1890" s="779"/>
      <c r="M1890" s="779"/>
      <c r="N1890" s="780"/>
      <c r="O1890" s="780"/>
      <c r="P1890" s="777"/>
      <c r="Q1890" s="781"/>
      <c r="R1890" s="782"/>
      <c r="S1890" s="782"/>
      <c r="T1890" s="782"/>
    </row>
    <row r="1891" spans="2:20">
      <c r="B1891" s="1076"/>
      <c r="C1891" s="774"/>
      <c r="D1891" s="775"/>
      <c r="E1891" s="776"/>
      <c r="F1891" s="776"/>
      <c r="G1891" s="777"/>
      <c r="H1891" s="783"/>
      <c r="I1891" s="777"/>
      <c r="J1891" s="776"/>
      <c r="K1891" s="779"/>
      <c r="L1891" s="779"/>
      <c r="M1891" s="779"/>
      <c r="N1891" s="780"/>
      <c r="O1891" s="780"/>
      <c r="P1891" s="777"/>
      <c r="Q1891" s="781"/>
      <c r="R1891" s="782"/>
      <c r="S1891" s="782"/>
      <c r="T1891" s="782"/>
    </row>
    <row r="1892" spans="2:20">
      <c r="B1892" s="1076"/>
      <c r="C1892" s="774"/>
      <c r="D1892" s="775"/>
      <c r="E1892" s="776"/>
      <c r="F1892" s="776"/>
      <c r="G1892" s="777"/>
      <c r="H1892" s="783"/>
      <c r="I1892" s="777"/>
      <c r="J1892" s="776"/>
      <c r="K1892" s="779"/>
      <c r="L1892" s="779"/>
      <c r="M1892" s="779"/>
      <c r="N1892" s="780"/>
      <c r="O1892" s="780"/>
      <c r="P1892" s="777"/>
      <c r="Q1892" s="781"/>
      <c r="R1892" s="782"/>
      <c r="S1892" s="782"/>
      <c r="T1892" s="782"/>
    </row>
    <row r="1893" spans="2:20">
      <c r="B1893" s="1076"/>
      <c r="C1893" s="774"/>
      <c r="D1893" s="775"/>
      <c r="E1893" s="776"/>
      <c r="F1893" s="776"/>
      <c r="G1893" s="777"/>
      <c r="H1893" s="783"/>
      <c r="I1893" s="777"/>
      <c r="J1893" s="776"/>
      <c r="K1893" s="779"/>
      <c r="L1893" s="779"/>
      <c r="M1893" s="779"/>
      <c r="N1893" s="780"/>
      <c r="O1893" s="780"/>
      <c r="P1893" s="777"/>
      <c r="Q1893" s="781"/>
      <c r="R1893" s="782"/>
      <c r="S1893" s="782"/>
      <c r="T1893" s="782"/>
    </row>
    <row r="1894" spans="2:20">
      <c r="B1894" s="1076"/>
      <c r="C1894" s="774"/>
      <c r="D1894" s="775"/>
      <c r="E1894" s="776"/>
      <c r="F1894" s="776"/>
      <c r="G1894" s="777"/>
      <c r="H1894" s="783"/>
      <c r="I1894" s="777"/>
      <c r="J1894" s="776"/>
      <c r="K1894" s="779"/>
      <c r="L1894" s="779"/>
      <c r="M1894" s="779"/>
      <c r="N1894" s="780"/>
      <c r="O1894" s="780"/>
      <c r="P1894" s="777"/>
      <c r="Q1894" s="781"/>
      <c r="R1894" s="782"/>
      <c r="S1894" s="782"/>
      <c r="T1894" s="782"/>
    </row>
    <row r="1895" spans="2:20">
      <c r="B1895" s="1076"/>
      <c r="C1895" s="774"/>
      <c r="D1895" s="775"/>
      <c r="E1895" s="776"/>
      <c r="F1895" s="776"/>
      <c r="G1895" s="777"/>
      <c r="H1895" s="783"/>
      <c r="I1895" s="777"/>
      <c r="J1895" s="776"/>
      <c r="K1895" s="779"/>
      <c r="L1895" s="779"/>
      <c r="M1895" s="779"/>
      <c r="N1895" s="780"/>
      <c r="O1895" s="780"/>
      <c r="P1895" s="777"/>
      <c r="Q1895" s="781"/>
      <c r="R1895" s="782"/>
      <c r="S1895" s="782"/>
      <c r="T1895" s="782"/>
    </row>
    <row r="1896" spans="2:20">
      <c r="B1896" s="1076"/>
      <c r="C1896" s="774"/>
      <c r="D1896" s="775"/>
      <c r="E1896" s="776"/>
      <c r="F1896" s="776"/>
      <c r="G1896" s="777"/>
      <c r="H1896" s="783"/>
      <c r="I1896" s="777"/>
      <c r="J1896" s="776"/>
      <c r="K1896" s="779"/>
      <c r="L1896" s="779"/>
      <c r="M1896" s="779"/>
      <c r="N1896" s="780"/>
      <c r="O1896" s="780"/>
      <c r="P1896" s="777"/>
      <c r="Q1896" s="781"/>
      <c r="R1896" s="782"/>
      <c r="S1896" s="782"/>
      <c r="T1896" s="782"/>
    </row>
    <row r="1897" spans="2:20">
      <c r="B1897" s="1076"/>
      <c r="C1897" s="774"/>
      <c r="D1897" s="775"/>
      <c r="E1897" s="776"/>
      <c r="F1897" s="776"/>
      <c r="G1897" s="777"/>
      <c r="H1897" s="783"/>
      <c r="I1897" s="777"/>
      <c r="J1897" s="776"/>
      <c r="K1897" s="779"/>
      <c r="L1897" s="779"/>
      <c r="M1897" s="779"/>
      <c r="N1897" s="780"/>
      <c r="O1897" s="780"/>
      <c r="P1897" s="777"/>
      <c r="Q1897" s="781"/>
      <c r="R1897" s="782"/>
      <c r="S1897" s="782"/>
      <c r="T1897" s="782"/>
    </row>
    <row r="1898" spans="2:20">
      <c r="B1898" s="1077"/>
      <c r="C1898" s="873"/>
      <c r="D1898" s="874"/>
      <c r="E1898" s="875"/>
      <c r="F1898" s="875"/>
      <c r="G1898" s="876"/>
      <c r="H1898" s="877"/>
      <c r="I1898" s="876"/>
      <c r="J1898" s="875"/>
      <c r="K1898" s="878"/>
      <c r="L1898" s="878"/>
      <c r="M1898" s="878"/>
      <c r="N1898" s="879"/>
      <c r="O1898" s="879"/>
      <c r="P1898" s="876"/>
      <c r="Q1898" s="880"/>
      <c r="R1898" s="881"/>
      <c r="S1898" s="881"/>
      <c r="T1898" s="881"/>
    </row>
    <row r="1899" spans="2:20">
      <c r="B1899" s="1075"/>
      <c r="C1899" s="785"/>
      <c r="D1899" s="786"/>
      <c r="E1899" s="787"/>
      <c r="F1899" s="787"/>
      <c r="G1899" s="788"/>
      <c r="H1899" s="797"/>
      <c r="I1899" s="788"/>
      <c r="J1899" s="787"/>
      <c r="K1899" s="790"/>
      <c r="L1899" s="790"/>
      <c r="M1899" s="790"/>
      <c r="N1899" s="791"/>
      <c r="O1899" s="791"/>
      <c r="P1899" s="788"/>
      <c r="Q1899" s="792"/>
      <c r="R1899" s="793"/>
      <c r="S1899" s="793"/>
      <c r="T1899" s="793"/>
    </row>
    <row r="1900" spans="2:20">
      <c r="B1900" s="1076"/>
      <c r="C1900" s="774"/>
      <c r="D1900" s="775"/>
      <c r="E1900" s="776"/>
      <c r="F1900" s="776"/>
      <c r="G1900" s="777"/>
      <c r="H1900" s="783"/>
      <c r="I1900" s="777"/>
      <c r="J1900" s="776"/>
      <c r="K1900" s="779"/>
      <c r="L1900" s="779"/>
      <c r="M1900" s="779"/>
      <c r="N1900" s="780"/>
      <c r="O1900" s="780"/>
      <c r="P1900" s="777"/>
      <c r="Q1900" s="781"/>
      <c r="R1900" s="782"/>
      <c r="S1900" s="782"/>
      <c r="T1900" s="782"/>
    </row>
    <row r="1901" spans="2:20">
      <c r="B1901" s="1076"/>
      <c r="C1901" s="774"/>
      <c r="D1901" s="775"/>
      <c r="E1901" s="776"/>
      <c r="F1901" s="776"/>
      <c r="G1901" s="777"/>
      <c r="H1901" s="783"/>
      <c r="I1901" s="777"/>
      <c r="J1901" s="776"/>
      <c r="K1901" s="779"/>
      <c r="L1901" s="779"/>
      <c r="M1901" s="779"/>
      <c r="N1901" s="780"/>
      <c r="O1901" s="780"/>
      <c r="P1901" s="777"/>
      <c r="Q1901" s="781"/>
      <c r="R1901" s="782"/>
      <c r="S1901" s="782"/>
      <c r="T1901" s="782"/>
    </row>
    <row r="1902" spans="2:20">
      <c r="B1902" s="1076"/>
      <c r="C1902" s="774"/>
      <c r="D1902" s="775"/>
      <c r="E1902" s="776"/>
      <c r="F1902" s="776"/>
      <c r="G1902" s="777"/>
      <c r="H1902" s="783"/>
      <c r="I1902" s="777"/>
      <c r="J1902" s="776"/>
      <c r="K1902" s="779"/>
      <c r="L1902" s="779"/>
      <c r="M1902" s="779"/>
      <c r="N1902" s="780"/>
      <c r="O1902" s="780"/>
      <c r="P1902" s="777"/>
      <c r="Q1902" s="781"/>
      <c r="R1902" s="782"/>
      <c r="S1902" s="782"/>
      <c r="T1902" s="782"/>
    </row>
    <row r="1903" spans="2:20">
      <c r="B1903" s="1076"/>
      <c r="C1903" s="774"/>
      <c r="D1903" s="775"/>
      <c r="E1903" s="776"/>
      <c r="F1903" s="776"/>
      <c r="G1903" s="777"/>
      <c r="H1903" s="783"/>
      <c r="I1903" s="777"/>
      <c r="J1903" s="776"/>
      <c r="K1903" s="779"/>
      <c r="L1903" s="779"/>
      <c r="M1903" s="779"/>
      <c r="N1903" s="780"/>
      <c r="O1903" s="780"/>
      <c r="P1903" s="777"/>
      <c r="Q1903" s="781"/>
      <c r="R1903" s="782"/>
      <c r="S1903" s="782"/>
      <c r="T1903" s="782"/>
    </row>
    <row r="1904" spans="2:20">
      <c r="B1904" s="1076"/>
      <c r="C1904" s="774"/>
      <c r="D1904" s="775"/>
      <c r="E1904" s="776"/>
      <c r="F1904" s="776"/>
      <c r="G1904" s="777"/>
      <c r="H1904" s="783"/>
      <c r="I1904" s="777"/>
      <c r="J1904" s="776"/>
      <c r="K1904" s="779"/>
      <c r="L1904" s="779"/>
      <c r="M1904" s="779"/>
      <c r="N1904" s="780"/>
      <c r="O1904" s="780"/>
      <c r="P1904" s="777"/>
      <c r="Q1904" s="781"/>
      <c r="R1904" s="782"/>
      <c r="S1904" s="782"/>
      <c r="T1904" s="782"/>
    </row>
    <row r="1905" spans="2:20">
      <c r="B1905" s="1076"/>
      <c r="C1905" s="774"/>
      <c r="D1905" s="775"/>
      <c r="E1905" s="776"/>
      <c r="F1905" s="776"/>
      <c r="G1905" s="777"/>
      <c r="H1905" s="783"/>
      <c r="I1905" s="777"/>
      <c r="J1905" s="776"/>
      <c r="K1905" s="779"/>
      <c r="L1905" s="779"/>
      <c r="M1905" s="779"/>
      <c r="N1905" s="780"/>
      <c r="O1905" s="780"/>
      <c r="P1905" s="777"/>
      <c r="Q1905" s="781"/>
      <c r="R1905" s="782"/>
      <c r="S1905" s="782"/>
      <c r="T1905" s="782"/>
    </row>
    <row r="1906" spans="2:20">
      <c r="B1906" s="1076"/>
      <c r="C1906" s="774"/>
      <c r="D1906" s="775"/>
      <c r="E1906" s="776"/>
      <c r="F1906" s="776"/>
      <c r="G1906" s="777"/>
      <c r="H1906" s="783"/>
      <c r="I1906" s="777"/>
      <c r="J1906" s="776"/>
      <c r="K1906" s="779"/>
      <c r="L1906" s="779"/>
      <c r="M1906" s="779"/>
      <c r="N1906" s="780"/>
      <c r="O1906" s="780"/>
      <c r="P1906" s="777"/>
      <c r="Q1906" s="781"/>
      <c r="R1906" s="782"/>
      <c r="S1906" s="782"/>
      <c r="T1906" s="782"/>
    </row>
    <row r="1907" spans="2:20">
      <c r="B1907" s="1076"/>
      <c r="C1907" s="774"/>
      <c r="D1907" s="775"/>
      <c r="E1907" s="776"/>
      <c r="F1907" s="776"/>
      <c r="G1907" s="777"/>
      <c r="H1907" s="783"/>
      <c r="I1907" s="777"/>
      <c r="J1907" s="776"/>
      <c r="K1907" s="779"/>
      <c r="L1907" s="779"/>
      <c r="M1907" s="779"/>
      <c r="N1907" s="780"/>
      <c r="O1907" s="780"/>
      <c r="P1907" s="777"/>
      <c r="Q1907" s="781"/>
      <c r="R1907" s="782"/>
      <c r="S1907" s="782"/>
      <c r="T1907" s="782"/>
    </row>
    <row r="1908" spans="2:20">
      <c r="B1908" s="1077"/>
      <c r="C1908" s="873"/>
      <c r="D1908" s="874"/>
      <c r="E1908" s="875"/>
      <c r="F1908" s="875"/>
      <c r="G1908" s="876"/>
      <c r="H1908" s="877"/>
      <c r="I1908" s="876"/>
      <c r="J1908" s="875"/>
      <c r="K1908" s="878"/>
      <c r="L1908" s="878"/>
      <c r="M1908" s="878"/>
      <c r="N1908" s="879"/>
      <c r="O1908" s="879"/>
      <c r="P1908" s="876"/>
      <c r="Q1908" s="880"/>
      <c r="R1908" s="881"/>
      <c r="S1908" s="881"/>
      <c r="T1908" s="881"/>
    </row>
    <row r="1909" spans="2:20">
      <c r="B1909" s="1075"/>
      <c r="C1909" s="785"/>
      <c r="D1909" s="786"/>
      <c r="E1909" s="787"/>
      <c r="F1909" s="787"/>
      <c r="G1909" s="788"/>
      <c r="H1909" s="797"/>
      <c r="I1909" s="788"/>
      <c r="J1909" s="787"/>
      <c r="K1909" s="790"/>
      <c r="L1909" s="790"/>
      <c r="M1909" s="790"/>
      <c r="N1909" s="791"/>
      <c r="O1909" s="791"/>
      <c r="P1909" s="788"/>
      <c r="Q1909" s="792"/>
      <c r="R1909" s="793"/>
      <c r="S1909" s="793"/>
      <c r="T1909" s="793"/>
    </row>
    <row r="1910" spans="2:20">
      <c r="B1910" s="1076"/>
      <c r="C1910" s="774"/>
      <c r="D1910" s="775"/>
      <c r="E1910" s="776"/>
      <c r="F1910" s="776"/>
      <c r="G1910" s="777"/>
      <c r="H1910" s="783"/>
      <c r="I1910" s="777"/>
      <c r="J1910" s="776"/>
      <c r="K1910" s="779"/>
      <c r="L1910" s="779"/>
      <c r="M1910" s="779"/>
      <c r="N1910" s="780"/>
      <c r="O1910" s="780"/>
      <c r="P1910" s="777"/>
      <c r="Q1910" s="781"/>
      <c r="R1910" s="782"/>
      <c r="S1910" s="782"/>
      <c r="T1910" s="782"/>
    </row>
    <row r="1911" spans="2:20">
      <c r="B1911" s="1076"/>
      <c r="C1911" s="774"/>
      <c r="D1911" s="775"/>
      <c r="E1911" s="776"/>
      <c r="F1911" s="776"/>
      <c r="G1911" s="777"/>
      <c r="H1911" s="783"/>
      <c r="I1911" s="777"/>
      <c r="J1911" s="776"/>
      <c r="K1911" s="779"/>
      <c r="L1911" s="779"/>
      <c r="M1911" s="779"/>
      <c r="N1911" s="780"/>
      <c r="O1911" s="780"/>
      <c r="P1911" s="777"/>
      <c r="Q1911" s="781"/>
      <c r="R1911" s="782"/>
      <c r="S1911" s="782"/>
      <c r="T1911" s="782"/>
    </row>
    <row r="1912" spans="2:20">
      <c r="B1912" s="1076"/>
      <c r="C1912" s="774"/>
      <c r="D1912" s="775"/>
      <c r="E1912" s="776"/>
      <c r="F1912" s="776"/>
      <c r="G1912" s="777"/>
      <c r="H1912" s="783"/>
      <c r="I1912" s="777"/>
      <c r="J1912" s="776"/>
      <c r="K1912" s="779"/>
      <c r="L1912" s="779"/>
      <c r="M1912" s="779"/>
      <c r="N1912" s="780"/>
      <c r="O1912" s="780"/>
      <c r="P1912" s="777"/>
      <c r="Q1912" s="781"/>
      <c r="R1912" s="782"/>
      <c r="S1912" s="782"/>
      <c r="T1912" s="782"/>
    </row>
    <row r="1913" spans="2:20">
      <c r="B1913" s="1076"/>
      <c r="C1913" s="774"/>
      <c r="D1913" s="775"/>
      <c r="E1913" s="776"/>
      <c r="F1913" s="776"/>
      <c r="G1913" s="777"/>
      <c r="H1913" s="783"/>
      <c r="I1913" s="777"/>
      <c r="J1913" s="776"/>
      <c r="K1913" s="779"/>
      <c r="L1913" s="779"/>
      <c r="M1913" s="779"/>
      <c r="N1913" s="780"/>
      <c r="O1913" s="780"/>
      <c r="P1913" s="777"/>
      <c r="Q1913" s="781"/>
      <c r="R1913" s="782"/>
      <c r="S1913" s="782"/>
      <c r="T1913" s="782"/>
    </row>
    <row r="1914" spans="2:20">
      <c r="B1914" s="1076"/>
      <c r="C1914" s="774"/>
      <c r="D1914" s="775"/>
      <c r="E1914" s="776"/>
      <c r="F1914" s="776"/>
      <c r="G1914" s="777"/>
      <c r="H1914" s="783"/>
      <c r="I1914" s="777"/>
      <c r="J1914" s="776"/>
      <c r="K1914" s="779"/>
      <c r="L1914" s="779"/>
      <c r="M1914" s="779"/>
      <c r="N1914" s="780"/>
      <c r="O1914" s="780"/>
      <c r="P1914" s="777"/>
      <c r="Q1914" s="781"/>
      <c r="R1914" s="782"/>
      <c r="S1914" s="782"/>
      <c r="T1914" s="782"/>
    </row>
    <row r="1915" spans="2:20">
      <c r="B1915" s="1076"/>
      <c r="C1915" s="774"/>
      <c r="D1915" s="775"/>
      <c r="E1915" s="776"/>
      <c r="F1915" s="776"/>
      <c r="G1915" s="777"/>
      <c r="H1915" s="783"/>
      <c r="I1915" s="777"/>
      <c r="J1915" s="776"/>
      <c r="K1915" s="779"/>
      <c r="L1915" s="779"/>
      <c r="M1915" s="779"/>
      <c r="N1915" s="780"/>
      <c r="O1915" s="780"/>
      <c r="P1915" s="777"/>
      <c r="Q1915" s="781"/>
      <c r="R1915" s="782"/>
      <c r="S1915" s="782"/>
      <c r="T1915" s="782"/>
    </row>
    <row r="1916" spans="2:20">
      <c r="B1916" s="1076"/>
      <c r="C1916" s="774"/>
      <c r="D1916" s="775"/>
      <c r="E1916" s="776"/>
      <c r="F1916" s="776"/>
      <c r="G1916" s="777"/>
      <c r="H1916" s="783"/>
      <c r="I1916" s="777"/>
      <c r="J1916" s="776"/>
      <c r="K1916" s="779"/>
      <c r="L1916" s="779"/>
      <c r="M1916" s="779"/>
      <c r="N1916" s="780"/>
      <c r="O1916" s="780"/>
      <c r="P1916" s="777"/>
      <c r="Q1916" s="781"/>
      <c r="R1916" s="782"/>
      <c r="S1916" s="782"/>
      <c r="T1916" s="782"/>
    </row>
    <row r="1917" spans="2:20">
      <c r="B1917" s="1076"/>
      <c r="C1917" s="774"/>
      <c r="D1917" s="775"/>
      <c r="E1917" s="776"/>
      <c r="F1917" s="776"/>
      <c r="G1917" s="777"/>
      <c r="H1917" s="783"/>
      <c r="I1917" s="777"/>
      <c r="J1917" s="776"/>
      <c r="K1917" s="779"/>
      <c r="L1917" s="779"/>
      <c r="M1917" s="779"/>
      <c r="N1917" s="780"/>
      <c r="O1917" s="780"/>
      <c r="P1917" s="777"/>
      <c r="Q1917" s="781"/>
      <c r="R1917" s="782"/>
      <c r="S1917" s="782"/>
      <c r="T1917" s="782"/>
    </row>
    <row r="1918" spans="2:20">
      <c r="B1918" s="1077"/>
      <c r="C1918" s="873"/>
      <c r="D1918" s="874"/>
      <c r="E1918" s="875"/>
      <c r="F1918" s="875"/>
      <c r="G1918" s="876"/>
      <c r="H1918" s="877"/>
      <c r="I1918" s="876"/>
      <c r="J1918" s="875"/>
      <c r="K1918" s="878"/>
      <c r="L1918" s="878"/>
      <c r="M1918" s="878"/>
      <c r="N1918" s="879"/>
      <c r="O1918" s="879"/>
      <c r="P1918" s="876"/>
      <c r="Q1918" s="880"/>
      <c r="R1918" s="881"/>
      <c r="S1918" s="881"/>
      <c r="T1918" s="881"/>
    </row>
    <row r="1919" spans="2:20">
      <c r="B1919" s="1076"/>
      <c r="C1919" s="774"/>
      <c r="D1919" s="775"/>
      <c r="E1919" s="776"/>
      <c r="F1919" s="776"/>
      <c r="G1919" s="777"/>
      <c r="H1919" s="783"/>
      <c r="I1919" s="777"/>
      <c r="J1919" s="776"/>
      <c r="K1919" s="779"/>
      <c r="L1919" s="779"/>
      <c r="M1919" s="779"/>
      <c r="N1919" s="780"/>
      <c r="O1919" s="780"/>
      <c r="P1919" s="777"/>
      <c r="Q1919" s="781"/>
      <c r="R1919" s="782"/>
      <c r="S1919" s="782"/>
      <c r="T1919" s="782"/>
    </row>
    <row r="1920" spans="2:20">
      <c r="B1920" s="1076"/>
      <c r="C1920" s="774"/>
      <c r="D1920" s="775"/>
      <c r="E1920" s="776"/>
      <c r="F1920" s="776"/>
      <c r="G1920" s="777"/>
      <c r="H1920" s="783"/>
      <c r="I1920" s="777"/>
      <c r="J1920" s="776"/>
      <c r="K1920" s="779"/>
      <c r="L1920" s="779"/>
      <c r="M1920" s="779"/>
      <c r="N1920" s="780"/>
      <c r="O1920" s="780"/>
      <c r="P1920" s="777"/>
      <c r="Q1920" s="781"/>
      <c r="R1920" s="782"/>
      <c r="S1920" s="782"/>
      <c r="T1920" s="782"/>
    </row>
    <row r="1921" spans="2:20">
      <c r="B1921" s="1076"/>
      <c r="C1921" s="774"/>
      <c r="D1921" s="775"/>
      <c r="E1921" s="776"/>
      <c r="F1921" s="776"/>
      <c r="G1921" s="777"/>
      <c r="H1921" s="783"/>
      <c r="I1921" s="777"/>
      <c r="J1921" s="776"/>
      <c r="K1921" s="779"/>
      <c r="L1921" s="779"/>
      <c r="M1921" s="779"/>
      <c r="N1921" s="780"/>
      <c r="O1921" s="780"/>
      <c r="P1921" s="777"/>
      <c r="Q1921" s="781"/>
      <c r="R1921" s="782"/>
      <c r="S1921" s="782"/>
      <c r="T1921" s="782"/>
    </row>
    <row r="1922" spans="2:20">
      <c r="B1922" s="1076"/>
      <c r="C1922" s="774"/>
      <c r="D1922" s="775"/>
      <c r="E1922" s="776"/>
      <c r="F1922" s="776"/>
      <c r="G1922" s="777"/>
      <c r="H1922" s="783"/>
      <c r="I1922" s="777"/>
      <c r="J1922" s="776"/>
      <c r="K1922" s="779"/>
      <c r="L1922" s="779"/>
      <c r="M1922" s="779"/>
      <c r="N1922" s="780"/>
      <c r="O1922" s="780"/>
      <c r="P1922" s="777"/>
      <c r="Q1922" s="781"/>
      <c r="R1922" s="782"/>
      <c r="S1922" s="782"/>
      <c r="T1922" s="782"/>
    </row>
    <row r="1923" spans="2:20">
      <c r="B1923" s="1076"/>
      <c r="C1923" s="774"/>
      <c r="D1923" s="775"/>
      <c r="E1923" s="776"/>
      <c r="F1923" s="776"/>
      <c r="G1923" s="777"/>
      <c r="H1923" s="783"/>
      <c r="I1923" s="777"/>
      <c r="J1923" s="776"/>
      <c r="K1923" s="779"/>
      <c r="L1923" s="779"/>
      <c r="M1923" s="779"/>
      <c r="N1923" s="780"/>
      <c r="O1923" s="780"/>
      <c r="P1923" s="777"/>
      <c r="Q1923" s="781"/>
      <c r="R1923" s="782"/>
      <c r="S1923" s="782"/>
      <c r="T1923" s="782"/>
    </row>
    <row r="1924" spans="2:20">
      <c r="B1924" s="1076"/>
      <c r="C1924" s="774"/>
      <c r="D1924" s="775"/>
      <c r="E1924" s="776"/>
      <c r="F1924" s="776"/>
      <c r="G1924" s="777"/>
      <c r="H1924" s="783"/>
      <c r="I1924" s="777"/>
      <c r="J1924" s="776"/>
      <c r="K1924" s="779"/>
      <c r="L1924" s="779"/>
      <c r="M1924" s="779"/>
      <c r="N1924" s="780"/>
      <c r="O1924" s="780"/>
      <c r="P1924" s="777"/>
      <c r="Q1924" s="781"/>
      <c r="R1924" s="782"/>
      <c r="S1924" s="782"/>
      <c r="T1924" s="782"/>
    </row>
    <row r="1925" spans="2:20">
      <c r="B1925" s="1076"/>
      <c r="C1925" s="774"/>
      <c r="D1925" s="775"/>
      <c r="E1925" s="776"/>
      <c r="F1925" s="776"/>
      <c r="G1925" s="777"/>
      <c r="H1925" s="783"/>
      <c r="I1925" s="777"/>
      <c r="J1925" s="776"/>
      <c r="K1925" s="779"/>
      <c r="L1925" s="779"/>
      <c r="M1925" s="779"/>
      <c r="N1925" s="780"/>
      <c r="O1925" s="780"/>
      <c r="P1925" s="777"/>
      <c r="Q1925" s="781"/>
      <c r="R1925" s="782"/>
      <c r="S1925" s="782"/>
      <c r="T1925" s="782"/>
    </row>
    <row r="1926" spans="2:20">
      <c r="B1926" s="1076"/>
      <c r="C1926" s="774"/>
      <c r="D1926" s="775"/>
      <c r="E1926" s="776"/>
      <c r="F1926" s="776"/>
      <c r="G1926" s="777"/>
      <c r="H1926" s="783"/>
      <c r="I1926" s="777"/>
      <c r="J1926" s="776"/>
      <c r="K1926" s="779"/>
      <c r="L1926" s="779"/>
      <c r="M1926" s="779"/>
      <c r="N1926" s="780"/>
      <c r="O1926" s="780"/>
      <c r="P1926" s="777"/>
      <c r="Q1926" s="781"/>
      <c r="R1926" s="782"/>
      <c r="S1926" s="782"/>
      <c r="T1926" s="782"/>
    </row>
    <row r="1927" spans="2:20">
      <c r="B1927" s="1076"/>
      <c r="C1927" s="774"/>
      <c r="D1927" s="775"/>
      <c r="E1927" s="776"/>
      <c r="F1927" s="776"/>
      <c r="G1927" s="777"/>
      <c r="H1927" s="783"/>
      <c r="I1927" s="777"/>
      <c r="J1927" s="776"/>
      <c r="K1927" s="779"/>
      <c r="L1927" s="779"/>
      <c r="M1927" s="779"/>
      <c r="N1927" s="780"/>
      <c r="O1927" s="780"/>
      <c r="P1927" s="777"/>
      <c r="Q1927" s="781"/>
      <c r="R1927" s="782"/>
      <c r="S1927" s="782"/>
      <c r="T1927" s="782"/>
    </row>
    <row r="1928" spans="2:20">
      <c r="B1928" s="1076"/>
      <c r="C1928" s="774"/>
      <c r="D1928" s="775"/>
      <c r="E1928" s="776"/>
      <c r="F1928" s="776"/>
      <c r="G1928" s="777"/>
      <c r="H1928" s="783"/>
      <c r="I1928" s="777"/>
      <c r="J1928" s="776"/>
      <c r="K1928" s="779"/>
      <c r="L1928" s="779"/>
      <c r="M1928" s="779"/>
      <c r="N1928" s="780"/>
      <c r="O1928" s="780"/>
      <c r="P1928" s="777"/>
      <c r="Q1928" s="781"/>
      <c r="R1928" s="782"/>
      <c r="S1928" s="782"/>
      <c r="T1928" s="782"/>
    </row>
    <row r="1929" spans="2:20">
      <c r="B1929" s="1078"/>
      <c r="C1929" s="1079"/>
      <c r="D1929" s="1080" t="s">
        <v>6087</v>
      </c>
      <c r="E1929" s="1078"/>
      <c r="F1929" s="1078"/>
      <c r="G1929" s="1078"/>
      <c r="H1929" s="1081"/>
      <c r="I1929" s="1078"/>
      <c r="J1929" s="1078"/>
      <c r="K1929" s="864"/>
      <c r="L1929" s="865"/>
      <c r="M1929" s="865"/>
      <c r="N1929" s="866"/>
      <c r="O1929" s="867"/>
      <c r="P1929" s="868"/>
      <c r="Q1929" s="869"/>
      <c r="R1929" s="870"/>
      <c r="S1929" s="870"/>
      <c r="T1929" s="870"/>
    </row>
    <row r="1930" spans="2:20">
      <c r="B1930" s="1075"/>
      <c r="C1930" s="785"/>
      <c r="D1930" s="786"/>
      <c r="E1930" s="787"/>
      <c r="F1930" s="787"/>
      <c r="G1930" s="788"/>
      <c r="H1930" s="797"/>
      <c r="I1930" s="788"/>
      <c r="J1930" s="787"/>
      <c r="K1930" s="790"/>
      <c r="L1930" s="790"/>
      <c r="M1930" s="790"/>
      <c r="N1930" s="791"/>
      <c r="O1930" s="791"/>
      <c r="P1930" s="788"/>
      <c r="Q1930" s="792"/>
      <c r="R1930" s="793"/>
      <c r="S1930" s="793"/>
      <c r="T1930" s="793"/>
    </row>
    <row r="1931" spans="2:20">
      <c r="B1931" s="1076"/>
      <c r="C1931" s="774"/>
      <c r="D1931" s="775"/>
      <c r="E1931" s="776"/>
      <c r="F1931" s="776"/>
      <c r="G1931" s="777"/>
      <c r="H1931" s="783"/>
      <c r="I1931" s="777"/>
      <c r="J1931" s="776"/>
      <c r="K1931" s="779"/>
      <c r="L1931" s="779"/>
      <c r="M1931" s="779"/>
      <c r="N1931" s="780"/>
      <c r="O1931" s="780"/>
      <c r="P1931" s="777"/>
      <c r="Q1931" s="781"/>
      <c r="R1931" s="782"/>
      <c r="S1931" s="782"/>
      <c r="T1931" s="782"/>
    </row>
    <row r="1932" spans="2:20">
      <c r="B1932" s="1076"/>
      <c r="C1932" s="774"/>
      <c r="D1932" s="775"/>
      <c r="E1932" s="776"/>
      <c r="F1932" s="776"/>
      <c r="G1932" s="777"/>
      <c r="H1932" s="783"/>
      <c r="I1932" s="777"/>
      <c r="J1932" s="776"/>
      <c r="K1932" s="779"/>
      <c r="L1932" s="779"/>
      <c r="M1932" s="779"/>
      <c r="N1932" s="780"/>
      <c r="O1932" s="780"/>
      <c r="P1932" s="777"/>
      <c r="Q1932" s="781"/>
      <c r="R1932" s="782"/>
      <c r="S1932" s="782"/>
      <c r="T1932" s="782"/>
    </row>
    <row r="1933" spans="2:20">
      <c r="B1933" s="1076"/>
      <c r="C1933" s="774"/>
      <c r="D1933" s="775"/>
      <c r="E1933" s="776"/>
      <c r="F1933" s="776"/>
      <c r="G1933" s="777"/>
      <c r="H1933" s="783"/>
      <c r="I1933" s="777"/>
      <c r="J1933" s="776"/>
      <c r="K1933" s="779"/>
      <c r="L1933" s="779"/>
      <c r="M1933" s="779"/>
      <c r="N1933" s="780"/>
      <c r="O1933" s="780"/>
      <c r="P1933" s="777"/>
      <c r="Q1933" s="781"/>
      <c r="R1933" s="782"/>
      <c r="S1933" s="782"/>
      <c r="T1933" s="782"/>
    </row>
    <row r="1934" spans="2:20">
      <c r="B1934" s="1076"/>
      <c r="C1934" s="774"/>
      <c r="D1934" s="775"/>
      <c r="E1934" s="776"/>
      <c r="F1934" s="776"/>
      <c r="G1934" s="777"/>
      <c r="H1934" s="783"/>
      <c r="I1934" s="777"/>
      <c r="J1934" s="776"/>
      <c r="K1934" s="779"/>
      <c r="L1934" s="779"/>
      <c r="M1934" s="779"/>
      <c r="N1934" s="780"/>
      <c r="O1934" s="780"/>
      <c r="P1934" s="777"/>
      <c r="Q1934" s="781"/>
      <c r="R1934" s="782"/>
      <c r="S1934" s="782"/>
      <c r="T1934" s="782"/>
    </row>
    <row r="1935" spans="2:20">
      <c r="B1935" s="1076"/>
      <c r="C1935" s="774"/>
      <c r="D1935" s="775"/>
      <c r="E1935" s="776"/>
      <c r="F1935" s="776"/>
      <c r="G1935" s="777"/>
      <c r="H1935" s="783"/>
      <c r="I1935" s="777"/>
      <c r="J1935" s="776"/>
      <c r="K1935" s="779"/>
      <c r="L1935" s="779"/>
      <c r="M1935" s="779"/>
      <c r="N1935" s="780"/>
      <c r="O1935" s="780"/>
      <c r="P1935" s="777"/>
      <c r="Q1935" s="781"/>
      <c r="R1935" s="782"/>
      <c r="S1935" s="782"/>
      <c r="T1935" s="782"/>
    </row>
    <row r="1936" spans="2:20">
      <c r="B1936" s="1076"/>
      <c r="C1936" s="774"/>
      <c r="D1936" s="775"/>
      <c r="E1936" s="776"/>
      <c r="F1936" s="776"/>
      <c r="G1936" s="777"/>
      <c r="H1936" s="783"/>
      <c r="I1936" s="777"/>
      <c r="J1936" s="776"/>
      <c r="K1936" s="779"/>
      <c r="L1936" s="779"/>
      <c r="M1936" s="779"/>
      <c r="N1936" s="780"/>
      <c r="O1936" s="780"/>
      <c r="P1936" s="777"/>
      <c r="Q1936" s="781"/>
      <c r="R1936" s="782"/>
      <c r="S1936" s="782"/>
      <c r="T1936" s="782"/>
    </row>
    <row r="1937" spans="2:20">
      <c r="B1937" s="1076"/>
      <c r="C1937" s="774"/>
      <c r="D1937" s="775"/>
      <c r="E1937" s="776"/>
      <c r="F1937" s="776"/>
      <c r="G1937" s="777"/>
      <c r="H1937" s="783"/>
      <c r="I1937" s="777"/>
      <c r="J1937" s="776"/>
      <c r="K1937" s="779"/>
      <c r="L1937" s="779"/>
      <c r="M1937" s="779"/>
      <c r="N1937" s="780"/>
      <c r="O1937" s="780"/>
      <c r="P1937" s="777"/>
      <c r="Q1937" s="781"/>
      <c r="R1937" s="782"/>
      <c r="S1937" s="782"/>
      <c r="T1937" s="782"/>
    </row>
    <row r="1938" spans="2:20">
      <c r="B1938" s="1076"/>
      <c r="C1938" s="774"/>
      <c r="D1938" s="775"/>
      <c r="E1938" s="776"/>
      <c r="F1938" s="776"/>
      <c r="G1938" s="777"/>
      <c r="H1938" s="783"/>
      <c r="I1938" s="777"/>
      <c r="J1938" s="776"/>
      <c r="K1938" s="779"/>
      <c r="L1938" s="779"/>
      <c r="M1938" s="779"/>
      <c r="N1938" s="780"/>
      <c r="O1938" s="780"/>
      <c r="P1938" s="777"/>
      <c r="Q1938" s="781"/>
      <c r="R1938" s="782"/>
      <c r="S1938" s="782"/>
      <c r="T1938" s="782"/>
    </row>
    <row r="1939" spans="2:20">
      <c r="B1939" s="1077"/>
      <c r="C1939" s="873"/>
      <c r="D1939" s="874"/>
      <c r="E1939" s="875"/>
      <c r="F1939" s="875"/>
      <c r="G1939" s="876"/>
      <c r="H1939" s="877"/>
      <c r="I1939" s="876"/>
      <c r="J1939" s="875"/>
      <c r="K1939" s="878"/>
      <c r="L1939" s="878"/>
      <c r="M1939" s="878"/>
      <c r="N1939" s="879"/>
      <c r="O1939" s="879"/>
      <c r="P1939" s="876"/>
      <c r="Q1939" s="880"/>
      <c r="R1939" s="881"/>
      <c r="S1939" s="881"/>
      <c r="T1939" s="881"/>
    </row>
    <row r="1940" spans="2:20">
      <c r="B1940" s="1075"/>
      <c r="C1940" s="785"/>
      <c r="D1940" s="786"/>
      <c r="E1940" s="787"/>
      <c r="F1940" s="787"/>
      <c r="G1940" s="788"/>
      <c r="H1940" s="797"/>
      <c r="I1940" s="788"/>
      <c r="J1940" s="787"/>
      <c r="K1940" s="790"/>
      <c r="L1940" s="790"/>
      <c r="M1940" s="790"/>
      <c r="N1940" s="791"/>
      <c r="O1940" s="791"/>
      <c r="P1940" s="788"/>
      <c r="Q1940" s="792"/>
      <c r="R1940" s="793"/>
      <c r="S1940" s="793"/>
      <c r="T1940" s="793"/>
    </row>
    <row r="1941" spans="2:20">
      <c r="B1941" s="1076"/>
      <c r="C1941" s="774"/>
      <c r="D1941" s="775"/>
      <c r="E1941" s="776"/>
      <c r="F1941" s="776"/>
      <c r="G1941" s="777"/>
      <c r="H1941" s="783"/>
      <c r="I1941" s="777"/>
      <c r="J1941" s="776"/>
      <c r="K1941" s="779"/>
      <c r="L1941" s="779"/>
      <c r="M1941" s="779"/>
      <c r="N1941" s="780"/>
      <c r="O1941" s="780"/>
      <c r="P1941" s="777"/>
      <c r="Q1941" s="781"/>
      <c r="R1941" s="782"/>
      <c r="S1941" s="782"/>
      <c r="T1941" s="782"/>
    </row>
    <row r="1942" spans="2:20">
      <c r="B1942" s="1076"/>
      <c r="C1942" s="774"/>
      <c r="D1942" s="775"/>
      <c r="E1942" s="776"/>
      <c r="F1942" s="776"/>
      <c r="G1942" s="777"/>
      <c r="H1942" s="783"/>
      <c r="I1942" s="777"/>
      <c r="J1942" s="776"/>
      <c r="K1942" s="779"/>
      <c r="L1942" s="779"/>
      <c r="M1942" s="779"/>
      <c r="N1942" s="780"/>
      <c r="O1942" s="780"/>
      <c r="P1942" s="777"/>
      <c r="Q1942" s="781"/>
      <c r="R1942" s="782"/>
      <c r="S1942" s="782"/>
      <c r="T1942" s="782"/>
    </row>
    <row r="1943" spans="2:20">
      <c r="B1943" s="1076"/>
      <c r="C1943" s="774"/>
      <c r="D1943" s="775"/>
      <c r="E1943" s="776"/>
      <c r="F1943" s="776"/>
      <c r="G1943" s="777"/>
      <c r="H1943" s="783"/>
      <c r="I1943" s="777"/>
      <c r="J1943" s="776"/>
      <c r="K1943" s="779"/>
      <c r="L1943" s="779"/>
      <c r="M1943" s="779"/>
      <c r="N1943" s="780"/>
      <c r="O1943" s="780"/>
      <c r="P1943" s="777"/>
      <c r="Q1943" s="781"/>
      <c r="R1943" s="782"/>
      <c r="S1943" s="782"/>
      <c r="T1943" s="782"/>
    </row>
    <row r="1944" spans="2:20">
      <c r="B1944" s="1076"/>
      <c r="C1944" s="774"/>
      <c r="D1944" s="775"/>
      <c r="E1944" s="776"/>
      <c r="F1944" s="776"/>
      <c r="G1944" s="777"/>
      <c r="H1944" s="783"/>
      <c r="I1944" s="777"/>
      <c r="J1944" s="776"/>
      <c r="K1944" s="779"/>
      <c r="L1944" s="779"/>
      <c r="M1944" s="779"/>
      <c r="N1944" s="780"/>
      <c r="O1944" s="780"/>
      <c r="P1944" s="777"/>
      <c r="Q1944" s="781"/>
      <c r="R1944" s="782"/>
      <c r="S1944" s="782"/>
      <c r="T1944" s="782"/>
    </row>
    <row r="1945" spans="2:20">
      <c r="B1945" s="1076"/>
      <c r="C1945" s="774"/>
      <c r="D1945" s="775"/>
      <c r="E1945" s="776"/>
      <c r="F1945" s="776"/>
      <c r="G1945" s="777"/>
      <c r="H1945" s="783"/>
      <c r="I1945" s="777"/>
      <c r="J1945" s="776"/>
      <c r="K1945" s="779"/>
      <c r="L1945" s="779"/>
      <c r="M1945" s="779"/>
      <c r="N1945" s="780"/>
      <c r="O1945" s="780"/>
      <c r="P1945" s="777"/>
      <c r="Q1945" s="781"/>
      <c r="R1945" s="782"/>
      <c r="S1945" s="782"/>
      <c r="T1945" s="782"/>
    </row>
    <row r="1946" spans="2:20">
      <c r="B1946" s="1076"/>
      <c r="C1946" s="774"/>
      <c r="D1946" s="775"/>
      <c r="E1946" s="776"/>
      <c r="F1946" s="776"/>
      <c r="G1946" s="777"/>
      <c r="H1946" s="783"/>
      <c r="I1946" s="777"/>
      <c r="J1946" s="776"/>
      <c r="K1946" s="779"/>
      <c r="L1946" s="779"/>
      <c r="M1946" s="779"/>
      <c r="N1946" s="780"/>
      <c r="O1946" s="780"/>
      <c r="P1946" s="777"/>
      <c r="Q1946" s="781"/>
      <c r="R1946" s="782"/>
      <c r="S1946" s="782"/>
      <c r="T1946" s="782"/>
    </row>
    <row r="1947" spans="2:20">
      <c r="B1947" s="1076"/>
      <c r="C1947" s="774"/>
      <c r="D1947" s="775"/>
      <c r="E1947" s="776"/>
      <c r="F1947" s="776"/>
      <c r="G1947" s="777"/>
      <c r="H1947" s="783"/>
      <c r="I1947" s="777"/>
      <c r="J1947" s="776"/>
      <c r="K1947" s="779"/>
      <c r="L1947" s="779"/>
      <c r="M1947" s="779"/>
      <c r="N1947" s="780"/>
      <c r="O1947" s="780"/>
      <c r="P1947" s="777"/>
      <c r="Q1947" s="781"/>
      <c r="R1947" s="782"/>
      <c r="S1947" s="782"/>
      <c r="T1947" s="782"/>
    </row>
    <row r="1948" spans="2:20">
      <c r="B1948" s="1076"/>
      <c r="C1948" s="774"/>
      <c r="D1948" s="775"/>
      <c r="E1948" s="776"/>
      <c r="F1948" s="776"/>
      <c r="G1948" s="777"/>
      <c r="H1948" s="783"/>
      <c r="I1948" s="777"/>
      <c r="J1948" s="776"/>
      <c r="K1948" s="779"/>
      <c r="L1948" s="779"/>
      <c r="M1948" s="779"/>
      <c r="N1948" s="780"/>
      <c r="O1948" s="780"/>
      <c r="P1948" s="777"/>
      <c r="Q1948" s="781"/>
      <c r="R1948" s="782"/>
      <c r="S1948" s="782"/>
      <c r="T1948" s="782"/>
    </row>
    <row r="1949" spans="2:20">
      <c r="B1949" s="1077"/>
      <c r="C1949" s="873"/>
      <c r="D1949" s="874"/>
      <c r="E1949" s="875"/>
      <c r="F1949" s="875"/>
      <c r="G1949" s="876"/>
      <c r="H1949" s="877"/>
      <c r="I1949" s="876"/>
      <c r="J1949" s="875"/>
      <c r="K1949" s="878"/>
      <c r="L1949" s="878"/>
      <c r="M1949" s="878"/>
      <c r="N1949" s="879"/>
      <c r="O1949" s="879"/>
      <c r="P1949" s="876"/>
      <c r="Q1949" s="880"/>
      <c r="R1949" s="881"/>
      <c r="S1949" s="881"/>
      <c r="T1949" s="881"/>
    </row>
    <row r="1950" spans="2:20">
      <c r="B1950" s="1075"/>
      <c r="C1950" s="785"/>
      <c r="D1950" s="786"/>
      <c r="E1950" s="787"/>
      <c r="F1950" s="787"/>
      <c r="G1950" s="788"/>
      <c r="H1950" s="797"/>
      <c r="I1950" s="788"/>
      <c r="J1950" s="787"/>
      <c r="K1950" s="790"/>
      <c r="L1950" s="790"/>
      <c r="M1950" s="790"/>
      <c r="N1950" s="791"/>
      <c r="O1950" s="791"/>
      <c r="P1950" s="788"/>
      <c r="Q1950" s="792"/>
      <c r="R1950" s="793"/>
      <c r="S1950" s="793"/>
      <c r="T1950" s="793"/>
    </row>
    <row r="1951" spans="2:20">
      <c r="B1951" s="1076"/>
      <c r="C1951" s="774"/>
      <c r="D1951" s="775"/>
      <c r="E1951" s="776"/>
      <c r="F1951" s="776"/>
      <c r="G1951" s="777"/>
      <c r="H1951" s="783"/>
      <c r="I1951" s="777"/>
      <c r="J1951" s="776"/>
      <c r="K1951" s="779"/>
      <c r="L1951" s="779"/>
      <c r="M1951" s="779"/>
      <c r="N1951" s="780"/>
      <c r="O1951" s="780"/>
      <c r="P1951" s="777"/>
      <c r="Q1951" s="781"/>
      <c r="R1951" s="782"/>
      <c r="S1951" s="782"/>
      <c r="T1951" s="782"/>
    </row>
    <row r="1952" spans="2:20">
      <c r="B1952" s="1076"/>
      <c r="C1952" s="774"/>
      <c r="D1952" s="775"/>
      <c r="E1952" s="776"/>
      <c r="F1952" s="776"/>
      <c r="G1952" s="777"/>
      <c r="H1952" s="783"/>
      <c r="I1952" s="777"/>
      <c r="J1952" s="776"/>
      <c r="K1952" s="779"/>
      <c r="L1952" s="779"/>
      <c r="M1952" s="779"/>
      <c r="N1952" s="780"/>
      <c r="O1952" s="780"/>
      <c r="P1952" s="777"/>
      <c r="Q1952" s="781"/>
      <c r="R1952" s="782"/>
      <c r="S1952" s="782"/>
      <c r="T1952" s="782"/>
    </row>
    <row r="1953" spans="2:20">
      <c r="B1953" s="1076"/>
      <c r="C1953" s="774"/>
      <c r="D1953" s="775"/>
      <c r="E1953" s="776"/>
      <c r="F1953" s="776"/>
      <c r="G1953" s="777"/>
      <c r="H1953" s="783"/>
      <c r="I1953" s="777"/>
      <c r="J1953" s="776"/>
      <c r="K1953" s="779"/>
      <c r="L1953" s="779"/>
      <c r="M1953" s="779"/>
      <c r="N1953" s="780"/>
      <c r="O1953" s="780"/>
      <c r="P1953" s="777"/>
      <c r="Q1953" s="781"/>
      <c r="R1953" s="782"/>
      <c r="S1953" s="782"/>
      <c r="T1953" s="782"/>
    </row>
    <row r="1954" spans="2:20">
      <c r="B1954" s="1076"/>
      <c r="C1954" s="774"/>
      <c r="D1954" s="775"/>
      <c r="E1954" s="776"/>
      <c r="F1954" s="776"/>
      <c r="G1954" s="777"/>
      <c r="H1954" s="783"/>
      <c r="I1954" s="777"/>
      <c r="J1954" s="776"/>
      <c r="K1954" s="779"/>
      <c r="L1954" s="779"/>
      <c r="M1954" s="779"/>
      <c r="N1954" s="780"/>
      <c r="O1954" s="780"/>
      <c r="P1954" s="777"/>
      <c r="Q1954" s="781"/>
      <c r="R1954" s="782"/>
      <c r="S1954" s="782"/>
      <c r="T1954" s="782"/>
    </row>
    <row r="1955" spans="2:20">
      <c r="B1955" s="1076"/>
      <c r="C1955" s="774"/>
      <c r="D1955" s="775"/>
      <c r="E1955" s="776"/>
      <c r="F1955" s="776"/>
      <c r="G1955" s="777"/>
      <c r="H1955" s="783"/>
      <c r="I1955" s="777"/>
      <c r="J1955" s="776"/>
      <c r="K1955" s="779"/>
      <c r="L1955" s="779"/>
      <c r="M1955" s="779"/>
      <c r="N1955" s="780"/>
      <c r="O1955" s="780"/>
      <c r="P1955" s="777"/>
      <c r="Q1955" s="781"/>
      <c r="R1955" s="782"/>
      <c r="S1955" s="782"/>
      <c r="T1955" s="782"/>
    </row>
    <row r="1956" spans="2:20">
      <c r="B1956" s="1076"/>
      <c r="C1956" s="774"/>
      <c r="D1956" s="775"/>
      <c r="E1956" s="776"/>
      <c r="F1956" s="776"/>
      <c r="G1956" s="777"/>
      <c r="H1956" s="783"/>
      <c r="I1956" s="777"/>
      <c r="J1956" s="776"/>
      <c r="K1956" s="779"/>
      <c r="L1956" s="779"/>
      <c r="M1956" s="779"/>
      <c r="N1956" s="780"/>
      <c r="O1956" s="780"/>
      <c r="P1956" s="777"/>
      <c r="Q1956" s="781"/>
      <c r="R1956" s="782"/>
      <c r="S1956" s="782"/>
      <c r="T1956" s="782"/>
    </row>
    <row r="1957" spans="2:20">
      <c r="B1957" s="1076"/>
      <c r="C1957" s="774"/>
      <c r="D1957" s="775"/>
      <c r="E1957" s="776"/>
      <c r="F1957" s="776"/>
      <c r="G1957" s="777"/>
      <c r="H1957" s="783"/>
      <c r="I1957" s="777"/>
      <c r="J1957" s="776"/>
      <c r="K1957" s="779"/>
      <c r="L1957" s="779"/>
      <c r="M1957" s="779"/>
      <c r="N1957" s="780"/>
      <c r="O1957" s="780"/>
      <c r="P1957" s="777"/>
      <c r="Q1957" s="781"/>
      <c r="R1957" s="782"/>
      <c r="S1957" s="782"/>
      <c r="T1957" s="782"/>
    </row>
    <row r="1958" spans="2:20">
      <c r="B1958" s="1076"/>
      <c r="C1958" s="774"/>
      <c r="D1958" s="775"/>
      <c r="E1958" s="776"/>
      <c r="F1958" s="776"/>
      <c r="G1958" s="777"/>
      <c r="H1958" s="783"/>
      <c r="I1958" s="777"/>
      <c r="J1958" s="776"/>
      <c r="K1958" s="779"/>
      <c r="L1958" s="779"/>
      <c r="M1958" s="779"/>
      <c r="N1958" s="780"/>
      <c r="O1958" s="780"/>
      <c r="P1958" s="777"/>
      <c r="Q1958" s="781"/>
      <c r="R1958" s="782"/>
      <c r="S1958" s="782"/>
      <c r="T1958" s="782"/>
    </row>
    <row r="1959" spans="2:20">
      <c r="B1959" s="1077"/>
      <c r="C1959" s="873"/>
      <c r="D1959" s="874"/>
      <c r="E1959" s="875"/>
      <c r="F1959" s="875"/>
      <c r="G1959" s="876"/>
      <c r="H1959" s="877"/>
      <c r="I1959" s="876"/>
      <c r="J1959" s="875"/>
      <c r="K1959" s="878"/>
      <c r="L1959" s="878"/>
      <c r="M1959" s="878"/>
      <c r="N1959" s="879"/>
      <c r="O1959" s="879"/>
      <c r="P1959" s="876"/>
      <c r="Q1959" s="880"/>
      <c r="R1959" s="881"/>
      <c r="S1959" s="881"/>
      <c r="T1959" s="881"/>
    </row>
    <row r="1960" spans="2:20">
      <c r="B1960" s="1075"/>
      <c r="C1960" s="785"/>
      <c r="D1960" s="786"/>
      <c r="E1960" s="787"/>
      <c r="F1960" s="787"/>
      <c r="G1960" s="788"/>
      <c r="H1960" s="797"/>
      <c r="I1960" s="788"/>
      <c r="J1960" s="787"/>
      <c r="K1960" s="790"/>
      <c r="L1960" s="790"/>
      <c r="M1960" s="790"/>
      <c r="N1960" s="791"/>
      <c r="O1960" s="791"/>
      <c r="P1960" s="788"/>
      <c r="Q1960" s="792"/>
      <c r="R1960" s="793"/>
      <c r="S1960" s="793"/>
      <c r="T1960" s="793"/>
    </row>
    <row r="1961" spans="2:20">
      <c r="B1961" s="1076"/>
      <c r="C1961" s="774"/>
      <c r="D1961" s="775"/>
      <c r="E1961" s="776"/>
      <c r="F1961" s="776"/>
      <c r="G1961" s="777"/>
      <c r="H1961" s="783"/>
      <c r="I1961" s="777"/>
      <c r="J1961" s="776"/>
      <c r="K1961" s="779"/>
      <c r="L1961" s="779"/>
      <c r="M1961" s="779"/>
      <c r="N1961" s="780"/>
      <c r="O1961" s="780"/>
      <c r="P1961" s="777"/>
      <c r="Q1961" s="781"/>
      <c r="R1961" s="782"/>
      <c r="S1961" s="782"/>
      <c r="T1961" s="782"/>
    </row>
    <row r="1962" spans="2:20">
      <c r="B1962" s="1076"/>
      <c r="C1962" s="774"/>
      <c r="D1962" s="775"/>
      <c r="E1962" s="776"/>
      <c r="F1962" s="776"/>
      <c r="G1962" s="777"/>
      <c r="H1962" s="783"/>
      <c r="I1962" s="777"/>
      <c r="J1962" s="776"/>
      <c r="K1962" s="779"/>
      <c r="L1962" s="779"/>
      <c r="M1962" s="779"/>
      <c r="N1962" s="780"/>
      <c r="O1962" s="780"/>
      <c r="P1962" s="777"/>
      <c r="Q1962" s="781"/>
      <c r="R1962" s="782"/>
      <c r="S1962" s="782"/>
      <c r="T1962" s="782"/>
    </row>
    <row r="1963" spans="2:20">
      <c r="B1963" s="1076"/>
      <c r="C1963" s="774"/>
      <c r="D1963" s="775"/>
      <c r="E1963" s="776"/>
      <c r="F1963" s="776"/>
      <c r="G1963" s="777"/>
      <c r="H1963" s="783"/>
      <c r="I1963" s="777"/>
      <c r="J1963" s="776"/>
      <c r="K1963" s="779"/>
      <c r="L1963" s="779"/>
      <c r="M1963" s="779"/>
      <c r="N1963" s="780"/>
      <c r="O1963" s="780"/>
      <c r="P1963" s="777"/>
      <c r="Q1963" s="781"/>
      <c r="R1963" s="782"/>
      <c r="S1963" s="782"/>
      <c r="T1963" s="782"/>
    </row>
    <row r="1964" spans="2:20">
      <c r="B1964" s="1076"/>
      <c r="C1964" s="774"/>
      <c r="D1964" s="775"/>
      <c r="E1964" s="776"/>
      <c r="F1964" s="776"/>
      <c r="G1964" s="777"/>
      <c r="H1964" s="783"/>
      <c r="I1964" s="777"/>
      <c r="J1964" s="776"/>
      <c r="K1964" s="779"/>
      <c r="L1964" s="779"/>
      <c r="M1964" s="779"/>
      <c r="N1964" s="780"/>
      <c r="O1964" s="780"/>
      <c r="P1964" s="777"/>
      <c r="Q1964" s="781"/>
      <c r="R1964" s="782"/>
      <c r="S1964" s="782"/>
      <c r="T1964" s="782"/>
    </row>
    <row r="1965" spans="2:20">
      <c r="B1965" s="1076"/>
      <c r="C1965" s="774"/>
      <c r="D1965" s="775"/>
      <c r="E1965" s="776"/>
      <c r="F1965" s="776"/>
      <c r="G1965" s="777"/>
      <c r="H1965" s="783"/>
      <c r="I1965" s="777"/>
      <c r="J1965" s="776"/>
      <c r="K1965" s="779"/>
      <c r="L1965" s="779"/>
      <c r="M1965" s="779"/>
      <c r="N1965" s="780"/>
      <c r="O1965" s="780"/>
      <c r="P1965" s="777"/>
      <c r="Q1965" s="781"/>
      <c r="R1965" s="782"/>
      <c r="S1965" s="782"/>
      <c r="T1965" s="782"/>
    </row>
    <row r="1966" spans="2:20">
      <c r="B1966" s="1076"/>
      <c r="C1966" s="774"/>
      <c r="D1966" s="775"/>
      <c r="E1966" s="776"/>
      <c r="F1966" s="776"/>
      <c r="G1966" s="777"/>
      <c r="H1966" s="783"/>
      <c r="I1966" s="777"/>
      <c r="J1966" s="776"/>
      <c r="K1966" s="779"/>
      <c r="L1966" s="779"/>
      <c r="M1966" s="779"/>
      <c r="N1966" s="780"/>
      <c r="O1966" s="780"/>
      <c r="P1966" s="777"/>
      <c r="Q1966" s="781"/>
      <c r="R1966" s="782"/>
      <c r="S1966" s="782"/>
      <c r="T1966" s="782"/>
    </row>
    <row r="1967" spans="2:20">
      <c r="B1967" s="1076"/>
      <c r="C1967" s="774"/>
      <c r="D1967" s="775"/>
      <c r="E1967" s="776"/>
      <c r="F1967" s="776"/>
      <c r="G1967" s="777"/>
      <c r="H1967" s="783"/>
      <c r="I1967" s="777"/>
      <c r="J1967" s="776"/>
      <c r="K1967" s="779"/>
      <c r="L1967" s="779"/>
      <c r="M1967" s="779"/>
      <c r="N1967" s="780"/>
      <c r="O1967" s="780"/>
      <c r="P1967" s="777"/>
      <c r="Q1967" s="781"/>
      <c r="R1967" s="782"/>
      <c r="S1967" s="782"/>
      <c r="T1967" s="782"/>
    </row>
    <row r="1968" spans="2:20">
      <c r="B1968" s="1076"/>
      <c r="C1968" s="774"/>
      <c r="D1968" s="775"/>
      <c r="E1968" s="776"/>
      <c r="F1968" s="776"/>
      <c r="G1968" s="777"/>
      <c r="H1968" s="783"/>
      <c r="I1968" s="777"/>
      <c r="J1968" s="776"/>
      <c r="K1968" s="779"/>
      <c r="L1968" s="779"/>
      <c r="M1968" s="779"/>
      <c r="N1968" s="780"/>
      <c r="O1968" s="780"/>
      <c r="P1968" s="777"/>
      <c r="Q1968" s="781"/>
      <c r="R1968" s="782"/>
      <c r="S1968" s="782"/>
      <c r="T1968" s="782"/>
    </row>
    <row r="1969" spans="2:20">
      <c r="B1969" s="1077"/>
      <c r="C1969" s="873"/>
      <c r="D1969" s="874"/>
      <c r="E1969" s="875"/>
      <c r="F1969" s="875"/>
      <c r="G1969" s="876"/>
      <c r="H1969" s="877"/>
      <c r="I1969" s="876"/>
      <c r="J1969" s="875"/>
      <c r="K1969" s="878"/>
      <c r="L1969" s="878"/>
      <c r="M1969" s="878"/>
      <c r="N1969" s="879"/>
      <c r="O1969" s="879"/>
      <c r="P1969" s="876"/>
      <c r="Q1969" s="880"/>
      <c r="R1969" s="881"/>
      <c r="S1969" s="881"/>
      <c r="T1969" s="881"/>
    </row>
    <row r="1970" spans="2:20">
      <c r="B1970" s="1075"/>
      <c r="C1970" s="785"/>
      <c r="D1970" s="786"/>
      <c r="E1970" s="787"/>
      <c r="F1970" s="787"/>
      <c r="G1970" s="788"/>
      <c r="H1970" s="797"/>
      <c r="I1970" s="788"/>
      <c r="J1970" s="787"/>
      <c r="K1970" s="790"/>
      <c r="L1970" s="790"/>
      <c r="M1970" s="790"/>
      <c r="N1970" s="791"/>
      <c r="O1970" s="791"/>
      <c r="P1970" s="788"/>
      <c r="Q1970" s="792"/>
      <c r="R1970" s="793"/>
      <c r="S1970" s="793"/>
      <c r="T1970" s="793"/>
    </row>
    <row r="1971" spans="2:20">
      <c r="B1971" s="1076"/>
      <c r="C1971" s="774"/>
      <c r="D1971" s="775"/>
      <c r="E1971" s="776"/>
      <c r="F1971" s="776"/>
      <c r="G1971" s="777"/>
      <c r="H1971" s="783"/>
      <c r="I1971" s="777"/>
      <c r="J1971" s="776"/>
      <c r="K1971" s="779"/>
      <c r="L1971" s="779"/>
      <c r="M1971" s="779"/>
      <c r="N1971" s="780"/>
      <c r="O1971" s="780"/>
      <c r="P1971" s="777"/>
      <c r="Q1971" s="781"/>
      <c r="R1971" s="782"/>
      <c r="S1971" s="782"/>
      <c r="T1971" s="782"/>
    </row>
    <row r="1972" spans="2:20">
      <c r="B1972" s="1076"/>
      <c r="C1972" s="774"/>
      <c r="D1972" s="775"/>
      <c r="E1972" s="776"/>
      <c r="F1972" s="776"/>
      <c r="G1972" s="777"/>
      <c r="H1972" s="783"/>
      <c r="I1972" s="777"/>
      <c r="J1972" s="776"/>
      <c r="K1972" s="779"/>
      <c r="L1972" s="779"/>
      <c r="M1972" s="779"/>
      <c r="N1972" s="780"/>
      <c r="O1972" s="780"/>
      <c r="P1972" s="777"/>
      <c r="Q1972" s="781"/>
      <c r="R1972" s="782"/>
      <c r="S1972" s="782"/>
      <c r="T1972" s="782"/>
    </row>
    <row r="1973" spans="2:20">
      <c r="B1973" s="1076"/>
      <c r="C1973" s="774"/>
      <c r="D1973" s="775"/>
      <c r="E1973" s="776"/>
      <c r="F1973" s="776"/>
      <c r="G1973" s="777"/>
      <c r="H1973" s="783"/>
      <c r="I1973" s="777"/>
      <c r="J1973" s="776"/>
      <c r="K1973" s="779"/>
      <c r="L1973" s="779"/>
      <c r="M1973" s="779"/>
      <c r="N1973" s="780"/>
      <c r="O1973" s="780"/>
      <c r="P1973" s="777"/>
      <c r="Q1973" s="781"/>
      <c r="R1973" s="782"/>
      <c r="S1973" s="782"/>
      <c r="T1973" s="782"/>
    </row>
    <row r="1974" spans="2:20">
      <c r="B1974" s="1076"/>
      <c r="C1974" s="774"/>
      <c r="D1974" s="775"/>
      <c r="E1974" s="776"/>
      <c r="F1974" s="776"/>
      <c r="G1974" s="777"/>
      <c r="H1974" s="783"/>
      <c r="I1974" s="777"/>
      <c r="J1974" s="776"/>
      <c r="K1974" s="779"/>
      <c r="L1974" s="779"/>
      <c r="M1974" s="779"/>
      <c r="N1974" s="780"/>
      <c r="O1974" s="780"/>
      <c r="P1974" s="777"/>
      <c r="Q1974" s="781"/>
      <c r="R1974" s="782"/>
      <c r="S1974" s="782"/>
      <c r="T1974" s="782"/>
    </row>
    <row r="1975" spans="2:20">
      <c r="B1975" s="1076"/>
      <c r="C1975" s="774"/>
      <c r="D1975" s="775"/>
      <c r="E1975" s="776"/>
      <c r="F1975" s="776"/>
      <c r="G1975" s="777"/>
      <c r="H1975" s="783"/>
      <c r="I1975" s="777"/>
      <c r="J1975" s="776"/>
      <c r="K1975" s="779"/>
      <c r="L1975" s="779"/>
      <c r="M1975" s="779"/>
      <c r="N1975" s="780"/>
      <c r="O1975" s="780"/>
      <c r="P1975" s="777"/>
      <c r="Q1975" s="781"/>
      <c r="R1975" s="782"/>
      <c r="S1975" s="782"/>
      <c r="T1975" s="782"/>
    </row>
    <row r="1976" spans="2:20">
      <c r="B1976" s="1076"/>
      <c r="C1976" s="774"/>
      <c r="D1976" s="775"/>
      <c r="E1976" s="776"/>
      <c r="F1976" s="776"/>
      <c r="G1976" s="777"/>
      <c r="H1976" s="783"/>
      <c r="I1976" s="777"/>
      <c r="J1976" s="776"/>
      <c r="K1976" s="779"/>
      <c r="L1976" s="779"/>
      <c r="M1976" s="779"/>
      <c r="N1976" s="780"/>
      <c r="O1976" s="780"/>
      <c r="P1976" s="777"/>
      <c r="Q1976" s="781"/>
      <c r="R1976" s="782"/>
      <c r="S1976" s="782"/>
      <c r="T1976" s="782"/>
    </row>
    <row r="1977" spans="2:20">
      <c r="B1977" s="1076"/>
      <c r="C1977" s="774"/>
      <c r="D1977" s="775"/>
      <c r="E1977" s="776"/>
      <c r="F1977" s="776"/>
      <c r="G1977" s="777"/>
      <c r="H1977" s="783"/>
      <c r="I1977" s="777"/>
      <c r="J1977" s="776"/>
      <c r="K1977" s="779"/>
      <c r="L1977" s="779"/>
      <c r="M1977" s="779"/>
      <c r="N1977" s="780"/>
      <c r="O1977" s="780"/>
      <c r="P1977" s="777"/>
      <c r="Q1977" s="781"/>
      <c r="R1977" s="782"/>
      <c r="S1977" s="782"/>
      <c r="T1977" s="782"/>
    </row>
    <row r="1978" spans="2:20">
      <c r="B1978" s="1076"/>
      <c r="C1978" s="774"/>
      <c r="D1978" s="775"/>
      <c r="E1978" s="776"/>
      <c r="F1978" s="776"/>
      <c r="G1978" s="777"/>
      <c r="H1978" s="783"/>
      <c r="I1978" s="777"/>
      <c r="J1978" s="776"/>
      <c r="K1978" s="779"/>
      <c r="L1978" s="779"/>
      <c r="M1978" s="779"/>
      <c r="N1978" s="780"/>
      <c r="O1978" s="780"/>
      <c r="P1978" s="777"/>
      <c r="Q1978" s="781"/>
      <c r="R1978" s="782"/>
      <c r="S1978" s="782"/>
      <c r="T1978" s="782"/>
    </row>
    <row r="1979" spans="2:20">
      <c r="B1979" s="1077"/>
      <c r="C1979" s="873"/>
      <c r="D1979" s="874"/>
      <c r="E1979" s="875"/>
      <c r="F1979" s="875"/>
      <c r="G1979" s="876"/>
      <c r="H1979" s="877"/>
      <c r="I1979" s="876"/>
      <c r="J1979" s="875"/>
      <c r="K1979" s="878"/>
      <c r="L1979" s="878"/>
      <c r="M1979" s="878"/>
      <c r="N1979" s="879"/>
      <c r="O1979" s="879"/>
      <c r="P1979" s="876"/>
      <c r="Q1979" s="880"/>
      <c r="R1979" s="881"/>
      <c r="S1979" s="881"/>
      <c r="T1979" s="881"/>
    </row>
    <row r="1980" spans="2:20">
      <c r="B1980" s="1075"/>
      <c r="C1980" s="785"/>
      <c r="D1980" s="786"/>
      <c r="E1980" s="787"/>
      <c r="F1980" s="787"/>
      <c r="G1980" s="788"/>
      <c r="H1980" s="797"/>
      <c r="I1980" s="788"/>
      <c r="J1980" s="787"/>
      <c r="K1980" s="790"/>
      <c r="L1980" s="790"/>
      <c r="M1980" s="790"/>
      <c r="N1980" s="791"/>
      <c r="O1980" s="791"/>
      <c r="P1980" s="788"/>
      <c r="Q1980" s="792"/>
      <c r="R1980" s="793"/>
      <c r="S1980" s="793"/>
      <c r="T1980" s="793"/>
    </row>
    <row r="1981" spans="2:20">
      <c r="B1981" s="1076"/>
      <c r="C1981" s="774"/>
      <c r="D1981" s="775"/>
      <c r="E1981" s="776"/>
      <c r="F1981" s="776"/>
      <c r="G1981" s="777"/>
      <c r="H1981" s="783"/>
      <c r="I1981" s="777"/>
      <c r="J1981" s="776"/>
      <c r="K1981" s="779"/>
      <c r="L1981" s="779"/>
      <c r="M1981" s="779"/>
      <c r="N1981" s="780"/>
      <c r="O1981" s="780"/>
      <c r="P1981" s="777"/>
      <c r="Q1981" s="781"/>
      <c r="R1981" s="782"/>
      <c r="S1981" s="782"/>
      <c r="T1981" s="782"/>
    </row>
    <row r="1982" spans="2:20">
      <c r="B1982" s="1076"/>
      <c r="C1982" s="774"/>
      <c r="D1982" s="775"/>
      <c r="E1982" s="776"/>
      <c r="F1982" s="776"/>
      <c r="G1982" s="777"/>
      <c r="H1982" s="783"/>
      <c r="I1982" s="777"/>
      <c r="J1982" s="776"/>
      <c r="K1982" s="779"/>
      <c r="L1982" s="779"/>
      <c r="M1982" s="779"/>
      <c r="N1982" s="780"/>
      <c r="O1982" s="780"/>
      <c r="P1982" s="777"/>
      <c r="Q1982" s="781"/>
      <c r="R1982" s="782"/>
      <c r="S1982" s="782"/>
      <c r="T1982" s="782"/>
    </row>
    <row r="1983" spans="2:20">
      <c r="B1983" s="1076"/>
      <c r="C1983" s="774"/>
      <c r="D1983" s="775"/>
      <c r="E1983" s="776"/>
      <c r="F1983" s="776"/>
      <c r="G1983" s="777"/>
      <c r="H1983" s="783"/>
      <c r="I1983" s="777"/>
      <c r="J1983" s="776"/>
      <c r="K1983" s="779"/>
      <c r="L1983" s="779"/>
      <c r="M1983" s="779"/>
      <c r="N1983" s="780"/>
      <c r="O1983" s="780"/>
      <c r="P1983" s="777"/>
      <c r="Q1983" s="781"/>
      <c r="R1983" s="782"/>
      <c r="S1983" s="782"/>
      <c r="T1983" s="782"/>
    </row>
    <row r="1984" spans="2:20">
      <c r="B1984" s="1076"/>
      <c r="C1984" s="774"/>
      <c r="D1984" s="775"/>
      <c r="E1984" s="776"/>
      <c r="F1984" s="776"/>
      <c r="G1984" s="777"/>
      <c r="H1984" s="783"/>
      <c r="I1984" s="777"/>
      <c r="J1984" s="776"/>
      <c r="K1984" s="779"/>
      <c r="L1984" s="779"/>
      <c r="M1984" s="779"/>
      <c r="N1984" s="780"/>
      <c r="O1984" s="780"/>
      <c r="P1984" s="777"/>
      <c r="Q1984" s="781"/>
      <c r="R1984" s="782"/>
      <c r="S1984" s="782"/>
      <c r="T1984" s="782"/>
    </row>
    <row r="1985" spans="2:20">
      <c r="B1985" s="1076"/>
      <c r="C1985" s="774"/>
      <c r="D1985" s="775"/>
      <c r="E1985" s="776"/>
      <c r="F1985" s="776"/>
      <c r="G1985" s="777"/>
      <c r="H1985" s="783"/>
      <c r="I1985" s="777"/>
      <c r="J1985" s="776"/>
      <c r="K1985" s="779"/>
      <c r="L1985" s="779"/>
      <c r="M1985" s="779"/>
      <c r="N1985" s="780"/>
      <c r="O1985" s="780"/>
      <c r="P1985" s="777"/>
      <c r="Q1985" s="781"/>
      <c r="R1985" s="782"/>
      <c r="S1985" s="782"/>
      <c r="T1985" s="782"/>
    </row>
    <row r="1986" spans="2:20">
      <c r="B1986" s="1076"/>
      <c r="C1986" s="774"/>
      <c r="D1986" s="775"/>
      <c r="E1986" s="776"/>
      <c r="F1986" s="776"/>
      <c r="G1986" s="777"/>
      <c r="H1986" s="783"/>
      <c r="I1986" s="777"/>
      <c r="J1986" s="776"/>
      <c r="K1986" s="779"/>
      <c r="L1986" s="779"/>
      <c r="M1986" s="779"/>
      <c r="N1986" s="780"/>
      <c r="O1986" s="780"/>
      <c r="P1986" s="777"/>
      <c r="Q1986" s="781"/>
      <c r="R1986" s="782"/>
      <c r="S1986" s="782"/>
      <c r="T1986" s="782"/>
    </row>
    <row r="1987" spans="2:20">
      <c r="B1987" s="1076"/>
      <c r="C1987" s="774"/>
      <c r="D1987" s="775"/>
      <c r="E1987" s="776"/>
      <c r="F1987" s="776"/>
      <c r="G1987" s="777"/>
      <c r="H1987" s="783"/>
      <c r="I1987" s="777"/>
      <c r="J1987" s="776"/>
      <c r="K1987" s="779"/>
      <c r="L1987" s="779"/>
      <c r="M1987" s="779"/>
      <c r="N1987" s="780"/>
      <c r="O1987" s="780"/>
      <c r="P1987" s="777"/>
      <c r="Q1987" s="781"/>
      <c r="R1987" s="782"/>
      <c r="S1987" s="782"/>
      <c r="T1987" s="782"/>
    </row>
    <row r="1988" spans="2:20">
      <c r="B1988" s="1076"/>
      <c r="C1988" s="774"/>
      <c r="D1988" s="775"/>
      <c r="E1988" s="776"/>
      <c r="F1988" s="776"/>
      <c r="G1988" s="777"/>
      <c r="H1988" s="783"/>
      <c r="I1988" s="777"/>
      <c r="J1988" s="776"/>
      <c r="K1988" s="779"/>
      <c r="L1988" s="779"/>
      <c r="M1988" s="779"/>
      <c r="N1988" s="780"/>
      <c r="O1988" s="780"/>
      <c r="P1988" s="777"/>
      <c r="Q1988" s="781"/>
      <c r="R1988" s="782"/>
      <c r="S1988" s="782"/>
      <c r="T1988" s="782"/>
    </row>
    <row r="1989" spans="2:20">
      <c r="B1989" s="1077"/>
      <c r="C1989" s="873"/>
      <c r="D1989" s="874"/>
      <c r="E1989" s="875"/>
      <c r="F1989" s="875"/>
      <c r="G1989" s="876"/>
      <c r="H1989" s="877"/>
      <c r="I1989" s="876"/>
      <c r="J1989" s="875"/>
      <c r="K1989" s="878"/>
      <c r="L1989" s="878"/>
      <c r="M1989" s="878"/>
      <c r="N1989" s="879"/>
      <c r="O1989" s="879"/>
      <c r="P1989" s="876"/>
      <c r="Q1989" s="880"/>
      <c r="R1989" s="881"/>
      <c r="S1989" s="881"/>
      <c r="T1989" s="881"/>
    </row>
    <row r="1990" spans="2:20">
      <c r="B1990" s="1076"/>
      <c r="C1990" s="774"/>
      <c r="D1990" s="775"/>
      <c r="E1990" s="776"/>
      <c r="F1990" s="776"/>
      <c r="G1990" s="777"/>
      <c r="H1990" s="783"/>
      <c r="I1990" s="777"/>
      <c r="J1990" s="776"/>
      <c r="K1990" s="779"/>
      <c r="L1990" s="779"/>
      <c r="M1990" s="779"/>
      <c r="N1990" s="780"/>
      <c r="O1990" s="780"/>
      <c r="P1990" s="777"/>
      <c r="Q1990" s="781"/>
      <c r="R1990" s="782"/>
      <c r="S1990" s="782"/>
      <c r="T1990" s="782"/>
    </row>
    <row r="1991" spans="2:20">
      <c r="B1991" s="1076"/>
      <c r="C1991" s="774"/>
      <c r="D1991" s="775"/>
      <c r="E1991" s="776"/>
      <c r="F1991" s="776"/>
      <c r="G1991" s="777"/>
      <c r="H1991" s="783"/>
      <c r="I1991" s="777"/>
      <c r="J1991" s="776"/>
      <c r="K1991" s="779"/>
      <c r="L1991" s="779"/>
      <c r="M1991" s="779"/>
      <c r="N1991" s="780"/>
      <c r="O1991" s="780"/>
      <c r="P1991" s="777"/>
      <c r="Q1991" s="781"/>
      <c r="R1991" s="782"/>
      <c r="S1991" s="782"/>
      <c r="T1991" s="782"/>
    </row>
    <row r="1992" spans="2:20">
      <c r="B1992" s="1076"/>
      <c r="C1992" s="774"/>
      <c r="D1992" s="775"/>
      <c r="E1992" s="776"/>
      <c r="F1992" s="776"/>
      <c r="G1992" s="777"/>
      <c r="H1992" s="783"/>
      <c r="I1992" s="777"/>
      <c r="J1992" s="776"/>
      <c r="K1992" s="779"/>
      <c r="L1992" s="779"/>
      <c r="M1992" s="779"/>
      <c r="N1992" s="780"/>
      <c r="O1992" s="780"/>
      <c r="P1992" s="777"/>
      <c r="Q1992" s="781"/>
      <c r="R1992" s="782"/>
      <c r="S1992" s="782"/>
      <c r="T1992" s="782"/>
    </row>
    <row r="1993" spans="2:20">
      <c r="B1993" s="1076"/>
      <c r="C1993" s="774"/>
      <c r="D1993" s="775"/>
      <c r="E1993" s="776"/>
      <c r="F1993" s="776"/>
      <c r="G1993" s="777"/>
      <c r="H1993" s="783"/>
      <c r="I1993" s="777"/>
      <c r="J1993" s="776"/>
      <c r="K1993" s="779"/>
      <c r="L1993" s="779"/>
      <c r="M1993" s="779"/>
      <c r="N1993" s="780"/>
      <c r="O1993" s="780"/>
      <c r="P1993" s="777"/>
      <c r="Q1993" s="781"/>
      <c r="R1993" s="782"/>
      <c r="S1993" s="782"/>
      <c r="T1993" s="782"/>
    </row>
    <row r="1994" spans="2:20">
      <c r="B1994" s="1076"/>
      <c r="C1994" s="774"/>
      <c r="D1994" s="775"/>
      <c r="E1994" s="776"/>
      <c r="F1994" s="776"/>
      <c r="G1994" s="777"/>
      <c r="H1994" s="783"/>
      <c r="I1994" s="777"/>
      <c r="J1994" s="776"/>
      <c r="K1994" s="779"/>
      <c r="L1994" s="779"/>
      <c r="M1994" s="779"/>
      <c r="N1994" s="780"/>
      <c r="O1994" s="780"/>
      <c r="P1994" s="777"/>
      <c r="Q1994" s="781"/>
      <c r="R1994" s="782"/>
      <c r="S1994" s="782"/>
      <c r="T1994" s="782"/>
    </row>
    <row r="1995" spans="2:20">
      <c r="B1995" s="1076"/>
      <c r="C1995" s="774"/>
      <c r="D1995" s="775"/>
      <c r="E1995" s="776"/>
      <c r="F1995" s="776"/>
      <c r="G1995" s="777"/>
      <c r="H1995" s="783"/>
      <c r="I1995" s="777"/>
      <c r="J1995" s="776"/>
      <c r="K1995" s="779"/>
      <c r="L1995" s="779"/>
      <c r="M1995" s="779"/>
      <c r="N1995" s="780"/>
      <c r="O1995" s="780"/>
      <c r="P1995" s="777"/>
      <c r="Q1995" s="781"/>
      <c r="R1995" s="782"/>
      <c r="S1995" s="782"/>
      <c r="T1995" s="782"/>
    </row>
    <row r="1996" spans="2:20">
      <c r="B1996" s="1076"/>
      <c r="C1996" s="774"/>
      <c r="D1996" s="775"/>
      <c r="E1996" s="776"/>
      <c r="F1996" s="776"/>
      <c r="G1996" s="777"/>
      <c r="H1996" s="783"/>
      <c r="I1996" s="777"/>
      <c r="J1996" s="776"/>
      <c r="K1996" s="779"/>
      <c r="L1996" s="779"/>
      <c r="M1996" s="779"/>
      <c r="N1996" s="780"/>
      <c r="O1996" s="780"/>
      <c r="P1996" s="777"/>
      <c r="Q1996" s="781"/>
      <c r="R1996" s="782"/>
      <c r="S1996" s="782"/>
      <c r="T1996" s="782"/>
    </row>
    <row r="1997" spans="2:20">
      <c r="B1997" s="1076"/>
      <c r="C1997" s="774"/>
      <c r="D1997" s="775"/>
      <c r="E1997" s="776"/>
      <c r="F1997" s="776"/>
      <c r="G1997" s="777"/>
      <c r="H1997" s="783"/>
      <c r="I1997" s="777"/>
      <c r="J1997" s="776"/>
      <c r="K1997" s="779"/>
      <c r="L1997" s="779"/>
      <c r="M1997" s="779"/>
      <c r="N1997" s="780"/>
      <c r="O1997" s="780"/>
      <c r="P1997" s="777"/>
      <c r="Q1997" s="781"/>
      <c r="R1997" s="782"/>
      <c r="S1997" s="782"/>
      <c r="T1997" s="782"/>
    </row>
    <row r="1998" spans="2:20">
      <c r="B1998" s="1076"/>
      <c r="C1998" s="774"/>
      <c r="D1998" s="775"/>
      <c r="E1998" s="776"/>
      <c r="F1998" s="776"/>
      <c r="G1998" s="777"/>
      <c r="H1998" s="783"/>
      <c r="I1998" s="777"/>
      <c r="J1998" s="776"/>
      <c r="K1998" s="779"/>
      <c r="L1998" s="779"/>
      <c r="M1998" s="779"/>
      <c r="N1998" s="780"/>
      <c r="O1998" s="780"/>
      <c r="P1998" s="777"/>
      <c r="Q1998" s="781"/>
      <c r="R1998" s="782"/>
      <c r="S1998" s="782"/>
      <c r="T1998" s="782"/>
    </row>
    <row r="1999" spans="2:20">
      <c r="B1999" s="1076"/>
      <c r="C1999" s="774"/>
      <c r="D1999" s="775"/>
      <c r="E1999" s="776"/>
      <c r="F1999" s="776"/>
      <c r="G1999" s="777"/>
      <c r="H1999" s="783"/>
      <c r="I1999" s="777"/>
      <c r="J1999" s="776"/>
      <c r="K1999" s="779"/>
      <c r="L1999" s="779"/>
      <c r="M1999" s="779"/>
      <c r="N1999" s="780"/>
      <c r="O1999" s="780"/>
      <c r="P1999" s="777"/>
      <c r="Q1999" s="781"/>
      <c r="R1999" s="782"/>
      <c r="S1999" s="782"/>
      <c r="T1999" s="782"/>
    </row>
  </sheetData>
  <mergeCells count="113">
    <mergeCell ref="B4:R4"/>
    <mergeCell ref="B5:B10"/>
    <mergeCell ref="B11:B17"/>
    <mergeCell ref="B18:B23"/>
    <mergeCell ref="B24:B30"/>
    <mergeCell ref="B31:B35"/>
    <mergeCell ref="B68:B73"/>
    <mergeCell ref="B74:B80"/>
    <mergeCell ref="B81:B85"/>
    <mergeCell ref="B86:B92"/>
    <mergeCell ref="B93:J93"/>
    <mergeCell ref="B94:B103"/>
    <mergeCell ref="B36:B40"/>
    <mergeCell ref="B41:B45"/>
    <mergeCell ref="B46:R46"/>
    <mergeCell ref="B47:B54"/>
    <mergeCell ref="B55:B61"/>
    <mergeCell ref="B62:B67"/>
    <mergeCell ref="B161:J161"/>
    <mergeCell ref="B162:B171"/>
    <mergeCell ref="B172:B182"/>
    <mergeCell ref="B183:B192"/>
    <mergeCell ref="B193:B201"/>
    <mergeCell ref="B202:B209"/>
    <mergeCell ref="B104:B114"/>
    <mergeCell ref="B115:B124"/>
    <mergeCell ref="B125:B133"/>
    <mergeCell ref="B134:B144"/>
    <mergeCell ref="B145:B152"/>
    <mergeCell ref="B153:B160"/>
    <mergeCell ref="B244:B251"/>
    <mergeCell ref="B252:B257"/>
    <mergeCell ref="B258:B264"/>
    <mergeCell ref="B266:B273"/>
    <mergeCell ref="B274:J274"/>
    <mergeCell ref="B275:B280"/>
    <mergeCell ref="B210:B216"/>
    <mergeCell ref="B217:B221"/>
    <mergeCell ref="B222:J222"/>
    <mergeCell ref="B223:B229"/>
    <mergeCell ref="B230:B235"/>
    <mergeCell ref="B236:B243"/>
    <mergeCell ref="B324:J324"/>
    <mergeCell ref="B325:B334"/>
    <mergeCell ref="B335:B342"/>
    <mergeCell ref="B343:B352"/>
    <mergeCell ref="B353:B363"/>
    <mergeCell ref="B364:B372"/>
    <mergeCell ref="B282:B289"/>
    <mergeCell ref="B290:B297"/>
    <mergeCell ref="B298:B303"/>
    <mergeCell ref="B305:B311"/>
    <mergeCell ref="B312:B315"/>
    <mergeCell ref="B316:B323"/>
    <mergeCell ref="B416:B425"/>
    <mergeCell ref="B426:B431"/>
    <mergeCell ref="B434:B440"/>
    <mergeCell ref="B441:B449"/>
    <mergeCell ref="B450:J450"/>
    <mergeCell ref="B451:B459"/>
    <mergeCell ref="B373:B379"/>
    <mergeCell ref="B380:B385"/>
    <mergeCell ref="B386:J386"/>
    <mergeCell ref="B387:B396"/>
    <mergeCell ref="B397:B405"/>
    <mergeCell ref="B406:B415"/>
    <mergeCell ref="B518:J518"/>
    <mergeCell ref="B519:B526"/>
    <mergeCell ref="B528:B538"/>
    <mergeCell ref="B539:B548"/>
    <mergeCell ref="B549:B556"/>
    <mergeCell ref="B557:B563"/>
    <mergeCell ref="B460:B470"/>
    <mergeCell ref="B471:B480"/>
    <mergeCell ref="B481:B490"/>
    <mergeCell ref="B491:B500"/>
    <mergeCell ref="B501:B508"/>
    <mergeCell ref="B509:B517"/>
    <mergeCell ref="B611:B620"/>
    <mergeCell ref="B621:B630"/>
    <mergeCell ref="B631:B640"/>
    <mergeCell ref="B641:B650"/>
    <mergeCell ref="B651:J651"/>
    <mergeCell ref="B652:B661"/>
    <mergeCell ref="B564:B573"/>
    <mergeCell ref="B574:B579"/>
    <mergeCell ref="B580:J580"/>
    <mergeCell ref="B581:B590"/>
    <mergeCell ref="B591:B600"/>
    <mergeCell ref="B601:B610"/>
    <mergeCell ref="B722:J722"/>
    <mergeCell ref="B723:B732"/>
    <mergeCell ref="B733:B742"/>
    <mergeCell ref="B743:B752"/>
    <mergeCell ref="B753:B762"/>
    <mergeCell ref="B763:B772"/>
    <mergeCell ref="B662:B671"/>
    <mergeCell ref="B672:B681"/>
    <mergeCell ref="B682:B691"/>
    <mergeCell ref="B692:B701"/>
    <mergeCell ref="B702:B711"/>
    <mergeCell ref="B712:B721"/>
    <mergeCell ref="B824:B833"/>
    <mergeCell ref="B834:B843"/>
    <mergeCell ref="B844:B853"/>
    <mergeCell ref="B854:B863"/>
    <mergeCell ref="B864:J864"/>
    <mergeCell ref="B773:B782"/>
    <mergeCell ref="B783:B792"/>
    <mergeCell ref="B793:J793"/>
    <mergeCell ref="B794:B803"/>
    <mergeCell ref="B804:B813"/>
    <mergeCell ref="B814:B823"/>
  </mergeCells>
  <phoneticPr fontId="4" type="noConversion"/>
  <conditionalFormatting sqref="A1:A2 C1:D3 C5:D45 C47:D92 C94:D160 C162:D221 C223:D273 C275:D323 C325:D385 C387:D449 C451:D517 C519:D579 C581:D650 C652:D721 C723:D792 C794:D863 C865:D1048576">
    <cfRule type="containsText" dxfId="212" priority="92" operator="containsText" text="주차">
      <formula>NOT(ISERROR(SEARCH("주차",A1)))</formula>
    </cfRule>
  </conditionalFormatting>
  <conditionalFormatting sqref="B4">
    <cfRule type="containsText" dxfId="211" priority="90" operator="containsText" text="주차">
      <formula>NOT(ISERROR(SEARCH("주차",B4)))</formula>
    </cfRule>
  </conditionalFormatting>
  <conditionalFormatting sqref="B46">
    <cfRule type="containsText" dxfId="210" priority="89" operator="containsText" text="주차">
      <formula>NOT(ISERROR(SEARCH("주차",B46)))</formula>
    </cfRule>
  </conditionalFormatting>
  <conditionalFormatting sqref="B93">
    <cfRule type="containsText" dxfId="209" priority="88" operator="containsText" text="주차">
      <formula>NOT(ISERROR(SEARCH("주차",B93)))</formula>
    </cfRule>
  </conditionalFormatting>
  <conditionalFormatting sqref="B161">
    <cfRule type="containsText" dxfId="208" priority="87" operator="containsText" text="주차">
      <formula>NOT(ISERROR(SEARCH("주차",B161)))</formula>
    </cfRule>
  </conditionalFormatting>
  <conditionalFormatting sqref="B222">
    <cfRule type="containsText" dxfId="207" priority="86" operator="containsText" text="주차">
      <formula>NOT(ISERROR(SEARCH("주차",B222)))</formula>
    </cfRule>
  </conditionalFormatting>
  <conditionalFormatting sqref="B274">
    <cfRule type="containsText" dxfId="206" priority="42" operator="containsText" text="주차">
      <formula>NOT(ISERROR(SEARCH("주차",B274)))</formula>
    </cfRule>
  </conditionalFormatting>
  <conditionalFormatting sqref="B324">
    <cfRule type="containsText" dxfId="205" priority="41" operator="containsText" text="주차">
      <formula>NOT(ISERROR(SEARCH("주차",B324)))</formula>
    </cfRule>
  </conditionalFormatting>
  <conditionalFormatting sqref="B386">
    <cfRule type="containsText" dxfId="204" priority="40" operator="containsText" text="주차">
      <formula>NOT(ISERROR(SEARCH("주차",B386)))</formula>
    </cfRule>
  </conditionalFormatting>
  <conditionalFormatting sqref="B450">
    <cfRule type="containsText" dxfId="203" priority="39" operator="containsText" text="주차">
      <formula>NOT(ISERROR(SEARCH("주차",B450)))</formula>
    </cfRule>
  </conditionalFormatting>
  <conditionalFormatting sqref="B518">
    <cfRule type="containsText" dxfId="202" priority="38" operator="containsText" text="주차">
      <formula>NOT(ISERROR(SEARCH("주차",B518)))</formula>
    </cfRule>
  </conditionalFormatting>
  <conditionalFormatting sqref="B580">
    <cfRule type="containsText" dxfId="201" priority="16" operator="containsText" text="주차">
      <formula>NOT(ISERROR(SEARCH("주차",B580)))</formula>
    </cfRule>
  </conditionalFormatting>
  <conditionalFormatting sqref="B651">
    <cfRule type="containsText" dxfId="200" priority="15" operator="containsText" text="주차">
      <formula>NOT(ISERROR(SEARCH("주차",B651)))</formula>
    </cfRule>
  </conditionalFormatting>
  <conditionalFormatting sqref="B722">
    <cfRule type="containsText" dxfId="199" priority="14" operator="containsText" text="주차">
      <formula>NOT(ISERROR(SEARCH("주차",B722)))</formula>
    </cfRule>
  </conditionalFormatting>
  <conditionalFormatting sqref="B793">
    <cfRule type="containsText" dxfId="198" priority="2" operator="containsText" text="주차">
      <formula>NOT(ISERROR(SEARCH("주차",B793)))</formula>
    </cfRule>
  </conditionalFormatting>
  <conditionalFormatting sqref="B864">
    <cfRule type="containsText" dxfId="197" priority="1" operator="containsText" text="주차">
      <formula>NOT(ISERROR(SEARCH("주차",B864)))</formula>
    </cfRule>
  </conditionalFormatting>
  <conditionalFormatting sqref="H6">
    <cfRule type="duplicateValues" dxfId="196" priority="80"/>
    <cfRule type="duplicateValues" priority="81"/>
  </conditionalFormatting>
  <conditionalFormatting sqref="H8">
    <cfRule type="duplicateValues" dxfId="195" priority="82"/>
    <cfRule type="duplicateValues" priority="83"/>
  </conditionalFormatting>
  <conditionalFormatting sqref="H12">
    <cfRule type="duplicateValues" dxfId="194" priority="72"/>
    <cfRule type="duplicateValues" priority="73"/>
  </conditionalFormatting>
  <conditionalFormatting sqref="H15">
    <cfRule type="duplicateValues" priority="79"/>
    <cfRule type="duplicateValues" dxfId="193" priority="78"/>
  </conditionalFormatting>
  <conditionalFormatting sqref="H17">
    <cfRule type="duplicateValues" dxfId="192" priority="84"/>
    <cfRule type="duplicateValues" priority="85"/>
  </conditionalFormatting>
  <conditionalFormatting sqref="H19">
    <cfRule type="duplicateValues" dxfId="191" priority="76"/>
    <cfRule type="duplicateValues" priority="77"/>
  </conditionalFormatting>
  <conditionalFormatting sqref="H20">
    <cfRule type="duplicateValues" priority="75"/>
    <cfRule type="duplicateValues" dxfId="190" priority="74"/>
  </conditionalFormatting>
  <conditionalFormatting sqref="H26">
    <cfRule type="duplicateValues" priority="71"/>
    <cfRule type="duplicateValues" dxfId="189" priority="70"/>
  </conditionalFormatting>
  <conditionalFormatting sqref="H32">
    <cfRule type="duplicateValues" dxfId="188" priority="68"/>
    <cfRule type="duplicateValues" priority="69"/>
  </conditionalFormatting>
  <conditionalFormatting sqref="H38">
    <cfRule type="duplicateValues" dxfId="187" priority="66"/>
    <cfRule type="duplicateValues" priority="67"/>
  </conditionalFormatting>
  <conditionalFormatting sqref="H43">
    <cfRule type="duplicateValues" dxfId="186" priority="64"/>
    <cfRule type="duplicateValues" priority="65"/>
  </conditionalFormatting>
  <conditionalFormatting sqref="H51">
    <cfRule type="duplicateValues" dxfId="185" priority="62"/>
    <cfRule type="duplicateValues" priority="63"/>
  </conditionalFormatting>
  <conditionalFormatting sqref="H57">
    <cfRule type="duplicateValues" priority="61"/>
    <cfRule type="duplicateValues" dxfId="184" priority="60"/>
  </conditionalFormatting>
  <conditionalFormatting sqref="H58">
    <cfRule type="duplicateValues" dxfId="183" priority="58"/>
    <cfRule type="duplicateValues" priority="59"/>
  </conditionalFormatting>
  <conditionalFormatting sqref="H64">
    <cfRule type="duplicateValues" priority="57"/>
    <cfRule type="duplicateValues" dxfId="182" priority="56"/>
  </conditionalFormatting>
  <conditionalFormatting sqref="H69">
    <cfRule type="duplicateValues" priority="53"/>
    <cfRule type="duplicateValues" dxfId="181" priority="52"/>
  </conditionalFormatting>
  <conditionalFormatting sqref="H70">
    <cfRule type="duplicateValues" priority="55"/>
    <cfRule type="duplicateValues" dxfId="180" priority="54"/>
  </conditionalFormatting>
  <conditionalFormatting sqref="H79">
    <cfRule type="duplicateValues" priority="51"/>
    <cfRule type="duplicateValues" dxfId="179" priority="50"/>
  </conditionalFormatting>
  <conditionalFormatting sqref="H82:H83">
    <cfRule type="duplicateValues" priority="49"/>
    <cfRule type="duplicateValues" dxfId="178" priority="48"/>
  </conditionalFormatting>
  <conditionalFormatting sqref="H90">
    <cfRule type="duplicateValues" priority="47"/>
    <cfRule type="duplicateValues" dxfId="177" priority="46"/>
  </conditionalFormatting>
  <conditionalFormatting sqref="H139">
    <cfRule type="duplicateValues" dxfId="176" priority="43"/>
    <cfRule type="duplicateValues" priority="44"/>
  </conditionalFormatting>
  <conditionalFormatting sqref="H178">
    <cfRule type="duplicateValues" dxfId="175" priority="36"/>
    <cfRule type="duplicateValues" priority="37"/>
  </conditionalFormatting>
  <conditionalFormatting sqref="H179">
    <cfRule type="duplicateValues" dxfId="174" priority="33"/>
  </conditionalFormatting>
  <conditionalFormatting sqref="H213">
    <cfRule type="duplicateValues" dxfId="173" priority="34"/>
    <cfRule type="duplicateValues" priority="35"/>
  </conditionalFormatting>
  <conditionalFormatting sqref="H239">
    <cfRule type="duplicateValues" dxfId="172" priority="31"/>
    <cfRule type="duplicateValues" priority="32"/>
  </conditionalFormatting>
  <conditionalFormatting sqref="H279">
    <cfRule type="duplicateValues" priority="28"/>
    <cfRule type="duplicateValues" dxfId="171" priority="27"/>
  </conditionalFormatting>
  <conditionalFormatting sqref="H290">
    <cfRule type="duplicateValues" dxfId="170" priority="29"/>
    <cfRule type="duplicateValues" priority="30"/>
  </conditionalFormatting>
  <conditionalFormatting sqref="H337">
    <cfRule type="duplicateValues" priority="26"/>
    <cfRule type="duplicateValues" dxfId="169" priority="25"/>
  </conditionalFormatting>
  <conditionalFormatting sqref="H340">
    <cfRule type="duplicateValues" priority="24"/>
    <cfRule type="duplicateValues" dxfId="168" priority="23"/>
  </conditionalFormatting>
  <conditionalFormatting sqref="H346">
    <cfRule type="duplicateValues" priority="22"/>
    <cfRule type="duplicateValues" dxfId="167" priority="21"/>
  </conditionalFormatting>
  <conditionalFormatting sqref="H349">
    <cfRule type="duplicateValues" dxfId="166" priority="19"/>
    <cfRule type="duplicateValues" priority="20"/>
  </conditionalFormatting>
  <conditionalFormatting sqref="H382">
    <cfRule type="duplicateValues" dxfId="165" priority="17"/>
    <cfRule type="duplicateValues" priority="18"/>
  </conditionalFormatting>
  <conditionalFormatting sqref="H391">
    <cfRule type="duplicateValues" dxfId="164" priority="8"/>
    <cfRule type="duplicateValues" priority="9"/>
  </conditionalFormatting>
  <conditionalFormatting sqref="H402">
    <cfRule type="duplicateValues" dxfId="163" priority="13"/>
  </conditionalFormatting>
  <conditionalFormatting sqref="H412">
    <cfRule type="duplicateValues" dxfId="162" priority="12"/>
  </conditionalFormatting>
  <conditionalFormatting sqref="H429">
    <cfRule type="duplicateValues" dxfId="161" priority="11"/>
  </conditionalFormatting>
  <conditionalFormatting sqref="H437">
    <cfRule type="duplicateValues" dxfId="160" priority="10"/>
  </conditionalFormatting>
  <conditionalFormatting sqref="H470">
    <cfRule type="duplicateValues" dxfId="159" priority="7"/>
  </conditionalFormatting>
  <conditionalFormatting sqref="H490">
    <cfRule type="duplicateValues" dxfId="158" priority="6"/>
  </conditionalFormatting>
  <conditionalFormatting sqref="H499">
    <cfRule type="duplicateValues" dxfId="157" priority="5"/>
  </conditionalFormatting>
  <conditionalFormatting sqref="H507">
    <cfRule type="duplicateValues" dxfId="156" priority="4"/>
  </conditionalFormatting>
  <conditionalFormatting sqref="H516">
    <cfRule type="duplicateValues" dxfId="155" priority="3"/>
  </conditionalFormatting>
  <conditionalFormatting sqref="I5">
    <cfRule type="duplicateValues" dxfId="154" priority="91"/>
  </conditionalFormatting>
  <conditionalFormatting sqref="I112">
    <cfRule type="duplicateValues" dxfId="153" priority="45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41EB2-9735-475B-B822-0851383ADE20}">
  <sheetPr>
    <tabColor rgb="FFFFFF00"/>
  </sheetPr>
  <dimension ref="A1:Z1411"/>
  <sheetViews>
    <sheetView showGridLines="0" zoomScale="85" zoomScaleNormal="85" workbookViewId="0">
      <pane xSplit="5" ySplit="3" topLeftCell="F600" activePane="bottomRight" state="frozen"/>
      <selection pane="topRight" activeCell="F1" sqref="F1"/>
      <selection pane="bottomLeft" activeCell="A4" sqref="A4"/>
      <selection pane="bottomRight" activeCell="J706" sqref="J706"/>
    </sheetView>
  </sheetViews>
  <sheetFormatPr defaultColWidth="8.75" defaultRowHeight="16.5" outlineLevelRow="1"/>
  <cols>
    <col min="1" max="1" width="8.75" style="486"/>
    <col min="2" max="2" width="9.75" style="731" customWidth="1"/>
    <col min="3" max="3" width="17.75" style="484" bestFit="1" customWidth="1"/>
    <col min="4" max="4" width="8.75" style="484" customWidth="1"/>
    <col min="5" max="5" width="4.375" style="484" bestFit="1" customWidth="1"/>
    <col min="6" max="6" width="37" style="484" customWidth="1"/>
    <col min="7" max="7" width="12.625" style="484" bestFit="1" customWidth="1"/>
    <col min="8" max="8" width="11.75" style="484" customWidth="1"/>
    <col min="9" max="10" width="15.75" style="484" customWidth="1"/>
    <col min="11" max="11" width="54.5" style="484" bestFit="1" customWidth="1"/>
    <col min="12" max="12" width="29" style="484" bestFit="1" customWidth="1"/>
    <col min="13" max="14" width="20.625" style="484" customWidth="1"/>
    <col min="15" max="15" width="20.625" style="732" customWidth="1"/>
    <col min="16" max="16" width="8.75" style="486"/>
    <col min="17" max="17" width="8.75" style="486" customWidth="1"/>
    <col min="18" max="16384" width="8.75" style="486"/>
  </cols>
  <sheetData>
    <row r="1" spans="2:15">
      <c r="B1" s="481" t="s">
        <v>3214</v>
      </c>
      <c r="C1" s="482"/>
      <c r="D1" s="483"/>
      <c r="F1" s="483"/>
      <c r="H1" s="485"/>
      <c r="O1" s="484"/>
    </row>
    <row r="2" spans="2:15" ht="15" customHeight="1">
      <c r="B2" s="487" t="s">
        <v>1</v>
      </c>
      <c r="F2" s="488"/>
      <c r="G2" s="489" t="s">
        <v>3215</v>
      </c>
      <c r="H2" s="489" t="s">
        <v>3216</v>
      </c>
      <c r="O2" s="484"/>
    </row>
    <row r="3" spans="2:15" ht="33">
      <c r="B3" s="490" t="s">
        <v>3217</v>
      </c>
      <c r="C3" s="491" t="s">
        <v>3218</v>
      </c>
      <c r="D3" s="491" t="s">
        <v>3219</v>
      </c>
      <c r="E3" s="491" t="s">
        <v>3220</v>
      </c>
      <c r="F3" s="491" t="s">
        <v>3221</v>
      </c>
      <c r="G3" s="492" t="s">
        <v>3222</v>
      </c>
      <c r="H3" s="492" t="s">
        <v>3223</v>
      </c>
      <c r="I3" s="493" t="s">
        <v>3224</v>
      </c>
      <c r="J3" s="493" t="s">
        <v>3225</v>
      </c>
      <c r="K3" s="493" t="s">
        <v>3226</v>
      </c>
      <c r="L3" s="493" t="s">
        <v>3227</v>
      </c>
      <c r="M3" s="494" t="s">
        <v>3228</v>
      </c>
      <c r="N3" s="491" t="s">
        <v>3229</v>
      </c>
      <c r="O3" s="495" t="s">
        <v>3230</v>
      </c>
    </row>
    <row r="4" spans="2:15" outlineLevel="1">
      <c r="B4" s="496" t="s">
        <v>3231</v>
      </c>
      <c r="C4" s="497"/>
      <c r="D4" s="498"/>
      <c r="E4" s="498"/>
      <c r="F4" s="498"/>
      <c r="G4" s="498"/>
      <c r="H4" s="498"/>
      <c r="I4" s="498"/>
      <c r="J4" s="498"/>
      <c r="K4" s="498"/>
      <c r="L4" s="498"/>
      <c r="M4" s="498"/>
      <c r="N4" s="498"/>
      <c r="O4" s="499"/>
    </row>
    <row r="5" spans="2:15" outlineLevel="1">
      <c r="B5" s="500" t="s">
        <v>3232</v>
      </c>
      <c r="C5" s="501" t="s">
        <v>3233</v>
      </c>
      <c r="D5" s="501" t="s">
        <v>3234</v>
      </c>
      <c r="E5" s="501">
        <v>1</v>
      </c>
      <c r="F5" s="501" t="s">
        <v>3235</v>
      </c>
      <c r="G5" s="501"/>
      <c r="H5" s="501"/>
      <c r="I5" s="501" t="s">
        <v>3236</v>
      </c>
      <c r="J5" s="501" t="s">
        <v>3237</v>
      </c>
      <c r="K5" s="501" t="s">
        <v>3238</v>
      </c>
      <c r="L5" s="501" t="s">
        <v>3239</v>
      </c>
      <c r="M5" s="501" t="s">
        <v>3240</v>
      </c>
      <c r="N5" s="502">
        <v>2024129510</v>
      </c>
      <c r="O5" s="501"/>
    </row>
    <row r="6" spans="2:15" outlineLevel="1">
      <c r="B6" s="503"/>
      <c r="C6" s="504"/>
      <c r="D6" s="504"/>
      <c r="E6" s="504">
        <v>2</v>
      </c>
      <c r="F6" s="504" t="s">
        <v>3241</v>
      </c>
      <c r="G6" s="504">
        <v>50</v>
      </c>
      <c r="H6" s="504"/>
      <c r="I6" s="504" t="s">
        <v>3236</v>
      </c>
      <c r="J6" s="505">
        <v>45294</v>
      </c>
      <c r="K6" s="504" t="s">
        <v>3242</v>
      </c>
      <c r="L6" s="504"/>
      <c r="M6" s="504" t="s">
        <v>3240</v>
      </c>
      <c r="N6" s="502">
        <v>2024089048</v>
      </c>
      <c r="O6" s="504"/>
    </row>
    <row r="7" spans="2:15" outlineLevel="1">
      <c r="B7" s="503"/>
      <c r="C7" s="506" t="s">
        <v>3243</v>
      </c>
      <c r="D7" s="506" t="s">
        <v>3244</v>
      </c>
      <c r="E7" s="506">
        <v>1</v>
      </c>
      <c r="F7" s="506" t="s">
        <v>3245</v>
      </c>
      <c r="G7" s="506"/>
      <c r="H7" s="506">
        <v>10</v>
      </c>
      <c r="I7" s="506" t="s">
        <v>3236</v>
      </c>
      <c r="J7" s="506" t="s">
        <v>3236</v>
      </c>
      <c r="K7" s="506" t="s">
        <v>3246</v>
      </c>
      <c r="L7" s="506"/>
      <c r="M7" s="506" t="s">
        <v>3247</v>
      </c>
      <c r="N7" s="506">
        <v>2024129508</v>
      </c>
      <c r="O7" s="506"/>
    </row>
    <row r="8" spans="2:15" outlineLevel="1">
      <c r="B8" s="503"/>
      <c r="C8" s="504"/>
      <c r="D8" s="504"/>
      <c r="E8" s="504">
        <v>2</v>
      </c>
      <c r="F8" s="504" t="s">
        <v>3248</v>
      </c>
      <c r="G8" s="504"/>
      <c r="H8" s="504">
        <v>10</v>
      </c>
      <c r="I8" s="504" t="s">
        <v>3236</v>
      </c>
      <c r="J8" s="504" t="s">
        <v>3236</v>
      </c>
      <c r="K8" s="504" t="s">
        <v>3249</v>
      </c>
      <c r="L8" s="504"/>
      <c r="M8" s="506" t="s">
        <v>3247</v>
      </c>
      <c r="N8" s="504">
        <v>2024129509</v>
      </c>
      <c r="O8" s="504"/>
    </row>
    <row r="9" spans="2:15" ht="17.25" outlineLevel="1">
      <c r="B9" s="503"/>
      <c r="C9" s="506" t="s">
        <v>3250</v>
      </c>
      <c r="D9" s="506" t="s">
        <v>3251</v>
      </c>
      <c r="E9" s="506">
        <v>1</v>
      </c>
      <c r="F9" s="506" t="s">
        <v>3252</v>
      </c>
      <c r="G9" s="506"/>
      <c r="H9" s="506"/>
      <c r="I9" s="506" t="s">
        <v>3236</v>
      </c>
      <c r="J9" s="506" t="s">
        <v>3253</v>
      </c>
      <c r="K9" s="506" t="s">
        <v>3254</v>
      </c>
      <c r="L9" s="506" t="s">
        <v>3255</v>
      </c>
      <c r="M9" s="501" t="s">
        <v>3240</v>
      </c>
      <c r="N9" s="507">
        <v>2024109314</v>
      </c>
      <c r="O9" s="506"/>
    </row>
    <row r="10" spans="2:15" ht="17.25" outlineLevel="1">
      <c r="B10" s="503"/>
      <c r="C10" s="508"/>
      <c r="D10" s="508"/>
      <c r="E10" s="508">
        <v>2</v>
      </c>
      <c r="F10" s="508" t="s">
        <v>3256</v>
      </c>
      <c r="G10" s="508"/>
      <c r="H10" s="508"/>
      <c r="I10" s="508" t="s">
        <v>3236</v>
      </c>
      <c r="J10" s="508" t="s">
        <v>3236</v>
      </c>
      <c r="K10" s="508" t="s">
        <v>3257</v>
      </c>
      <c r="L10" s="508"/>
      <c r="M10" s="501" t="s">
        <v>3240</v>
      </c>
      <c r="N10" s="509">
        <v>2024099223</v>
      </c>
      <c r="O10" s="508"/>
    </row>
    <row r="11" spans="2:15" ht="17.25" outlineLevel="1">
      <c r="B11" s="503"/>
      <c r="C11" s="508"/>
      <c r="D11" s="508"/>
      <c r="E11" s="508">
        <v>3</v>
      </c>
      <c r="F11" s="508" t="s">
        <v>3258</v>
      </c>
      <c r="G11" s="508"/>
      <c r="H11" s="508"/>
      <c r="I11" s="508" t="s">
        <v>3236</v>
      </c>
      <c r="J11" s="506" t="s">
        <v>3259</v>
      </c>
      <c r="K11" s="508" t="s">
        <v>3260</v>
      </c>
      <c r="L11" s="508" t="s">
        <v>3261</v>
      </c>
      <c r="M11" s="501" t="s">
        <v>3240</v>
      </c>
      <c r="N11" s="510">
        <v>2024129501</v>
      </c>
      <c r="O11" s="508"/>
    </row>
    <row r="12" spans="2:15" ht="17.25" outlineLevel="1">
      <c r="B12" s="503"/>
      <c r="C12" s="508"/>
      <c r="D12" s="508"/>
      <c r="E12" s="508">
        <v>4</v>
      </c>
      <c r="F12" s="508" t="s">
        <v>3262</v>
      </c>
      <c r="G12" s="508"/>
      <c r="H12" s="508"/>
      <c r="I12" s="508" t="s">
        <v>3236</v>
      </c>
      <c r="J12" s="508" t="s">
        <v>3236</v>
      </c>
      <c r="K12" s="508" t="s">
        <v>3263</v>
      </c>
      <c r="L12" s="508"/>
      <c r="M12" s="501" t="s">
        <v>3240</v>
      </c>
      <c r="N12" s="511">
        <v>2024099264</v>
      </c>
      <c r="O12" s="508"/>
    </row>
    <row r="13" spans="2:15" outlineLevel="1">
      <c r="B13" s="503"/>
      <c r="C13" s="508"/>
      <c r="D13" s="508"/>
      <c r="E13" s="508">
        <v>5</v>
      </c>
      <c r="F13" s="508" t="s">
        <v>3264</v>
      </c>
      <c r="G13" s="508"/>
      <c r="H13" s="508"/>
      <c r="I13" s="508" t="s">
        <v>3236</v>
      </c>
      <c r="J13" s="508" t="s">
        <v>3236</v>
      </c>
      <c r="K13" s="508" t="s">
        <v>3265</v>
      </c>
      <c r="L13" s="508"/>
      <c r="M13" s="506" t="s">
        <v>3247</v>
      </c>
      <c r="N13" s="512">
        <v>2024119404</v>
      </c>
      <c r="O13" s="508"/>
    </row>
    <row r="14" spans="2:15" ht="17.25" outlineLevel="1">
      <c r="B14" s="503"/>
      <c r="C14" s="508"/>
      <c r="D14" s="508"/>
      <c r="E14" s="508">
        <v>6</v>
      </c>
      <c r="F14" s="508" t="s">
        <v>3266</v>
      </c>
      <c r="G14" s="508"/>
      <c r="H14" s="508"/>
      <c r="I14" s="508" t="s">
        <v>3236</v>
      </c>
      <c r="J14" s="508" t="s">
        <v>3236</v>
      </c>
      <c r="K14" s="508" t="s">
        <v>3267</v>
      </c>
      <c r="L14" s="508"/>
      <c r="M14" s="501" t="s">
        <v>3240</v>
      </c>
      <c r="N14" s="513">
        <v>2024099200</v>
      </c>
      <c r="O14" s="508"/>
    </row>
    <row r="15" spans="2:15" ht="17.25" outlineLevel="1">
      <c r="B15" s="503"/>
      <c r="C15" s="508"/>
      <c r="D15" s="508"/>
      <c r="E15" s="508">
        <v>7</v>
      </c>
      <c r="F15" s="508" t="s">
        <v>3268</v>
      </c>
      <c r="G15" s="508"/>
      <c r="H15" s="508"/>
      <c r="I15" s="508" t="s">
        <v>3236</v>
      </c>
      <c r="J15" s="508" t="s">
        <v>3236</v>
      </c>
      <c r="K15" s="508" t="s">
        <v>3269</v>
      </c>
      <c r="L15" s="508"/>
      <c r="M15" s="501" t="s">
        <v>3240</v>
      </c>
      <c r="N15" s="511">
        <v>2024099272</v>
      </c>
      <c r="O15" s="508"/>
    </row>
    <row r="16" spans="2:15" outlineLevel="1">
      <c r="B16" s="503"/>
      <c r="C16" s="508"/>
      <c r="D16" s="508"/>
      <c r="E16" s="508">
        <v>8</v>
      </c>
      <c r="F16" s="508" t="s">
        <v>3270</v>
      </c>
      <c r="G16" s="508"/>
      <c r="H16" s="508"/>
      <c r="I16" s="508" t="s">
        <v>3236</v>
      </c>
      <c r="J16" s="508" t="s">
        <v>3236</v>
      </c>
      <c r="K16" s="508" t="s">
        <v>3271</v>
      </c>
      <c r="L16" s="508"/>
      <c r="M16" s="501" t="s">
        <v>3240</v>
      </c>
      <c r="N16" s="514">
        <v>2024099140</v>
      </c>
      <c r="O16" s="508"/>
    </row>
    <row r="17" spans="2:15" ht="17.25" outlineLevel="1">
      <c r="B17" s="503"/>
      <c r="C17" s="508"/>
      <c r="D17" s="508"/>
      <c r="E17" s="508">
        <v>9</v>
      </c>
      <c r="F17" s="508" t="s">
        <v>3272</v>
      </c>
      <c r="G17" s="508"/>
      <c r="H17" s="508"/>
      <c r="I17" s="508" t="s">
        <v>3236</v>
      </c>
      <c r="J17" s="508" t="s">
        <v>3236</v>
      </c>
      <c r="K17" s="508" t="s">
        <v>3273</v>
      </c>
      <c r="L17" s="508"/>
      <c r="M17" s="501" t="s">
        <v>3240</v>
      </c>
      <c r="N17" s="513">
        <v>2024099191</v>
      </c>
      <c r="O17" s="508"/>
    </row>
    <row r="18" spans="2:15" ht="17.25" outlineLevel="1">
      <c r="B18" s="515"/>
      <c r="C18" s="516"/>
      <c r="D18" s="516"/>
      <c r="E18" s="516">
        <v>10</v>
      </c>
      <c r="F18" s="516" t="s">
        <v>3274</v>
      </c>
      <c r="G18" s="516"/>
      <c r="H18" s="516"/>
      <c r="I18" s="516" t="s">
        <v>3236</v>
      </c>
      <c r="J18" s="516" t="s">
        <v>3236</v>
      </c>
      <c r="K18" s="516" t="s">
        <v>3275</v>
      </c>
      <c r="L18" s="516"/>
      <c r="M18" s="501" t="s">
        <v>3240</v>
      </c>
      <c r="N18" s="509">
        <v>2024099268</v>
      </c>
      <c r="O18" s="516"/>
    </row>
    <row r="19" spans="2:15" outlineLevel="1">
      <c r="B19" s="503" t="s">
        <v>3276</v>
      </c>
      <c r="C19" s="506" t="s">
        <v>3277</v>
      </c>
      <c r="D19" s="506" t="s">
        <v>3278</v>
      </c>
      <c r="E19" s="501">
        <v>1</v>
      </c>
      <c r="F19" s="506" t="s">
        <v>3279</v>
      </c>
      <c r="G19" s="506">
        <v>100</v>
      </c>
      <c r="H19" s="506"/>
      <c r="I19" s="506" t="s">
        <v>3236</v>
      </c>
      <c r="J19" s="506" t="s">
        <v>3280</v>
      </c>
      <c r="K19" s="506" t="s">
        <v>3281</v>
      </c>
      <c r="L19" s="506" t="s">
        <v>3282</v>
      </c>
      <c r="M19" s="506"/>
      <c r="N19" s="517">
        <v>2024027857</v>
      </c>
      <c r="O19" s="506"/>
    </row>
    <row r="20" spans="2:15" outlineLevel="1">
      <c r="B20" s="503"/>
      <c r="C20" s="508"/>
      <c r="D20" s="508"/>
      <c r="E20" s="508">
        <v>2</v>
      </c>
      <c r="F20" s="508" t="s">
        <v>3283</v>
      </c>
      <c r="G20" s="508"/>
      <c r="H20" s="508"/>
      <c r="I20" s="508" t="s">
        <v>3236</v>
      </c>
      <c r="J20" s="508" t="s">
        <v>3280</v>
      </c>
      <c r="K20" s="508" t="s">
        <v>3284</v>
      </c>
      <c r="L20" s="508"/>
      <c r="M20" s="508"/>
      <c r="N20" s="518">
        <v>2023127229</v>
      </c>
      <c r="O20" s="508"/>
    </row>
    <row r="21" spans="2:15" outlineLevel="1">
      <c r="B21" s="503"/>
      <c r="C21" s="508"/>
      <c r="D21" s="508"/>
      <c r="E21" s="508">
        <v>3</v>
      </c>
      <c r="F21" s="508" t="s">
        <v>3285</v>
      </c>
      <c r="G21" s="508"/>
      <c r="H21" s="508"/>
      <c r="I21" s="508" t="s">
        <v>3236</v>
      </c>
      <c r="J21" s="508" t="s">
        <v>3286</v>
      </c>
      <c r="K21" s="508" t="s">
        <v>3287</v>
      </c>
      <c r="L21" s="508"/>
      <c r="M21" s="508"/>
      <c r="N21" s="518">
        <v>2024027764</v>
      </c>
      <c r="O21" s="508"/>
    </row>
    <row r="22" spans="2:15" outlineLevel="1">
      <c r="B22" s="503"/>
      <c r="C22" s="504"/>
      <c r="D22" s="504"/>
      <c r="E22" s="504">
        <v>4</v>
      </c>
      <c r="F22" s="504" t="s">
        <v>3288</v>
      </c>
      <c r="G22" s="504"/>
      <c r="H22" s="504"/>
      <c r="I22" s="504" t="s">
        <v>3236</v>
      </c>
      <c r="J22" s="504" t="s">
        <v>3289</v>
      </c>
      <c r="K22" s="504" t="s">
        <v>3290</v>
      </c>
      <c r="L22" s="504"/>
      <c r="M22" s="504"/>
      <c r="N22" s="518">
        <v>2024017567</v>
      </c>
      <c r="O22" s="504"/>
    </row>
    <row r="23" spans="2:15" outlineLevel="1">
      <c r="B23" s="503"/>
      <c r="C23" s="519" t="s">
        <v>3291</v>
      </c>
      <c r="D23" s="519" t="s">
        <v>3292</v>
      </c>
      <c r="E23" s="519">
        <v>1</v>
      </c>
      <c r="F23" s="519"/>
      <c r="G23" s="519"/>
      <c r="H23" s="519"/>
      <c r="I23" s="519"/>
      <c r="J23" s="519"/>
      <c r="K23" s="519"/>
      <c r="L23" s="519"/>
      <c r="M23" s="519"/>
      <c r="N23" s="519"/>
      <c r="O23" s="519"/>
    </row>
    <row r="24" spans="2:15" outlineLevel="1">
      <c r="B24" s="503"/>
      <c r="C24" s="506" t="s">
        <v>3293</v>
      </c>
      <c r="D24" s="506" t="s">
        <v>3294</v>
      </c>
      <c r="E24" s="506">
        <v>1</v>
      </c>
      <c r="F24" s="506" t="s">
        <v>3295</v>
      </c>
      <c r="G24" s="506"/>
      <c r="H24" s="506"/>
      <c r="I24" s="506" t="s">
        <v>3236</v>
      </c>
      <c r="J24" s="506" t="s">
        <v>3296</v>
      </c>
      <c r="K24" s="506" t="s">
        <v>3297</v>
      </c>
      <c r="L24" s="506"/>
      <c r="M24" s="506"/>
      <c r="N24" s="520">
        <v>2024027787</v>
      </c>
      <c r="O24" s="506"/>
    </row>
    <row r="25" spans="2:15" outlineLevel="1">
      <c r="B25" s="503"/>
      <c r="C25" s="504"/>
      <c r="D25" s="504"/>
      <c r="E25" s="504">
        <v>2</v>
      </c>
      <c r="F25" s="504" t="s">
        <v>3298</v>
      </c>
      <c r="G25" s="504"/>
      <c r="H25" s="504"/>
      <c r="I25" s="504" t="s">
        <v>3236</v>
      </c>
      <c r="J25" s="504" t="s">
        <v>3289</v>
      </c>
      <c r="K25" s="504" t="s">
        <v>3299</v>
      </c>
      <c r="L25" s="504"/>
      <c r="M25" s="504"/>
      <c r="N25" s="521">
        <v>2024129519</v>
      </c>
      <c r="O25" s="504"/>
    </row>
    <row r="26" spans="2:15" outlineLevel="1">
      <c r="B26" s="503" t="s">
        <v>3300</v>
      </c>
      <c r="C26" s="506" t="s">
        <v>3301</v>
      </c>
      <c r="D26" s="506" t="s">
        <v>3302</v>
      </c>
      <c r="E26" s="506">
        <v>1</v>
      </c>
      <c r="F26" s="506" t="s">
        <v>3303</v>
      </c>
      <c r="G26" s="506"/>
      <c r="H26" s="506"/>
      <c r="I26" s="508" t="s">
        <v>3236</v>
      </c>
      <c r="J26" s="506"/>
      <c r="K26" s="506"/>
      <c r="L26" s="506"/>
      <c r="M26" s="506"/>
      <c r="N26" s="506">
        <v>2024129511</v>
      </c>
      <c r="O26" s="506"/>
    </row>
    <row r="27" spans="2:15" outlineLevel="1">
      <c r="B27" s="503"/>
      <c r="C27" s="508"/>
      <c r="D27" s="508"/>
      <c r="E27" s="508">
        <v>2</v>
      </c>
      <c r="F27" s="484" t="s">
        <v>3304</v>
      </c>
      <c r="G27" s="508"/>
      <c r="H27" s="508"/>
      <c r="I27" s="508" t="s">
        <v>3236</v>
      </c>
      <c r="J27" s="508"/>
      <c r="K27" s="508"/>
      <c r="L27" s="508"/>
      <c r="M27" s="508"/>
      <c r="N27" s="508">
        <v>2024129512</v>
      </c>
      <c r="O27" s="508"/>
    </row>
    <row r="28" spans="2:15" outlineLevel="1">
      <c r="B28" s="503"/>
      <c r="C28" s="508"/>
      <c r="D28" s="508"/>
      <c r="E28" s="522">
        <v>3</v>
      </c>
      <c r="F28" s="522" t="s">
        <v>3305</v>
      </c>
      <c r="G28" s="522"/>
      <c r="H28" s="522"/>
      <c r="I28" s="522" t="s">
        <v>3236</v>
      </c>
      <c r="J28" s="522"/>
      <c r="K28" s="522"/>
      <c r="L28" s="522"/>
      <c r="M28" s="522"/>
      <c r="N28" s="522" t="s">
        <v>3306</v>
      </c>
      <c r="O28" s="522"/>
    </row>
    <row r="29" spans="2:15" outlineLevel="1">
      <c r="B29" s="503"/>
      <c r="C29" s="508"/>
      <c r="D29" s="508"/>
      <c r="E29" s="508">
        <v>4</v>
      </c>
      <c r="F29" s="508" t="s">
        <v>3307</v>
      </c>
      <c r="G29" s="508"/>
      <c r="H29" s="508"/>
      <c r="I29" s="508" t="s">
        <v>3236</v>
      </c>
      <c r="J29" s="508"/>
      <c r="K29" s="508"/>
      <c r="L29" s="508"/>
      <c r="M29" s="508"/>
      <c r="N29" s="508">
        <v>2024129513</v>
      </c>
      <c r="O29" s="508"/>
    </row>
    <row r="30" spans="2:15" outlineLevel="1">
      <c r="B30" s="503"/>
      <c r="C30" s="508"/>
      <c r="D30" s="508"/>
      <c r="E30" s="508">
        <v>5</v>
      </c>
      <c r="F30" s="508" t="s">
        <v>3308</v>
      </c>
      <c r="G30" s="508"/>
      <c r="H30" s="508"/>
      <c r="I30" s="508" t="s">
        <v>3236</v>
      </c>
      <c r="J30" s="508"/>
      <c r="K30" s="508"/>
      <c r="L30" s="508"/>
      <c r="M30" s="508"/>
      <c r="N30" s="508">
        <v>2024129514</v>
      </c>
      <c r="O30" s="508"/>
    </row>
    <row r="31" spans="2:15" outlineLevel="1">
      <c r="B31" s="503"/>
      <c r="C31" s="508"/>
      <c r="D31" s="508"/>
      <c r="E31" s="508">
        <v>6</v>
      </c>
      <c r="F31" s="508" t="s">
        <v>3309</v>
      </c>
      <c r="G31" s="508"/>
      <c r="H31" s="508"/>
      <c r="I31" s="508" t="s">
        <v>3236</v>
      </c>
      <c r="J31" s="508"/>
      <c r="K31" s="508"/>
      <c r="L31" s="508"/>
      <c r="M31" s="508"/>
      <c r="N31" s="508">
        <v>2024129515</v>
      </c>
      <c r="O31" s="508"/>
    </row>
    <row r="32" spans="2:15" outlineLevel="1">
      <c r="B32" s="503"/>
      <c r="C32" s="508"/>
      <c r="D32" s="508"/>
      <c r="E32" s="522">
        <v>7</v>
      </c>
      <c r="F32" s="522" t="s">
        <v>1006</v>
      </c>
      <c r="G32" s="522"/>
      <c r="H32" s="522"/>
      <c r="I32" s="522" t="s">
        <v>3236</v>
      </c>
      <c r="J32" s="522"/>
      <c r="K32" s="522"/>
      <c r="L32" s="522"/>
      <c r="M32" s="522"/>
      <c r="N32" s="522" t="s">
        <v>3306</v>
      </c>
      <c r="O32" s="522"/>
    </row>
    <row r="33" spans="2:15" outlineLevel="1">
      <c r="B33" s="503"/>
      <c r="C33" s="508"/>
      <c r="D33" s="508"/>
      <c r="E33" s="508">
        <v>8</v>
      </c>
      <c r="F33" s="508" t="s">
        <v>3310</v>
      </c>
      <c r="G33" s="508"/>
      <c r="H33" s="508"/>
      <c r="I33" s="508" t="s">
        <v>3236</v>
      </c>
      <c r="J33" s="508"/>
      <c r="K33" s="508"/>
      <c r="L33" s="508"/>
      <c r="M33" s="508"/>
      <c r="N33" s="508">
        <v>2024129516</v>
      </c>
      <c r="O33" s="508"/>
    </row>
    <row r="34" spans="2:15" outlineLevel="1">
      <c r="B34" s="503"/>
      <c r="C34" s="508"/>
      <c r="D34" s="508"/>
      <c r="E34" s="522">
        <v>9</v>
      </c>
      <c r="F34" s="522" t="s">
        <v>3311</v>
      </c>
      <c r="G34" s="522"/>
      <c r="H34" s="522"/>
      <c r="I34" s="522" t="s">
        <v>3236</v>
      </c>
      <c r="J34" s="522"/>
      <c r="K34" s="522"/>
      <c r="L34" s="522"/>
      <c r="M34" s="522"/>
      <c r="N34" s="522" t="s">
        <v>3306</v>
      </c>
      <c r="O34" s="522"/>
    </row>
    <row r="35" spans="2:15" outlineLevel="1">
      <c r="B35" s="503"/>
      <c r="C35" s="516"/>
      <c r="D35" s="516"/>
      <c r="E35" s="516">
        <v>10</v>
      </c>
      <c r="F35" s="516" t="s">
        <v>3312</v>
      </c>
      <c r="G35" s="516"/>
      <c r="H35" s="516"/>
      <c r="I35" s="508" t="s">
        <v>3236</v>
      </c>
      <c r="J35" s="523">
        <v>45292</v>
      </c>
      <c r="K35" s="516"/>
      <c r="L35" s="516" t="s">
        <v>3313</v>
      </c>
      <c r="M35" s="516"/>
      <c r="N35" s="516">
        <v>2024129517</v>
      </c>
      <c r="O35" s="516"/>
    </row>
    <row r="36" spans="2:15" outlineLevel="1">
      <c r="B36" s="503"/>
      <c r="C36" s="501" t="s">
        <v>3314</v>
      </c>
      <c r="D36" s="501" t="s">
        <v>3315</v>
      </c>
      <c r="E36" s="501">
        <v>1</v>
      </c>
      <c r="F36" s="501"/>
      <c r="G36" s="501"/>
      <c r="H36" s="501"/>
      <c r="I36" s="501"/>
      <c r="J36" s="501"/>
      <c r="K36" s="501"/>
      <c r="L36" s="501"/>
      <c r="M36" s="501"/>
      <c r="N36" s="501"/>
      <c r="O36" s="501"/>
    </row>
    <row r="37" spans="2:15" outlineLevel="1">
      <c r="B37" s="503"/>
      <c r="C37" s="508"/>
      <c r="D37" s="508"/>
      <c r="E37" s="508">
        <v>2</v>
      </c>
      <c r="F37" s="508" t="s">
        <v>3316</v>
      </c>
      <c r="G37" s="508"/>
      <c r="H37" s="508">
        <v>20</v>
      </c>
      <c r="I37" s="508" t="s">
        <v>3236</v>
      </c>
      <c r="J37" s="524">
        <v>45292</v>
      </c>
      <c r="K37" s="508" t="s">
        <v>3317</v>
      </c>
      <c r="L37" s="508"/>
      <c r="M37" s="508"/>
      <c r="N37" s="508">
        <v>2024129475</v>
      </c>
      <c r="O37" s="508"/>
    </row>
    <row r="38" spans="2:15" outlineLevel="1">
      <c r="B38" s="503"/>
      <c r="C38" s="508"/>
      <c r="D38" s="508"/>
      <c r="E38" s="508">
        <v>3</v>
      </c>
      <c r="F38" s="508" t="s">
        <v>3318</v>
      </c>
      <c r="G38" s="508"/>
      <c r="H38" s="508">
        <v>20</v>
      </c>
      <c r="I38" s="508" t="s">
        <v>3236</v>
      </c>
      <c r="J38" s="524">
        <v>45656</v>
      </c>
      <c r="K38" s="508" t="s">
        <v>3319</v>
      </c>
      <c r="L38" s="508"/>
      <c r="M38" s="508"/>
      <c r="N38" s="508">
        <v>2024129507</v>
      </c>
      <c r="O38" s="508"/>
    </row>
    <row r="39" spans="2:15" outlineLevel="1">
      <c r="B39" s="503"/>
      <c r="C39" s="508"/>
      <c r="D39" s="508"/>
      <c r="E39" s="508">
        <v>4</v>
      </c>
      <c r="F39" s="508" t="s">
        <v>3320</v>
      </c>
      <c r="G39" s="508"/>
      <c r="H39" s="508">
        <v>20</v>
      </c>
      <c r="I39" s="508" t="s">
        <v>3236</v>
      </c>
      <c r="J39" s="524">
        <v>45293</v>
      </c>
      <c r="K39" s="508" t="s">
        <v>3321</v>
      </c>
      <c r="L39" s="508"/>
      <c r="M39" s="508"/>
      <c r="N39" s="508">
        <v>2024017624</v>
      </c>
      <c r="O39" s="508"/>
    </row>
    <row r="40" spans="2:15" outlineLevel="1">
      <c r="B40" s="503"/>
      <c r="C40" s="508"/>
      <c r="D40" s="508"/>
      <c r="E40" s="508">
        <v>5</v>
      </c>
      <c r="F40" s="508" t="s">
        <v>3322</v>
      </c>
      <c r="G40" s="508"/>
      <c r="H40" s="508">
        <v>20</v>
      </c>
      <c r="I40" s="508" t="s">
        <v>3236</v>
      </c>
      <c r="J40" s="524">
        <v>45293</v>
      </c>
      <c r="K40" s="508" t="s">
        <v>3323</v>
      </c>
      <c r="L40" s="508"/>
      <c r="M40" s="508"/>
      <c r="N40" s="508">
        <v>2024129506</v>
      </c>
      <c r="O40" s="508"/>
    </row>
    <row r="41" spans="2:15" outlineLevel="1">
      <c r="B41" s="500" t="s">
        <v>3324</v>
      </c>
      <c r="C41" s="501" t="s">
        <v>3325</v>
      </c>
      <c r="D41" s="501" t="s">
        <v>3326</v>
      </c>
      <c r="E41" s="501">
        <v>1</v>
      </c>
      <c r="F41" s="501" t="s">
        <v>3327</v>
      </c>
      <c r="G41" s="525" t="s">
        <v>3328</v>
      </c>
      <c r="H41" s="501">
        <v>15</v>
      </c>
      <c r="I41" s="501" t="s">
        <v>3236</v>
      </c>
      <c r="J41" s="526">
        <v>45656</v>
      </c>
      <c r="K41" s="501" t="s">
        <v>3329</v>
      </c>
      <c r="L41" s="501"/>
      <c r="M41" s="501"/>
      <c r="N41" s="501">
        <v>2024058452</v>
      </c>
      <c r="O41" s="501"/>
    </row>
    <row r="42" spans="2:15" outlineLevel="1">
      <c r="B42" s="503"/>
      <c r="C42" s="508"/>
      <c r="D42" s="508"/>
      <c r="E42" s="508">
        <v>2</v>
      </c>
      <c r="F42" s="508" t="s">
        <v>3330</v>
      </c>
      <c r="G42" s="527" t="s">
        <v>3328</v>
      </c>
      <c r="H42" s="508">
        <v>20</v>
      </c>
      <c r="I42" s="508" t="s">
        <v>3236</v>
      </c>
      <c r="J42" s="524">
        <v>45656</v>
      </c>
      <c r="K42" s="508" t="s">
        <v>3331</v>
      </c>
      <c r="L42" s="508"/>
      <c r="M42" s="508"/>
      <c r="N42" s="508">
        <v>2024058453</v>
      </c>
      <c r="O42" s="508"/>
    </row>
    <row r="43" spans="2:15" outlineLevel="1">
      <c r="B43" s="503"/>
      <c r="C43" s="508"/>
      <c r="D43" s="508"/>
      <c r="E43" s="508">
        <v>3</v>
      </c>
      <c r="F43" s="508" t="s">
        <v>3332</v>
      </c>
      <c r="G43" s="527" t="s">
        <v>3328</v>
      </c>
      <c r="H43" s="508">
        <v>15</v>
      </c>
      <c r="I43" s="508" t="s">
        <v>3236</v>
      </c>
      <c r="J43" s="524">
        <v>45292</v>
      </c>
      <c r="K43" s="508" t="s">
        <v>3333</v>
      </c>
      <c r="L43" s="508"/>
      <c r="M43" s="508"/>
      <c r="N43" s="508">
        <v>2024068760</v>
      </c>
      <c r="O43" s="508"/>
    </row>
    <row r="44" spans="2:15" outlineLevel="1">
      <c r="B44" s="503"/>
      <c r="C44" s="508"/>
      <c r="D44" s="508"/>
      <c r="E44" s="508">
        <v>4</v>
      </c>
      <c r="F44" s="508" t="s">
        <v>3334</v>
      </c>
      <c r="G44" s="527" t="s">
        <v>3328</v>
      </c>
      <c r="H44" s="508">
        <v>10</v>
      </c>
      <c r="I44" s="508" t="s">
        <v>3236</v>
      </c>
      <c r="J44" s="524">
        <v>45293</v>
      </c>
      <c r="K44" s="508" t="s">
        <v>3335</v>
      </c>
      <c r="L44" s="508"/>
      <c r="M44" s="508"/>
      <c r="N44" s="508">
        <v>2024068644</v>
      </c>
      <c r="O44" s="508"/>
    </row>
    <row r="45" spans="2:15" outlineLevel="1">
      <c r="B45" s="503"/>
      <c r="C45" s="508"/>
      <c r="D45" s="508"/>
      <c r="E45" s="508">
        <v>5</v>
      </c>
      <c r="F45" s="508" t="s">
        <v>3336</v>
      </c>
      <c r="G45" s="527" t="s">
        <v>3328</v>
      </c>
      <c r="H45" s="508">
        <v>10</v>
      </c>
      <c r="I45" s="508" t="s">
        <v>3236</v>
      </c>
      <c r="J45" s="524">
        <v>45293</v>
      </c>
      <c r="K45" s="508" t="s">
        <v>3337</v>
      </c>
      <c r="L45" s="508"/>
      <c r="M45" s="508"/>
      <c r="N45" s="508">
        <v>2024109287</v>
      </c>
      <c r="O45" s="508"/>
    </row>
    <row r="46" spans="2:15" outlineLevel="1">
      <c r="B46" s="503"/>
      <c r="C46" s="508"/>
      <c r="D46" s="508"/>
      <c r="E46" s="508">
        <v>6</v>
      </c>
      <c r="F46" s="508" t="s">
        <v>3338</v>
      </c>
      <c r="G46" s="527" t="s">
        <v>3328</v>
      </c>
      <c r="H46" s="508">
        <v>20</v>
      </c>
      <c r="I46" s="508" t="s">
        <v>3236</v>
      </c>
      <c r="J46" s="524">
        <v>45294</v>
      </c>
      <c r="K46" s="508" t="s">
        <v>3339</v>
      </c>
      <c r="L46" s="508"/>
      <c r="M46" s="508"/>
      <c r="N46" s="508">
        <v>2024078762</v>
      </c>
      <c r="O46" s="508"/>
    </row>
    <row r="47" spans="2:15" outlineLevel="1">
      <c r="B47" s="503"/>
      <c r="C47" s="508"/>
      <c r="D47" s="508"/>
      <c r="E47" s="508">
        <v>7</v>
      </c>
      <c r="F47" s="508" t="s">
        <v>3340</v>
      </c>
      <c r="G47" s="527" t="s">
        <v>3328</v>
      </c>
      <c r="H47" s="508">
        <v>20</v>
      </c>
      <c r="I47" s="508" t="s">
        <v>3236</v>
      </c>
      <c r="J47" s="524">
        <v>45295</v>
      </c>
      <c r="K47" s="508" t="s">
        <v>3341</v>
      </c>
      <c r="L47" s="508"/>
      <c r="M47" s="508"/>
      <c r="N47" s="508">
        <v>2024078899</v>
      </c>
      <c r="O47" s="508"/>
    </row>
    <row r="48" spans="2:15" outlineLevel="1">
      <c r="B48" s="503"/>
      <c r="C48" s="508"/>
      <c r="D48" s="508"/>
      <c r="E48" s="522">
        <v>8</v>
      </c>
      <c r="F48" s="522" t="s">
        <v>3342</v>
      </c>
      <c r="G48" s="528" t="s">
        <v>3328</v>
      </c>
      <c r="H48" s="522">
        <v>40</v>
      </c>
      <c r="I48" s="522" t="s">
        <v>3343</v>
      </c>
      <c r="J48" s="529">
        <v>45296</v>
      </c>
      <c r="K48" s="522" t="s">
        <v>3344</v>
      </c>
      <c r="L48" s="522" t="s">
        <v>3345</v>
      </c>
      <c r="M48" s="522"/>
      <c r="N48" s="522" t="s">
        <v>3306</v>
      </c>
      <c r="O48" s="522"/>
    </row>
    <row r="49" spans="2:15" outlineLevel="1">
      <c r="B49" s="503"/>
      <c r="C49" s="508"/>
      <c r="D49" s="508"/>
      <c r="E49" s="508">
        <v>9</v>
      </c>
      <c r="F49" s="530" t="s">
        <v>3346</v>
      </c>
      <c r="G49" s="530">
        <v>100</v>
      </c>
      <c r="H49" s="530">
        <v>50</v>
      </c>
      <c r="I49" s="531">
        <v>45293</v>
      </c>
      <c r="J49" s="531">
        <v>45293</v>
      </c>
      <c r="K49" s="530" t="s">
        <v>3347</v>
      </c>
      <c r="L49" s="530" t="s">
        <v>3348</v>
      </c>
      <c r="M49" s="530"/>
      <c r="N49" s="530">
        <v>2024119383</v>
      </c>
      <c r="O49" s="530"/>
    </row>
    <row r="50" spans="2:15" outlineLevel="1">
      <c r="B50" s="503" t="s">
        <v>3349</v>
      </c>
      <c r="C50" s="501" t="s">
        <v>3350</v>
      </c>
      <c r="D50" s="501" t="s">
        <v>3351</v>
      </c>
      <c r="E50" s="501">
        <v>1</v>
      </c>
      <c r="F50" s="501" t="s">
        <v>3352</v>
      </c>
      <c r="G50" s="501"/>
      <c r="H50" s="501"/>
      <c r="I50" s="508" t="s">
        <v>3236</v>
      </c>
      <c r="J50" s="501" t="s">
        <v>3236</v>
      </c>
      <c r="K50" s="501" t="s">
        <v>3353</v>
      </c>
      <c r="L50" s="501" t="s">
        <v>3348</v>
      </c>
      <c r="M50" s="501" t="s">
        <v>3247</v>
      </c>
      <c r="N50" s="501">
        <v>2024058386</v>
      </c>
      <c r="O50" s="501"/>
    </row>
    <row r="51" spans="2:15" outlineLevel="1">
      <c r="B51" s="503"/>
      <c r="C51" s="508"/>
      <c r="D51" s="508"/>
      <c r="E51" s="508">
        <v>2</v>
      </c>
      <c r="F51" s="508" t="s">
        <v>3354</v>
      </c>
      <c r="G51" s="508"/>
      <c r="H51" s="508"/>
      <c r="I51" s="508" t="s">
        <v>3236</v>
      </c>
      <c r="J51" s="508"/>
      <c r="K51" s="508" t="s">
        <v>3355</v>
      </c>
      <c r="L51" s="508"/>
      <c r="M51" s="508" t="s">
        <v>3247</v>
      </c>
      <c r="N51" s="508">
        <v>2024119375</v>
      </c>
      <c r="O51" s="508"/>
    </row>
    <row r="52" spans="2:15" outlineLevel="1">
      <c r="B52" s="503"/>
      <c r="C52" s="508"/>
      <c r="D52" s="508"/>
      <c r="E52" s="501">
        <v>3</v>
      </c>
      <c r="F52" s="508" t="s">
        <v>3356</v>
      </c>
      <c r="G52" s="508"/>
      <c r="H52" s="508"/>
      <c r="I52" s="508" t="s">
        <v>3236</v>
      </c>
      <c r="J52" s="508"/>
      <c r="K52" s="508" t="s">
        <v>3357</v>
      </c>
      <c r="L52" s="508"/>
      <c r="M52" s="508" t="s">
        <v>3358</v>
      </c>
      <c r="N52" s="508">
        <v>2024048247</v>
      </c>
      <c r="O52" s="508"/>
    </row>
    <row r="53" spans="2:15" outlineLevel="1">
      <c r="B53" s="503"/>
      <c r="C53" s="508"/>
      <c r="D53" s="508"/>
      <c r="E53" s="508">
        <v>4</v>
      </c>
      <c r="F53" s="508" t="s">
        <v>3359</v>
      </c>
      <c r="G53" s="508"/>
      <c r="H53" s="508"/>
      <c r="I53" s="508" t="s">
        <v>3236</v>
      </c>
      <c r="J53" s="508"/>
      <c r="K53" s="508" t="s">
        <v>3360</v>
      </c>
      <c r="L53" s="508"/>
      <c r="M53" s="508" t="s">
        <v>3358</v>
      </c>
      <c r="N53" s="508">
        <v>2024129466</v>
      </c>
      <c r="O53" s="508"/>
    </row>
    <row r="54" spans="2:15" outlineLevel="1">
      <c r="B54" s="503"/>
      <c r="C54" s="508"/>
      <c r="D54" s="508"/>
      <c r="E54" s="501">
        <v>5</v>
      </c>
      <c r="F54" s="508" t="s">
        <v>3361</v>
      </c>
      <c r="G54" s="508"/>
      <c r="H54" s="508"/>
      <c r="I54" s="508" t="s">
        <v>3236</v>
      </c>
      <c r="J54" s="508"/>
      <c r="K54" s="508" t="s">
        <v>3362</v>
      </c>
      <c r="L54" s="508"/>
      <c r="M54" s="508" t="s">
        <v>3358</v>
      </c>
      <c r="N54" s="508">
        <v>2024058388</v>
      </c>
      <c r="O54" s="508"/>
    </row>
    <row r="55" spans="2:15" outlineLevel="1">
      <c r="B55" s="503"/>
      <c r="C55" s="508"/>
      <c r="D55" s="508"/>
      <c r="E55" s="508">
        <v>6</v>
      </c>
      <c r="F55" s="508" t="s">
        <v>3363</v>
      </c>
      <c r="G55" s="508"/>
      <c r="H55" s="508"/>
      <c r="I55" s="508" t="s">
        <v>3236</v>
      </c>
      <c r="J55" s="508"/>
      <c r="K55" s="508" t="s">
        <v>3364</v>
      </c>
      <c r="L55" s="508"/>
      <c r="M55" s="508" t="s">
        <v>3358</v>
      </c>
      <c r="N55" s="508">
        <v>2024027790</v>
      </c>
      <c r="O55" s="508"/>
    </row>
    <row r="56" spans="2:15" outlineLevel="1">
      <c r="B56" s="503"/>
      <c r="C56" s="508"/>
      <c r="D56" s="508"/>
      <c r="E56" s="501">
        <v>7</v>
      </c>
      <c r="F56" s="508" t="s">
        <v>3365</v>
      </c>
      <c r="G56" s="508"/>
      <c r="H56" s="508"/>
      <c r="I56" s="508" t="s">
        <v>3236</v>
      </c>
      <c r="J56" s="508"/>
      <c r="K56" s="508" t="s">
        <v>3366</v>
      </c>
      <c r="L56" s="508"/>
      <c r="M56" s="508" t="s">
        <v>3358</v>
      </c>
      <c r="N56" s="508">
        <v>2024048201</v>
      </c>
      <c r="O56" s="508"/>
    </row>
    <row r="57" spans="2:15" outlineLevel="1">
      <c r="B57" s="503"/>
      <c r="C57" s="508"/>
      <c r="D57" s="508"/>
      <c r="E57" s="508">
        <v>8</v>
      </c>
      <c r="F57" s="508" t="s">
        <v>3367</v>
      </c>
      <c r="G57" s="508"/>
      <c r="H57" s="508"/>
      <c r="I57" s="508" t="s">
        <v>3236</v>
      </c>
      <c r="J57" s="508"/>
      <c r="K57" s="508" t="s">
        <v>3368</v>
      </c>
      <c r="L57" s="508"/>
      <c r="M57" s="508" t="s">
        <v>3358</v>
      </c>
      <c r="N57" s="508">
        <v>2024048244</v>
      </c>
      <c r="O57" s="508"/>
    </row>
    <row r="58" spans="2:15" outlineLevel="1">
      <c r="B58" s="503"/>
      <c r="C58" s="508"/>
      <c r="D58" s="508"/>
      <c r="E58" s="501">
        <v>9</v>
      </c>
      <c r="F58" s="508" t="s">
        <v>3369</v>
      </c>
      <c r="G58" s="508"/>
      <c r="H58" s="508"/>
      <c r="I58" s="508" t="s">
        <v>3236</v>
      </c>
      <c r="J58" s="508"/>
      <c r="K58" s="508" t="s">
        <v>3370</v>
      </c>
      <c r="L58" s="508"/>
      <c r="M58" s="508" t="s">
        <v>3358</v>
      </c>
      <c r="N58" s="508">
        <v>2024048200</v>
      </c>
      <c r="O58" s="508"/>
    </row>
    <row r="59" spans="2:15" outlineLevel="1">
      <c r="B59" s="503"/>
      <c r="C59" s="501" t="s">
        <v>3371</v>
      </c>
      <c r="D59" s="501" t="s">
        <v>3294</v>
      </c>
      <c r="E59" s="508">
        <v>1</v>
      </c>
      <c r="F59" s="501" t="s">
        <v>222</v>
      </c>
      <c r="G59" s="501">
        <v>100</v>
      </c>
      <c r="H59" s="501"/>
      <c r="I59" s="501" t="s">
        <v>3236</v>
      </c>
      <c r="J59" s="501" t="s">
        <v>3372</v>
      </c>
      <c r="K59" s="501" t="s">
        <v>3373</v>
      </c>
      <c r="L59" s="501"/>
      <c r="M59" s="501"/>
      <c r="N59" s="501">
        <v>2024048326</v>
      </c>
      <c r="O59" s="501"/>
    </row>
    <row r="60" spans="2:15" outlineLevel="1">
      <c r="B60" s="503"/>
      <c r="C60" s="508"/>
      <c r="D60" s="508"/>
      <c r="E60" s="508">
        <v>2</v>
      </c>
      <c r="F60" s="508" t="s">
        <v>231</v>
      </c>
      <c r="G60" s="508"/>
      <c r="H60" s="508"/>
      <c r="I60" s="501" t="s">
        <v>3236</v>
      </c>
      <c r="J60" s="508" t="s">
        <v>3374</v>
      </c>
      <c r="K60" s="508" t="s">
        <v>3375</v>
      </c>
      <c r="L60" s="508"/>
      <c r="M60" s="508"/>
      <c r="N60" s="508">
        <v>2024038096</v>
      </c>
      <c r="O60" s="508"/>
    </row>
    <row r="61" spans="2:15" outlineLevel="1">
      <c r="B61" s="503"/>
      <c r="C61" s="501" t="s">
        <v>3376</v>
      </c>
      <c r="D61" s="501" t="s">
        <v>3377</v>
      </c>
      <c r="E61" s="501">
        <v>1</v>
      </c>
      <c r="F61" s="501" t="s">
        <v>3378</v>
      </c>
      <c r="G61" s="501"/>
      <c r="H61" s="501"/>
      <c r="I61" s="501" t="s">
        <v>3236</v>
      </c>
      <c r="J61" s="501"/>
      <c r="K61" s="501" t="s">
        <v>3379</v>
      </c>
      <c r="L61" s="501"/>
      <c r="M61" s="501" t="s">
        <v>3358</v>
      </c>
      <c r="N61" s="501">
        <v>2024058459</v>
      </c>
      <c r="O61" s="501"/>
    </row>
    <row r="62" spans="2:15" outlineLevel="1">
      <c r="B62" s="503"/>
      <c r="C62" s="508"/>
      <c r="D62" s="508"/>
      <c r="E62" s="508">
        <v>2</v>
      </c>
      <c r="F62" s="508" t="s">
        <v>816</v>
      </c>
      <c r="G62" s="508"/>
      <c r="H62" s="508"/>
      <c r="I62" s="508" t="s">
        <v>3236</v>
      </c>
      <c r="J62" s="508"/>
      <c r="K62" s="508" t="s">
        <v>3380</v>
      </c>
      <c r="L62" s="508"/>
      <c r="M62" s="508" t="s">
        <v>3358</v>
      </c>
      <c r="N62" s="508">
        <v>2024068639</v>
      </c>
      <c r="O62" s="508"/>
    </row>
    <row r="63" spans="2:15" outlineLevel="1">
      <c r="B63" s="503"/>
      <c r="C63" s="508"/>
      <c r="D63" s="508"/>
      <c r="E63" s="508">
        <v>3</v>
      </c>
      <c r="F63" s="508" t="s">
        <v>1314</v>
      </c>
      <c r="G63" s="508"/>
      <c r="H63" s="508"/>
      <c r="I63" s="508" t="s">
        <v>3236</v>
      </c>
      <c r="J63" s="508"/>
      <c r="K63" s="508" t="s">
        <v>3381</v>
      </c>
      <c r="L63" s="508"/>
      <c r="M63" s="508" t="s">
        <v>3358</v>
      </c>
      <c r="N63" s="508">
        <v>2024038142</v>
      </c>
      <c r="O63" s="508"/>
    </row>
    <row r="64" spans="2:15" outlineLevel="1">
      <c r="B64" s="503"/>
      <c r="C64" s="508"/>
      <c r="D64" s="508"/>
      <c r="E64" s="508">
        <v>4</v>
      </c>
      <c r="F64" s="508" t="s">
        <v>803</v>
      </c>
      <c r="G64" s="508"/>
      <c r="H64" s="508"/>
      <c r="I64" s="508" t="s">
        <v>3236</v>
      </c>
      <c r="J64" s="508"/>
      <c r="K64" s="508" t="s">
        <v>3382</v>
      </c>
      <c r="L64" s="508"/>
      <c r="M64" s="508" t="s">
        <v>3358</v>
      </c>
      <c r="N64" s="508">
        <v>2024058552</v>
      </c>
      <c r="O64" s="508"/>
    </row>
    <row r="65" spans="2:15" outlineLevel="1">
      <c r="B65" s="503"/>
      <c r="C65" s="508"/>
      <c r="D65" s="508"/>
      <c r="E65" s="508">
        <v>5</v>
      </c>
      <c r="F65" s="508" t="s">
        <v>2580</v>
      </c>
      <c r="G65" s="508"/>
      <c r="H65" s="508"/>
      <c r="I65" s="508" t="s">
        <v>3236</v>
      </c>
      <c r="J65" s="508"/>
      <c r="K65" s="508" t="s">
        <v>3383</v>
      </c>
      <c r="L65" s="508"/>
      <c r="M65" s="508" t="s">
        <v>3358</v>
      </c>
      <c r="N65" s="508">
        <v>2024048354</v>
      </c>
      <c r="O65" s="508"/>
    </row>
    <row r="66" spans="2:15" outlineLevel="1">
      <c r="B66" s="503"/>
      <c r="C66" s="508"/>
      <c r="D66" s="508"/>
      <c r="E66" s="508">
        <v>6</v>
      </c>
      <c r="F66" s="508" t="s">
        <v>495</v>
      </c>
      <c r="G66" s="508"/>
      <c r="H66" s="508"/>
      <c r="I66" s="508" t="s">
        <v>3236</v>
      </c>
      <c r="J66" s="508"/>
      <c r="K66" s="508" t="s">
        <v>3384</v>
      </c>
      <c r="L66" s="508"/>
      <c r="M66" s="508" t="s">
        <v>3358</v>
      </c>
      <c r="N66" s="508">
        <v>2024017601</v>
      </c>
      <c r="O66" s="508"/>
    </row>
    <row r="67" spans="2:15" outlineLevel="1">
      <c r="B67" s="503"/>
      <c r="C67" s="501" t="s">
        <v>3385</v>
      </c>
      <c r="D67" s="501" t="s">
        <v>3386</v>
      </c>
      <c r="E67" s="501">
        <v>1</v>
      </c>
      <c r="F67" s="501" t="s">
        <v>3387</v>
      </c>
      <c r="G67" s="501"/>
      <c r="H67" s="501"/>
      <c r="I67" s="501" t="s">
        <v>3236</v>
      </c>
      <c r="J67" s="501"/>
      <c r="K67" s="501" t="s">
        <v>3388</v>
      </c>
      <c r="L67" s="501"/>
      <c r="M67" s="501" t="s">
        <v>3358</v>
      </c>
      <c r="N67" s="501">
        <v>2024027768</v>
      </c>
      <c r="O67" s="501"/>
    </row>
    <row r="68" spans="2:15" outlineLevel="1">
      <c r="B68" s="503"/>
      <c r="C68" s="508"/>
      <c r="D68" s="508"/>
      <c r="E68" s="508">
        <v>2</v>
      </c>
      <c r="F68" s="508" t="s">
        <v>3389</v>
      </c>
      <c r="G68" s="508"/>
      <c r="H68" s="508"/>
      <c r="I68" s="508" t="s">
        <v>3236</v>
      </c>
      <c r="J68" s="508"/>
      <c r="K68" s="508" t="s">
        <v>3390</v>
      </c>
      <c r="L68" s="508"/>
      <c r="M68" s="501" t="s">
        <v>3358</v>
      </c>
      <c r="N68" s="508">
        <v>2024129455</v>
      </c>
      <c r="O68" s="508"/>
    </row>
    <row r="69" spans="2:15" outlineLevel="1">
      <c r="B69" s="503"/>
      <c r="C69" s="508"/>
      <c r="D69" s="508"/>
      <c r="E69" s="508">
        <v>3</v>
      </c>
      <c r="F69" s="508" t="s">
        <v>3391</v>
      </c>
      <c r="G69" s="508"/>
      <c r="H69" s="508"/>
      <c r="I69" s="508" t="s">
        <v>3236</v>
      </c>
      <c r="J69" s="508"/>
      <c r="K69" s="508" t="s">
        <v>3392</v>
      </c>
      <c r="L69" s="508"/>
      <c r="M69" s="501" t="s">
        <v>3358</v>
      </c>
      <c r="N69" s="508">
        <v>2024027769</v>
      </c>
      <c r="O69" s="508"/>
    </row>
    <row r="70" spans="2:15" outlineLevel="1">
      <c r="B70" s="503"/>
      <c r="C70" s="508"/>
      <c r="D70" s="508"/>
      <c r="E70" s="508">
        <v>4</v>
      </c>
      <c r="F70" s="508" t="s">
        <v>3393</v>
      </c>
      <c r="G70" s="508"/>
      <c r="H70" s="508"/>
      <c r="I70" s="508" t="s">
        <v>3236</v>
      </c>
      <c r="J70" s="508"/>
      <c r="K70" s="508" t="s">
        <v>3394</v>
      </c>
      <c r="L70" s="508"/>
      <c r="M70" s="501" t="s">
        <v>3358</v>
      </c>
      <c r="N70" s="532">
        <v>2024099148</v>
      </c>
      <c r="O70" s="508"/>
    </row>
    <row r="71" spans="2:15" outlineLevel="1">
      <c r="B71" s="503"/>
      <c r="C71" s="508"/>
      <c r="D71" s="508"/>
      <c r="E71" s="508">
        <v>5</v>
      </c>
      <c r="F71" s="508" t="s">
        <v>3395</v>
      </c>
      <c r="G71" s="508"/>
      <c r="H71" s="508"/>
      <c r="I71" s="508" t="s">
        <v>3236</v>
      </c>
      <c r="J71" s="508"/>
      <c r="K71" s="508" t="s">
        <v>3396</v>
      </c>
      <c r="L71" s="508"/>
      <c r="M71" s="501" t="s">
        <v>3358</v>
      </c>
      <c r="N71" s="508">
        <v>2024027823</v>
      </c>
      <c r="O71" s="508"/>
    </row>
    <row r="72" spans="2:15" outlineLevel="1">
      <c r="B72" s="503"/>
      <c r="C72" s="508"/>
      <c r="D72" s="508"/>
      <c r="E72" s="508">
        <v>6</v>
      </c>
      <c r="F72" s="508" t="s">
        <v>3397</v>
      </c>
      <c r="G72" s="508"/>
      <c r="H72" s="508"/>
      <c r="I72" s="508" t="s">
        <v>3236</v>
      </c>
      <c r="J72" s="508"/>
      <c r="K72" s="508" t="s">
        <v>3398</v>
      </c>
      <c r="L72" s="508"/>
      <c r="M72" s="501" t="s">
        <v>3358</v>
      </c>
      <c r="N72" s="508">
        <v>2024129454</v>
      </c>
      <c r="O72" s="508"/>
    </row>
    <row r="73" spans="2:15" outlineLevel="1">
      <c r="B73" s="503"/>
      <c r="C73" s="501" t="s">
        <v>3399</v>
      </c>
      <c r="D73" s="501" t="s">
        <v>3400</v>
      </c>
      <c r="E73" s="501">
        <v>1</v>
      </c>
      <c r="F73" s="501" t="s">
        <v>3401</v>
      </c>
      <c r="G73" s="501">
        <v>50</v>
      </c>
      <c r="H73" s="501"/>
      <c r="I73" s="501" t="s">
        <v>3236</v>
      </c>
      <c r="J73" s="501"/>
      <c r="K73" s="501" t="s">
        <v>3402</v>
      </c>
      <c r="L73" s="501"/>
      <c r="M73" s="501"/>
      <c r="N73" s="502">
        <v>2024048208</v>
      </c>
      <c r="O73" s="501"/>
    </row>
    <row r="74" spans="2:15" outlineLevel="1">
      <c r="B74" s="503"/>
      <c r="C74" s="508"/>
      <c r="D74" s="508"/>
      <c r="E74" s="508">
        <v>2</v>
      </c>
      <c r="F74" s="508" t="s">
        <v>3403</v>
      </c>
      <c r="G74" s="508"/>
      <c r="H74" s="508"/>
      <c r="I74" s="501" t="s">
        <v>3236</v>
      </c>
      <c r="J74" s="508"/>
      <c r="K74" s="508" t="s">
        <v>3404</v>
      </c>
      <c r="L74" s="508"/>
      <c r="M74" s="508"/>
      <c r="N74" s="502">
        <v>2024048251</v>
      </c>
      <c r="O74" s="508"/>
    </row>
    <row r="75" spans="2:15">
      <c r="B75" s="496" t="s">
        <v>3405</v>
      </c>
      <c r="C75" s="497"/>
      <c r="D75" s="498"/>
      <c r="E75" s="498"/>
      <c r="F75" s="498"/>
      <c r="G75" s="498"/>
      <c r="H75" s="498"/>
      <c r="I75" s="498"/>
      <c r="J75" s="498"/>
      <c r="K75" s="498"/>
      <c r="L75" s="498"/>
      <c r="M75" s="498"/>
      <c r="N75" s="533"/>
      <c r="O75" s="499"/>
    </row>
    <row r="76" spans="2:15">
      <c r="B76" s="500" t="s">
        <v>3232</v>
      </c>
      <c r="C76" s="501" t="s">
        <v>3233</v>
      </c>
      <c r="D76" s="501" t="s">
        <v>3234</v>
      </c>
      <c r="E76" s="501">
        <v>1</v>
      </c>
      <c r="F76" s="501" t="s">
        <v>3406</v>
      </c>
      <c r="G76" s="501">
        <v>50</v>
      </c>
      <c r="H76" s="501"/>
      <c r="I76" s="501" t="s">
        <v>3407</v>
      </c>
      <c r="J76" s="501" t="s">
        <v>3408</v>
      </c>
      <c r="K76" s="501" t="s">
        <v>3409</v>
      </c>
      <c r="L76" s="501"/>
      <c r="M76" s="501" t="s">
        <v>3240</v>
      </c>
      <c r="N76" s="502">
        <v>2023127223</v>
      </c>
      <c r="O76" s="501"/>
    </row>
    <row r="77" spans="2:15">
      <c r="B77" s="503"/>
      <c r="C77" s="508"/>
      <c r="D77" s="508"/>
      <c r="E77" s="508">
        <v>2</v>
      </c>
      <c r="F77" s="508" t="s">
        <v>3410</v>
      </c>
      <c r="G77" s="508"/>
      <c r="H77" s="508"/>
      <c r="I77" s="508" t="s">
        <v>3407</v>
      </c>
      <c r="J77" s="524">
        <v>45303</v>
      </c>
      <c r="K77" s="508" t="s">
        <v>3411</v>
      </c>
      <c r="L77" s="508" t="s">
        <v>3412</v>
      </c>
      <c r="M77" s="508" t="s">
        <v>3240</v>
      </c>
      <c r="N77" s="502">
        <v>2024048318</v>
      </c>
      <c r="O77" s="508"/>
    </row>
    <row r="78" spans="2:15">
      <c r="B78" s="503"/>
      <c r="C78" s="506" t="s">
        <v>3243</v>
      </c>
      <c r="D78" s="506" t="s">
        <v>3244</v>
      </c>
      <c r="E78" s="501">
        <v>1</v>
      </c>
      <c r="F78" s="506" t="s">
        <v>3413</v>
      </c>
      <c r="G78" s="506"/>
      <c r="H78" s="506">
        <v>10</v>
      </c>
      <c r="I78" s="508" t="s">
        <v>3407</v>
      </c>
      <c r="J78" s="506" t="s">
        <v>3414</v>
      </c>
      <c r="K78" s="506" t="s">
        <v>3415</v>
      </c>
      <c r="L78" s="506" t="s">
        <v>3412</v>
      </c>
      <c r="M78" s="508" t="s">
        <v>3240</v>
      </c>
      <c r="N78" s="534">
        <v>2024099124</v>
      </c>
      <c r="O78" s="506"/>
    </row>
    <row r="79" spans="2:15">
      <c r="B79" s="503"/>
      <c r="C79" s="508"/>
      <c r="D79" s="508"/>
      <c r="E79" s="508">
        <v>2</v>
      </c>
      <c r="F79" s="508" t="s">
        <v>3416</v>
      </c>
      <c r="G79" s="508"/>
      <c r="H79" s="508">
        <v>10</v>
      </c>
      <c r="I79" s="508" t="s">
        <v>3407</v>
      </c>
      <c r="J79" s="508" t="s">
        <v>3407</v>
      </c>
      <c r="K79" s="508" t="s">
        <v>3417</v>
      </c>
      <c r="L79" s="508"/>
      <c r="M79" s="508" t="s">
        <v>3240</v>
      </c>
      <c r="N79" s="532">
        <v>2024099201</v>
      </c>
      <c r="O79" s="508"/>
    </row>
    <row r="80" spans="2:15">
      <c r="B80" s="503"/>
      <c r="C80" s="508"/>
      <c r="D80" s="508"/>
      <c r="E80" s="508">
        <v>3</v>
      </c>
      <c r="F80" s="508" t="s">
        <v>3418</v>
      </c>
      <c r="G80" s="508">
        <v>100</v>
      </c>
      <c r="H80" s="508">
        <v>10</v>
      </c>
      <c r="I80" s="508" t="s">
        <v>3407</v>
      </c>
      <c r="J80" s="508" t="s">
        <v>3419</v>
      </c>
      <c r="K80" s="508" t="s">
        <v>3420</v>
      </c>
      <c r="L80" s="508"/>
      <c r="M80" s="508" t="s">
        <v>3240</v>
      </c>
      <c r="N80" s="532">
        <v>2024109289</v>
      </c>
      <c r="O80" s="508"/>
    </row>
    <row r="81" spans="2:15" ht="17.25">
      <c r="B81" s="503"/>
      <c r="C81" s="506" t="s">
        <v>3250</v>
      </c>
      <c r="D81" s="506" t="s">
        <v>3251</v>
      </c>
      <c r="E81" s="501">
        <v>1</v>
      </c>
      <c r="F81" s="506" t="s">
        <v>3421</v>
      </c>
      <c r="G81" s="506"/>
      <c r="H81" s="506"/>
      <c r="I81" s="506" t="s">
        <v>3407</v>
      </c>
      <c r="J81" s="506" t="s">
        <v>3422</v>
      </c>
      <c r="K81" s="506" t="s">
        <v>3423</v>
      </c>
      <c r="L81" s="508" t="s">
        <v>3412</v>
      </c>
      <c r="M81" s="506"/>
      <c r="N81" s="535">
        <v>2024099191</v>
      </c>
      <c r="O81" s="506"/>
    </row>
    <row r="82" spans="2:15" ht="17.25">
      <c r="B82" s="503"/>
      <c r="C82" s="508"/>
      <c r="D82" s="508"/>
      <c r="E82" s="508">
        <v>2</v>
      </c>
      <c r="F82" s="508" t="s">
        <v>3424</v>
      </c>
      <c r="G82" s="508"/>
      <c r="H82" s="508"/>
      <c r="I82" s="508" t="s">
        <v>3407</v>
      </c>
      <c r="J82" s="508" t="s">
        <v>3407</v>
      </c>
      <c r="K82" s="508" t="s">
        <v>3425</v>
      </c>
      <c r="M82" s="508"/>
      <c r="N82" s="536">
        <v>2024099269</v>
      </c>
      <c r="O82" s="508"/>
    </row>
    <row r="83" spans="2:15" ht="17.25">
      <c r="B83" s="503"/>
      <c r="C83" s="508"/>
      <c r="D83" s="508"/>
      <c r="E83" s="508">
        <v>3</v>
      </c>
      <c r="F83" s="508" t="s">
        <v>3426</v>
      </c>
      <c r="G83" s="508"/>
      <c r="H83" s="508"/>
      <c r="I83" s="506" t="s">
        <v>3407</v>
      </c>
      <c r="J83" s="506" t="s">
        <v>3407</v>
      </c>
      <c r="K83" s="508" t="s">
        <v>3427</v>
      </c>
      <c r="L83" s="508"/>
      <c r="M83" s="508"/>
      <c r="N83" s="536">
        <v>2024109296</v>
      </c>
      <c r="O83" s="508"/>
    </row>
    <row r="84" spans="2:15" s="540" customFormat="1">
      <c r="B84" s="537"/>
      <c r="C84" s="522"/>
      <c r="D84" s="522"/>
      <c r="E84" s="522">
        <v>4</v>
      </c>
      <c r="F84" s="522" t="s">
        <v>3428</v>
      </c>
      <c r="G84" s="522"/>
      <c r="H84" s="522"/>
      <c r="I84" s="522" t="s">
        <v>3407</v>
      </c>
      <c r="J84" s="538" t="s">
        <v>3407</v>
      </c>
      <c r="K84" s="522" t="s">
        <v>3429</v>
      </c>
      <c r="L84" s="522" t="s">
        <v>3430</v>
      </c>
      <c r="M84" s="522"/>
      <c r="N84" s="539">
        <v>2024129531</v>
      </c>
      <c r="O84" s="522"/>
    </row>
    <row r="85" spans="2:15">
      <c r="B85" s="503"/>
      <c r="C85" s="508"/>
      <c r="D85" s="508"/>
      <c r="E85" s="508">
        <v>5</v>
      </c>
      <c r="F85" s="508" t="s">
        <v>3431</v>
      </c>
      <c r="G85" s="508"/>
      <c r="H85" s="508"/>
      <c r="I85" s="508" t="s">
        <v>3407</v>
      </c>
      <c r="J85" s="506" t="s">
        <v>3407</v>
      </c>
      <c r="K85" s="508" t="s">
        <v>3432</v>
      </c>
      <c r="L85" s="508" t="s">
        <v>3433</v>
      </c>
      <c r="M85" s="508" t="s">
        <v>3434</v>
      </c>
      <c r="N85" s="541">
        <v>2024129532</v>
      </c>
      <c r="O85" s="508"/>
    </row>
    <row r="86" spans="2:15" ht="17.25">
      <c r="B86" s="503"/>
      <c r="C86" s="508"/>
      <c r="D86" s="508"/>
      <c r="E86" s="508">
        <v>6</v>
      </c>
      <c r="F86" s="508" t="s">
        <v>3435</v>
      </c>
      <c r="G86" s="508"/>
      <c r="H86" s="508"/>
      <c r="I86" s="508" t="s">
        <v>3407</v>
      </c>
      <c r="J86" s="506" t="s">
        <v>3407</v>
      </c>
      <c r="K86" s="508" t="s">
        <v>3436</v>
      </c>
      <c r="L86" s="508"/>
      <c r="M86" s="508"/>
      <c r="N86" s="542">
        <v>2024099178</v>
      </c>
      <c r="O86" s="508"/>
    </row>
    <row r="87" spans="2:15" s="540" customFormat="1">
      <c r="B87" s="537"/>
      <c r="C87" s="522"/>
      <c r="D87" s="522"/>
      <c r="E87" s="522">
        <v>7</v>
      </c>
      <c r="F87" s="522" t="s">
        <v>3437</v>
      </c>
      <c r="G87" s="522"/>
      <c r="H87" s="522"/>
      <c r="I87" s="522" t="s">
        <v>3407</v>
      </c>
      <c r="J87" s="538" t="s">
        <v>3407</v>
      </c>
      <c r="K87" s="522" t="s">
        <v>3438</v>
      </c>
      <c r="L87" s="522"/>
      <c r="M87" s="522"/>
      <c r="N87" s="539">
        <v>2024058533</v>
      </c>
      <c r="O87" s="522"/>
    </row>
    <row r="88" spans="2:15" ht="17.25">
      <c r="B88" s="503"/>
      <c r="C88" s="508"/>
      <c r="D88" s="508"/>
      <c r="E88" s="508">
        <v>8</v>
      </c>
      <c r="F88" s="508" t="s">
        <v>3439</v>
      </c>
      <c r="G88" s="508"/>
      <c r="H88" s="508"/>
      <c r="I88" s="508" t="s">
        <v>3407</v>
      </c>
      <c r="J88" s="506" t="s">
        <v>3407</v>
      </c>
      <c r="K88" s="508" t="s">
        <v>3440</v>
      </c>
      <c r="L88" s="508"/>
      <c r="M88" s="508"/>
      <c r="N88" s="543">
        <v>2024099216</v>
      </c>
      <c r="O88" s="508"/>
    </row>
    <row r="89" spans="2:15" ht="17.25">
      <c r="B89" s="503"/>
      <c r="C89" s="508"/>
      <c r="D89" s="508"/>
      <c r="E89" s="508">
        <v>9</v>
      </c>
      <c r="F89" s="508" t="s">
        <v>3441</v>
      </c>
      <c r="G89" s="508"/>
      <c r="H89" s="508"/>
      <c r="I89" s="508" t="s">
        <v>3407</v>
      </c>
      <c r="J89" s="506" t="s">
        <v>3407</v>
      </c>
      <c r="K89" s="508" t="s">
        <v>3442</v>
      </c>
      <c r="L89" s="508"/>
      <c r="M89" s="508"/>
      <c r="N89" s="544">
        <v>2024099271</v>
      </c>
      <c r="O89" s="508"/>
    </row>
    <row r="90" spans="2:15" ht="17.25">
      <c r="B90" s="515"/>
      <c r="C90" s="516"/>
      <c r="D90" s="516"/>
      <c r="E90" s="516">
        <v>10</v>
      </c>
      <c r="F90" s="516" t="s">
        <v>3443</v>
      </c>
      <c r="G90" s="516"/>
      <c r="H90" s="516"/>
      <c r="I90" s="516" t="s">
        <v>3407</v>
      </c>
      <c r="J90" s="516" t="s">
        <v>3407</v>
      </c>
      <c r="K90" s="516" t="s">
        <v>3444</v>
      </c>
      <c r="L90" s="516"/>
      <c r="M90" s="508" t="s">
        <v>3434</v>
      </c>
      <c r="N90" s="536">
        <v>2024099212</v>
      </c>
      <c r="O90" s="516"/>
    </row>
    <row r="91" spans="2:15">
      <c r="B91" s="503" t="s">
        <v>3276</v>
      </c>
      <c r="C91" s="506" t="s">
        <v>3277</v>
      </c>
      <c r="D91" s="506" t="s">
        <v>3278</v>
      </c>
      <c r="E91" s="501">
        <v>1</v>
      </c>
      <c r="F91" s="506" t="s">
        <v>3445</v>
      </c>
      <c r="G91" s="506"/>
      <c r="H91" s="506">
        <v>1</v>
      </c>
      <c r="I91" s="506" t="s">
        <v>3407</v>
      </c>
      <c r="J91" s="545" t="s">
        <v>3446</v>
      </c>
      <c r="K91" s="506" t="s">
        <v>3447</v>
      </c>
      <c r="L91" s="506" t="s">
        <v>3448</v>
      </c>
      <c r="M91" s="506" t="s">
        <v>3358</v>
      </c>
      <c r="N91" s="506">
        <v>2024017475</v>
      </c>
      <c r="O91" s="506"/>
    </row>
    <row r="92" spans="2:15">
      <c r="B92" s="503"/>
      <c r="C92" s="508"/>
      <c r="D92" s="508"/>
      <c r="E92" s="508">
        <v>2</v>
      </c>
      <c r="F92" s="484" t="s">
        <v>3449</v>
      </c>
      <c r="G92" s="508"/>
      <c r="H92" s="508">
        <v>0.5</v>
      </c>
      <c r="I92" s="508" t="s">
        <v>3407</v>
      </c>
      <c r="J92" s="508" t="s">
        <v>3450</v>
      </c>
      <c r="K92" s="508" t="s">
        <v>3451</v>
      </c>
      <c r="L92" s="508" t="s">
        <v>3448</v>
      </c>
      <c r="M92" s="508" t="s">
        <v>3358</v>
      </c>
      <c r="N92" s="508">
        <v>2023127388</v>
      </c>
      <c r="O92" s="508"/>
    </row>
    <row r="93" spans="2:15">
      <c r="B93" s="503"/>
      <c r="C93" s="508"/>
      <c r="D93" s="508"/>
      <c r="E93" s="508">
        <v>3</v>
      </c>
      <c r="F93" s="508" t="s">
        <v>3452</v>
      </c>
      <c r="G93" s="508"/>
      <c r="H93" s="508">
        <v>0.5</v>
      </c>
      <c r="I93" s="508" t="s">
        <v>3407</v>
      </c>
      <c r="J93" s="508" t="s">
        <v>3446</v>
      </c>
      <c r="K93" s="508" t="s">
        <v>3453</v>
      </c>
      <c r="L93" s="508"/>
      <c r="M93" s="508" t="s">
        <v>3358</v>
      </c>
      <c r="N93" s="508">
        <v>2024089016</v>
      </c>
      <c r="O93" s="508"/>
    </row>
    <row r="94" spans="2:15">
      <c r="B94" s="503"/>
      <c r="C94" s="508"/>
      <c r="D94" s="508"/>
      <c r="E94" s="508">
        <v>4</v>
      </c>
      <c r="F94" s="508" t="s">
        <v>919</v>
      </c>
      <c r="G94" s="508"/>
      <c r="H94" s="508">
        <v>0.5</v>
      </c>
      <c r="I94" s="508" t="s">
        <v>3407</v>
      </c>
      <c r="J94" s="508" t="s">
        <v>3422</v>
      </c>
      <c r="K94" s="508" t="s">
        <v>3454</v>
      </c>
      <c r="L94" s="508"/>
      <c r="M94" s="508" t="s">
        <v>3358</v>
      </c>
      <c r="N94" s="508">
        <v>2024129533</v>
      </c>
      <c r="O94" s="508"/>
    </row>
    <row r="95" spans="2:15">
      <c r="B95" s="503"/>
      <c r="C95" s="508"/>
      <c r="D95" s="508"/>
      <c r="E95" s="508">
        <v>5</v>
      </c>
      <c r="F95" s="508" t="s">
        <v>3455</v>
      </c>
      <c r="G95" s="508"/>
      <c r="H95" s="508">
        <v>0.5</v>
      </c>
      <c r="I95" s="508" t="s">
        <v>3407</v>
      </c>
      <c r="J95" s="508" t="s">
        <v>3450</v>
      </c>
      <c r="K95" s="508" t="s">
        <v>3456</v>
      </c>
      <c r="L95" s="508"/>
      <c r="M95" s="508" t="s">
        <v>3358</v>
      </c>
      <c r="N95" s="508">
        <v>2023106851</v>
      </c>
      <c r="O95" s="508"/>
    </row>
    <row r="96" spans="2:15" s="540" customFormat="1">
      <c r="B96" s="537"/>
      <c r="C96" s="538" t="s">
        <v>3291</v>
      </c>
      <c r="D96" s="538" t="s">
        <v>3292</v>
      </c>
      <c r="E96" s="546">
        <v>1</v>
      </c>
      <c r="F96" s="538" t="s">
        <v>3457</v>
      </c>
      <c r="G96" s="538"/>
      <c r="H96" s="538">
        <v>10</v>
      </c>
      <c r="I96" s="522" t="s">
        <v>3407</v>
      </c>
      <c r="J96" s="522" t="s">
        <v>3407</v>
      </c>
      <c r="K96" s="538" t="s">
        <v>3458</v>
      </c>
      <c r="L96" s="538" t="s">
        <v>3459</v>
      </c>
      <c r="M96" s="538" t="s">
        <v>3358</v>
      </c>
      <c r="N96" s="538">
        <v>2024089041</v>
      </c>
      <c r="O96" s="538"/>
    </row>
    <row r="97" spans="2:15">
      <c r="B97" s="503"/>
      <c r="C97" s="506" t="s">
        <v>3291</v>
      </c>
      <c r="D97" s="506" t="s">
        <v>3292</v>
      </c>
      <c r="E97" s="508">
        <v>2</v>
      </c>
      <c r="F97" s="508" t="s">
        <v>3460</v>
      </c>
      <c r="G97" s="508"/>
      <c r="H97" s="508">
        <v>20</v>
      </c>
      <c r="I97" s="508" t="s">
        <v>3407</v>
      </c>
      <c r="J97" s="508" t="s">
        <v>3407</v>
      </c>
      <c r="K97" s="508" t="s">
        <v>3461</v>
      </c>
      <c r="L97" s="508"/>
      <c r="M97" s="508" t="s">
        <v>3247</v>
      </c>
      <c r="N97" s="547">
        <v>2024038055</v>
      </c>
      <c r="O97" s="508"/>
    </row>
    <row r="98" spans="2:15" ht="17.25" thickBot="1">
      <c r="B98" s="503"/>
      <c r="C98" s="506" t="s">
        <v>3291</v>
      </c>
      <c r="D98" s="506" t="s">
        <v>3292</v>
      </c>
      <c r="E98" s="508">
        <v>3</v>
      </c>
      <c r="F98" s="508" t="s">
        <v>3462</v>
      </c>
      <c r="G98" s="508"/>
      <c r="H98" s="508">
        <v>20</v>
      </c>
      <c r="I98" s="508" t="s">
        <v>3407</v>
      </c>
      <c r="J98" s="508" t="s">
        <v>3407</v>
      </c>
      <c r="K98" s="508" t="s">
        <v>3463</v>
      </c>
      <c r="L98" s="508"/>
      <c r="M98" s="508" t="s">
        <v>3247</v>
      </c>
      <c r="N98" s="508">
        <v>2024088967</v>
      </c>
      <c r="O98" s="508"/>
    </row>
    <row r="99" spans="2:15">
      <c r="B99" s="503"/>
      <c r="C99" s="506" t="s">
        <v>3293</v>
      </c>
      <c r="D99" s="506" t="s">
        <v>3294</v>
      </c>
      <c r="E99" s="506">
        <v>1</v>
      </c>
      <c r="F99" s="548" t="s">
        <v>1002</v>
      </c>
      <c r="G99" s="506"/>
      <c r="H99" s="506">
        <v>10</v>
      </c>
      <c r="I99" s="508" t="s">
        <v>3407</v>
      </c>
      <c r="J99" s="508" t="s">
        <v>3414</v>
      </c>
      <c r="K99" s="506" t="s">
        <v>3464</v>
      </c>
      <c r="L99" s="506" t="s">
        <v>3465</v>
      </c>
      <c r="M99" s="506"/>
      <c r="N99" s="549">
        <v>2024027737</v>
      </c>
      <c r="O99" s="506"/>
    </row>
    <row r="100" spans="2:15">
      <c r="B100" s="503"/>
      <c r="C100" s="550"/>
      <c r="D100" s="551" t="s">
        <v>3294</v>
      </c>
      <c r="E100" s="508">
        <v>2</v>
      </c>
      <c r="F100" s="552" t="s">
        <v>1754</v>
      </c>
      <c r="G100" s="508"/>
      <c r="H100" s="508">
        <v>10</v>
      </c>
      <c r="I100" s="508" t="s">
        <v>3407</v>
      </c>
      <c r="J100" s="508" t="s">
        <v>3419</v>
      </c>
      <c r="K100" s="508" t="s">
        <v>3466</v>
      </c>
      <c r="L100" s="508"/>
      <c r="M100" s="508"/>
      <c r="N100" s="547">
        <v>2024078824</v>
      </c>
      <c r="O100" s="508"/>
    </row>
    <row r="101" spans="2:15">
      <c r="B101" s="503" t="s">
        <v>3300</v>
      </c>
      <c r="C101" s="553" t="s">
        <v>3301</v>
      </c>
      <c r="D101" s="553" t="s">
        <v>3302</v>
      </c>
      <c r="E101" s="553">
        <v>1</v>
      </c>
      <c r="F101" s="553" t="s">
        <v>3467</v>
      </c>
      <c r="G101" s="553"/>
      <c r="H101" s="553"/>
      <c r="I101" s="553" t="s">
        <v>3407</v>
      </c>
      <c r="J101" s="553"/>
      <c r="K101" s="553"/>
      <c r="L101" s="553"/>
      <c r="M101" s="553"/>
      <c r="N101" s="553">
        <v>2024129520</v>
      </c>
      <c r="O101" s="553"/>
    </row>
    <row r="102" spans="2:15">
      <c r="B102" s="503"/>
      <c r="C102" s="508"/>
      <c r="D102" s="508"/>
      <c r="E102" s="508">
        <v>2</v>
      </c>
      <c r="F102" s="484" t="s">
        <v>3468</v>
      </c>
      <c r="G102" s="508"/>
      <c r="H102" s="508"/>
      <c r="I102" s="508" t="s">
        <v>3407</v>
      </c>
      <c r="J102" s="508"/>
      <c r="K102" s="508"/>
      <c r="L102" s="508"/>
      <c r="M102" s="508"/>
      <c r="N102" s="508">
        <v>2024129521</v>
      </c>
      <c r="O102" s="508"/>
    </row>
    <row r="103" spans="2:15">
      <c r="B103" s="503"/>
      <c r="C103" s="508"/>
      <c r="D103" s="508"/>
      <c r="E103" s="508">
        <v>3</v>
      </c>
      <c r="F103" s="508" t="s">
        <v>2404</v>
      </c>
      <c r="G103" s="508"/>
      <c r="H103" s="508"/>
      <c r="I103" s="508" t="s">
        <v>3407</v>
      </c>
      <c r="J103" s="508"/>
      <c r="K103" s="508"/>
      <c r="L103" s="508"/>
      <c r="M103" s="508"/>
      <c r="N103" s="508">
        <v>2024129522</v>
      </c>
      <c r="O103" s="508"/>
    </row>
    <row r="104" spans="2:15">
      <c r="B104" s="503"/>
      <c r="C104" s="508"/>
      <c r="D104" s="508"/>
      <c r="E104" s="508">
        <v>4</v>
      </c>
      <c r="F104" s="508" t="s">
        <v>3469</v>
      </c>
      <c r="G104" s="508"/>
      <c r="H104" s="508"/>
      <c r="I104" s="508" t="s">
        <v>3407</v>
      </c>
      <c r="J104" s="508"/>
      <c r="K104" s="508"/>
      <c r="L104" s="508"/>
      <c r="M104" s="508"/>
      <c r="N104" s="508">
        <v>2024129523</v>
      </c>
      <c r="O104" s="508"/>
    </row>
    <row r="105" spans="2:15">
      <c r="B105" s="503"/>
      <c r="C105" s="508"/>
      <c r="D105" s="508"/>
      <c r="E105" s="508">
        <v>5</v>
      </c>
      <c r="F105" s="508" t="s">
        <v>3470</v>
      </c>
      <c r="G105" s="508"/>
      <c r="H105" s="508"/>
      <c r="I105" s="508" t="s">
        <v>3407</v>
      </c>
      <c r="J105" s="508"/>
      <c r="K105" s="508"/>
      <c r="L105" s="508"/>
      <c r="M105" s="508"/>
      <c r="N105" s="508">
        <v>2024129524</v>
      </c>
      <c r="O105" s="508"/>
    </row>
    <row r="106" spans="2:15">
      <c r="B106" s="503"/>
      <c r="C106" s="508"/>
      <c r="D106" s="508"/>
      <c r="E106" s="508">
        <v>6</v>
      </c>
      <c r="F106" s="508" t="s">
        <v>3471</v>
      </c>
      <c r="G106" s="508"/>
      <c r="H106" s="508"/>
      <c r="I106" s="508" t="s">
        <v>3407</v>
      </c>
      <c r="J106" s="508"/>
      <c r="K106" s="508"/>
      <c r="L106" s="508"/>
      <c r="M106" s="508"/>
      <c r="N106" s="508">
        <v>2024129525</v>
      </c>
      <c r="O106" s="508"/>
    </row>
    <row r="107" spans="2:15">
      <c r="B107" s="503"/>
      <c r="C107" s="508"/>
      <c r="D107" s="508"/>
      <c r="E107" s="508">
        <v>7</v>
      </c>
      <c r="F107" s="508" t="s">
        <v>3472</v>
      </c>
      <c r="G107" s="508"/>
      <c r="H107" s="508"/>
      <c r="I107" s="508" t="s">
        <v>3407</v>
      </c>
      <c r="J107" s="508"/>
      <c r="K107" s="508"/>
      <c r="L107" s="508"/>
      <c r="M107" s="508"/>
      <c r="N107" s="508">
        <v>2024129526</v>
      </c>
      <c r="O107" s="508"/>
    </row>
    <row r="108" spans="2:15">
      <c r="B108" s="503"/>
      <c r="C108" s="508"/>
      <c r="D108" s="508"/>
      <c r="E108" s="508">
        <v>8</v>
      </c>
      <c r="F108" s="508" t="s">
        <v>3473</v>
      </c>
      <c r="G108" s="508"/>
      <c r="H108" s="508"/>
      <c r="I108" s="508" t="s">
        <v>3407</v>
      </c>
      <c r="J108" s="508"/>
      <c r="K108" s="508"/>
      <c r="L108" s="508"/>
      <c r="M108" s="508"/>
      <c r="N108" s="508">
        <v>2024129527</v>
      </c>
      <c r="O108" s="508"/>
    </row>
    <row r="109" spans="2:15">
      <c r="B109" s="503"/>
      <c r="C109" s="501" t="s">
        <v>3474</v>
      </c>
      <c r="D109" s="501" t="s">
        <v>3315</v>
      </c>
      <c r="E109" s="501">
        <v>1</v>
      </c>
      <c r="F109" s="501"/>
      <c r="G109" s="501"/>
      <c r="H109" s="501"/>
      <c r="I109" s="501"/>
      <c r="J109" s="501"/>
      <c r="K109" s="501"/>
      <c r="L109" s="501"/>
      <c r="M109" s="501"/>
      <c r="N109" s="501"/>
      <c r="O109" s="501"/>
    </row>
    <row r="110" spans="2:15">
      <c r="B110" s="503"/>
      <c r="C110" s="508"/>
      <c r="D110" s="508"/>
      <c r="E110" s="508">
        <v>2</v>
      </c>
      <c r="F110" s="508" t="s">
        <v>3475</v>
      </c>
      <c r="G110" s="508"/>
      <c r="H110" s="508">
        <v>10</v>
      </c>
      <c r="I110" s="508" t="s">
        <v>3407</v>
      </c>
      <c r="J110" s="547" t="s">
        <v>3407</v>
      </c>
      <c r="K110" s="508" t="s">
        <v>3476</v>
      </c>
      <c r="L110" s="508"/>
      <c r="M110" s="508"/>
      <c r="N110" s="508">
        <v>2024129528</v>
      </c>
      <c r="O110" s="508"/>
    </row>
    <row r="111" spans="2:15">
      <c r="B111" s="503"/>
      <c r="C111" s="508"/>
      <c r="D111" s="508"/>
      <c r="E111" s="508">
        <v>3</v>
      </c>
      <c r="F111" s="508" t="s">
        <v>3477</v>
      </c>
      <c r="G111" s="508"/>
      <c r="H111" s="508">
        <v>20</v>
      </c>
      <c r="I111" s="508" t="s">
        <v>3407</v>
      </c>
      <c r="J111" s="508" t="s">
        <v>3407</v>
      </c>
      <c r="K111" s="508" t="s">
        <v>3478</v>
      </c>
      <c r="L111" s="508"/>
      <c r="M111" s="508"/>
      <c r="N111" s="508">
        <v>2024129529</v>
      </c>
      <c r="O111" s="508"/>
    </row>
    <row r="112" spans="2:15">
      <c r="B112" s="503"/>
      <c r="C112" s="508"/>
      <c r="D112" s="508"/>
      <c r="E112" s="508">
        <v>4</v>
      </c>
      <c r="F112" s="508" t="s">
        <v>3479</v>
      </c>
      <c r="G112" s="508"/>
      <c r="H112" s="508">
        <v>10</v>
      </c>
      <c r="I112" s="508" t="s">
        <v>3407</v>
      </c>
      <c r="J112" s="508" t="s">
        <v>3407</v>
      </c>
      <c r="K112" s="508" t="s">
        <v>3480</v>
      </c>
      <c r="L112" s="508"/>
      <c r="M112" s="508"/>
      <c r="N112" s="508">
        <v>2024129530</v>
      </c>
      <c r="O112" s="508"/>
    </row>
    <row r="113" spans="2:15">
      <c r="B113" s="503"/>
      <c r="C113" s="508"/>
      <c r="D113" s="508"/>
      <c r="E113" s="508">
        <v>5</v>
      </c>
      <c r="F113" s="508" t="s">
        <v>3481</v>
      </c>
      <c r="G113" s="508"/>
      <c r="H113" s="508">
        <v>10</v>
      </c>
      <c r="I113" s="508" t="s">
        <v>3407</v>
      </c>
      <c r="J113" s="508" t="s">
        <v>3407</v>
      </c>
      <c r="K113" s="508" t="s">
        <v>3482</v>
      </c>
      <c r="L113" s="508"/>
      <c r="M113" s="508"/>
      <c r="N113" s="547">
        <v>2024017638</v>
      </c>
      <c r="O113" s="508"/>
    </row>
    <row r="114" spans="2:15">
      <c r="B114" s="503"/>
      <c r="C114" s="508"/>
      <c r="D114" s="508"/>
      <c r="E114" s="508">
        <v>6</v>
      </c>
      <c r="F114" s="508" t="s">
        <v>3483</v>
      </c>
      <c r="G114" s="508"/>
      <c r="H114" s="508">
        <v>15</v>
      </c>
      <c r="I114" s="508" t="s">
        <v>3407</v>
      </c>
      <c r="J114" s="508" t="s">
        <v>3407</v>
      </c>
      <c r="K114" s="508" t="s">
        <v>3484</v>
      </c>
      <c r="L114" s="508"/>
      <c r="M114" s="508"/>
      <c r="N114" s="547">
        <v>2025019534</v>
      </c>
      <c r="O114" s="508"/>
    </row>
    <row r="115" spans="2:15">
      <c r="B115" s="503"/>
      <c r="C115" s="508"/>
      <c r="D115" s="508"/>
      <c r="E115" s="508">
        <v>7</v>
      </c>
      <c r="F115" s="508" t="s">
        <v>3485</v>
      </c>
      <c r="G115" s="508"/>
      <c r="H115" s="508">
        <v>15</v>
      </c>
      <c r="I115" s="508" t="s">
        <v>3407</v>
      </c>
      <c r="J115" s="508" t="s">
        <v>3407</v>
      </c>
      <c r="K115" s="508" t="s">
        <v>3486</v>
      </c>
      <c r="L115" s="508"/>
      <c r="M115" s="508"/>
      <c r="N115" s="547">
        <v>2025019535</v>
      </c>
      <c r="O115" s="508"/>
    </row>
    <row r="116" spans="2:15">
      <c r="B116" s="500" t="s">
        <v>3324</v>
      </c>
      <c r="C116" s="501" t="s">
        <v>3325</v>
      </c>
      <c r="D116" s="501" t="s">
        <v>3326</v>
      </c>
      <c r="E116" s="501">
        <v>1</v>
      </c>
      <c r="F116" s="501" t="s">
        <v>3327</v>
      </c>
      <c r="G116" s="525" t="s">
        <v>3328</v>
      </c>
      <c r="H116" s="501">
        <v>15</v>
      </c>
      <c r="I116" s="501" t="s">
        <v>3487</v>
      </c>
      <c r="J116" s="526">
        <v>45297</v>
      </c>
      <c r="K116" s="501" t="s">
        <v>3488</v>
      </c>
      <c r="L116" s="501"/>
      <c r="M116" s="501"/>
      <c r="N116" s="501">
        <v>2024058452</v>
      </c>
      <c r="O116" s="501"/>
    </row>
    <row r="117" spans="2:15">
      <c r="B117" s="503"/>
      <c r="C117" s="508"/>
      <c r="D117" s="508"/>
      <c r="E117" s="508">
        <v>2</v>
      </c>
      <c r="F117" s="508" t="s">
        <v>3330</v>
      </c>
      <c r="G117" s="527" t="s">
        <v>3328</v>
      </c>
      <c r="H117" s="508">
        <v>20</v>
      </c>
      <c r="I117" s="508" t="s">
        <v>3487</v>
      </c>
      <c r="J117" s="524">
        <v>45298</v>
      </c>
      <c r="K117" s="508" t="s">
        <v>3489</v>
      </c>
      <c r="L117" s="508"/>
      <c r="M117" s="508"/>
      <c r="N117" s="508">
        <v>2024058453</v>
      </c>
      <c r="O117" s="508"/>
    </row>
    <row r="118" spans="2:15">
      <c r="B118" s="503"/>
      <c r="C118" s="508"/>
      <c r="D118" s="508"/>
      <c r="E118" s="508">
        <v>3</v>
      </c>
      <c r="F118" s="508" t="s">
        <v>3332</v>
      </c>
      <c r="G118" s="527" t="s">
        <v>3328</v>
      </c>
      <c r="H118" s="508">
        <v>15</v>
      </c>
      <c r="I118" s="508" t="s">
        <v>3487</v>
      </c>
      <c r="J118" s="524">
        <v>45299</v>
      </c>
      <c r="K118" s="508" t="s">
        <v>3490</v>
      </c>
      <c r="L118" s="508"/>
      <c r="M118" s="508"/>
      <c r="N118" s="508">
        <v>2024068760</v>
      </c>
      <c r="O118" s="508"/>
    </row>
    <row r="119" spans="2:15">
      <c r="B119" s="503"/>
      <c r="C119" s="508"/>
      <c r="D119" s="508"/>
      <c r="E119" s="508">
        <v>4</v>
      </c>
      <c r="F119" s="508" t="s">
        <v>3334</v>
      </c>
      <c r="G119" s="527" t="s">
        <v>3328</v>
      </c>
      <c r="H119" s="508">
        <v>10</v>
      </c>
      <c r="I119" s="508" t="s">
        <v>3487</v>
      </c>
      <c r="J119" s="524">
        <v>45300</v>
      </c>
      <c r="K119" s="508" t="s">
        <v>3491</v>
      </c>
      <c r="L119" s="508"/>
      <c r="M119" s="508"/>
      <c r="N119" s="508">
        <v>2024068644</v>
      </c>
      <c r="O119" s="508"/>
    </row>
    <row r="120" spans="2:15">
      <c r="B120" s="503"/>
      <c r="C120" s="508"/>
      <c r="D120" s="508"/>
      <c r="E120" s="508">
        <v>5</v>
      </c>
      <c r="F120" s="508" t="s">
        <v>3336</v>
      </c>
      <c r="G120" s="527" t="s">
        <v>3328</v>
      </c>
      <c r="H120" s="508">
        <v>10</v>
      </c>
      <c r="I120" s="508" t="s">
        <v>3487</v>
      </c>
      <c r="J120" s="524">
        <v>45301</v>
      </c>
      <c r="K120" s="508" t="s">
        <v>3492</v>
      </c>
      <c r="L120" s="508"/>
      <c r="M120" s="508"/>
      <c r="N120" s="508">
        <v>2024109287</v>
      </c>
      <c r="O120" s="508"/>
    </row>
    <row r="121" spans="2:15">
      <c r="B121" s="503"/>
      <c r="C121" s="508"/>
      <c r="D121" s="508"/>
      <c r="E121" s="508">
        <v>6</v>
      </c>
      <c r="F121" s="508" t="s">
        <v>3338</v>
      </c>
      <c r="G121" s="527" t="s">
        <v>3328</v>
      </c>
      <c r="H121" s="508">
        <v>20</v>
      </c>
      <c r="I121" s="508" t="s">
        <v>3487</v>
      </c>
      <c r="J121" s="524">
        <v>45302</v>
      </c>
      <c r="K121" s="508" t="s">
        <v>3493</v>
      </c>
      <c r="L121" s="508"/>
      <c r="M121" s="508"/>
      <c r="N121" s="508">
        <v>2024078762</v>
      </c>
      <c r="O121" s="508"/>
    </row>
    <row r="122" spans="2:15">
      <c r="B122" s="503"/>
      <c r="C122" s="508"/>
      <c r="D122" s="508"/>
      <c r="E122" s="508">
        <v>7</v>
      </c>
      <c r="F122" s="508" t="s">
        <v>3340</v>
      </c>
      <c r="G122" s="527" t="s">
        <v>3328</v>
      </c>
      <c r="H122" s="508">
        <v>20</v>
      </c>
      <c r="I122" s="508" t="s">
        <v>3487</v>
      </c>
      <c r="J122" s="524">
        <v>45303</v>
      </c>
      <c r="K122" s="508" t="s">
        <v>3494</v>
      </c>
      <c r="L122" s="508"/>
      <c r="M122" s="508"/>
      <c r="N122" s="508">
        <v>2024078899</v>
      </c>
      <c r="O122" s="508"/>
    </row>
    <row r="123" spans="2:15">
      <c r="B123" s="503"/>
      <c r="C123" s="508"/>
      <c r="D123" s="508"/>
      <c r="E123" s="508">
        <v>8</v>
      </c>
      <c r="F123" s="554" t="s">
        <v>3495</v>
      </c>
      <c r="G123" s="555">
        <v>100</v>
      </c>
      <c r="H123" s="554">
        <v>70</v>
      </c>
      <c r="I123" s="556">
        <v>45298</v>
      </c>
      <c r="J123" s="556">
        <v>45298</v>
      </c>
      <c r="K123" s="554" t="s">
        <v>3496</v>
      </c>
      <c r="L123" s="554" t="s">
        <v>3497</v>
      </c>
      <c r="M123" s="554"/>
      <c r="N123" s="554">
        <v>2024089093</v>
      </c>
      <c r="O123" s="554"/>
    </row>
    <row r="124" spans="2:15">
      <c r="B124" s="503"/>
      <c r="C124" s="508"/>
      <c r="D124" s="508"/>
      <c r="E124" s="508">
        <v>9</v>
      </c>
      <c r="F124" s="554" t="s">
        <v>3498</v>
      </c>
      <c r="G124" s="554">
        <v>300</v>
      </c>
      <c r="H124" s="554">
        <v>150</v>
      </c>
      <c r="I124" s="556">
        <v>45299</v>
      </c>
      <c r="J124" s="556">
        <v>45299</v>
      </c>
      <c r="K124" s="554" t="s">
        <v>3499</v>
      </c>
      <c r="L124" s="554" t="s">
        <v>3497</v>
      </c>
      <c r="M124" s="554"/>
      <c r="N124" s="554">
        <v>2022033252</v>
      </c>
      <c r="O124" s="554"/>
    </row>
    <row r="125" spans="2:15">
      <c r="B125" s="503"/>
      <c r="C125" s="508"/>
      <c r="D125" s="508"/>
      <c r="E125" s="508">
        <v>3</v>
      </c>
      <c r="F125" s="554" t="s">
        <v>3500</v>
      </c>
      <c r="G125" s="554">
        <v>200</v>
      </c>
      <c r="H125" s="554">
        <v>100</v>
      </c>
      <c r="I125" s="556">
        <v>45300</v>
      </c>
      <c r="J125" s="556">
        <v>45300</v>
      </c>
      <c r="K125" s="554" t="s">
        <v>3501</v>
      </c>
      <c r="L125" s="554" t="s">
        <v>3497</v>
      </c>
      <c r="M125" s="554"/>
      <c r="N125" s="554">
        <v>2024089095</v>
      </c>
      <c r="O125" s="554"/>
    </row>
    <row r="126" spans="2:15">
      <c r="B126" s="503" t="s">
        <v>3349</v>
      </c>
      <c r="C126" s="501" t="s">
        <v>3350</v>
      </c>
      <c r="D126" s="501" t="s">
        <v>3351</v>
      </c>
      <c r="E126" s="501">
        <v>1</v>
      </c>
      <c r="F126" s="501" t="s">
        <v>3502</v>
      </c>
      <c r="G126" s="501">
        <v>500</v>
      </c>
      <c r="H126" s="501">
        <v>50</v>
      </c>
      <c r="I126" s="508" t="s">
        <v>3487</v>
      </c>
      <c r="J126" s="526">
        <v>45299</v>
      </c>
      <c r="K126" s="501" t="s">
        <v>3502</v>
      </c>
      <c r="L126" s="501" t="s">
        <v>3348</v>
      </c>
      <c r="M126" s="501"/>
      <c r="N126" s="557">
        <v>2024058386</v>
      </c>
      <c r="O126" s="501"/>
    </row>
    <row r="127" spans="2:15">
      <c r="B127" s="503"/>
      <c r="C127" s="508"/>
      <c r="D127" s="508"/>
      <c r="E127" s="508">
        <v>2</v>
      </c>
      <c r="F127" s="508" t="s">
        <v>3503</v>
      </c>
      <c r="G127" s="508"/>
      <c r="H127" s="508">
        <v>50</v>
      </c>
      <c r="I127" s="508" t="s">
        <v>3487</v>
      </c>
      <c r="J127" s="508"/>
      <c r="K127" s="508" t="s">
        <v>3503</v>
      </c>
      <c r="L127" s="508"/>
      <c r="M127" s="508"/>
      <c r="N127" s="547">
        <v>2021112877</v>
      </c>
      <c r="O127" s="508"/>
    </row>
    <row r="128" spans="2:15">
      <c r="B128" s="503"/>
      <c r="C128" s="508"/>
      <c r="D128" s="508"/>
      <c r="E128" s="501">
        <v>3</v>
      </c>
      <c r="F128" s="508" t="s">
        <v>3504</v>
      </c>
      <c r="G128" s="508">
        <v>100</v>
      </c>
      <c r="H128" s="508">
        <v>20</v>
      </c>
      <c r="I128" s="508" t="s">
        <v>3487</v>
      </c>
      <c r="J128" s="508"/>
      <c r="K128" s="508" t="s">
        <v>3504</v>
      </c>
      <c r="L128" s="508"/>
      <c r="M128" s="508"/>
      <c r="N128" s="547">
        <v>2024048162</v>
      </c>
      <c r="O128" s="508"/>
    </row>
    <row r="129" spans="2:15">
      <c r="B129" s="503"/>
      <c r="C129" s="508"/>
      <c r="D129" s="508"/>
      <c r="E129" s="508">
        <v>4</v>
      </c>
      <c r="F129" s="508" t="s">
        <v>3357</v>
      </c>
      <c r="G129" s="508">
        <v>50</v>
      </c>
      <c r="H129" s="508">
        <v>15</v>
      </c>
      <c r="I129" s="508" t="s">
        <v>3487</v>
      </c>
      <c r="J129" s="508"/>
      <c r="K129" s="508" t="s">
        <v>3357</v>
      </c>
      <c r="L129" s="508"/>
      <c r="M129" s="508"/>
      <c r="N129" s="547">
        <v>2024048247</v>
      </c>
      <c r="O129" s="508"/>
    </row>
    <row r="130" spans="2:15">
      <c r="B130" s="503"/>
      <c r="C130" s="508"/>
      <c r="D130" s="508"/>
      <c r="E130" s="501">
        <v>5</v>
      </c>
      <c r="F130" s="508" t="s">
        <v>3505</v>
      </c>
      <c r="G130" s="508"/>
      <c r="H130" s="508">
        <v>10</v>
      </c>
      <c r="I130" s="508" t="s">
        <v>3487</v>
      </c>
      <c r="J130" s="508"/>
      <c r="K130" s="508" t="s">
        <v>3505</v>
      </c>
      <c r="L130" s="508"/>
      <c r="M130" s="508"/>
      <c r="N130" s="547">
        <v>2024037977</v>
      </c>
      <c r="O130" s="508"/>
    </row>
    <row r="131" spans="2:15">
      <c r="B131" s="503"/>
      <c r="C131" s="508"/>
      <c r="D131" s="508"/>
      <c r="E131" s="508">
        <v>6</v>
      </c>
      <c r="F131" s="508" t="s">
        <v>3506</v>
      </c>
      <c r="G131" s="508"/>
      <c r="H131" s="508">
        <v>10</v>
      </c>
      <c r="I131" s="508" t="s">
        <v>3487</v>
      </c>
      <c r="J131" s="508"/>
      <c r="K131" s="508" t="s">
        <v>3506</v>
      </c>
      <c r="L131" s="508"/>
      <c r="M131" s="508"/>
      <c r="N131" s="547">
        <v>2024048246</v>
      </c>
      <c r="O131" s="508"/>
    </row>
    <row r="132" spans="2:15">
      <c r="B132" s="503"/>
      <c r="C132" s="508"/>
      <c r="D132" s="508"/>
      <c r="E132" s="501">
        <v>7</v>
      </c>
      <c r="F132" s="508" t="s">
        <v>3507</v>
      </c>
      <c r="G132" s="508"/>
      <c r="H132" s="508">
        <v>10</v>
      </c>
      <c r="I132" s="508" t="s">
        <v>3487</v>
      </c>
      <c r="J132" s="508"/>
      <c r="K132" s="508" t="s">
        <v>3507</v>
      </c>
      <c r="L132" s="508"/>
      <c r="M132" s="508"/>
      <c r="N132" s="547">
        <v>2024048200</v>
      </c>
      <c r="O132" s="508"/>
    </row>
    <row r="133" spans="2:15">
      <c r="B133" s="503"/>
      <c r="C133" s="508"/>
      <c r="D133" s="508"/>
      <c r="E133" s="508">
        <v>8</v>
      </c>
      <c r="F133" s="508" t="s">
        <v>3508</v>
      </c>
      <c r="G133" s="508"/>
      <c r="H133" s="508">
        <v>10</v>
      </c>
      <c r="I133" s="508" t="s">
        <v>3487</v>
      </c>
      <c r="J133" s="508"/>
      <c r="K133" s="508" t="s">
        <v>3508</v>
      </c>
      <c r="L133" s="508"/>
      <c r="M133" s="508"/>
      <c r="N133" s="547">
        <v>2024058389</v>
      </c>
      <c r="O133" s="508"/>
    </row>
    <row r="134" spans="2:15">
      <c r="B134" s="503"/>
      <c r="C134" s="508"/>
      <c r="D134" s="508"/>
      <c r="E134" s="501">
        <v>9</v>
      </c>
      <c r="F134" s="508" t="s">
        <v>3509</v>
      </c>
      <c r="G134" s="508"/>
      <c r="H134" s="508">
        <v>10</v>
      </c>
      <c r="I134" s="508" t="s">
        <v>3487</v>
      </c>
      <c r="J134" s="508"/>
      <c r="K134" s="508" t="s">
        <v>3509</v>
      </c>
      <c r="L134" s="508"/>
      <c r="M134" s="508"/>
      <c r="N134" s="547">
        <v>2024068691</v>
      </c>
      <c r="O134" s="508"/>
    </row>
    <row r="135" spans="2:15">
      <c r="B135" s="503"/>
      <c r="C135" s="508"/>
      <c r="D135" s="508"/>
      <c r="E135" s="508">
        <v>10</v>
      </c>
      <c r="F135" s="508" t="s">
        <v>3510</v>
      </c>
      <c r="G135" s="508"/>
      <c r="H135" s="508">
        <v>10</v>
      </c>
      <c r="I135" s="508" t="s">
        <v>3487</v>
      </c>
      <c r="J135" s="508"/>
      <c r="K135" s="508" t="s">
        <v>3510</v>
      </c>
      <c r="L135" s="508"/>
      <c r="M135" s="508"/>
      <c r="N135" s="547">
        <v>2024038095</v>
      </c>
      <c r="O135" s="508"/>
    </row>
    <row r="136" spans="2:15">
      <c r="B136" s="503"/>
      <c r="C136" s="508"/>
      <c r="D136" s="508"/>
      <c r="E136" s="501">
        <v>11</v>
      </c>
      <c r="F136" s="508" t="s">
        <v>3511</v>
      </c>
      <c r="G136" s="508"/>
      <c r="H136" s="508">
        <v>10</v>
      </c>
      <c r="I136" s="508" t="s">
        <v>3487</v>
      </c>
      <c r="J136" s="508"/>
      <c r="K136" s="508" t="s">
        <v>3511</v>
      </c>
      <c r="L136" s="508"/>
      <c r="M136" s="508"/>
      <c r="N136" s="547">
        <v>2024017672</v>
      </c>
      <c r="O136" s="508"/>
    </row>
    <row r="137" spans="2:15">
      <c r="B137" s="503"/>
      <c r="C137" s="501" t="s">
        <v>3371</v>
      </c>
      <c r="D137" s="501" t="s">
        <v>3294</v>
      </c>
      <c r="E137" s="501">
        <v>1</v>
      </c>
      <c r="F137" s="508" t="s">
        <v>3512</v>
      </c>
      <c r="G137" s="501">
        <v>100</v>
      </c>
      <c r="H137" s="501">
        <v>10</v>
      </c>
      <c r="I137" s="508" t="s">
        <v>3487</v>
      </c>
      <c r="J137" s="508" t="s">
        <v>3414</v>
      </c>
      <c r="K137" s="501" t="s">
        <v>3513</v>
      </c>
      <c r="L137" s="501"/>
      <c r="M137" s="501"/>
      <c r="N137" s="557">
        <v>2024068742</v>
      </c>
      <c r="O137" s="501"/>
    </row>
    <row r="138" spans="2:15">
      <c r="B138" s="503"/>
      <c r="C138" s="508"/>
      <c r="D138" s="508"/>
      <c r="E138" s="508">
        <v>2</v>
      </c>
      <c r="F138" s="508" t="s">
        <v>3514</v>
      </c>
      <c r="G138" s="508"/>
      <c r="H138" s="508">
        <v>5</v>
      </c>
      <c r="I138" s="508" t="s">
        <v>3487</v>
      </c>
      <c r="J138" s="508" t="s">
        <v>3419</v>
      </c>
      <c r="K138" s="508" t="s">
        <v>3515</v>
      </c>
      <c r="L138" s="508"/>
      <c r="M138" s="508"/>
      <c r="N138" s="547">
        <v>2024119396</v>
      </c>
      <c r="O138" s="508"/>
    </row>
    <row r="139" spans="2:15">
      <c r="B139" s="503"/>
      <c r="C139" s="501" t="s">
        <v>3376</v>
      </c>
      <c r="D139" s="501" t="s">
        <v>3377</v>
      </c>
      <c r="E139" s="501">
        <v>1</v>
      </c>
      <c r="F139" s="501" t="s">
        <v>3378</v>
      </c>
      <c r="G139" s="501"/>
      <c r="H139" s="501"/>
      <c r="I139" s="501" t="s">
        <v>3487</v>
      </c>
      <c r="J139" s="501"/>
      <c r="K139" s="501" t="s">
        <v>3379</v>
      </c>
      <c r="L139" s="501"/>
      <c r="M139" s="501"/>
      <c r="N139" s="501">
        <v>2024068635</v>
      </c>
      <c r="O139" s="501"/>
    </row>
    <row r="140" spans="2:15">
      <c r="B140" s="503"/>
      <c r="C140" s="508"/>
      <c r="D140" s="508"/>
      <c r="E140" s="508">
        <v>2</v>
      </c>
      <c r="F140" s="508" t="s">
        <v>858</v>
      </c>
      <c r="G140" s="508"/>
      <c r="H140" s="508"/>
      <c r="I140" s="508" t="s">
        <v>3487</v>
      </c>
      <c r="J140" s="508"/>
      <c r="K140" s="508" t="s">
        <v>3516</v>
      </c>
      <c r="L140" s="508"/>
      <c r="M140" s="508"/>
      <c r="N140" s="508">
        <v>2024089087</v>
      </c>
      <c r="O140" s="508"/>
    </row>
    <row r="141" spans="2:15">
      <c r="B141" s="503"/>
      <c r="C141" s="508"/>
      <c r="D141" s="508"/>
      <c r="E141" s="508">
        <v>3</v>
      </c>
      <c r="F141" s="508" t="s">
        <v>3517</v>
      </c>
      <c r="G141" s="508"/>
      <c r="H141" s="508"/>
      <c r="I141" s="508" t="s">
        <v>3487</v>
      </c>
      <c r="J141" s="508"/>
      <c r="K141" s="508" t="s">
        <v>3518</v>
      </c>
      <c r="L141" s="508"/>
      <c r="M141" s="508"/>
      <c r="N141" s="508">
        <v>2024048311</v>
      </c>
      <c r="O141" s="508"/>
    </row>
    <row r="142" spans="2:15">
      <c r="B142" s="503"/>
      <c r="C142" s="508"/>
      <c r="D142" s="508"/>
      <c r="E142" s="508">
        <v>4</v>
      </c>
      <c r="F142" s="508" t="s">
        <v>3519</v>
      </c>
      <c r="G142" s="508"/>
      <c r="H142" s="508"/>
      <c r="I142" s="508" t="s">
        <v>3487</v>
      </c>
      <c r="J142" s="508"/>
      <c r="K142" s="508" t="s">
        <v>3520</v>
      </c>
      <c r="L142" s="508"/>
      <c r="M142" s="508"/>
      <c r="N142" s="508">
        <v>2024109360</v>
      </c>
      <c r="O142" s="508"/>
    </row>
    <row r="143" spans="2:15">
      <c r="B143" s="503"/>
      <c r="C143" s="508"/>
      <c r="D143" s="508"/>
      <c r="E143" s="508">
        <v>5</v>
      </c>
      <c r="F143" s="508" t="s">
        <v>1292</v>
      </c>
      <c r="G143" s="508"/>
      <c r="H143" s="508"/>
      <c r="I143" s="508" t="s">
        <v>3487</v>
      </c>
      <c r="J143" s="508"/>
      <c r="K143" s="508" t="s">
        <v>3521</v>
      </c>
      <c r="L143" s="508"/>
      <c r="M143" s="508"/>
      <c r="N143" s="508">
        <v>2024068685</v>
      </c>
      <c r="O143" s="508"/>
    </row>
    <row r="144" spans="2:15">
      <c r="B144" s="503"/>
      <c r="C144" s="501" t="s">
        <v>3385</v>
      </c>
      <c r="D144" s="501" t="s">
        <v>3386</v>
      </c>
      <c r="E144" s="501">
        <v>1</v>
      </c>
      <c r="F144" s="501" t="s">
        <v>3522</v>
      </c>
      <c r="G144" s="501"/>
      <c r="H144" s="501"/>
      <c r="I144" s="501" t="s">
        <v>3487</v>
      </c>
      <c r="J144" s="501"/>
      <c r="K144" s="501" t="s">
        <v>3523</v>
      </c>
      <c r="L144" s="501"/>
      <c r="M144" s="501"/>
      <c r="N144" s="501">
        <v>2024027770</v>
      </c>
      <c r="O144" s="501"/>
    </row>
    <row r="145" spans="2:15">
      <c r="B145" s="503"/>
      <c r="C145" s="508"/>
      <c r="D145" s="508"/>
      <c r="E145" s="508">
        <v>2</v>
      </c>
      <c r="F145" s="508" t="s">
        <v>3524</v>
      </c>
      <c r="G145" s="508" t="s">
        <v>252</v>
      </c>
      <c r="H145" s="508"/>
      <c r="I145" s="508" t="s">
        <v>3487</v>
      </c>
      <c r="J145" s="508"/>
      <c r="K145" s="508" t="s">
        <v>3525</v>
      </c>
      <c r="L145" s="508"/>
      <c r="M145" s="508"/>
      <c r="N145" s="508">
        <v>2024129453</v>
      </c>
      <c r="O145" s="508"/>
    </row>
    <row r="146" spans="2:15">
      <c r="B146" s="503"/>
      <c r="C146" s="508"/>
      <c r="D146" s="508"/>
      <c r="E146" s="508">
        <v>3</v>
      </c>
      <c r="F146" s="508" t="s">
        <v>3526</v>
      </c>
      <c r="G146" s="508" t="s">
        <v>252</v>
      </c>
      <c r="H146" s="508"/>
      <c r="I146" s="508" t="s">
        <v>3487</v>
      </c>
      <c r="J146" s="508"/>
      <c r="K146" s="508" t="s">
        <v>3527</v>
      </c>
      <c r="L146" s="508"/>
      <c r="M146" s="508"/>
      <c r="N146" s="508">
        <v>2025019537</v>
      </c>
      <c r="O146" s="508"/>
    </row>
    <row r="147" spans="2:15">
      <c r="B147" s="503"/>
      <c r="C147" s="508"/>
      <c r="D147" s="508"/>
      <c r="E147" s="508">
        <v>4</v>
      </c>
      <c r="F147" s="508" t="s">
        <v>3528</v>
      </c>
      <c r="G147" s="508">
        <v>100</v>
      </c>
      <c r="H147" s="508"/>
      <c r="I147" s="508" t="s">
        <v>3487</v>
      </c>
      <c r="J147" s="508"/>
      <c r="K147" s="508" t="s">
        <v>3529</v>
      </c>
      <c r="L147" s="508"/>
      <c r="M147" s="508"/>
      <c r="N147" s="508">
        <v>2024058501</v>
      </c>
      <c r="O147" s="508"/>
    </row>
    <row r="148" spans="2:15">
      <c r="B148" s="503"/>
      <c r="C148" s="508"/>
      <c r="D148" s="508"/>
      <c r="E148" s="508">
        <v>5</v>
      </c>
      <c r="F148" s="508" t="s">
        <v>3530</v>
      </c>
      <c r="G148" s="508">
        <v>150</v>
      </c>
      <c r="H148" s="508"/>
      <c r="I148" s="508" t="s">
        <v>3487</v>
      </c>
      <c r="J148" s="508"/>
      <c r="K148" s="508" t="s">
        <v>3531</v>
      </c>
      <c r="L148" s="508"/>
      <c r="M148" s="508"/>
      <c r="N148" s="508">
        <v>2024017518</v>
      </c>
      <c r="O148" s="508"/>
    </row>
    <row r="149" spans="2:15">
      <c r="B149" s="503"/>
      <c r="C149" s="508"/>
      <c r="D149" s="508"/>
      <c r="E149" s="508">
        <v>6</v>
      </c>
      <c r="F149" s="508" t="s">
        <v>3532</v>
      </c>
      <c r="G149" s="508" t="s">
        <v>252</v>
      </c>
      <c r="H149" s="508"/>
      <c r="I149" s="508" t="s">
        <v>3487</v>
      </c>
      <c r="J149" s="508"/>
      <c r="K149" s="508" t="s">
        <v>3533</v>
      </c>
      <c r="L149" s="508"/>
      <c r="M149" s="508"/>
      <c r="N149" s="508">
        <v>2024099253</v>
      </c>
      <c r="O149" s="508"/>
    </row>
    <row r="150" spans="2:15">
      <c r="B150" s="503"/>
      <c r="C150" s="508"/>
      <c r="D150" s="508"/>
      <c r="E150" s="508">
        <v>7</v>
      </c>
      <c r="F150" s="508" t="s">
        <v>3534</v>
      </c>
      <c r="G150" s="508">
        <v>100</v>
      </c>
      <c r="H150" s="508"/>
      <c r="I150" s="508" t="s">
        <v>3487</v>
      </c>
      <c r="J150" s="508"/>
      <c r="K150" s="508" t="s">
        <v>3535</v>
      </c>
      <c r="L150" s="508"/>
      <c r="M150" s="508"/>
      <c r="N150" s="508">
        <v>2024068638</v>
      </c>
      <c r="O150" s="508"/>
    </row>
    <row r="151" spans="2:15">
      <c r="B151" s="503"/>
      <c r="C151" s="508"/>
      <c r="D151" s="508"/>
      <c r="E151" s="508">
        <v>8</v>
      </c>
      <c r="F151" s="508" t="s">
        <v>2338</v>
      </c>
      <c r="G151" s="508">
        <v>80</v>
      </c>
      <c r="H151" s="508"/>
      <c r="I151" s="508" t="s">
        <v>3487</v>
      </c>
      <c r="J151" s="508"/>
      <c r="K151" s="508" t="s">
        <v>3536</v>
      </c>
      <c r="L151" s="508"/>
      <c r="M151" s="508"/>
      <c r="N151" s="508">
        <v>2024068637</v>
      </c>
      <c r="O151" s="508"/>
    </row>
    <row r="152" spans="2:15">
      <c r="B152" s="503"/>
      <c r="C152" s="508"/>
      <c r="D152" s="508"/>
      <c r="E152" s="508">
        <v>9</v>
      </c>
      <c r="F152" s="508" t="s">
        <v>3537</v>
      </c>
      <c r="G152" s="508">
        <v>50</v>
      </c>
      <c r="H152" s="508"/>
      <c r="I152" s="508" t="s">
        <v>3487</v>
      </c>
      <c r="J152" s="508"/>
      <c r="K152" s="508" t="s">
        <v>3538</v>
      </c>
      <c r="L152" s="508"/>
      <c r="M152" s="508"/>
      <c r="N152" s="508">
        <v>2024048171</v>
      </c>
      <c r="O152" s="508"/>
    </row>
    <row r="153" spans="2:15">
      <c r="B153" s="503"/>
      <c r="C153" s="501" t="s">
        <v>3399</v>
      </c>
      <c r="D153" s="501" t="s">
        <v>3400</v>
      </c>
      <c r="E153" s="501">
        <v>1</v>
      </c>
      <c r="F153" s="501" t="s">
        <v>3539</v>
      </c>
      <c r="G153" s="501">
        <v>50</v>
      </c>
      <c r="H153" s="501"/>
      <c r="I153" s="501" t="s">
        <v>3487</v>
      </c>
      <c r="J153" s="501"/>
      <c r="K153" s="501" t="str">
        <f>F153&amp;" 브랜드위크"</f>
        <v>CJ제일제당 브랜드위크</v>
      </c>
      <c r="L153" s="501"/>
      <c r="M153" s="501"/>
      <c r="N153" s="558">
        <v>2024129481</v>
      </c>
      <c r="O153" s="501"/>
    </row>
    <row r="154" spans="2:15">
      <c r="B154" s="503"/>
      <c r="C154" s="508"/>
      <c r="D154" s="508"/>
      <c r="E154" s="508">
        <v>2</v>
      </c>
      <c r="F154" s="508" t="s">
        <v>3540</v>
      </c>
      <c r="G154" s="508">
        <v>50</v>
      </c>
      <c r="H154" s="508"/>
      <c r="I154" s="508" t="s">
        <v>3487</v>
      </c>
      <c r="J154" s="508"/>
      <c r="K154" s="508" t="str">
        <f t="shared" ref="K154:K159" si="0">F154&amp;" 브랜드위크"</f>
        <v>풀무원 브랜드위크</v>
      </c>
      <c r="L154" s="508"/>
      <c r="M154" s="508"/>
      <c r="N154" s="559">
        <v>2024129482</v>
      </c>
      <c r="O154" s="508"/>
    </row>
    <row r="155" spans="2:15">
      <c r="B155" s="503"/>
      <c r="C155" s="508"/>
      <c r="D155" s="508"/>
      <c r="E155" s="508">
        <v>3</v>
      </c>
      <c r="F155" s="508" t="s">
        <v>3541</v>
      </c>
      <c r="G155" s="508">
        <v>50</v>
      </c>
      <c r="H155" s="508"/>
      <c r="I155" s="508" t="s">
        <v>3487</v>
      </c>
      <c r="J155" s="508"/>
      <c r="K155" s="508" t="str">
        <f t="shared" si="0"/>
        <v>동원 브랜드위크</v>
      </c>
      <c r="L155" s="508"/>
      <c r="M155" s="508"/>
      <c r="N155" s="558">
        <v>2024048329</v>
      </c>
      <c r="O155" s="508"/>
    </row>
    <row r="156" spans="2:15">
      <c r="B156" s="503"/>
      <c r="C156" s="508"/>
      <c r="D156" s="508"/>
      <c r="E156" s="508">
        <v>4</v>
      </c>
      <c r="F156" s="508" t="s">
        <v>3542</v>
      </c>
      <c r="G156" s="508"/>
      <c r="H156" s="508"/>
      <c r="I156" s="508" t="s">
        <v>3487</v>
      </c>
      <c r="J156" s="508"/>
      <c r="K156" s="508" t="str">
        <f t="shared" si="0"/>
        <v>마녀바스켓 브랜드위크</v>
      </c>
      <c r="L156" s="508"/>
      <c r="M156" s="508"/>
      <c r="N156" s="559">
        <v>2024129446</v>
      </c>
      <c r="O156" s="508"/>
    </row>
    <row r="157" spans="2:15">
      <c r="B157" s="503"/>
      <c r="C157" s="508"/>
      <c r="D157" s="508"/>
      <c r="E157" s="508">
        <v>5</v>
      </c>
      <c r="F157" s="508" t="s">
        <v>3543</v>
      </c>
      <c r="G157" s="508"/>
      <c r="H157" s="508"/>
      <c r="I157" s="508" t="s">
        <v>3487</v>
      </c>
      <c r="J157" s="508"/>
      <c r="K157" s="508" t="str">
        <f t="shared" si="0"/>
        <v>푸라닭 브랜드위크</v>
      </c>
      <c r="L157" s="508"/>
      <c r="M157" s="508"/>
      <c r="N157" s="558">
        <v>2024038102</v>
      </c>
      <c r="O157" s="508"/>
    </row>
    <row r="158" spans="2:15">
      <c r="B158" s="503"/>
      <c r="C158" s="508"/>
      <c r="D158" s="508"/>
      <c r="E158" s="508">
        <v>6</v>
      </c>
      <c r="F158" s="508" t="s">
        <v>1778</v>
      </c>
      <c r="G158" s="508"/>
      <c r="H158" s="508"/>
      <c r="I158" s="508" t="s">
        <v>3487</v>
      </c>
      <c r="J158" s="508"/>
      <c r="K158" s="508" t="str">
        <f t="shared" si="0"/>
        <v>프레시지 브랜드위크</v>
      </c>
      <c r="L158" s="508"/>
      <c r="M158" s="508"/>
      <c r="N158" s="560">
        <v>2024078915</v>
      </c>
      <c r="O158" s="508"/>
    </row>
    <row r="159" spans="2:15">
      <c r="B159" s="503"/>
      <c r="C159" s="508"/>
      <c r="D159" s="508"/>
      <c r="E159" s="508">
        <v>7</v>
      </c>
      <c r="F159" s="508" t="s">
        <v>3544</v>
      </c>
      <c r="G159" s="508"/>
      <c r="H159" s="508"/>
      <c r="I159" s="508" t="s">
        <v>3487</v>
      </c>
      <c r="J159" s="508"/>
      <c r="K159" s="508" t="str">
        <f t="shared" si="0"/>
        <v>본죽 브랜드위크</v>
      </c>
      <c r="L159" s="508"/>
      <c r="M159" s="508"/>
      <c r="N159" s="558">
        <v>2024129483</v>
      </c>
      <c r="O159" s="508"/>
    </row>
    <row r="160" spans="2:15">
      <c r="B160" s="503"/>
      <c r="C160" s="508"/>
      <c r="D160" s="508"/>
      <c r="E160" s="508">
        <v>8</v>
      </c>
      <c r="F160" s="508"/>
      <c r="G160" s="508"/>
      <c r="H160" s="508"/>
      <c r="I160" s="508"/>
      <c r="J160" s="508"/>
      <c r="K160" s="508"/>
      <c r="L160" s="508"/>
      <c r="M160" s="508"/>
      <c r="N160" s="508"/>
      <c r="O160" s="508"/>
    </row>
    <row r="161" spans="2:15">
      <c r="B161" s="503"/>
      <c r="C161" s="508"/>
      <c r="D161" s="508"/>
      <c r="E161" s="508">
        <v>9</v>
      </c>
      <c r="F161" s="508"/>
      <c r="G161" s="508"/>
      <c r="H161" s="508"/>
      <c r="I161" s="508"/>
      <c r="J161" s="508"/>
      <c r="K161" s="508"/>
      <c r="L161" s="508"/>
      <c r="M161" s="508"/>
      <c r="N161" s="508"/>
      <c r="O161" s="508"/>
    </row>
    <row r="162" spans="2:15">
      <c r="B162" s="515"/>
      <c r="C162" s="516"/>
      <c r="D162" s="516"/>
      <c r="E162" s="516">
        <v>10</v>
      </c>
      <c r="F162" s="516"/>
      <c r="G162" s="516"/>
      <c r="H162" s="516"/>
      <c r="I162" s="516"/>
      <c r="J162" s="516"/>
      <c r="K162" s="516"/>
      <c r="L162" s="516"/>
      <c r="M162" s="516"/>
      <c r="N162" s="516"/>
      <c r="O162" s="516"/>
    </row>
    <row r="163" spans="2:15">
      <c r="B163" s="496" t="s">
        <v>3545</v>
      </c>
      <c r="C163" s="497"/>
      <c r="D163" s="498"/>
      <c r="E163" s="498"/>
      <c r="F163" s="498"/>
      <c r="G163" s="498"/>
      <c r="H163" s="498"/>
      <c r="I163" s="498"/>
      <c r="J163" s="498"/>
      <c r="K163" s="498"/>
      <c r="L163" s="498"/>
      <c r="M163" s="498"/>
      <c r="N163" s="498"/>
      <c r="O163" s="499"/>
    </row>
    <row r="164" spans="2:15">
      <c r="B164" s="500" t="s">
        <v>3232</v>
      </c>
      <c r="C164" s="501" t="s">
        <v>3233</v>
      </c>
      <c r="D164" s="501" t="s">
        <v>3234</v>
      </c>
      <c r="E164" s="501">
        <v>1</v>
      </c>
      <c r="F164" s="501" t="s">
        <v>3546</v>
      </c>
      <c r="G164" s="501"/>
      <c r="H164" s="501"/>
      <c r="I164" s="501" t="s">
        <v>3547</v>
      </c>
      <c r="J164" s="501"/>
      <c r="K164" s="501" t="s">
        <v>3548</v>
      </c>
      <c r="L164" s="501"/>
      <c r="M164" s="501" t="s">
        <v>3240</v>
      </c>
      <c r="N164" s="502">
        <v>2024089047</v>
      </c>
      <c r="O164" s="501"/>
    </row>
    <row r="165" spans="2:15">
      <c r="B165" s="503"/>
      <c r="C165" s="508"/>
      <c r="D165" s="508"/>
      <c r="E165" s="508">
        <v>2</v>
      </c>
      <c r="F165" s="508" t="s">
        <v>3549</v>
      </c>
      <c r="G165" s="508">
        <v>50</v>
      </c>
      <c r="H165" s="508"/>
      <c r="I165" s="508" t="s">
        <v>3547</v>
      </c>
      <c r="J165" s="508" t="s">
        <v>3550</v>
      </c>
      <c r="K165" s="508" t="s">
        <v>3551</v>
      </c>
      <c r="L165" s="508" t="s">
        <v>3552</v>
      </c>
      <c r="M165" s="508" t="s">
        <v>3240</v>
      </c>
      <c r="N165" s="502">
        <v>2024038128</v>
      </c>
      <c r="O165" s="508"/>
    </row>
    <row r="166" spans="2:15">
      <c r="B166" s="503"/>
      <c r="C166" s="508"/>
      <c r="D166" s="508"/>
      <c r="E166" s="508">
        <v>3</v>
      </c>
      <c r="F166" s="508" t="s">
        <v>3553</v>
      </c>
      <c r="G166" s="508"/>
      <c r="H166" s="508"/>
      <c r="I166" s="508" t="s">
        <v>3547</v>
      </c>
      <c r="J166" s="508" t="s">
        <v>3554</v>
      </c>
      <c r="K166" s="508" t="s">
        <v>3555</v>
      </c>
      <c r="L166" s="508" t="s">
        <v>3556</v>
      </c>
      <c r="M166" s="508" t="s">
        <v>3240</v>
      </c>
      <c r="N166" s="502">
        <v>2025019556</v>
      </c>
      <c r="O166" s="508"/>
    </row>
    <row r="167" spans="2:15">
      <c r="B167" s="503"/>
      <c r="C167" s="508"/>
      <c r="D167" s="508"/>
      <c r="E167" s="508">
        <v>4</v>
      </c>
      <c r="F167" s="508" t="s">
        <v>3557</v>
      </c>
      <c r="G167" s="508"/>
      <c r="H167" s="508"/>
      <c r="I167" s="508" t="s">
        <v>3547</v>
      </c>
      <c r="J167" s="508" t="s">
        <v>3558</v>
      </c>
      <c r="K167" s="508" t="s">
        <v>3559</v>
      </c>
      <c r="L167" s="508" t="s">
        <v>3556</v>
      </c>
      <c r="M167" s="508" t="s">
        <v>3240</v>
      </c>
      <c r="N167" s="502">
        <v>2023127456</v>
      </c>
      <c r="O167" s="508"/>
    </row>
    <row r="168" spans="2:15">
      <c r="B168" s="503"/>
      <c r="C168" s="508"/>
      <c r="D168" s="508"/>
      <c r="E168" s="508">
        <v>5</v>
      </c>
      <c r="F168" s="508" t="s">
        <v>3560</v>
      </c>
      <c r="G168" s="508"/>
      <c r="H168" s="508"/>
      <c r="I168" s="508" t="s">
        <v>3547</v>
      </c>
      <c r="J168" s="508"/>
      <c r="K168" s="508" t="s">
        <v>3561</v>
      </c>
      <c r="L168" s="508"/>
      <c r="M168" s="508" t="s">
        <v>3240</v>
      </c>
      <c r="N168" s="502">
        <v>2024119420</v>
      </c>
      <c r="O168" s="508"/>
    </row>
    <row r="169" spans="2:15">
      <c r="B169" s="503"/>
      <c r="C169" s="504"/>
      <c r="D169" s="504"/>
      <c r="E169" s="504">
        <v>6</v>
      </c>
      <c r="F169" s="504" t="s">
        <v>3562</v>
      </c>
      <c r="G169" s="504"/>
      <c r="H169" s="504"/>
      <c r="I169" s="504" t="s">
        <v>3547</v>
      </c>
      <c r="J169" s="504"/>
      <c r="K169" s="504" t="s">
        <v>3563</v>
      </c>
      <c r="L169" s="504"/>
      <c r="M169" s="504" t="s">
        <v>3240</v>
      </c>
      <c r="N169" s="502">
        <v>2025019555</v>
      </c>
      <c r="O169" s="504"/>
    </row>
    <row r="170" spans="2:15">
      <c r="B170" s="503"/>
      <c r="C170" s="506" t="s">
        <v>3243</v>
      </c>
      <c r="D170" s="506" t="s">
        <v>3244</v>
      </c>
      <c r="E170" s="506">
        <v>1</v>
      </c>
      <c r="F170" s="506" t="s">
        <v>3564</v>
      </c>
      <c r="G170" s="506">
        <v>100</v>
      </c>
      <c r="H170" s="506"/>
      <c r="I170" s="549" t="s">
        <v>3547</v>
      </c>
      <c r="J170" s="506"/>
      <c r="K170" s="549" t="s">
        <v>3565</v>
      </c>
      <c r="L170" s="506"/>
      <c r="M170" s="549" t="s">
        <v>3240</v>
      </c>
      <c r="N170" s="561">
        <v>2024099262</v>
      </c>
      <c r="O170" s="506"/>
    </row>
    <row r="171" spans="2:15">
      <c r="B171" s="503"/>
      <c r="C171" s="508"/>
      <c r="D171" s="508"/>
      <c r="E171" s="508">
        <v>2</v>
      </c>
      <c r="F171" s="508" t="s">
        <v>3566</v>
      </c>
      <c r="G171" s="508"/>
      <c r="H171" s="508"/>
      <c r="I171" s="508" t="s">
        <v>3547</v>
      </c>
      <c r="J171" s="508"/>
      <c r="K171" s="547" t="s">
        <v>3567</v>
      </c>
      <c r="L171" s="508"/>
      <c r="M171" s="508" t="s">
        <v>3240</v>
      </c>
      <c r="N171" s="534">
        <v>2024099259</v>
      </c>
      <c r="O171" s="508"/>
    </row>
    <row r="172" spans="2:15">
      <c r="B172" s="503"/>
      <c r="C172" s="508"/>
      <c r="D172" s="508"/>
      <c r="E172" s="508">
        <v>3</v>
      </c>
      <c r="F172" s="508" t="s">
        <v>3568</v>
      </c>
      <c r="G172" s="508"/>
      <c r="H172" s="508"/>
      <c r="I172" s="508" t="s">
        <v>3547</v>
      </c>
      <c r="J172" s="508"/>
      <c r="K172" s="562" t="s">
        <v>3569</v>
      </c>
      <c r="L172" s="508"/>
      <c r="M172" s="508"/>
      <c r="N172" s="532">
        <v>2024109292</v>
      </c>
      <c r="O172" s="508"/>
    </row>
    <row r="173" spans="2:15">
      <c r="B173" s="503"/>
      <c r="C173" s="504"/>
      <c r="D173" s="504"/>
      <c r="E173" s="504">
        <v>4</v>
      </c>
      <c r="F173" s="504" t="s">
        <v>3570</v>
      </c>
      <c r="G173" s="504"/>
      <c r="H173" s="504"/>
      <c r="I173" s="504" t="s">
        <v>3547</v>
      </c>
      <c r="J173" s="504"/>
      <c r="K173" s="563" t="s">
        <v>3571</v>
      </c>
      <c r="L173" s="504"/>
      <c r="M173" s="504"/>
      <c r="N173" s="564">
        <v>2024109291</v>
      </c>
      <c r="O173" s="504"/>
    </row>
    <row r="174" spans="2:15" ht="17.25">
      <c r="B174" s="503"/>
      <c r="C174" s="506" t="s">
        <v>3250</v>
      </c>
      <c r="D174" s="506" t="s">
        <v>3251</v>
      </c>
      <c r="E174" s="506">
        <v>1</v>
      </c>
      <c r="F174" s="506" t="s">
        <v>3572</v>
      </c>
      <c r="G174" s="506"/>
      <c r="H174" s="506"/>
      <c r="I174" s="506" t="s">
        <v>3547</v>
      </c>
      <c r="J174" s="506" t="s">
        <v>3573</v>
      </c>
      <c r="K174" s="506" t="s">
        <v>3574</v>
      </c>
      <c r="L174" s="506" t="s">
        <v>3575</v>
      </c>
      <c r="M174" s="506"/>
      <c r="N174" s="543">
        <v>2024099149</v>
      </c>
      <c r="O174" s="506"/>
    </row>
    <row r="175" spans="2:15" ht="17.25">
      <c r="B175" s="503"/>
      <c r="C175" s="508"/>
      <c r="D175" s="508"/>
      <c r="E175" s="508">
        <v>2</v>
      </c>
      <c r="F175" s="508" t="s">
        <v>3576</v>
      </c>
      <c r="G175" s="508"/>
      <c r="H175" s="508"/>
      <c r="I175" s="508" t="s">
        <v>3547</v>
      </c>
      <c r="J175" s="508" t="s">
        <v>3558</v>
      </c>
      <c r="K175" s="508" t="s">
        <v>3577</v>
      </c>
      <c r="L175" s="508" t="s">
        <v>3578</v>
      </c>
      <c r="M175" s="508"/>
      <c r="N175" s="511">
        <v>2024099264</v>
      </c>
      <c r="O175" s="508"/>
    </row>
    <row r="176" spans="2:15" ht="17.25">
      <c r="B176" s="503"/>
      <c r="C176" s="508"/>
      <c r="D176" s="508"/>
      <c r="E176" s="508">
        <v>3</v>
      </c>
      <c r="F176" s="508" t="s">
        <v>3272</v>
      </c>
      <c r="G176" s="508"/>
      <c r="H176" s="508"/>
      <c r="I176" s="508" t="s">
        <v>3547</v>
      </c>
      <c r="J176" s="508" t="s">
        <v>3579</v>
      </c>
      <c r="K176" s="508" t="s">
        <v>3580</v>
      </c>
      <c r="L176" s="508"/>
      <c r="M176" s="508"/>
      <c r="N176" s="565">
        <v>2024099191</v>
      </c>
      <c r="O176" s="508"/>
    </row>
    <row r="177" spans="2:15" ht="17.25">
      <c r="B177" s="503"/>
      <c r="C177" s="508"/>
      <c r="D177" s="508"/>
      <c r="E177" s="508">
        <v>4</v>
      </c>
      <c r="F177" s="508" t="s">
        <v>3581</v>
      </c>
      <c r="G177" s="508"/>
      <c r="H177" s="508"/>
      <c r="I177" s="508" t="s">
        <v>3547</v>
      </c>
      <c r="J177" s="508" t="s">
        <v>3547</v>
      </c>
      <c r="K177" s="508" t="s">
        <v>3444</v>
      </c>
      <c r="L177" s="508"/>
      <c r="M177" s="508" t="s">
        <v>3434</v>
      </c>
      <c r="N177" s="536">
        <v>2024099265</v>
      </c>
      <c r="O177" s="508"/>
    </row>
    <row r="178" spans="2:15" ht="17.25">
      <c r="B178" s="503"/>
      <c r="C178" s="508"/>
      <c r="D178" s="508"/>
      <c r="E178" s="508">
        <v>5</v>
      </c>
      <c r="F178" s="508" t="s">
        <v>3582</v>
      </c>
      <c r="G178" s="508"/>
      <c r="H178" s="508"/>
      <c r="I178" s="508" t="s">
        <v>3547</v>
      </c>
      <c r="J178" s="508" t="s">
        <v>3547</v>
      </c>
      <c r="K178" s="508" t="s">
        <v>3583</v>
      </c>
      <c r="L178" s="508"/>
      <c r="M178" s="508"/>
      <c r="N178" s="565">
        <v>2024099197</v>
      </c>
      <c r="O178" s="508"/>
    </row>
    <row r="179" spans="2:15" ht="17.25">
      <c r="B179" s="503"/>
      <c r="C179" s="508"/>
      <c r="D179" s="508"/>
      <c r="E179" s="508">
        <v>6</v>
      </c>
      <c r="F179" s="508" t="s">
        <v>3584</v>
      </c>
      <c r="G179" s="508"/>
      <c r="H179" s="508"/>
      <c r="I179" s="508" t="s">
        <v>3547</v>
      </c>
      <c r="J179" s="508" t="s">
        <v>3547</v>
      </c>
      <c r="K179" s="508" t="s">
        <v>3585</v>
      </c>
      <c r="L179" s="508"/>
      <c r="M179" s="508"/>
      <c r="N179" s="565">
        <v>2024099192</v>
      </c>
      <c r="O179" s="508"/>
    </row>
    <row r="180" spans="2:15" ht="17.25">
      <c r="B180" s="503"/>
      <c r="C180" s="508"/>
      <c r="D180" s="508"/>
      <c r="E180" s="508">
        <v>7</v>
      </c>
      <c r="F180" s="508" t="s">
        <v>3586</v>
      </c>
      <c r="G180" s="508"/>
      <c r="H180" s="508"/>
      <c r="I180" s="508" t="s">
        <v>3547</v>
      </c>
      <c r="J180" s="508" t="s">
        <v>3547</v>
      </c>
      <c r="K180" s="508" t="s">
        <v>3587</v>
      </c>
      <c r="L180" s="508"/>
      <c r="M180" s="508"/>
      <c r="N180" s="565">
        <v>2024099193</v>
      </c>
      <c r="O180" s="508"/>
    </row>
    <row r="181" spans="2:15" ht="17.25">
      <c r="B181" s="503"/>
      <c r="C181" s="508"/>
      <c r="D181" s="508"/>
      <c r="E181" s="508">
        <v>8</v>
      </c>
      <c r="F181" s="508" t="s">
        <v>3588</v>
      </c>
      <c r="G181" s="508"/>
      <c r="H181" s="508"/>
      <c r="I181" s="508" t="s">
        <v>3547</v>
      </c>
      <c r="J181" s="508" t="s">
        <v>3547</v>
      </c>
      <c r="K181" s="508" t="s">
        <v>3589</v>
      </c>
      <c r="L181" s="508"/>
      <c r="M181" s="566"/>
      <c r="N181" s="567">
        <v>2024119404</v>
      </c>
      <c r="O181" s="508"/>
    </row>
    <row r="182" spans="2:15" ht="17.25">
      <c r="B182" s="503"/>
      <c r="C182" s="508"/>
      <c r="D182" s="508"/>
      <c r="E182" s="508">
        <v>9</v>
      </c>
      <c r="F182" s="508" t="s">
        <v>3590</v>
      </c>
      <c r="G182" s="508"/>
      <c r="H182" s="508"/>
      <c r="I182" s="508" t="s">
        <v>3547</v>
      </c>
      <c r="J182" s="508" t="s">
        <v>3547</v>
      </c>
      <c r="K182" s="508" t="s">
        <v>3591</v>
      </c>
      <c r="L182" s="508"/>
      <c r="M182" s="508"/>
      <c r="N182" s="568">
        <v>2024068621</v>
      </c>
      <c r="O182" s="508"/>
    </row>
    <row r="183" spans="2:15" ht="17.25">
      <c r="B183" s="515"/>
      <c r="C183" s="516"/>
      <c r="D183" s="516"/>
      <c r="E183" s="516">
        <v>10</v>
      </c>
      <c r="F183" s="516" t="s">
        <v>3592</v>
      </c>
      <c r="G183" s="516"/>
      <c r="H183" s="516"/>
      <c r="I183" s="516" t="s">
        <v>3547</v>
      </c>
      <c r="J183" s="569" t="s">
        <v>3547</v>
      </c>
      <c r="K183" s="516" t="s">
        <v>3593</v>
      </c>
      <c r="L183" s="516"/>
      <c r="M183" s="516"/>
      <c r="N183" s="536">
        <v>2024099225</v>
      </c>
      <c r="O183" s="516"/>
    </row>
    <row r="184" spans="2:15">
      <c r="B184" s="503" t="s">
        <v>3276</v>
      </c>
      <c r="C184" s="506" t="s">
        <v>3277</v>
      </c>
      <c r="D184" s="506" t="s">
        <v>3278</v>
      </c>
      <c r="E184" s="501">
        <v>1</v>
      </c>
      <c r="F184" s="506" t="s">
        <v>3594</v>
      </c>
      <c r="G184" s="506"/>
      <c r="H184" s="506">
        <v>0.5</v>
      </c>
      <c r="I184" s="506" t="s">
        <v>3547</v>
      </c>
      <c r="J184" s="506" t="s">
        <v>3550</v>
      </c>
      <c r="K184" s="506" t="s">
        <v>3595</v>
      </c>
      <c r="L184" s="506"/>
      <c r="M184" s="506" t="s">
        <v>3358</v>
      </c>
      <c r="N184" s="570">
        <v>2023127228</v>
      </c>
      <c r="O184" s="506"/>
    </row>
    <row r="185" spans="2:15">
      <c r="B185" s="503"/>
      <c r="C185" s="508"/>
      <c r="D185" s="508"/>
      <c r="E185" s="508">
        <v>2</v>
      </c>
      <c r="F185" s="508" t="s">
        <v>3596</v>
      </c>
      <c r="G185" s="508"/>
      <c r="H185" s="508">
        <v>2</v>
      </c>
      <c r="I185" s="508" t="s">
        <v>3547</v>
      </c>
      <c r="J185" s="508" t="s">
        <v>3550</v>
      </c>
      <c r="K185" s="508" t="s">
        <v>3597</v>
      </c>
      <c r="L185" s="508"/>
      <c r="M185" s="508" t="s">
        <v>3358</v>
      </c>
      <c r="N185" s="508">
        <v>2024017474</v>
      </c>
      <c r="O185" s="508"/>
    </row>
    <row r="186" spans="2:15">
      <c r="B186" s="503"/>
      <c r="C186" s="508"/>
      <c r="D186" s="508"/>
      <c r="E186" s="508">
        <v>3</v>
      </c>
      <c r="F186" s="508" t="s">
        <v>3598</v>
      </c>
      <c r="G186" s="508">
        <v>100</v>
      </c>
      <c r="H186" s="508">
        <v>1</v>
      </c>
      <c r="I186" s="508" t="s">
        <v>3547</v>
      </c>
      <c r="J186" s="508" t="s">
        <v>3599</v>
      </c>
      <c r="K186" s="508" t="s">
        <v>3600</v>
      </c>
      <c r="L186" s="508"/>
      <c r="M186" s="508" t="s">
        <v>3358</v>
      </c>
      <c r="N186" s="508">
        <v>2023127227</v>
      </c>
      <c r="O186" s="508"/>
    </row>
    <row r="187" spans="2:15">
      <c r="B187" s="503"/>
      <c r="C187" s="508"/>
      <c r="D187" s="508"/>
      <c r="E187" s="508">
        <v>4</v>
      </c>
      <c r="F187" s="508" t="s">
        <v>3279</v>
      </c>
      <c r="G187" s="508">
        <v>100</v>
      </c>
      <c r="H187" s="508">
        <v>1</v>
      </c>
      <c r="I187" s="508" t="s">
        <v>3547</v>
      </c>
      <c r="J187" s="508" t="s">
        <v>3558</v>
      </c>
      <c r="K187" s="508" t="s">
        <v>3601</v>
      </c>
      <c r="L187" s="508"/>
      <c r="M187" s="508" t="s">
        <v>3358</v>
      </c>
      <c r="N187" s="508">
        <v>2024027857</v>
      </c>
      <c r="O187" s="508"/>
    </row>
    <row r="188" spans="2:15">
      <c r="B188" s="503"/>
      <c r="C188" s="508"/>
      <c r="D188" s="508"/>
      <c r="E188" s="508">
        <v>5</v>
      </c>
      <c r="F188" s="508" t="s">
        <v>2983</v>
      </c>
      <c r="G188" s="508"/>
      <c r="H188" s="508">
        <v>0.5</v>
      </c>
      <c r="I188" s="508" t="s">
        <v>3547</v>
      </c>
      <c r="J188" s="508" t="s">
        <v>3599</v>
      </c>
      <c r="K188" s="508" t="s">
        <v>3602</v>
      </c>
      <c r="L188" s="508"/>
      <c r="M188" s="508" t="s">
        <v>3358</v>
      </c>
      <c r="N188" s="508">
        <v>2020071460</v>
      </c>
      <c r="O188" s="508"/>
    </row>
    <row r="189" spans="2:15">
      <c r="B189" s="503"/>
      <c r="C189" s="508"/>
      <c r="D189" s="508"/>
      <c r="E189" s="508">
        <v>6</v>
      </c>
      <c r="F189" s="508" t="s">
        <v>3603</v>
      </c>
      <c r="G189" s="508">
        <v>50</v>
      </c>
      <c r="H189" s="508">
        <v>0.5</v>
      </c>
      <c r="I189" s="508" t="s">
        <v>3547</v>
      </c>
      <c r="J189" s="508" t="s">
        <v>3558</v>
      </c>
      <c r="K189" s="508" t="s">
        <v>3604</v>
      </c>
      <c r="L189" s="508"/>
      <c r="M189" s="508" t="s">
        <v>3358</v>
      </c>
      <c r="N189" s="508">
        <v>2024017605</v>
      </c>
      <c r="O189" s="508"/>
    </row>
    <row r="190" spans="2:15">
      <c r="B190" s="503"/>
      <c r="C190" s="504"/>
      <c r="D190" s="504"/>
      <c r="E190" s="504">
        <v>7</v>
      </c>
      <c r="F190" s="504" t="s">
        <v>3605</v>
      </c>
      <c r="G190" s="504">
        <v>50</v>
      </c>
      <c r="H190" s="504">
        <v>0.5</v>
      </c>
      <c r="I190" s="504" t="s">
        <v>3547</v>
      </c>
      <c r="J190" s="504" t="s">
        <v>3599</v>
      </c>
      <c r="K190" s="504" t="s">
        <v>3606</v>
      </c>
      <c r="L190" s="504"/>
      <c r="M190" s="504" t="s">
        <v>3358</v>
      </c>
      <c r="N190" s="504">
        <v>2024017476</v>
      </c>
      <c r="O190" s="504"/>
    </row>
    <row r="191" spans="2:15">
      <c r="B191" s="503"/>
      <c r="C191" s="506" t="s">
        <v>3291</v>
      </c>
      <c r="D191" s="506" t="s">
        <v>3292</v>
      </c>
      <c r="E191" s="506">
        <v>1</v>
      </c>
      <c r="F191" s="506" t="s">
        <v>3607</v>
      </c>
      <c r="G191" s="506"/>
      <c r="H191" s="506">
        <v>1</v>
      </c>
      <c r="I191" s="506" t="s">
        <v>3547</v>
      </c>
      <c r="J191" s="506" t="s">
        <v>3550</v>
      </c>
      <c r="K191" s="506" t="s">
        <v>3608</v>
      </c>
      <c r="L191" s="506"/>
      <c r="M191" s="506" t="s">
        <v>3358</v>
      </c>
      <c r="N191" s="571">
        <v>2025019538</v>
      </c>
      <c r="O191" s="506"/>
    </row>
    <row r="192" spans="2:15">
      <c r="B192" s="503"/>
      <c r="C192" s="504"/>
      <c r="D192" s="504"/>
      <c r="E192" s="504">
        <v>2</v>
      </c>
      <c r="F192" s="504" t="s">
        <v>3609</v>
      </c>
      <c r="G192" s="504"/>
      <c r="H192" s="504">
        <v>1</v>
      </c>
      <c r="I192" s="504" t="s">
        <v>3547</v>
      </c>
      <c r="J192" s="504" t="s">
        <v>3550</v>
      </c>
      <c r="K192" s="504" t="s">
        <v>3610</v>
      </c>
      <c r="L192" s="504"/>
      <c r="M192" s="504" t="s">
        <v>3358</v>
      </c>
      <c r="N192" s="504">
        <v>2024089041</v>
      </c>
      <c r="O192" s="504"/>
    </row>
    <row r="193" spans="2:15">
      <c r="B193" s="503"/>
      <c r="C193" s="506" t="s">
        <v>3293</v>
      </c>
      <c r="D193" s="506" t="s">
        <v>3294</v>
      </c>
      <c r="E193" s="506">
        <v>1</v>
      </c>
      <c r="F193" s="506" t="s">
        <v>3611</v>
      </c>
      <c r="G193" s="549"/>
      <c r="H193" s="549">
        <v>0.5</v>
      </c>
      <c r="I193" s="549" t="s">
        <v>3612</v>
      </c>
      <c r="J193" s="549" t="s">
        <v>3613</v>
      </c>
      <c r="K193" s="549" t="s">
        <v>3614</v>
      </c>
      <c r="L193" s="549"/>
      <c r="M193" s="549" t="s">
        <v>3358</v>
      </c>
      <c r="N193" s="549">
        <v>2024027785</v>
      </c>
      <c r="O193" s="506"/>
    </row>
    <row r="194" spans="2:15">
      <c r="B194" s="572"/>
      <c r="C194" s="504"/>
      <c r="D194" s="504"/>
      <c r="E194" s="504">
        <v>2</v>
      </c>
      <c r="F194" s="504" t="s">
        <v>3615</v>
      </c>
      <c r="G194" s="504"/>
      <c r="H194" s="504">
        <v>0.5</v>
      </c>
      <c r="I194" s="563" t="s">
        <v>3612</v>
      </c>
      <c r="J194" s="504" t="s">
        <v>3616</v>
      </c>
      <c r="K194" s="504" t="s">
        <v>3617</v>
      </c>
      <c r="L194" s="504"/>
      <c r="M194" s="573" t="s">
        <v>3358</v>
      </c>
      <c r="N194" s="563">
        <v>2025019553</v>
      </c>
      <c r="O194" s="504"/>
    </row>
    <row r="195" spans="2:15">
      <c r="B195" s="503" t="s">
        <v>3300</v>
      </c>
      <c r="C195" s="506" t="s">
        <v>3301</v>
      </c>
      <c r="D195" s="506" t="s">
        <v>3302</v>
      </c>
      <c r="E195" s="506">
        <v>1</v>
      </c>
      <c r="F195" s="506" t="s">
        <v>3618</v>
      </c>
      <c r="G195" s="506"/>
      <c r="H195" s="506"/>
      <c r="I195" s="506" t="s">
        <v>3612</v>
      </c>
      <c r="J195" s="545">
        <v>45670</v>
      </c>
      <c r="K195" s="506" t="s">
        <v>3619</v>
      </c>
      <c r="L195" s="506"/>
      <c r="M195" s="506"/>
      <c r="N195" s="549">
        <v>2025019540</v>
      </c>
      <c r="O195" s="506"/>
    </row>
    <row r="196" spans="2:15">
      <c r="B196" s="503"/>
      <c r="C196" s="508"/>
      <c r="D196" s="508"/>
      <c r="E196" s="508">
        <v>2</v>
      </c>
      <c r="F196" s="484" t="s">
        <v>3620</v>
      </c>
      <c r="G196" s="508"/>
      <c r="H196" s="508"/>
      <c r="I196" s="508" t="s">
        <v>3612</v>
      </c>
      <c r="J196" s="524">
        <v>45671</v>
      </c>
      <c r="K196" s="508" t="s">
        <v>3621</v>
      </c>
      <c r="L196" s="508" t="s">
        <v>3622</v>
      </c>
      <c r="M196" s="508"/>
      <c r="N196" s="547">
        <v>2024129521</v>
      </c>
      <c r="O196" s="508"/>
    </row>
    <row r="197" spans="2:15">
      <c r="B197" s="503"/>
      <c r="C197" s="508"/>
      <c r="D197" s="508"/>
      <c r="E197" s="508">
        <v>3</v>
      </c>
      <c r="F197" s="508" t="s">
        <v>3623</v>
      </c>
      <c r="G197" s="508"/>
      <c r="H197" s="508"/>
      <c r="I197" s="508" t="s">
        <v>3612</v>
      </c>
      <c r="J197" s="524">
        <v>45676</v>
      </c>
      <c r="K197" s="508" t="s">
        <v>3624</v>
      </c>
      <c r="L197" s="508"/>
      <c r="M197" s="508"/>
      <c r="N197" s="547">
        <v>2025019541</v>
      </c>
      <c r="O197" s="508"/>
    </row>
    <row r="198" spans="2:15">
      <c r="B198" s="503"/>
      <c r="C198" s="508"/>
      <c r="D198" s="508"/>
      <c r="E198" s="508">
        <v>4</v>
      </c>
      <c r="F198" s="508" t="s">
        <v>3625</v>
      </c>
      <c r="G198" s="508"/>
      <c r="H198" s="508"/>
      <c r="I198" s="508" t="s">
        <v>3612</v>
      </c>
      <c r="J198" s="524">
        <v>45672</v>
      </c>
      <c r="K198" s="508" t="s">
        <v>3626</v>
      </c>
      <c r="L198" s="508"/>
      <c r="M198" s="508"/>
      <c r="N198" s="547">
        <v>2025019542</v>
      </c>
      <c r="O198" s="508"/>
    </row>
    <row r="199" spans="2:15">
      <c r="B199" s="503"/>
      <c r="C199" s="508"/>
      <c r="D199" s="508"/>
      <c r="E199" s="508">
        <v>5</v>
      </c>
      <c r="F199" s="508" t="s">
        <v>1523</v>
      </c>
      <c r="G199" s="508"/>
      <c r="H199" s="508"/>
      <c r="I199" s="508" t="s">
        <v>3612</v>
      </c>
      <c r="J199" s="524">
        <v>45673</v>
      </c>
      <c r="K199" s="508" t="s">
        <v>3627</v>
      </c>
      <c r="L199" s="508"/>
      <c r="M199" s="508"/>
      <c r="N199" s="547">
        <v>2025019543</v>
      </c>
      <c r="O199" s="508"/>
    </row>
    <row r="200" spans="2:15">
      <c r="B200" s="503"/>
      <c r="C200" s="508"/>
      <c r="D200" s="508"/>
      <c r="E200" s="508">
        <v>6</v>
      </c>
      <c r="F200" s="508" t="s">
        <v>3628</v>
      </c>
      <c r="G200" s="508"/>
      <c r="H200" s="508"/>
      <c r="I200" s="508" t="s">
        <v>3612</v>
      </c>
      <c r="J200" s="524">
        <v>45674</v>
      </c>
      <c r="K200" s="508" t="s">
        <v>3629</v>
      </c>
      <c r="L200" s="508"/>
      <c r="M200" s="508"/>
      <c r="N200" s="547">
        <v>2025019544</v>
      </c>
      <c r="O200" s="508"/>
    </row>
    <row r="201" spans="2:15">
      <c r="B201" s="503"/>
      <c r="C201" s="508"/>
      <c r="D201" s="508"/>
      <c r="E201" s="508">
        <v>7</v>
      </c>
      <c r="F201" s="522" t="s">
        <v>3630</v>
      </c>
      <c r="G201" s="522"/>
      <c r="H201" s="522"/>
      <c r="I201" s="522" t="s">
        <v>3612</v>
      </c>
      <c r="J201" s="529">
        <v>45675</v>
      </c>
      <c r="K201" s="522" t="s">
        <v>3631</v>
      </c>
      <c r="L201" s="522"/>
      <c r="M201" s="522"/>
      <c r="N201" s="574" t="s">
        <v>3632</v>
      </c>
      <c r="O201" s="522"/>
    </row>
    <row r="202" spans="2:15">
      <c r="B202" s="503"/>
      <c r="C202" s="508"/>
      <c r="D202" s="508"/>
      <c r="E202" s="508">
        <v>8</v>
      </c>
      <c r="F202" s="508" t="s">
        <v>3633</v>
      </c>
      <c r="G202" s="508"/>
      <c r="H202" s="508"/>
      <c r="I202" s="508" t="s">
        <v>3612</v>
      </c>
      <c r="J202" s="524">
        <v>45676</v>
      </c>
      <c r="K202" s="508" t="s">
        <v>3634</v>
      </c>
      <c r="L202" s="508"/>
      <c r="M202" s="508"/>
      <c r="N202" s="547">
        <v>2025019546</v>
      </c>
      <c r="O202" s="508"/>
    </row>
    <row r="203" spans="2:15">
      <c r="B203" s="503"/>
      <c r="C203" s="508"/>
      <c r="D203" s="508"/>
      <c r="E203" s="508">
        <v>9</v>
      </c>
      <c r="F203" s="508" t="s">
        <v>3635</v>
      </c>
      <c r="G203" s="508"/>
      <c r="H203" s="508"/>
      <c r="I203" s="524" t="s">
        <v>3612</v>
      </c>
      <c r="J203" s="524">
        <v>45670</v>
      </c>
      <c r="K203" s="508" t="s">
        <v>3636</v>
      </c>
      <c r="L203" s="508"/>
      <c r="M203" s="508"/>
      <c r="N203" s="547">
        <v>2025019547</v>
      </c>
      <c r="O203" s="508"/>
    </row>
    <row r="204" spans="2:15">
      <c r="B204" s="503"/>
      <c r="C204" s="516"/>
      <c r="D204" s="516"/>
      <c r="E204" s="516">
        <v>10</v>
      </c>
      <c r="F204" s="516" t="s">
        <v>3637</v>
      </c>
      <c r="G204" s="516"/>
      <c r="H204" s="516"/>
      <c r="I204" s="516" t="s">
        <v>3612</v>
      </c>
      <c r="J204" s="523">
        <v>45672</v>
      </c>
      <c r="K204" s="516" t="s">
        <v>3637</v>
      </c>
      <c r="L204" s="516"/>
      <c r="M204" s="516"/>
      <c r="N204" s="569">
        <v>2025019548</v>
      </c>
      <c r="O204" s="516"/>
    </row>
    <row r="205" spans="2:15">
      <c r="B205" s="503"/>
      <c r="C205" s="501" t="s">
        <v>3474</v>
      </c>
      <c r="D205" s="501" t="s">
        <v>3315</v>
      </c>
      <c r="E205" s="501">
        <v>1</v>
      </c>
      <c r="F205" s="501" t="s">
        <v>3638</v>
      </c>
      <c r="G205" s="501"/>
      <c r="H205" s="501"/>
      <c r="I205" s="501" t="s">
        <v>3612</v>
      </c>
      <c r="J205" s="501"/>
      <c r="K205" s="501" t="s">
        <v>3639</v>
      </c>
      <c r="L205" s="501"/>
      <c r="M205" s="501"/>
      <c r="N205" s="501">
        <v>2025019549</v>
      </c>
      <c r="O205" s="501"/>
    </row>
    <row r="206" spans="2:15">
      <c r="B206" s="503"/>
      <c r="C206" s="508"/>
      <c r="D206" s="508"/>
      <c r="E206" s="508">
        <v>2</v>
      </c>
      <c r="F206" s="508" t="s">
        <v>3640</v>
      </c>
      <c r="G206" s="508"/>
      <c r="H206" s="508"/>
      <c r="I206" s="508" t="s">
        <v>3612</v>
      </c>
      <c r="J206" s="508"/>
      <c r="K206" s="508" t="s">
        <v>3641</v>
      </c>
      <c r="L206" s="508"/>
      <c r="M206" s="508"/>
      <c r="N206" s="508">
        <v>2025019550</v>
      </c>
      <c r="O206" s="508"/>
    </row>
    <row r="207" spans="2:15">
      <c r="B207" s="503"/>
      <c r="C207" s="508"/>
      <c r="D207" s="508"/>
      <c r="E207" s="508">
        <v>3</v>
      </c>
      <c r="F207" s="508" t="s">
        <v>3642</v>
      </c>
      <c r="G207" s="508"/>
      <c r="H207" s="508"/>
      <c r="I207" s="508" t="s">
        <v>3612</v>
      </c>
      <c r="J207" s="508"/>
      <c r="K207" s="508" t="s">
        <v>3643</v>
      </c>
      <c r="L207" s="508"/>
      <c r="M207" s="508"/>
      <c r="N207" s="508">
        <v>2025019551</v>
      </c>
      <c r="O207" s="508"/>
    </row>
    <row r="208" spans="2:15">
      <c r="B208" s="503"/>
      <c r="C208" s="508"/>
      <c r="D208" s="508"/>
      <c r="E208" s="508">
        <v>4</v>
      </c>
      <c r="F208" s="508" t="s">
        <v>3644</v>
      </c>
      <c r="G208" s="508"/>
      <c r="H208" s="508"/>
      <c r="I208" s="508" t="s">
        <v>3612</v>
      </c>
      <c r="J208" s="508"/>
      <c r="K208" s="508" t="s">
        <v>3644</v>
      </c>
      <c r="L208" s="508"/>
      <c r="M208" s="508"/>
      <c r="N208" s="508">
        <v>2025019552</v>
      </c>
      <c r="O208" s="508"/>
    </row>
    <row r="209" spans="1:17">
      <c r="B209" s="503"/>
      <c r="C209" s="508"/>
      <c r="D209" s="508"/>
      <c r="E209" s="508">
        <v>5</v>
      </c>
      <c r="F209" s="508" t="s">
        <v>3645</v>
      </c>
      <c r="G209" s="508"/>
      <c r="H209" s="508"/>
      <c r="I209" s="508" t="s">
        <v>3612</v>
      </c>
      <c r="J209" s="508"/>
      <c r="K209" s="508" t="s">
        <v>3645</v>
      </c>
      <c r="L209" s="508"/>
      <c r="M209" s="508"/>
      <c r="N209" s="508">
        <v>2024017624</v>
      </c>
      <c r="O209" s="508"/>
    </row>
    <row r="210" spans="1:17">
      <c r="B210" s="503"/>
      <c r="C210" s="508"/>
      <c r="D210" s="508"/>
      <c r="E210" s="508">
        <v>6</v>
      </c>
      <c r="F210" s="508" t="s">
        <v>3646</v>
      </c>
      <c r="G210" s="508"/>
      <c r="H210" s="508"/>
      <c r="I210" s="508" t="s">
        <v>3612</v>
      </c>
      <c r="J210" s="508"/>
      <c r="K210" s="508" t="s">
        <v>3646</v>
      </c>
      <c r="L210" s="508"/>
      <c r="M210" s="508"/>
      <c r="N210" s="508">
        <v>2024129507</v>
      </c>
      <c r="O210" s="508"/>
    </row>
    <row r="211" spans="1:17">
      <c r="B211" s="503"/>
      <c r="C211" s="508"/>
      <c r="D211" s="508"/>
      <c r="E211" s="508">
        <v>7</v>
      </c>
      <c r="F211" s="508" t="s">
        <v>3647</v>
      </c>
      <c r="G211" s="508"/>
      <c r="H211" s="508"/>
      <c r="I211" s="508" t="s">
        <v>3612</v>
      </c>
      <c r="J211" s="508"/>
      <c r="K211" s="508" t="s">
        <v>3647</v>
      </c>
      <c r="L211" s="508"/>
      <c r="M211" s="508"/>
      <c r="N211" s="508">
        <v>2024129506</v>
      </c>
      <c r="O211" s="508"/>
    </row>
    <row r="212" spans="1:17">
      <c r="B212" s="575" t="s">
        <v>3324</v>
      </c>
      <c r="C212" s="501" t="s">
        <v>3325</v>
      </c>
      <c r="D212" s="501" t="s">
        <v>3326</v>
      </c>
      <c r="E212" s="501">
        <v>1</v>
      </c>
      <c r="F212" s="501" t="s">
        <v>3327</v>
      </c>
      <c r="G212" s="576" t="s">
        <v>3328</v>
      </c>
      <c r="H212" s="501">
        <v>15</v>
      </c>
      <c r="I212" s="501" t="s">
        <v>3612</v>
      </c>
      <c r="J212" s="577">
        <v>45670</v>
      </c>
      <c r="K212" s="501" t="s">
        <v>3488</v>
      </c>
      <c r="L212" s="501"/>
      <c r="M212" s="501"/>
      <c r="N212" s="501">
        <v>2024058452</v>
      </c>
      <c r="O212" s="501"/>
    </row>
    <row r="213" spans="1:17">
      <c r="A213" s="578"/>
      <c r="B213" s="579"/>
      <c r="C213" s="547"/>
      <c r="D213" s="547"/>
      <c r="E213" s="547">
        <v>3</v>
      </c>
      <c r="F213" s="547" t="s">
        <v>3330</v>
      </c>
      <c r="G213" s="580" t="s">
        <v>3328</v>
      </c>
      <c r="H213" s="547">
        <v>20</v>
      </c>
      <c r="I213" s="547" t="s">
        <v>3612</v>
      </c>
      <c r="J213" s="581">
        <v>45670</v>
      </c>
      <c r="K213" s="547" t="s">
        <v>3489</v>
      </c>
      <c r="L213" s="547"/>
      <c r="M213" s="547"/>
      <c r="N213" s="547">
        <v>2024058453</v>
      </c>
      <c r="O213" s="547"/>
      <c r="P213" s="578"/>
      <c r="Q213" s="578"/>
    </row>
    <row r="214" spans="1:17">
      <c r="A214" s="578"/>
      <c r="B214" s="579"/>
      <c r="C214" s="547"/>
      <c r="D214" s="547"/>
      <c r="E214" s="547">
        <v>4</v>
      </c>
      <c r="F214" s="547" t="s">
        <v>3332</v>
      </c>
      <c r="G214" s="580" t="s">
        <v>3328</v>
      </c>
      <c r="H214" s="547">
        <v>15</v>
      </c>
      <c r="I214" s="547" t="s">
        <v>3612</v>
      </c>
      <c r="J214" s="581">
        <v>45671</v>
      </c>
      <c r="K214" s="547" t="s">
        <v>3490</v>
      </c>
      <c r="L214" s="547"/>
      <c r="M214" s="547"/>
      <c r="N214" s="547">
        <v>2024068760</v>
      </c>
      <c r="O214" s="547"/>
      <c r="P214" s="578"/>
      <c r="Q214" s="578"/>
    </row>
    <row r="215" spans="1:17">
      <c r="A215" s="578"/>
      <c r="B215" s="579"/>
      <c r="C215" s="547"/>
      <c r="D215" s="547"/>
      <c r="E215" s="547">
        <v>5</v>
      </c>
      <c r="F215" s="547" t="s">
        <v>3334</v>
      </c>
      <c r="G215" s="580" t="s">
        <v>3328</v>
      </c>
      <c r="H215" s="547">
        <v>10</v>
      </c>
      <c r="I215" s="547" t="s">
        <v>3612</v>
      </c>
      <c r="J215" s="581">
        <v>45671</v>
      </c>
      <c r="K215" s="547" t="s">
        <v>3491</v>
      </c>
      <c r="L215" s="547"/>
      <c r="M215" s="547"/>
      <c r="N215" s="547">
        <v>2024068644</v>
      </c>
      <c r="O215" s="547"/>
      <c r="P215" s="578"/>
      <c r="Q215" s="578"/>
    </row>
    <row r="216" spans="1:17">
      <c r="A216" s="578"/>
      <c r="B216" s="579"/>
      <c r="C216" s="547"/>
      <c r="D216" s="547"/>
      <c r="E216" s="547">
        <v>6</v>
      </c>
      <c r="F216" s="547" t="s">
        <v>3336</v>
      </c>
      <c r="G216" s="580" t="s">
        <v>3328</v>
      </c>
      <c r="H216" s="547">
        <v>10</v>
      </c>
      <c r="I216" s="547" t="s">
        <v>3612</v>
      </c>
      <c r="J216" s="581">
        <v>45672</v>
      </c>
      <c r="K216" s="547" t="s">
        <v>3492</v>
      </c>
      <c r="L216" s="547"/>
      <c r="M216" s="547"/>
      <c r="N216" s="547">
        <v>2024109287</v>
      </c>
      <c r="O216" s="547"/>
      <c r="P216" s="578"/>
      <c r="Q216" s="578"/>
    </row>
    <row r="217" spans="1:17">
      <c r="A217" s="578"/>
      <c r="B217" s="579"/>
      <c r="C217" s="547"/>
      <c r="D217" s="547"/>
      <c r="E217" s="547">
        <v>7</v>
      </c>
      <c r="F217" s="547" t="s">
        <v>3338</v>
      </c>
      <c r="G217" s="580" t="s">
        <v>3328</v>
      </c>
      <c r="H217" s="547">
        <v>20</v>
      </c>
      <c r="I217" s="547" t="s">
        <v>3612</v>
      </c>
      <c r="J217" s="581">
        <v>45672</v>
      </c>
      <c r="K217" s="547" t="s">
        <v>3493</v>
      </c>
      <c r="L217" s="547"/>
      <c r="M217" s="547"/>
      <c r="N217" s="547">
        <v>2024078762</v>
      </c>
      <c r="O217" s="547"/>
      <c r="P217" s="578"/>
      <c r="Q217" s="578"/>
    </row>
    <row r="218" spans="1:17">
      <c r="A218" s="578"/>
      <c r="B218" s="579"/>
      <c r="C218" s="547"/>
      <c r="D218" s="547"/>
      <c r="E218" s="547">
        <v>8</v>
      </c>
      <c r="F218" s="547" t="s">
        <v>3340</v>
      </c>
      <c r="G218" s="580" t="s">
        <v>3328</v>
      </c>
      <c r="H218" s="547">
        <v>20</v>
      </c>
      <c r="I218" s="547" t="s">
        <v>3612</v>
      </c>
      <c r="J218" s="581">
        <v>45673</v>
      </c>
      <c r="K218" s="547" t="s">
        <v>3494</v>
      </c>
      <c r="L218" s="547"/>
      <c r="M218" s="547"/>
      <c r="N218" s="547">
        <v>2024078899</v>
      </c>
      <c r="O218" s="547"/>
      <c r="P218" s="578"/>
      <c r="Q218" s="578"/>
    </row>
    <row r="219" spans="1:17">
      <c r="A219" s="578"/>
      <c r="B219" s="579"/>
      <c r="C219" s="547"/>
      <c r="D219" s="547"/>
      <c r="E219" s="547">
        <v>9</v>
      </c>
      <c r="F219" s="582" t="s">
        <v>3648</v>
      </c>
      <c r="G219" s="582">
        <v>100</v>
      </c>
      <c r="H219" s="582">
        <v>70</v>
      </c>
      <c r="I219" s="583">
        <v>45673</v>
      </c>
      <c r="J219" s="583">
        <v>45673</v>
      </c>
      <c r="K219" s="582" t="s">
        <v>3649</v>
      </c>
      <c r="L219" s="582" t="s">
        <v>3348</v>
      </c>
      <c r="M219" s="582"/>
      <c r="N219" s="582">
        <v>2024078763</v>
      </c>
      <c r="O219" s="582"/>
      <c r="P219" s="578"/>
      <c r="Q219" s="578"/>
    </row>
    <row r="220" spans="1:17">
      <c r="B220" s="579"/>
      <c r="C220" s="508"/>
      <c r="D220" s="508"/>
      <c r="E220" s="508">
        <v>10</v>
      </c>
      <c r="F220" s="582" t="s">
        <v>3650</v>
      </c>
      <c r="G220" s="582">
        <v>100</v>
      </c>
      <c r="H220" s="582">
        <v>100</v>
      </c>
      <c r="I220" s="583">
        <v>45672</v>
      </c>
      <c r="J220" s="583">
        <v>45672</v>
      </c>
      <c r="K220" s="582" t="s">
        <v>3651</v>
      </c>
      <c r="L220" s="582" t="s">
        <v>3348</v>
      </c>
      <c r="M220" s="582"/>
      <c r="N220" s="582">
        <v>2022033252</v>
      </c>
      <c r="O220" s="582"/>
    </row>
    <row r="221" spans="1:17">
      <c r="B221" s="584"/>
      <c r="C221" s="585"/>
      <c r="D221" s="508"/>
      <c r="E221" s="508">
        <v>11</v>
      </c>
      <c r="F221" s="582" t="s">
        <v>3652</v>
      </c>
      <c r="G221" s="586" t="s">
        <v>3328</v>
      </c>
      <c r="H221" s="582">
        <v>30</v>
      </c>
      <c r="I221" s="583" t="s">
        <v>3653</v>
      </c>
      <c r="J221" s="583" t="s">
        <v>3653</v>
      </c>
      <c r="K221" s="582" t="s">
        <v>3654</v>
      </c>
      <c r="L221" s="582" t="s">
        <v>3348</v>
      </c>
      <c r="M221" s="582"/>
      <c r="N221" s="582">
        <v>2024099255</v>
      </c>
      <c r="O221" s="582"/>
    </row>
    <row r="222" spans="1:17">
      <c r="B222" s="503" t="s">
        <v>3349</v>
      </c>
      <c r="C222" s="501" t="s">
        <v>3350</v>
      </c>
      <c r="D222" s="501" t="s">
        <v>3351</v>
      </c>
      <c r="E222" s="501">
        <v>1</v>
      </c>
      <c r="F222" s="501" t="s">
        <v>3655</v>
      </c>
      <c r="G222" s="501">
        <v>300</v>
      </c>
      <c r="H222" s="501">
        <v>40</v>
      </c>
      <c r="I222" s="547" t="s">
        <v>3612</v>
      </c>
      <c r="J222" s="526">
        <v>45674</v>
      </c>
      <c r="K222" s="501" t="s">
        <v>3656</v>
      </c>
      <c r="L222" s="501" t="s">
        <v>3348</v>
      </c>
      <c r="M222" s="501" t="s">
        <v>3358</v>
      </c>
      <c r="N222" s="501">
        <v>2024058585</v>
      </c>
      <c r="O222" s="501"/>
    </row>
    <row r="223" spans="1:17">
      <c r="B223" s="503"/>
      <c r="C223" s="508"/>
      <c r="D223" s="508"/>
      <c r="E223" s="508">
        <v>2</v>
      </c>
      <c r="F223" s="508" t="s">
        <v>3657</v>
      </c>
      <c r="G223" s="508">
        <v>200</v>
      </c>
      <c r="H223" s="508">
        <v>20</v>
      </c>
      <c r="I223" s="547" t="s">
        <v>3612</v>
      </c>
      <c r="J223" s="524">
        <v>45672</v>
      </c>
      <c r="K223" s="508" t="s">
        <v>3658</v>
      </c>
      <c r="L223" s="508"/>
      <c r="M223" s="501" t="s">
        <v>3358</v>
      </c>
      <c r="N223" s="508">
        <v>2024058388</v>
      </c>
      <c r="O223" s="508"/>
    </row>
    <row r="224" spans="1:17">
      <c r="B224" s="503"/>
      <c r="C224" s="508"/>
      <c r="D224" s="508"/>
      <c r="E224" s="508">
        <v>3</v>
      </c>
      <c r="F224" s="508" t="s">
        <v>3659</v>
      </c>
      <c r="G224" s="508">
        <v>200</v>
      </c>
      <c r="H224" s="508">
        <v>20</v>
      </c>
      <c r="I224" s="547" t="s">
        <v>3612</v>
      </c>
      <c r="J224" s="524">
        <v>45674</v>
      </c>
      <c r="K224" s="508" t="s">
        <v>3660</v>
      </c>
      <c r="L224" s="508"/>
      <c r="M224" s="501" t="s">
        <v>3358</v>
      </c>
      <c r="N224" s="508">
        <v>2024048197</v>
      </c>
      <c r="O224" s="508"/>
    </row>
    <row r="225" spans="2:15">
      <c r="B225" s="503"/>
      <c r="C225" s="508"/>
      <c r="D225" s="508"/>
      <c r="E225" s="508">
        <v>4</v>
      </c>
      <c r="F225" s="508" t="s">
        <v>3661</v>
      </c>
      <c r="G225" s="508">
        <v>100</v>
      </c>
      <c r="H225" s="508">
        <v>15</v>
      </c>
      <c r="I225" s="547" t="s">
        <v>3612</v>
      </c>
      <c r="J225" s="524">
        <v>45670</v>
      </c>
      <c r="K225" s="508" t="s">
        <v>3662</v>
      </c>
      <c r="L225" s="508"/>
      <c r="M225" s="501" t="s">
        <v>3358</v>
      </c>
      <c r="N225" s="508">
        <v>2024129466</v>
      </c>
      <c r="O225" s="508"/>
    </row>
    <row r="226" spans="2:15">
      <c r="B226" s="503"/>
      <c r="C226" s="508"/>
      <c r="D226" s="508"/>
      <c r="E226" s="508">
        <v>5</v>
      </c>
      <c r="F226" s="508" t="s">
        <v>3663</v>
      </c>
      <c r="G226" s="508">
        <v>200</v>
      </c>
      <c r="H226" s="508">
        <v>30</v>
      </c>
      <c r="I226" s="547" t="s">
        <v>3612</v>
      </c>
      <c r="J226" s="524">
        <v>45671</v>
      </c>
      <c r="K226" s="508" t="s">
        <v>3664</v>
      </c>
      <c r="L226" s="508"/>
      <c r="M226" s="501" t="s">
        <v>3358</v>
      </c>
      <c r="N226" s="508">
        <v>2024027790</v>
      </c>
      <c r="O226" s="508"/>
    </row>
    <row r="227" spans="2:15">
      <c r="B227" s="503"/>
      <c r="C227" s="508"/>
      <c r="D227" s="508"/>
      <c r="E227" s="508">
        <v>6</v>
      </c>
      <c r="F227" s="508" t="s">
        <v>3665</v>
      </c>
      <c r="G227" s="508">
        <v>100</v>
      </c>
      <c r="H227" s="508">
        <v>20</v>
      </c>
      <c r="I227" s="547" t="s">
        <v>3612</v>
      </c>
      <c r="J227" s="524" t="s">
        <v>3666</v>
      </c>
      <c r="K227" s="508" t="s">
        <v>3667</v>
      </c>
      <c r="L227" s="508"/>
      <c r="M227" s="501" t="s">
        <v>3358</v>
      </c>
      <c r="N227" s="508">
        <v>2024048164</v>
      </c>
      <c r="O227" s="508"/>
    </row>
    <row r="228" spans="2:15">
      <c r="B228" s="503"/>
      <c r="C228" s="508"/>
      <c r="D228" s="508"/>
      <c r="E228" s="508">
        <v>7</v>
      </c>
      <c r="F228" s="508" t="s">
        <v>3668</v>
      </c>
      <c r="G228" s="508">
        <v>100</v>
      </c>
      <c r="H228" s="508">
        <v>10</v>
      </c>
      <c r="I228" s="547" t="s">
        <v>3612</v>
      </c>
      <c r="J228" s="524">
        <v>45675</v>
      </c>
      <c r="K228" s="508" t="s">
        <v>3669</v>
      </c>
      <c r="L228" s="508"/>
      <c r="M228" s="501" t="s">
        <v>3358</v>
      </c>
      <c r="N228" s="508">
        <v>2024058493</v>
      </c>
      <c r="O228" s="508"/>
    </row>
    <row r="229" spans="2:15">
      <c r="B229" s="503"/>
      <c r="C229" s="508"/>
      <c r="D229" s="508"/>
      <c r="E229" s="508">
        <v>8</v>
      </c>
      <c r="F229" s="508" t="s">
        <v>3670</v>
      </c>
      <c r="G229" s="508">
        <v>100</v>
      </c>
      <c r="H229" s="508">
        <v>10</v>
      </c>
      <c r="I229" s="547" t="s">
        <v>3612</v>
      </c>
      <c r="J229" s="524">
        <v>45671</v>
      </c>
      <c r="K229" s="508" t="s">
        <v>3671</v>
      </c>
      <c r="L229" s="508"/>
      <c r="M229" s="501" t="s">
        <v>3358</v>
      </c>
      <c r="N229" s="508">
        <v>2025019539</v>
      </c>
      <c r="O229" s="508"/>
    </row>
    <row r="230" spans="2:15">
      <c r="B230" s="503"/>
      <c r="C230" s="508"/>
      <c r="D230" s="508"/>
      <c r="E230" s="508">
        <v>9</v>
      </c>
      <c r="F230" s="508" t="s">
        <v>3672</v>
      </c>
      <c r="G230" s="508">
        <v>100</v>
      </c>
      <c r="H230" s="508">
        <v>10</v>
      </c>
      <c r="I230" s="547" t="s">
        <v>3612</v>
      </c>
      <c r="J230" s="524">
        <v>45672</v>
      </c>
      <c r="K230" s="508" t="s">
        <v>3673</v>
      </c>
      <c r="L230" s="508"/>
      <c r="M230" s="501" t="s">
        <v>3358</v>
      </c>
      <c r="N230" s="508">
        <v>2024048163</v>
      </c>
      <c r="O230" s="508"/>
    </row>
    <row r="231" spans="2:15">
      <c r="B231" s="503"/>
      <c r="C231" s="550"/>
      <c r="D231" s="550"/>
      <c r="E231" s="508">
        <v>10</v>
      </c>
      <c r="F231" s="550" t="s">
        <v>3674</v>
      </c>
      <c r="G231" s="550">
        <v>50</v>
      </c>
      <c r="H231" s="550">
        <v>10</v>
      </c>
      <c r="I231" s="547" t="s">
        <v>3612</v>
      </c>
      <c r="J231" s="524">
        <v>45673</v>
      </c>
      <c r="K231" s="550" t="s">
        <v>3675</v>
      </c>
      <c r="L231" s="550"/>
      <c r="M231" s="501" t="s">
        <v>3358</v>
      </c>
      <c r="N231" s="550">
        <v>2024048244</v>
      </c>
      <c r="O231" s="550"/>
    </row>
    <row r="232" spans="2:15">
      <c r="B232" s="503"/>
      <c r="C232" s="516"/>
      <c r="D232" s="516"/>
      <c r="E232" s="508">
        <v>11</v>
      </c>
      <c r="F232" s="516" t="s">
        <v>3676</v>
      </c>
      <c r="G232" s="516">
        <v>100</v>
      </c>
      <c r="H232" s="516">
        <v>15</v>
      </c>
      <c r="I232" s="547" t="s">
        <v>3612</v>
      </c>
      <c r="J232" s="524">
        <v>45673</v>
      </c>
      <c r="K232" s="516" t="s">
        <v>3677</v>
      </c>
      <c r="L232" s="516"/>
      <c r="M232" s="501" t="s">
        <v>3358</v>
      </c>
      <c r="N232" s="516">
        <v>2024048200</v>
      </c>
      <c r="O232" s="516"/>
    </row>
    <row r="233" spans="2:15">
      <c r="B233" s="503"/>
      <c r="C233" s="501" t="s">
        <v>3371</v>
      </c>
      <c r="D233" s="501" t="s">
        <v>3294</v>
      </c>
      <c r="E233" s="501">
        <v>1</v>
      </c>
      <c r="F233" s="501" t="s">
        <v>3678</v>
      </c>
      <c r="G233" s="501">
        <v>50</v>
      </c>
      <c r="H233" s="501">
        <v>0.5</v>
      </c>
      <c r="I233" s="547" t="s">
        <v>3612</v>
      </c>
      <c r="J233" s="501" t="s">
        <v>3613</v>
      </c>
      <c r="K233" s="501" t="s">
        <v>3679</v>
      </c>
      <c r="L233" s="501"/>
      <c r="M233" s="557" t="s">
        <v>3358</v>
      </c>
      <c r="N233" s="501">
        <v>2024119377</v>
      </c>
      <c r="O233" s="501"/>
    </row>
    <row r="234" spans="2:15">
      <c r="B234" s="503"/>
      <c r="C234" s="508"/>
      <c r="D234" s="508"/>
      <c r="E234" s="508">
        <v>2</v>
      </c>
      <c r="F234" s="508" t="s">
        <v>3680</v>
      </c>
      <c r="G234" s="508"/>
      <c r="H234" s="508">
        <v>0.5</v>
      </c>
      <c r="I234" s="547" t="s">
        <v>3612</v>
      </c>
      <c r="J234" s="508" t="s">
        <v>3616</v>
      </c>
      <c r="K234" s="508" t="s">
        <v>3681</v>
      </c>
      <c r="L234" s="508"/>
      <c r="M234" s="557" t="s">
        <v>3358</v>
      </c>
      <c r="N234" s="508">
        <v>2024119378</v>
      </c>
      <c r="O234" s="508"/>
    </row>
    <row r="235" spans="2:15">
      <c r="B235" s="503"/>
      <c r="C235" s="501" t="s">
        <v>3376</v>
      </c>
      <c r="D235" s="501" t="s">
        <v>3377</v>
      </c>
      <c r="E235" s="501">
        <v>1</v>
      </c>
      <c r="F235" s="501" t="s">
        <v>3378</v>
      </c>
      <c r="G235" s="501"/>
      <c r="H235" s="501"/>
      <c r="I235" s="501" t="s">
        <v>3612</v>
      </c>
      <c r="J235" s="501"/>
      <c r="K235" s="501" t="s">
        <v>3379</v>
      </c>
      <c r="L235" s="501"/>
      <c r="M235" s="501"/>
      <c r="N235" s="501">
        <v>2024058459</v>
      </c>
      <c r="O235" s="501"/>
    </row>
    <row r="236" spans="2:15">
      <c r="B236" s="503"/>
      <c r="C236" s="508"/>
      <c r="D236" s="508"/>
      <c r="E236" s="508">
        <v>2</v>
      </c>
      <c r="F236" s="508" t="s">
        <v>858</v>
      </c>
      <c r="G236" s="508"/>
      <c r="H236" s="508"/>
      <c r="I236" s="508" t="s">
        <v>3612</v>
      </c>
      <c r="J236" s="508"/>
      <c r="K236" s="508" t="s">
        <v>3516</v>
      </c>
      <c r="L236" s="508"/>
      <c r="M236" s="508"/>
      <c r="N236" s="508">
        <v>2024089087</v>
      </c>
      <c r="O236" s="508"/>
    </row>
    <row r="237" spans="2:15">
      <c r="B237" s="503"/>
      <c r="C237" s="508"/>
      <c r="D237" s="508"/>
      <c r="E237" s="508">
        <v>3</v>
      </c>
      <c r="F237" s="508" t="s">
        <v>816</v>
      </c>
      <c r="G237" s="508"/>
      <c r="H237" s="508"/>
      <c r="I237" s="508" t="s">
        <v>3612</v>
      </c>
      <c r="J237" s="508"/>
      <c r="K237" s="508" t="s">
        <v>3380</v>
      </c>
      <c r="L237" s="508"/>
      <c r="M237" s="508"/>
      <c r="N237" s="508">
        <v>2024068639</v>
      </c>
      <c r="O237" s="508"/>
    </row>
    <row r="238" spans="2:15">
      <c r="B238" s="503"/>
      <c r="C238" s="508"/>
      <c r="D238" s="508"/>
      <c r="E238" s="508">
        <v>4</v>
      </c>
      <c r="F238" s="508" t="s">
        <v>1314</v>
      </c>
      <c r="G238" s="508"/>
      <c r="H238" s="508"/>
      <c r="I238" s="508" t="s">
        <v>3612</v>
      </c>
      <c r="J238" s="508"/>
      <c r="K238" s="508" t="s">
        <v>3381</v>
      </c>
      <c r="L238" s="508"/>
      <c r="M238" s="508"/>
      <c r="N238" s="508">
        <v>2024038142</v>
      </c>
      <c r="O238" s="508"/>
    </row>
    <row r="239" spans="2:15">
      <c r="B239" s="503"/>
      <c r="C239" s="508"/>
      <c r="D239" s="508"/>
      <c r="E239" s="508">
        <v>5</v>
      </c>
      <c r="F239" s="508" t="s">
        <v>495</v>
      </c>
      <c r="G239" s="508"/>
      <c r="H239" s="508"/>
      <c r="I239" s="508" t="s">
        <v>3612</v>
      </c>
      <c r="J239" s="508"/>
      <c r="K239" s="508" t="s">
        <v>3384</v>
      </c>
      <c r="L239" s="508"/>
      <c r="M239" s="508"/>
      <c r="N239" s="508">
        <v>2024017601</v>
      </c>
      <c r="O239" s="508"/>
    </row>
    <row r="240" spans="2:15">
      <c r="B240" s="503"/>
      <c r="C240" s="508"/>
      <c r="D240" s="508"/>
      <c r="E240" s="508">
        <v>6</v>
      </c>
      <c r="F240" s="508" t="s">
        <v>3682</v>
      </c>
      <c r="G240" s="508"/>
      <c r="H240" s="508"/>
      <c r="I240" s="508" t="s">
        <v>3612</v>
      </c>
      <c r="J240" s="508"/>
      <c r="K240" s="508" t="s">
        <v>3683</v>
      </c>
      <c r="L240" s="508"/>
      <c r="M240" s="508"/>
      <c r="N240" s="508">
        <v>2024119428</v>
      </c>
      <c r="O240" s="508"/>
    </row>
    <row r="241" spans="2:15">
      <c r="B241" s="503"/>
      <c r="C241" s="508"/>
      <c r="D241" s="508"/>
      <c r="E241" s="508">
        <v>7</v>
      </c>
      <c r="F241" s="508" t="s">
        <v>1292</v>
      </c>
      <c r="G241" s="508"/>
      <c r="H241" s="508"/>
      <c r="I241" s="508" t="s">
        <v>3612</v>
      </c>
      <c r="J241" s="508"/>
      <c r="K241" s="508" t="s">
        <v>3521</v>
      </c>
      <c r="L241" s="508"/>
      <c r="M241" s="508"/>
      <c r="N241" s="508">
        <v>2024068685</v>
      </c>
      <c r="O241" s="508"/>
    </row>
    <row r="242" spans="2:15">
      <c r="B242" s="503"/>
      <c r="C242" s="501" t="s">
        <v>3385</v>
      </c>
      <c r="D242" s="501" t="s">
        <v>3386</v>
      </c>
      <c r="E242" s="501">
        <v>1</v>
      </c>
      <c r="F242" s="501" t="s">
        <v>3684</v>
      </c>
      <c r="G242" s="501">
        <v>100</v>
      </c>
      <c r="H242" s="501"/>
      <c r="I242" s="501" t="s">
        <v>3612</v>
      </c>
      <c r="J242" s="501"/>
      <c r="K242" s="501" t="s">
        <v>3685</v>
      </c>
      <c r="L242" s="501"/>
      <c r="M242" s="501"/>
      <c r="N242" s="501">
        <v>2024058580</v>
      </c>
      <c r="O242" s="501"/>
    </row>
    <row r="243" spans="2:15">
      <c r="B243" s="503"/>
      <c r="C243" s="508"/>
      <c r="D243" s="508"/>
      <c r="E243" s="508">
        <v>2</v>
      </c>
      <c r="F243" s="508" t="s">
        <v>3534</v>
      </c>
      <c r="G243" s="508" t="s">
        <v>252</v>
      </c>
      <c r="H243" s="508"/>
      <c r="I243" s="508" t="s">
        <v>3612</v>
      </c>
      <c r="J243" s="508"/>
      <c r="K243" s="508" t="s">
        <v>3686</v>
      </c>
      <c r="L243" s="508"/>
      <c r="M243" s="508"/>
      <c r="N243" s="508">
        <v>2024068638</v>
      </c>
      <c r="O243" s="508"/>
    </row>
    <row r="244" spans="2:15">
      <c r="B244" s="503"/>
      <c r="C244" s="508"/>
      <c r="D244" s="508"/>
      <c r="E244" s="508">
        <v>3</v>
      </c>
      <c r="F244" s="508" t="s">
        <v>446</v>
      </c>
      <c r="G244" s="508">
        <v>100</v>
      </c>
      <c r="H244" s="508"/>
      <c r="I244" s="508" t="s">
        <v>3612</v>
      </c>
      <c r="J244" s="508"/>
      <c r="K244" s="508" t="s">
        <v>3687</v>
      </c>
      <c r="L244" s="508"/>
      <c r="M244" s="508"/>
      <c r="N244" s="508">
        <v>2024027819</v>
      </c>
      <c r="O244" s="508"/>
    </row>
    <row r="245" spans="2:15">
      <c r="B245" s="503"/>
      <c r="C245" s="508"/>
      <c r="D245" s="508"/>
      <c r="E245" s="508">
        <v>4</v>
      </c>
      <c r="F245" s="508" t="s">
        <v>3688</v>
      </c>
      <c r="G245" s="508">
        <v>100</v>
      </c>
      <c r="H245" s="508"/>
      <c r="I245" s="508" t="s">
        <v>3612</v>
      </c>
      <c r="J245" s="508"/>
      <c r="K245" s="508" t="s">
        <v>3689</v>
      </c>
      <c r="L245" s="508"/>
      <c r="M245" s="508"/>
      <c r="N245" s="508">
        <v>2024068690</v>
      </c>
      <c r="O245" s="508"/>
    </row>
    <row r="246" spans="2:15">
      <c r="B246" s="503"/>
      <c r="C246" s="508"/>
      <c r="D246" s="508"/>
      <c r="E246" s="508">
        <v>5</v>
      </c>
      <c r="F246" s="508" t="s">
        <v>3690</v>
      </c>
      <c r="G246" s="508">
        <v>50</v>
      </c>
      <c r="H246" s="508"/>
      <c r="I246" s="508" t="s">
        <v>3612</v>
      </c>
      <c r="J246" s="508"/>
      <c r="K246" s="508" t="s">
        <v>3691</v>
      </c>
      <c r="L246" s="508"/>
      <c r="M246" s="508"/>
      <c r="N246" s="508">
        <v>2024027822</v>
      </c>
      <c r="O246" s="508"/>
    </row>
    <row r="247" spans="2:15">
      <c r="B247" s="503"/>
      <c r="C247" s="508"/>
      <c r="D247" s="508"/>
      <c r="E247" s="508">
        <v>6</v>
      </c>
      <c r="F247" s="508" t="s">
        <v>3530</v>
      </c>
      <c r="G247" s="508">
        <v>150</v>
      </c>
      <c r="H247" s="508"/>
      <c r="I247" s="508" t="s">
        <v>3612</v>
      </c>
      <c r="J247" s="508"/>
      <c r="K247" s="508" t="s">
        <v>3531</v>
      </c>
      <c r="L247" s="508"/>
      <c r="M247" s="508"/>
      <c r="N247" s="508">
        <v>2024017518</v>
      </c>
      <c r="O247" s="508"/>
    </row>
    <row r="248" spans="2:15">
      <c r="B248" s="503"/>
      <c r="C248" s="508"/>
      <c r="D248" s="508"/>
      <c r="E248" s="508">
        <v>7</v>
      </c>
      <c r="F248" s="508" t="s">
        <v>3537</v>
      </c>
      <c r="G248" s="508"/>
      <c r="H248" s="508"/>
      <c r="I248" s="508" t="s">
        <v>3612</v>
      </c>
      <c r="J248" s="508"/>
      <c r="K248" s="508" t="s">
        <v>3538</v>
      </c>
      <c r="L248" s="508"/>
      <c r="M248" s="508"/>
      <c r="N248" s="508">
        <v>2024048241</v>
      </c>
      <c r="O248" s="508"/>
    </row>
    <row r="249" spans="2:15">
      <c r="B249" s="503"/>
      <c r="C249" s="508"/>
      <c r="D249" s="508"/>
      <c r="E249" s="508">
        <v>8</v>
      </c>
      <c r="F249" s="508" t="s">
        <v>3692</v>
      </c>
      <c r="G249" s="508">
        <v>100</v>
      </c>
      <c r="H249" s="508"/>
      <c r="I249" s="508" t="s">
        <v>3612</v>
      </c>
      <c r="J249" s="508"/>
      <c r="K249" s="508" t="s">
        <v>3693</v>
      </c>
      <c r="L249" s="508"/>
      <c r="M249" s="508"/>
      <c r="N249" s="508">
        <v>2024088966</v>
      </c>
      <c r="O249" s="508"/>
    </row>
    <row r="250" spans="2:15">
      <c r="B250" s="503"/>
      <c r="C250" s="501" t="s">
        <v>3399</v>
      </c>
      <c r="D250" s="501" t="s">
        <v>3400</v>
      </c>
      <c r="E250" s="501">
        <v>1</v>
      </c>
      <c r="F250" s="501" t="s">
        <v>3539</v>
      </c>
      <c r="G250" s="501">
        <v>150</v>
      </c>
      <c r="H250" s="501"/>
      <c r="I250" s="501" t="s">
        <v>3694</v>
      </c>
      <c r="J250" s="501"/>
      <c r="K250" s="501" t="str">
        <f>F250&amp;" 브랜드위크"</f>
        <v>CJ제일제당 브랜드위크</v>
      </c>
      <c r="L250" s="501" t="s">
        <v>3695</v>
      </c>
      <c r="M250" s="587"/>
      <c r="N250" s="588">
        <v>2024129481</v>
      </c>
      <c r="O250" s="589"/>
    </row>
    <row r="251" spans="2:15">
      <c r="B251" s="503"/>
      <c r="C251" s="508"/>
      <c r="D251" s="508"/>
      <c r="E251" s="508">
        <v>2</v>
      </c>
      <c r="F251" s="508" t="s">
        <v>3696</v>
      </c>
      <c r="G251" s="508">
        <v>50</v>
      </c>
      <c r="H251" s="508"/>
      <c r="I251" s="508" t="str">
        <f>I250</f>
        <v>1/13-19</v>
      </c>
      <c r="J251" s="508"/>
      <c r="K251" s="508" t="str">
        <f t="shared" ref="K251:K254" si="1">F251&amp;" 브랜드위크"</f>
        <v>지앤생활건강 브랜드위크</v>
      </c>
      <c r="L251" s="508"/>
      <c r="M251" s="590"/>
      <c r="N251" s="591">
        <v>2024048208</v>
      </c>
      <c r="O251" s="585"/>
    </row>
    <row r="252" spans="2:15">
      <c r="B252" s="503"/>
      <c r="C252" s="508"/>
      <c r="D252" s="508"/>
      <c r="E252" s="508">
        <v>3</v>
      </c>
      <c r="F252" s="508" t="s">
        <v>3697</v>
      </c>
      <c r="G252" s="508"/>
      <c r="H252" s="508"/>
      <c r="I252" s="508" t="str">
        <f>I250</f>
        <v>1/13-19</v>
      </c>
      <c r="J252" s="508"/>
      <c r="K252" s="508" t="str">
        <f t="shared" si="1"/>
        <v>오뚜기 브랜드위크</v>
      </c>
      <c r="L252" s="508"/>
      <c r="M252" s="590"/>
      <c r="N252" s="592">
        <v>2024048330</v>
      </c>
      <c r="O252" s="585"/>
    </row>
    <row r="253" spans="2:15">
      <c r="B253" s="503"/>
      <c r="C253" s="508"/>
      <c r="D253" s="508"/>
      <c r="E253" s="508">
        <v>4</v>
      </c>
      <c r="F253" s="508" t="s">
        <v>3698</v>
      </c>
      <c r="G253" s="508"/>
      <c r="H253" s="508"/>
      <c r="I253" s="508" t="str">
        <f>I250</f>
        <v>1/13-19</v>
      </c>
      <c r="J253" s="508"/>
      <c r="K253" s="508" t="str">
        <f t="shared" si="1"/>
        <v>목우촌 브랜드위크</v>
      </c>
      <c r="L253" s="508"/>
      <c r="M253" s="590"/>
      <c r="N253" s="592">
        <v>2024099241</v>
      </c>
      <c r="O253" s="585"/>
    </row>
    <row r="254" spans="2:15">
      <c r="B254" s="503"/>
      <c r="C254" s="508"/>
      <c r="D254" s="508"/>
      <c r="E254" s="508">
        <v>5</v>
      </c>
      <c r="F254" s="508" t="s">
        <v>3699</v>
      </c>
      <c r="G254" s="508"/>
      <c r="H254" s="508"/>
      <c r="I254" s="508" t="str">
        <f>I249</f>
        <v>1/13-1/19</v>
      </c>
      <c r="J254" s="508"/>
      <c r="K254" s="508" t="str">
        <f t="shared" si="1"/>
        <v>경복궁 브랜드위크</v>
      </c>
      <c r="L254" s="508"/>
      <c r="M254" s="590"/>
      <c r="N254" s="588">
        <v>2024058397</v>
      </c>
      <c r="O254" s="585"/>
    </row>
    <row r="255" spans="2:15">
      <c r="B255" s="503"/>
      <c r="C255" s="508"/>
      <c r="D255" s="508"/>
      <c r="E255" s="593">
        <v>6</v>
      </c>
      <c r="F255" s="593" t="s">
        <v>1237</v>
      </c>
      <c r="G255" s="593">
        <v>100</v>
      </c>
      <c r="H255" s="593"/>
      <c r="I255" s="593" t="str">
        <f>I249</f>
        <v>1/13-1/19</v>
      </c>
      <c r="J255" s="593"/>
      <c r="K255" s="594" t="str">
        <f>F255&amp;" 브랜드위크"</f>
        <v>하림 브랜드위크</v>
      </c>
      <c r="L255" s="593"/>
      <c r="M255" s="595"/>
      <c r="N255" s="596">
        <v>2024109275</v>
      </c>
      <c r="O255" s="597"/>
    </row>
    <row r="256" spans="2:15">
      <c r="B256" s="503"/>
      <c r="C256" s="508"/>
      <c r="D256" s="508"/>
      <c r="E256" s="593">
        <v>7</v>
      </c>
      <c r="F256" s="593" t="s">
        <v>3700</v>
      </c>
      <c r="G256" s="593">
        <v>30</v>
      </c>
      <c r="H256" s="593"/>
      <c r="I256" s="593" t="str">
        <f>I249</f>
        <v>1/13-1/19</v>
      </c>
      <c r="J256" s="593"/>
      <c r="K256" s="594" t="str">
        <f>F256&amp;" 브랜드위크"</f>
        <v>삼진어묵 브랜드위크</v>
      </c>
      <c r="L256" s="593"/>
      <c r="M256" s="595"/>
      <c r="N256" s="596">
        <v>2024048270</v>
      </c>
      <c r="O256" s="597"/>
    </row>
    <row r="257" spans="2:15">
      <c r="B257" s="503"/>
      <c r="C257" s="508"/>
      <c r="D257" s="508"/>
      <c r="E257" s="598">
        <v>8</v>
      </c>
      <c r="F257" s="598" t="s">
        <v>3701</v>
      </c>
      <c r="G257" s="598" t="s">
        <v>3702</v>
      </c>
      <c r="H257" s="598"/>
      <c r="I257" s="598" t="str">
        <f>I250</f>
        <v>1/13-19</v>
      </c>
      <c r="J257" s="598"/>
      <c r="K257" s="599" t="s">
        <v>3703</v>
      </c>
      <c r="L257" s="598"/>
      <c r="M257" s="600"/>
      <c r="N257" s="596">
        <v>2024017678</v>
      </c>
      <c r="O257" s="601"/>
    </row>
    <row r="258" spans="2:15">
      <c r="B258" s="496" t="s">
        <v>3704</v>
      </c>
      <c r="C258" s="497"/>
      <c r="D258" s="498"/>
      <c r="E258" s="498"/>
      <c r="F258" s="498"/>
      <c r="G258" s="498"/>
      <c r="H258" s="498"/>
      <c r="I258" s="498"/>
      <c r="J258" s="498"/>
      <c r="K258" s="498"/>
      <c r="L258" s="498"/>
      <c r="M258" s="498"/>
      <c r="N258" s="602"/>
      <c r="O258" s="499"/>
    </row>
    <row r="259" spans="2:15">
      <c r="B259" s="500" t="s">
        <v>3232</v>
      </c>
      <c r="C259" s="501" t="s">
        <v>3233</v>
      </c>
      <c r="D259" s="501" t="s">
        <v>3234</v>
      </c>
      <c r="E259" s="501">
        <v>1</v>
      </c>
      <c r="F259" s="501" t="s">
        <v>3705</v>
      </c>
      <c r="G259" s="501">
        <v>100</v>
      </c>
      <c r="H259" s="501"/>
      <c r="I259" s="501" t="s">
        <v>3706</v>
      </c>
      <c r="J259" s="501" t="s">
        <v>3707</v>
      </c>
      <c r="K259" s="501" t="s">
        <v>3708</v>
      </c>
      <c r="L259" s="501" t="s">
        <v>3709</v>
      </c>
      <c r="M259" s="501" t="s">
        <v>3240</v>
      </c>
      <c r="N259" s="502">
        <v>2024017560</v>
      </c>
      <c r="O259" s="501"/>
    </row>
    <row r="260" spans="2:15">
      <c r="B260" s="503"/>
      <c r="C260" s="508"/>
      <c r="D260" s="508"/>
      <c r="E260" s="508">
        <v>2</v>
      </c>
      <c r="F260" s="508" t="s">
        <v>3406</v>
      </c>
      <c r="G260" s="508">
        <v>50</v>
      </c>
      <c r="H260" s="508"/>
      <c r="I260" s="508" t="s">
        <v>3706</v>
      </c>
      <c r="J260" s="508" t="s">
        <v>3710</v>
      </c>
      <c r="K260" s="508" t="s">
        <v>3711</v>
      </c>
      <c r="L260" s="508" t="s">
        <v>3712</v>
      </c>
      <c r="M260" s="508" t="s">
        <v>3240</v>
      </c>
      <c r="N260" s="502">
        <v>2024048318</v>
      </c>
      <c r="O260" s="508"/>
    </row>
    <row r="261" spans="2:15">
      <c r="B261" s="503"/>
      <c r="C261" s="508"/>
      <c r="D261" s="508"/>
      <c r="E261" s="508">
        <v>3</v>
      </c>
      <c r="F261" s="508" t="s">
        <v>3713</v>
      </c>
      <c r="G261" s="508"/>
      <c r="H261" s="508"/>
      <c r="I261" s="508" t="s">
        <v>3706</v>
      </c>
      <c r="J261" s="508"/>
      <c r="K261" s="508" t="s">
        <v>3714</v>
      </c>
      <c r="L261" s="508"/>
      <c r="M261" s="508" t="s">
        <v>3240</v>
      </c>
      <c r="N261" s="502">
        <v>2025019573</v>
      </c>
      <c r="O261" s="508"/>
    </row>
    <row r="262" spans="2:15">
      <c r="B262" s="503"/>
      <c r="C262" s="508"/>
      <c r="D262" s="508"/>
      <c r="E262" s="508">
        <v>4</v>
      </c>
      <c r="F262" s="508" t="s">
        <v>3715</v>
      </c>
      <c r="G262" s="508"/>
      <c r="H262" s="508"/>
      <c r="I262" s="508" t="s">
        <v>3706</v>
      </c>
      <c r="J262" s="508"/>
      <c r="K262" s="508" t="s">
        <v>3716</v>
      </c>
      <c r="L262" s="508"/>
      <c r="M262" s="508" t="s">
        <v>3240</v>
      </c>
      <c r="N262" s="502">
        <v>2025019574</v>
      </c>
      <c r="O262" s="508"/>
    </row>
    <row r="263" spans="2:15">
      <c r="B263" s="503"/>
      <c r="C263" s="506"/>
      <c r="D263" s="506"/>
      <c r="E263" s="603">
        <v>5</v>
      </c>
      <c r="F263" s="604" t="s">
        <v>3562</v>
      </c>
      <c r="G263" s="604"/>
      <c r="H263" s="604"/>
      <c r="I263" s="593" t="s">
        <v>3706</v>
      </c>
      <c r="J263" s="604"/>
      <c r="K263" s="604" t="s">
        <v>3563</v>
      </c>
      <c r="L263" s="603"/>
      <c r="M263" s="598" t="s">
        <v>3240</v>
      </c>
      <c r="N263" s="605">
        <v>2025019555</v>
      </c>
      <c r="O263" s="603"/>
    </row>
    <row r="264" spans="2:15">
      <c r="B264" s="503"/>
      <c r="C264" s="506" t="s">
        <v>3243</v>
      </c>
      <c r="D264" s="506" t="s">
        <v>3244</v>
      </c>
      <c r="E264" s="501">
        <v>1</v>
      </c>
      <c r="F264" s="506" t="s">
        <v>3717</v>
      </c>
      <c r="G264" s="506">
        <v>100</v>
      </c>
      <c r="H264" s="506"/>
      <c r="I264" s="506" t="s">
        <v>3706</v>
      </c>
      <c r="J264" s="547" t="s">
        <v>3718</v>
      </c>
      <c r="K264" s="506" t="s">
        <v>3719</v>
      </c>
      <c r="L264" s="506"/>
      <c r="M264" s="508" t="s">
        <v>3240</v>
      </c>
      <c r="N264" s="532">
        <v>2024109289</v>
      </c>
      <c r="O264" s="506"/>
    </row>
    <row r="265" spans="2:15">
      <c r="B265" s="503"/>
      <c r="C265" s="508"/>
      <c r="D265" s="508"/>
      <c r="E265" s="508">
        <v>2</v>
      </c>
      <c r="F265" s="508" t="s">
        <v>3720</v>
      </c>
      <c r="G265" s="508"/>
      <c r="H265" s="508"/>
      <c r="I265" s="508" t="s">
        <v>3706</v>
      </c>
      <c r="J265" s="508" t="s">
        <v>3710</v>
      </c>
      <c r="K265" s="508" t="s">
        <v>3721</v>
      </c>
      <c r="L265" s="508"/>
      <c r="M265" s="508" t="s">
        <v>3240</v>
      </c>
      <c r="N265" s="508">
        <v>2025019557</v>
      </c>
      <c r="O265" s="508"/>
    </row>
    <row r="266" spans="2:15">
      <c r="B266" s="503"/>
      <c r="C266" s="508"/>
      <c r="D266" s="508"/>
      <c r="E266" s="508">
        <v>3</v>
      </c>
      <c r="F266" s="508" t="s">
        <v>3722</v>
      </c>
      <c r="G266" s="508"/>
      <c r="H266" s="508"/>
      <c r="I266" s="508" t="s">
        <v>3706</v>
      </c>
      <c r="J266" s="508" t="s">
        <v>3723</v>
      </c>
      <c r="K266" s="508" t="s">
        <v>3724</v>
      </c>
      <c r="L266" s="508"/>
      <c r="M266" s="508" t="s">
        <v>3240</v>
      </c>
      <c r="N266" s="508">
        <v>2025019558</v>
      </c>
      <c r="O266" s="508"/>
    </row>
    <row r="267" spans="2:15">
      <c r="B267" s="503"/>
      <c r="C267" s="508"/>
      <c r="D267" s="508"/>
      <c r="E267" s="508">
        <v>4</v>
      </c>
      <c r="F267" s="508" t="s">
        <v>3725</v>
      </c>
      <c r="G267" s="508"/>
      <c r="H267" s="508"/>
      <c r="I267" s="508" t="s">
        <v>3706</v>
      </c>
      <c r="J267" s="508" t="s">
        <v>3723</v>
      </c>
      <c r="K267" s="508" t="s">
        <v>3726</v>
      </c>
      <c r="L267" s="508"/>
      <c r="M267" s="508" t="s">
        <v>3240</v>
      </c>
      <c r="N267" s="606">
        <v>2024099217</v>
      </c>
      <c r="O267" s="508"/>
    </row>
    <row r="268" spans="2:15">
      <c r="B268" s="503"/>
      <c r="C268" s="508"/>
      <c r="D268" s="508"/>
      <c r="E268" s="508">
        <v>5</v>
      </c>
      <c r="F268" s="508" t="s">
        <v>3727</v>
      </c>
      <c r="G268" s="508"/>
      <c r="H268" s="508"/>
      <c r="I268" s="508" t="s">
        <v>3706</v>
      </c>
      <c r="J268" s="508" t="s">
        <v>3710</v>
      </c>
      <c r="K268" s="508" t="s">
        <v>3728</v>
      </c>
      <c r="L268" s="508"/>
      <c r="M268" s="508" t="s">
        <v>3240</v>
      </c>
      <c r="N268" s="532">
        <v>2024109293</v>
      </c>
      <c r="O268" s="508"/>
    </row>
    <row r="269" spans="2:15" ht="17.25">
      <c r="B269" s="503"/>
      <c r="C269" s="506" t="s">
        <v>3250</v>
      </c>
      <c r="D269" s="506" t="s">
        <v>3251</v>
      </c>
      <c r="E269" s="501">
        <v>1</v>
      </c>
      <c r="F269" s="506" t="s">
        <v>3729</v>
      </c>
      <c r="G269" s="506"/>
      <c r="H269" s="506"/>
      <c r="I269" s="506" t="s">
        <v>3706</v>
      </c>
      <c r="J269" s="506" t="s">
        <v>3718</v>
      </c>
      <c r="K269" s="506" t="s">
        <v>3730</v>
      </c>
      <c r="L269" s="506" t="s">
        <v>3731</v>
      </c>
      <c r="M269" s="506"/>
      <c r="N269" s="565">
        <v>2024099200</v>
      </c>
      <c r="O269" s="506"/>
    </row>
    <row r="270" spans="2:15" ht="17.25">
      <c r="B270" s="503"/>
      <c r="C270" s="508"/>
      <c r="D270" s="508"/>
      <c r="E270" s="508">
        <v>2</v>
      </c>
      <c r="F270" s="508" t="s">
        <v>3732</v>
      </c>
      <c r="G270" s="508"/>
      <c r="H270" s="508"/>
      <c r="I270" s="508" t="s">
        <v>3706</v>
      </c>
      <c r="J270" s="508" t="s">
        <v>3718</v>
      </c>
      <c r="K270" s="508" t="s">
        <v>3733</v>
      </c>
      <c r="L270" s="508" t="s">
        <v>3734</v>
      </c>
      <c r="M270" s="508"/>
      <c r="N270" s="536">
        <v>2024099227</v>
      </c>
      <c r="O270" s="508"/>
    </row>
    <row r="271" spans="2:15" ht="17.25">
      <c r="B271" s="503"/>
      <c r="C271" s="508"/>
      <c r="D271" s="508"/>
      <c r="E271" s="508">
        <v>3</v>
      </c>
      <c r="F271" s="508" t="s">
        <v>3735</v>
      </c>
      <c r="G271" s="508"/>
      <c r="H271" s="508"/>
      <c r="I271" s="508" t="s">
        <v>3706</v>
      </c>
      <c r="J271" s="508" t="s">
        <v>3718</v>
      </c>
      <c r="K271" s="508" t="s">
        <v>3736</v>
      </c>
      <c r="L271" s="508"/>
      <c r="M271" s="508" t="s">
        <v>3247</v>
      </c>
      <c r="N271" s="543">
        <v>2024119380</v>
      </c>
      <c r="O271" s="508"/>
    </row>
    <row r="272" spans="2:15" ht="17.25">
      <c r="B272" s="503"/>
      <c r="C272" s="508"/>
      <c r="D272" s="508"/>
      <c r="E272" s="508">
        <v>4</v>
      </c>
      <c r="F272" s="508" t="s">
        <v>3737</v>
      </c>
      <c r="G272" s="508"/>
      <c r="H272" s="508"/>
      <c r="I272" s="508" t="s">
        <v>3706</v>
      </c>
      <c r="J272" s="508" t="s">
        <v>3718</v>
      </c>
      <c r="K272" s="508" t="s">
        <v>3738</v>
      </c>
      <c r="L272" s="508" t="s">
        <v>3739</v>
      </c>
      <c r="M272" s="508"/>
      <c r="N272" s="607">
        <v>2024099272</v>
      </c>
      <c r="O272" s="508"/>
    </row>
    <row r="273" spans="2:16" ht="17.25">
      <c r="B273" s="503"/>
      <c r="C273" s="508"/>
      <c r="D273" s="508"/>
      <c r="E273" s="508">
        <v>5</v>
      </c>
      <c r="F273" s="508" t="s">
        <v>3740</v>
      </c>
      <c r="G273" s="508"/>
      <c r="H273" s="508"/>
      <c r="I273" s="508" t="s">
        <v>3706</v>
      </c>
      <c r="J273" s="508" t="s">
        <v>3718</v>
      </c>
      <c r="K273" s="508" t="s">
        <v>3741</v>
      </c>
      <c r="L273" s="508"/>
      <c r="M273" s="508"/>
      <c r="N273" s="536">
        <v>2024099269</v>
      </c>
      <c r="O273" s="508"/>
    </row>
    <row r="274" spans="2:16" ht="17.25">
      <c r="B274" s="503"/>
      <c r="C274" s="508"/>
      <c r="D274" s="508"/>
      <c r="E274" s="508">
        <v>6</v>
      </c>
      <c r="F274" s="508" t="s">
        <v>3584</v>
      </c>
      <c r="G274" s="508"/>
      <c r="H274" s="508"/>
      <c r="I274" s="508" t="s">
        <v>3706</v>
      </c>
      <c r="J274" s="508" t="s">
        <v>3718</v>
      </c>
      <c r="K274" s="508" t="s">
        <v>3585</v>
      </c>
      <c r="L274" s="508"/>
      <c r="M274" s="508"/>
      <c r="N274" s="544">
        <v>2024109315</v>
      </c>
      <c r="O274" s="508"/>
    </row>
    <row r="275" spans="2:16" ht="17.25">
      <c r="B275" s="503"/>
      <c r="C275" s="508"/>
      <c r="D275" s="508"/>
      <c r="E275" s="508">
        <v>7</v>
      </c>
      <c r="F275" s="508" t="s">
        <v>3586</v>
      </c>
      <c r="G275" s="508"/>
      <c r="H275" s="508"/>
      <c r="I275" s="508" t="s">
        <v>3706</v>
      </c>
      <c r="J275" s="508" t="s">
        <v>3718</v>
      </c>
      <c r="K275" s="508" t="s">
        <v>3587</v>
      </c>
      <c r="L275" s="508"/>
      <c r="M275" s="508"/>
      <c r="N275" s="607">
        <v>2024109316</v>
      </c>
      <c r="O275" s="508"/>
    </row>
    <row r="276" spans="2:16" ht="17.25">
      <c r="B276" s="503"/>
      <c r="C276" s="508"/>
      <c r="D276" s="508"/>
      <c r="E276" s="508">
        <v>8</v>
      </c>
      <c r="F276" s="508" t="s">
        <v>3742</v>
      </c>
      <c r="G276" s="508"/>
      <c r="H276" s="508"/>
      <c r="I276" s="508" t="s">
        <v>3706</v>
      </c>
      <c r="J276" s="508" t="s">
        <v>3718</v>
      </c>
      <c r="K276" s="508" t="s">
        <v>3743</v>
      </c>
      <c r="L276" s="508" t="s">
        <v>3739</v>
      </c>
      <c r="M276" s="508"/>
      <c r="N276" s="565">
        <v>2024099194</v>
      </c>
      <c r="O276" s="508"/>
    </row>
    <row r="277" spans="2:16" ht="17.25">
      <c r="B277" s="503"/>
      <c r="C277" s="508"/>
      <c r="D277" s="508"/>
      <c r="E277" s="508">
        <v>9</v>
      </c>
      <c r="F277" s="508" t="s">
        <v>3270</v>
      </c>
      <c r="G277" s="508"/>
      <c r="H277" s="508"/>
      <c r="I277" s="508" t="s">
        <v>3706</v>
      </c>
      <c r="J277" s="508" t="s">
        <v>3718</v>
      </c>
      <c r="K277" s="508" t="s">
        <v>3744</v>
      </c>
      <c r="L277" s="508"/>
      <c r="M277" s="508"/>
      <c r="N277" s="536">
        <v>2024099270</v>
      </c>
      <c r="O277" s="508"/>
    </row>
    <row r="278" spans="2:16" ht="17.25">
      <c r="B278" s="515"/>
      <c r="C278" s="516"/>
      <c r="D278" s="516"/>
      <c r="E278" s="516">
        <v>10</v>
      </c>
      <c r="F278" s="516" t="s">
        <v>3745</v>
      </c>
      <c r="G278" s="516"/>
      <c r="H278" s="516"/>
      <c r="I278" s="516" t="s">
        <v>3706</v>
      </c>
      <c r="J278" s="516" t="s">
        <v>3718</v>
      </c>
      <c r="K278" s="516" t="s">
        <v>3746</v>
      </c>
      <c r="L278" s="516" t="s">
        <v>3739</v>
      </c>
      <c r="M278" s="516"/>
      <c r="N278" s="511">
        <v>2024099264</v>
      </c>
      <c r="O278" s="516"/>
    </row>
    <row r="279" spans="2:16">
      <c r="B279" s="503" t="s">
        <v>3276</v>
      </c>
      <c r="C279" s="506" t="s">
        <v>3277</v>
      </c>
      <c r="D279" s="506" t="s">
        <v>3278</v>
      </c>
      <c r="E279" s="501">
        <v>1</v>
      </c>
      <c r="F279" s="506" t="s">
        <v>3747</v>
      </c>
      <c r="G279" s="506"/>
      <c r="H279" s="506"/>
      <c r="I279" s="506" t="s">
        <v>3706</v>
      </c>
      <c r="J279" s="506" t="s">
        <v>3748</v>
      </c>
      <c r="K279" s="506" t="s">
        <v>3749</v>
      </c>
      <c r="L279" s="506" t="s">
        <v>3348</v>
      </c>
      <c r="M279" s="506" t="s">
        <v>3358</v>
      </c>
      <c r="N279" s="506">
        <v>2025019572</v>
      </c>
      <c r="O279" s="506"/>
    </row>
    <row r="280" spans="2:16">
      <c r="B280" s="503"/>
      <c r="C280" s="508"/>
      <c r="D280" s="508"/>
      <c r="E280" s="508">
        <v>2</v>
      </c>
      <c r="F280" s="508" t="s">
        <v>3445</v>
      </c>
      <c r="G280" s="508"/>
      <c r="H280" s="508"/>
      <c r="I280" s="508" t="s">
        <v>3706</v>
      </c>
      <c r="J280" s="508" t="s">
        <v>3707</v>
      </c>
      <c r="K280" s="508" t="s">
        <v>3750</v>
      </c>
      <c r="L280" s="508"/>
      <c r="M280" s="508" t="s">
        <v>3358</v>
      </c>
      <c r="N280" s="508">
        <v>2024017475</v>
      </c>
      <c r="O280" s="508"/>
    </row>
    <row r="281" spans="2:16">
      <c r="B281" s="503"/>
      <c r="C281" s="508"/>
      <c r="D281" s="508"/>
      <c r="E281" s="508">
        <v>3</v>
      </c>
      <c r="F281" s="508" t="s">
        <v>3449</v>
      </c>
      <c r="G281" s="508"/>
      <c r="H281" s="508"/>
      <c r="I281" s="508" t="s">
        <v>3706</v>
      </c>
      <c r="J281" s="508" t="s">
        <v>3751</v>
      </c>
      <c r="K281" s="508" t="s">
        <v>3752</v>
      </c>
      <c r="L281" s="508"/>
      <c r="M281" s="508" t="s">
        <v>3358</v>
      </c>
      <c r="N281" s="508">
        <v>2023127388</v>
      </c>
      <c r="O281" s="508"/>
    </row>
    <row r="282" spans="2:16">
      <c r="B282" s="503"/>
      <c r="C282" s="508"/>
      <c r="D282" s="508"/>
      <c r="E282" s="508">
        <v>4</v>
      </c>
      <c r="F282" s="508" t="s">
        <v>3283</v>
      </c>
      <c r="G282" s="508"/>
      <c r="H282" s="508"/>
      <c r="I282" s="508" t="s">
        <v>3706</v>
      </c>
      <c r="J282" s="508" t="s">
        <v>3753</v>
      </c>
      <c r="K282" s="508" t="s">
        <v>3754</v>
      </c>
      <c r="L282" s="508" t="s">
        <v>3622</v>
      </c>
      <c r="M282" s="508" t="s">
        <v>3358</v>
      </c>
      <c r="N282" s="508">
        <v>2023127229</v>
      </c>
      <c r="O282" s="508"/>
    </row>
    <row r="283" spans="2:16">
      <c r="B283" s="503"/>
      <c r="C283" s="508"/>
      <c r="D283" s="508"/>
      <c r="E283" s="508">
        <v>5</v>
      </c>
      <c r="F283" s="508" t="s">
        <v>3598</v>
      </c>
      <c r="G283" s="508"/>
      <c r="H283" s="508"/>
      <c r="I283" s="508" t="s">
        <v>3706</v>
      </c>
      <c r="J283" s="508" t="s">
        <v>3748</v>
      </c>
      <c r="K283" s="508" t="s">
        <v>3600</v>
      </c>
      <c r="L283" s="508" t="s">
        <v>1616</v>
      </c>
      <c r="M283" s="508" t="s">
        <v>3358</v>
      </c>
      <c r="N283" s="508">
        <v>2023127227</v>
      </c>
      <c r="O283" s="508"/>
    </row>
    <row r="284" spans="2:16">
      <c r="B284" s="503"/>
      <c r="C284" s="506"/>
      <c r="D284" s="506"/>
      <c r="E284" s="603">
        <v>6</v>
      </c>
      <c r="F284" s="603" t="s">
        <v>3755</v>
      </c>
      <c r="G284" s="603"/>
      <c r="H284" s="603"/>
      <c r="I284" s="598" t="s">
        <v>3706</v>
      </c>
      <c r="J284" s="603"/>
      <c r="K284" s="603" t="s">
        <v>3756</v>
      </c>
      <c r="L284" s="603"/>
      <c r="M284" s="598" t="s">
        <v>3358</v>
      </c>
      <c r="N284" s="603">
        <v>2024017570</v>
      </c>
      <c r="O284" s="603"/>
    </row>
    <row r="285" spans="2:16">
      <c r="B285" s="503"/>
      <c r="C285" s="506"/>
      <c r="D285" s="506"/>
      <c r="E285" s="603">
        <v>7</v>
      </c>
      <c r="F285" s="603" t="s">
        <v>3755</v>
      </c>
      <c r="G285" s="603"/>
      <c r="H285" s="603"/>
      <c r="I285" s="598" t="s">
        <v>3706</v>
      </c>
      <c r="J285" s="603"/>
      <c r="K285" s="603" t="s">
        <v>3757</v>
      </c>
      <c r="L285" s="603"/>
      <c r="M285" s="598" t="s">
        <v>3358</v>
      </c>
      <c r="N285" s="603">
        <v>2025019580</v>
      </c>
      <c r="O285" s="603"/>
    </row>
    <row r="286" spans="2:16">
      <c r="B286" s="503"/>
      <c r="C286" s="506" t="s">
        <v>3291</v>
      </c>
      <c r="D286" s="506" t="s">
        <v>3292</v>
      </c>
      <c r="E286" s="501">
        <v>1</v>
      </c>
      <c r="F286" s="506" t="s">
        <v>3758</v>
      </c>
      <c r="G286" s="506"/>
      <c r="H286" s="506"/>
      <c r="I286" s="506" t="s">
        <v>3706</v>
      </c>
      <c r="J286" s="506" t="s">
        <v>3748</v>
      </c>
      <c r="K286" s="506" t="s">
        <v>3759</v>
      </c>
      <c r="L286" s="506" t="s">
        <v>3348</v>
      </c>
      <c r="M286" s="506" t="s">
        <v>3247</v>
      </c>
      <c r="N286" s="506">
        <v>2024109348</v>
      </c>
      <c r="O286" s="506"/>
    </row>
    <row r="287" spans="2:16">
      <c r="B287" s="503"/>
      <c r="C287" s="508"/>
      <c r="D287" s="508"/>
      <c r="E287" s="508">
        <v>2</v>
      </c>
      <c r="F287" s="508" t="s">
        <v>3760</v>
      </c>
      <c r="G287" s="508"/>
      <c r="H287" s="508"/>
      <c r="I287" s="508" t="s">
        <v>3706</v>
      </c>
      <c r="J287" s="508" t="s">
        <v>3707</v>
      </c>
      <c r="K287" s="508" t="s">
        <v>3761</v>
      </c>
      <c r="L287" s="508"/>
      <c r="M287" s="508" t="s">
        <v>3358</v>
      </c>
      <c r="N287" s="508">
        <v>2024017606</v>
      </c>
      <c r="O287" s="508"/>
    </row>
    <row r="288" spans="2:16">
      <c r="B288" s="503"/>
      <c r="C288" s="608"/>
      <c r="D288" s="608"/>
      <c r="E288" s="608">
        <v>3</v>
      </c>
      <c r="F288" s="608" t="s">
        <v>3762</v>
      </c>
      <c r="G288" s="608"/>
      <c r="H288" s="608"/>
      <c r="I288" s="608" t="s">
        <v>3706</v>
      </c>
      <c r="J288" s="608" t="s">
        <v>3751</v>
      </c>
      <c r="K288" s="608" t="s">
        <v>3763</v>
      </c>
      <c r="L288" s="608"/>
      <c r="M288" s="608" t="s">
        <v>3358</v>
      </c>
      <c r="N288" s="608"/>
      <c r="O288" s="608"/>
      <c r="P288" s="486" t="s">
        <v>3306</v>
      </c>
    </row>
    <row r="289" spans="2:16" ht="17.25" thickBot="1">
      <c r="B289" s="503"/>
      <c r="C289" s="608"/>
      <c r="D289" s="608"/>
      <c r="E289" s="608">
        <v>4</v>
      </c>
      <c r="F289" s="608" t="s">
        <v>3764</v>
      </c>
      <c r="G289" s="608"/>
      <c r="H289" s="608"/>
      <c r="I289" s="608" t="s">
        <v>3706</v>
      </c>
      <c r="J289" s="608" t="s">
        <v>3753</v>
      </c>
      <c r="K289" s="608" t="s">
        <v>3765</v>
      </c>
      <c r="L289" s="608"/>
      <c r="M289" s="608" t="s">
        <v>3358</v>
      </c>
      <c r="N289" s="608"/>
      <c r="O289" s="608"/>
      <c r="P289" s="486" t="s">
        <v>3306</v>
      </c>
    </row>
    <row r="290" spans="2:16">
      <c r="B290" s="503"/>
      <c r="C290" s="506" t="s">
        <v>3293</v>
      </c>
      <c r="D290" s="506" t="s">
        <v>3294</v>
      </c>
      <c r="E290" s="506">
        <v>1</v>
      </c>
      <c r="F290" s="609" t="s">
        <v>3766</v>
      </c>
      <c r="G290" s="506"/>
      <c r="H290" s="506"/>
      <c r="I290" s="506" t="s">
        <v>3706</v>
      </c>
      <c r="J290" s="506" t="s">
        <v>3748</v>
      </c>
      <c r="K290" s="506" t="s">
        <v>3767</v>
      </c>
      <c r="L290" s="506"/>
      <c r="M290" s="506"/>
      <c r="N290" s="506">
        <v>2024027787</v>
      </c>
      <c r="O290" s="506"/>
    </row>
    <row r="291" spans="2:16">
      <c r="B291" s="503"/>
      <c r="C291" s="508"/>
      <c r="D291" s="508"/>
      <c r="E291" s="508">
        <v>2</v>
      </c>
      <c r="F291" s="610" t="s">
        <v>3768</v>
      </c>
      <c r="G291" s="550"/>
      <c r="H291" s="550"/>
      <c r="I291" s="550" t="s">
        <v>3706</v>
      </c>
      <c r="J291" s="550" t="s">
        <v>3753</v>
      </c>
      <c r="K291" s="550" t="s">
        <v>3769</v>
      </c>
      <c r="L291" s="550"/>
      <c r="M291" s="550"/>
      <c r="N291" s="550">
        <v>2024068738</v>
      </c>
      <c r="O291" s="550"/>
    </row>
    <row r="292" spans="2:16">
      <c r="B292" s="503" t="s">
        <v>3300</v>
      </c>
      <c r="C292" s="506" t="s">
        <v>3301</v>
      </c>
      <c r="D292" s="506" t="s">
        <v>3302</v>
      </c>
      <c r="E292" s="506">
        <v>1</v>
      </c>
      <c r="F292" s="553" t="s">
        <v>3770</v>
      </c>
      <c r="G292" s="553"/>
      <c r="H292" s="553"/>
      <c r="I292" s="557" t="s">
        <v>3771</v>
      </c>
      <c r="J292" s="553" t="s">
        <v>3707</v>
      </c>
      <c r="K292" s="553" t="s">
        <v>3772</v>
      </c>
      <c r="L292" s="553"/>
      <c r="M292" s="553" t="s">
        <v>3358</v>
      </c>
      <c r="N292" s="553">
        <v>2025019559</v>
      </c>
      <c r="O292" s="553"/>
    </row>
    <row r="293" spans="2:16">
      <c r="B293" s="503"/>
      <c r="C293" s="508"/>
      <c r="D293" s="508"/>
      <c r="E293" s="508">
        <v>2</v>
      </c>
      <c r="F293" s="484" t="s">
        <v>3773</v>
      </c>
      <c r="G293" s="508"/>
      <c r="H293" s="508"/>
      <c r="I293" s="557" t="s">
        <v>3771</v>
      </c>
      <c r="J293" s="524">
        <v>45678</v>
      </c>
      <c r="K293" s="508" t="s">
        <v>3774</v>
      </c>
      <c r="L293" s="508"/>
      <c r="M293" s="553" t="s">
        <v>3358</v>
      </c>
      <c r="N293" s="508">
        <v>2024129521</v>
      </c>
      <c r="O293" s="508"/>
    </row>
    <row r="294" spans="2:16">
      <c r="B294" s="503"/>
      <c r="C294" s="508"/>
      <c r="D294" s="508"/>
      <c r="E294" s="508">
        <v>3</v>
      </c>
      <c r="F294" s="508" t="s">
        <v>3775</v>
      </c>
      <c r="G294" s="508"/>
      <c r="H294" s="508"/>
      <c r="I294" s="557" t="s">
        <v>3771</v>
      </c>
      <c r="J294" s="524">
        <v>45681</v>
      </c>
      <c r="K294" s="508" t="s">
        <v>3776</v>
      </c>
      <c r="L294" s="508"/>
      <c r="M294" s="553" t="s">
        <v>3358</v>
      </c>
      <c r="N294" s="508">
        <v>2025019560</v>
      </c>
      <c r="O294" s="508"/>
    </row>
    <row r="295" spans="2:16">
      <c r="B295" s="503"/>
      <c r="C295" s="508"/>
      <c r="D295" s="508"/>
      <c r="E295" s="508">
        <v>4</v>
      </c>
      <c r="F295" s="508" t="s">
        <v>3777</v>
      </c>
      <c r="G295" s="508"/>
      <c r="H295" s="508"/>
      <c r="I295" s="557" t="s">
        <v>3771</v>
      </c>
      <c r="J295" s="524">
        <v>45683</v>
      </c>
      <c r="K295" s="508" t="s">
        <v>3778</v>
      </c>
      <c r="L295" s="508"/>
      <c r="M295" s="553" t="s">
        <v>3358</v>
      </c>
      <c r="N295" s="508">
        <v>2025019561</v>
      </c>
      <c r="O295" s="508"/>
    </row>
    <row r="296" spans="2:16">
      <c r="B296" s="503"/>
      <c r="C296" s="508"/>
      <c r="D296" s="508"/>
      <c r="E296" s="508">
        <v>5</v>
      </c>
      <c r="F296" s="508" t="s">
        <v>3779</v>
      </c>
      <c r="G296" s="508"/>
      <c r="H296" s="508"/>
      <c r="I296" s="557" t="s">
        <v>3771</v>
      </c>
      <c r="J296" s="524">
        <v>45677</v>
      </c>
      <c r="K296" s="508" t="s">
        <v>3780</v>
      </c>
      <c r="L296" s="508"/>
      <c r="M296" s="553" t="s">
        <v>3358</v>
      </c>
      <c r="N296" s="508">
        <v>2025019562</v>
      </c>
      <c r="O296" s="508"/>
    </row>
    <row r="297" spans="2:16">
      <c r="B297" s="503"/>
      <c r="C297" s="508"/>
      <c r="D297" s="508"/>
      <c r="E297" s="508">
        <v>6</v>
      </c>
      <c r="F297" s="508" t="s">
        <v>3781</v>
      </c>
      <c r="G297" s="508"/>
      <c r="H297" s="508"/>
      <c r="I297" s="557" t="s">
        <v>3771</v>
      </c>
      <c r="J297" s="524">
        <v>45680</v>
      </c>
      <c r="K297" s="508" t="s">
        <v>3782</v>
      </c>
      <c r="L297" s="508"/>
      <c r="M297" s="553" t="s">
        <v>3358</v>
      </c>
      <c r="N297" s="508">
        <v>2025019563</v>
      </c>
      <c r="O297" s="508"/>
    </row>
    <row r="298" spans="2:16">
      <c r="B298" s="503"/>
      <c r="C298" s="508"/>
      <c r="D298" s="508"/>
      <c r="E298" s="508">
        <v>7</v>
      </c>
      <c r="F298" s="508" t="s">
        <v>3783</v>
      </c>
      <c r="G298" s="508"/>
      <c r="H298" s="508"/>
      <c r="I298" s="557" t="s">
        <v>3771</v>
      </c>
      <c r="J298" s="524">
        <v>45681</v>
      </c>
      <c r="K298" s="508" t="s">
        <v>3784</v>
      </c>
      <c r="L298" s="508"/>
      <c r="M298" s="553" t="s">
        <v>3358</v>
      </c>
      <c r="N298" s="508">
        <v>2025019564</v>
      </c>
      <c r="O298" s="508"/>
    </row>
    <row r="299" spans="2:16">
      <c r="B299" s="503"/>
      <c r="C299" s="508"/>
      <c r="D299" s="508"/>
      <c r="E299" s="508">
        <v>8</v>
      </c>
      <c r="F299" s="508"/>
      <c r="G299" s="508"/>
      <c r="H299" s="508"/>
      <c r="I299" s="557"/>
      <c r="J299" s="508"/>
      <c r="K299" s="508"/>
      <c r="L299" s="508"/>
      <c r="M299" s="508"/>
      <c r="N299" s="508"/>
      <c r="O299" s="508"/>
    </row>
    <row r="300" spans="2:16">
      <c r="B300" s="503"/>
      <c r="C300" s="508"/>
      <c r="D300" s="508"/>
      <c r="E300" s="508">
        <v>9</v>
      </c>
      <c r="F300" s="508" t="s">
        <v>3785</v>
      </c>
      <c r="G300" s="508"/>
      <c r="H300" s="508"/>
      <c r="I300" s="557" t="s">
        <v>3771</v>
      </c>
      <c r="J300" s="524">
        <v>45682</v>
      </c>
      <c r="K300" s="508" t="s">
        <v>3786</v>
      </c>
      <c r="L300" s="508"/>
      <c r="M300" s="508" t="s">
        <v>3247</v>
      </c>
      <c r="N300" s="508">
        <v>2025019565</v>
      </c>
      <c r="O300" s="508"/>
    </row>
    <row r="301" spans="2:16">
      <c r="B301" s="503"/>
      <c r="C301" s="516"/>
      <c r="D301" s="516"/>
      <c r="E301" s="516">
        <v>10</v>
      </c>
      <c r="F301" s="516" t="s">
        <v>3787</v>
      </c>
      <c r="G301" s="516"/>
      <c r="H301" s="516"/>
      <c r="I301" s="516" t="s">
        <v>3723</v>
      </c>
      <c r="J301" s="523">
        <v>45682</v>
      </c>
      <c r="K301" s="516" t="s">
        <v>3788</v>
      </c>
      <c r="L301" s="516"/>
      <c r="M301" s="516" t="s">
        <v>3247</v>
      </c>
      <c r="N301" s="547">
        <v>2025019566</v>
      </c>
      <c r="O301" s="516"/>
    </row>
    <row r="302" spans="2:16">
      <c r="B302" s="503"/>
      <c r="C302" s="501" t="s">
        <v>3474</v>
      </c>
      <c r="D302" s="501" t="s">
        <v>3315</v>
      </c>
      <c r="E302" s="501">
        <v>1</v>
      </c>
      <c r="F302" s="501" t="s">
        <v>3789</v>
      </c>
      <c r="G302" s="501"/>
      <c r="H302" s="501">
        <v>10</v>
      </c>
      <c r="I302" s="501" t="s">
        <v>3771</v>
      </c>
      <c r="J302" s="501"/>
      <c r="K302" s="501" t="s">
        <v>3790</v>
      </c>
      <c r="L302" s="501"/>
      <c r="M302" s="501"/>
      <c r="N302" s="501">
        <v>2025019567</v>
      </c>
      <c r="O302" s="501"/>
    </row>
    <row r="303" spans="2:16">
      <c r="B303" s="503"/>
      <c r="C303" s="508"/>
      <c r="D303" s="508"/>
      <c r="E303" s="508">
        <v>2</v>
      </c>
      <c r="F303" s="508" t="s">
        <v>3791</v>
      </c>
      <c r="G303" s="508"/>
      <c r="H303" s="508">
        <v>10</v>
      </c>
      <c r="I303" s="547" t="s">
        <v>3771</v>
      </c>
      <c r="J303" s="508"/>
      <c r="K303" s="508" t="s">
        <v>3792</v>
      </c>
      <c r="L303" s="508"/>
      <c r="M303" s="508"/>
      <c r="N303" s="508">
        <v>2024109336</v>
      </c>
      <c r="O303" s="508"/>
    </row>
    <row r="304" spans="2:16">
      <c r="B304" s="503"/>
      <c r="C304" s="508"/>
      <c r="D304" s="508"/>
      <c r="E304" s="508">
        <v>3</v>
      </c>
      <c r="F304" s="508" t="s">
        <v>127</v>
      </c>
      <c r="G304" s="508"/>
      <c r="H304" s="508">
        <v>10</v>
      </c>
      <c r="I304" s="508" t="s">
        <v>3771</v>
      </c>
      <c r="J304" s="508"/>
      <c r="K304" s="508" t="s">
        <v>3793</v>
      </c>
      <c r="L304" s="508"/>
      <c r="M304" s="508"/>
      <c r="N304" s="508">
        <v>2025019568</v>
      </c>
      <c r="O304" s="508"/>
    </row>
    <row r="305" spans="1:17">
      <c r="B305" s="503"/>
      <c r="C305" s="508"/>
      <c r="D305" s="508"/>
      <c r="E305" s="508">
        <v>4</v>
      </c>
      <c r="F305" s="508" t="s">
        <v>3475</v>
      </c>
      <c r="G305" s="508"/>
      <c r="H305" s="508">
        <v>15</v>
      </c>
      <c r="I305" s="508" t="s">
        <v>3771</v>
      </c>
      <c r="J305" s="508"/>
      <c r="K305" s="508" t="s">
        <v>3794</v>
      </c>
      <c r="L305" s="508"/>
      <c r="M305" s="508"/>
      <c r="N305" s="508">
        <v>2025019576</v>
      </c>
      <c r="O305" s="508"/>
    </row>
    <row r="306" spans="1:17" s="578" customFormat="1">
      <c r="B306" s="579"/>
      <c r="C306" s="547"/>
      <c r="D306" s="547"/>
      <c r="E306" s="547">
        <v>5</v>
      </c>
      <c r="F306" s="547" t="s">
        <v>3795</v>
      </c>
      <c r="G306" s="547"/>
      <c r="H306" s="547">
        <v>15</v>
      </c>
      <c r="I306" s="547" t="s">
        <v>3771</v>
      </c>
      <c r="J306" s="547"/>
      <c r="K306" s="547"/>
      <c r="L306" s="547"/>
      <c r="M306" s="547"/>
      <c r="N306" s="547">
        <v>2025019569</v>
      </c>
      <c r="O306" s="547"/>
    </row>
    <row r="307" spans="1:17">
      <c r="B307" s="503"/>
      <c r="C307" s="508"/>
      <c r="D307" s="508"/>
      <c r="E307" s="508">
        <v>6</v>
      </c>
      <c r="F307" s="508" t="s">
        <v>3796</v>
      </c>
      <c r="G307" s="508"/>
      <c r="H307" s="508">
        <v>15</v>
      </c>
      <c r="I307" s="508" t="s">
        <v>3771</v>
      </c>
      <c r="J307" s="508"/>
      <c r="K307" s="508"/>
      <c r="L307" s="508"/>
      <c r="M307" s="508"/>
      <c r="N307" s="508">
        <v>2025019570</v>
      </c>
      <c r="O307" s="508"/>
    </row>
    <row r="308" spans="1:17" s="611" customFormat="1">
      <c r="B308" s="612"/>
      <c r="C308" s="603"/>
      <c r="D308" s="603"/>
      <c r="E308" s="603">
        <v>7</v>
      </c>
      <c r="F308" s="603" t="s">
        <v>3797</v>
      </c>
      <c r="G308" s="603"/>
      <c r="H308" s="603"/>
      <c r="I308" s="593" t="s">
        <v>3771</v>
      </c>
      <c r="J308" s="603"/>
      <c r="K308" s="603" t="s">
        <v>3798</v>
      </c>
      <c r="L308" s="603"/>
      <c r="M308" s="603"/>
      <c r="N308" s="603">
        <v>2024017624</v>
      </c>
      <c r="O308" s="603"/>
    </row>
    <row r="309" spans="1:17">
      <c r="B309" s="500" t="s">
        <v>3324</v>
      </c>
      <c r="C309" s="501" t="s">
        <v>3325</v>
      </c>
      <c r="D309" s="501" t="s">
        <v>3326</v>
      </c>
      <c r="E309" s="613">
        <v>1</v>
      </c>
      <c r="F309" s="557" t="s">
        <v>3327</v>
      </c>
      <c r="G309" s="576" t="s">
        <v>3328</v>
      </c>
      <c r="H309" s="501">
        <v>15</v>
      </c>
      <c r="I309" s="501" t="s">
        <v>3771</v>
      </c>
      <c r="J309" s="577">
        <v>45677</v>
      </c>
      <c r="K309" s="501" t="s">
        <v>3488</v>
      </c>
      <c r="L309" s="501"/>
      <c r="M309" s="501"/>
      <c r="N309" s="501">
        <v>2024058452</v>
      </c>
      <c r="O309" s="501"/>
    </row>
    <row r="310" spans="1:17">
      <c r="B310" s="503"/>
      <c r="C310" s="508"/>
      <c r="D310" s="508"/>
      <c r="E310" s="508">
        <v>2</v>
      </c>
      <c r="F310" s="547" t="s">
        <v>3330</v>
      </c>
      <c r="G310" s="580" t="s">
        <v>3328</v>
      </c>
      <c r="H310" s="547">
        <v>20</v>
      </c>
      <c r="I310" s="547" t="s">
        <v>3771</v>
      </c>
      <c r="J310" s="581">
        <v>45677</v>
      </c>
      <c r="K310" s="547" t="s">
        <v>3489</v>
      </c>
      <c r="L310" s="547"/>
      <c r="M310" s="547"/>
      <c r="N310" s="547">
        <v>2024058453</v>
      </c>
      <c r="O310" s="547"/>
    </row>
    <row r="311" spans="1:17">
      <c r="B311" s="503"/>
      <c r="C311" s="508"/>
      <c r="D311" s="508"/>
      <c r="E311" s="508">
        <v>3</v>
      </c>
      <c r="F311" s="547" t="s">
        <v>3332</v>
      </c>
      <c r="G311" s="580" t="s">
        <v>3328</v>
      </c>
      <c r="H311" s="547">
        <v>15</v>
      </c>
      <c r="I311" s="547" t="s">
        <v>3771</v>
      </c>
      <c r="J311" s="581">
        <v>45678</v>
      </c>
      <c r="K311" s="547" t="s">
        <v>3490</v>
      </c>
      <c r="L311" s="547"/>
      <c r="M311" s="547"/>
      <c r="N311" s="547">
        <v>2024068760</v>
      </c>
      <c r="O311" s="547"/>
    </row>
    <row r="312" spans="1:17">
      <c r="B312" s="503"/>
      <c r="C312" s="508"/>
      <c r="D312" s="508"/>
      <c r="E312" s="508">
        <v>4</v>
      </c>
      <c r="F312" s="547" t="s">
        <v>3334</v>
      </c>
      <c r="G312" s="580" t="s">
        <v>3328</v>
      </c>
      <c r="H312" s="547">
        <v>10</v>
      </c>
      <c r="I312" s="547" t="s">
        <v>3771</v>
      </c>
      <c r="J312" s="581">
        <v>45678</v>
      </c>
      <c r="K312" s="547" t="s">
        <v>3491</v>
      </c>
      <c r="L312" s="547"/>
      <c r="M312" s="547"/>
      <c r="N312" s="547">
        <v>2024068644</v>
      </c>
      <c r="O312" s="547"/>
    </row>
    <row r="313" spans="1:17">
      <c r="B313" s="503"/>
      <c r="C313" s="508"/>
      <c r="D313" s="508"/>
      <c r="E313" s="508">
        <v>5</v>
      </c>
      <c r="F313" s="547" t="s">
        <v>3336</v>
      </c>
      <c r="G313" s="580" t="s">
        <v>3328</v>
      </c>
      <c r="H313" s="547">
        <v>10</v>
      </c>
      <c r="I313" s="547" t="s">
        <v>3771</v>
      </c>
      <c r="J313" s="581">
        <v>45679</v>
      </c>
      <c r="K313" s="547" t="s">
        <v>3492</v>
      </c>
      <c r="L313" s="547"/>
      <c r="M313" s="547"/>
      <c r="N313" s="547">
        <v>2024109287</v>
      </c>
      <c r="O313" s="547"/>
    </row>
    <row r="314" spans="1:17">
      <c r="B314" s="503"/>
      <c r="C314" s="508"/>
      <c r="D314" s="508"/>
      <c r="E314" s="508">
        <v>6</v>
      </c>
      <c r="F314" s="547" t="s">
        <v>3338</v>
      </c>
      <c r="G314" s="580" t="s">
        <v>3328</v>
      </c>
      <c r="H314" s="547">
        <v>20</v>
      </c>
      <c r="I314" s="547" t="s">
        <v>3771</v>
      </c>
      <c r="J314" s="581">
        <v>45680</v>
      </c>
      <c r="K314" s="547" t="s">
        <v>3493</v>
      </c>
      <c r="L314" s="547"/>
      <c r="M314" s="547"/>
      <c r="N314" s="547">
        <v>2024078762</v>
      </c>
      <c r="O314" s="547"/>
    </row>
    <row r="315" spans="1:17">
      <c r="A315" s="578"/>
      <c r="B315" s="579"/>
      <c r="C315" s="547"/>
      <c r="D315" s="547"/>
      <c r="E315" s="547">
        <v>4</v>
      </c>
      <c r="F315" s="547" t="s">
        <v>3340</v>
      </c>
      <c r="G315" s="580" t="s">
        <v>3328</v>
      </c>
      <c r="H315" s="547">
        <v>20</v>
      </c>
      <c r="I315" s="547" t="s">
        <v>3771</v>
      </c>
      <c r="J315" s="581">
        <v>45680</v>
      </c>
      <c r="K315" s="547" t="s">
        <v>3494</v>
      </c>
      <c r="L315" s="547"/>
      <c r="M315" s="547"/>
      <c r="N315" s="547">
        <v>2024078899</v>
      </c>
      <c r="O315" s="547"/>
      <c r="P315" s="578"/>
      <c r="Q315" s="578"/>
    </row>
    <row r="316" spans="1:17">
      <c r="A316" s="578"/>
      <c r="B316" s="579"/>
      <c r="C316" s="547"/>
      <c r="D316" s="547"/>
      <c r="E316" s="547">
        <v>5</v>
      </c>
      <c r="F316" s="582" t="s">
        <v>3799</v>
      </c>
      <c r="G316" s="582">
        <v>100</v>
      </c>
      <c r="H316" s="582">
        <v>70</v>
      </c>
      <c r="I316" s="583">
        <v>45678</v>
      </c>
      <c r="J316" s="583">
        <v>45678</v>
      </c>
      <c r="K316" s="582" t="s">
        <v>3800</v>
      </c>
      <c r="L316" s="582" t="s">
        <v>3348</v>
      </c>
      <c r="M316" s="582"/>
      <c r="N316" s="582">
        <v>2024099169</v>
      </c>
      <c r="O316" s="582"/>
      <c r="P316" s="578"/>
      <c r="Q316" s="578"/>
    </row>
    <row r="317" spans="1:17">
      <c r="A317" s="578"/>
      <c r="B317" s="579"/>
      <c r="C317" s="547"/>
      <c r="D317" s="547"/>
      <c r="E317" s="547">
        <v>6</v>
      </c>
      <c r="F317" s="582" t="s">
        <v>3650</v>
      </c>
      <c r="G317" s="582">
        <v>100</v>
      </c>
      <c r="H317" s="582">
        <v>100</v>
      </c>
      <c r="I317" s="583">
        <v>45680</v>
      </c>
      <c r="J317" s="583">
        <v>45680</v>
      </c>
      <c r="K317" s="582" t="s">
        <v>3651</v>
      </c>
      <c r="L317" s="582" t="s">
        <v>3348</v>
      </c>
      <c r="M317" s="582"/>
      <c r="N317" s="582">
        <v>2022033252</v>
      </c>
      <c r="O317" s="582"/>
      <c r="P317" s="578"/>
      <c r="Q317" s="578"/>
    </row>
    <row r="318" spans="1:17">
      <c r="B318" s="503"/>
      <c r="C318" s="508"/>
      <c r="D318" s="508"/>
      <c r="E318" s="508">
        <v>6</v>
      </c>
      <c r="F318" s="582" t="s">
        <v>3650</v>
      </c>
      <c r="G318" s="582">
        <v>100</v>
      </c>
      <c r="H318" s="582">
        <v>100</v>
      </c>
      <c r="I318" s="583">
        <v>45683</v>
      </c>
      <c r="J318" s="583">
        <v>45683</v>
      </c>
      <c r="K318" s="582" t="s">
        <v>3651</v>
      </c>
      <c r="L318" s="582" t="s">
        <v>3348</v>
      </c>
      <c r="M318" s="582"/>
      <c r="N318" s="582">
        <v>2022033252</v>
      </c>
      <c r="O318" s="582"/>
    </row>
    <row r="319" spans="1:17">
      <c r="B319" s="503"/>
      <c r="C319" s="508"/>
      <c r="D319" s="508"/>
      <c r="E319" s="508">
        <v>8</v>
      </c>
      <c r="F319" s="582" t="s">
        <v>3801</v>
      </c>
      <c r="G319" s="582">
        <v>50</v>
      </c>
      <c r="H319" s="582">
        <v>50</v>
      </c>
      <c r="I319" s="583">
        <v>45682</v>
      </c>
      <c r="J319" s="583">
        <v>45682</v>
      </c>
      <c r="K319" s="582" t="s">
        <v>3802</v>
      </c>
      <c r="L319" s="582" t="s">
        <v>3348</v>
      </c>
      <c r="M319" s="582"/>
      <c r="N319" s="582">
        <v>2024089095</v>
      </c>
      <c r="O319" s="508"/>
    </row>
    <row r="320" spans="1:17">
      <c r="B320" s="503" t="s">
        <v>3349</v>
      </c>
      <c r="C320" s="501" t="s">
        <v>3350</v>
      </c>
      <c r="D320" s="501" t="s">
        <v>3351</v>
      </c>
      <c r="E320" s="501">
        <v>1</v>
      </c>
      <c r="F320" s="501" t="s">
        <v>3352</v>
      </c>
      <c r="G320" s="501">
        <v>500</v>
      </c>
      <c r="H320" s="501">
        <v>100</v>
      </c>
      <c r="I320" s="557" t="s">
        <v>3706</v>
      </c>
      <c r="J320" s="526" t="s">
        <v>3707</v>
      </c>
      <c r="K320" s="501" t="s">
        <v>3803</v>
      </c>
      <c r="L320" s="501" t="s">
        <v>3348</v>
      </c>
      <c r="M320" s="501" t="s">
        <v>3247</v>
      </c>
      <c r="N320" s="557">
        <v>2024058386</v>
      </c>
      <c r="O320" s="501"/>
    </row>
    <row r="321" spans="2:15">
      <c r="B321" s="503"/>
      <c r="C321" s="508"/>
      <c r="D321" s="508"/>
      <c r="E321" s="508">
        <v>2</v>
      </c>
      <c r="F321" s="508" t="s">
        <v>3663</v>
      </c>
      <c r="G321" s="508">
        <v>100</v>
      </c>
      <c r="H321" s="508">
        <v>15</v>
      </c>
      <c r="I321" s="547" t="s">
        <v>3706</v>
      </c>
      <c r="J321" s="508"/>
      <c r="K321" s="614" t="s">
        <v>3364</v>
      </c>
      <c r="L321" s="508"/>
      <c r="M321" s="508" t="s">
        <v>3358</v>
      </c>
      <c r="N321" s="547">
        <v>2024027790</v>
      </c>
      <c r="O321" s="508"/>
    </row>
    <row r="322" spans="2:15">
      <c r="B322" s="503"/>
      <c r="C322" s="508"/>
      <c r="D322" s="508"/>
      <c r="E322" s="508">
        <v>3</v>
      </c>
      <c r="F322" s="508" t="s">
        <v>3804</v>
      </c>
      <c r="G322" s="508">
        <v>200</v>
      </c>
      <c r="H322" s="508">
        <v>20</v>
      </c>
      <c r="I322" s="547" t="s">
        <v>3706</v>
      </c>
      <c r="J322" s="508"/>
      <c r="K322" s="615" t="s">
        <v>3805</v>
      </c>
      <c r="L322" s="508"/>
      <c r="M322" s="508" t="s">
        <v>3358</v>
      </c>
      <c r="N322" s="547">
        <v>2024058585</v>
      </c>
      <c r="O322" s="508"/>
    </row>
    <row r="323" spans="2:15">
      <c r="B323" s="503"/>
      <c r="C323" s="508"/>
      <c r="D323" s="508"/>
      <c r="E323" s="508">
        <v>4</v>
      </c>
      <c r="F323" s="508" t="s">
        <v>3661</v>
      </c>
      <c r="G323" s="508">
        <v>100</v>
      </c>
      <c r="H323" s="508">
        <v>15</v>
      </c>
      <c r="I323" s="547" t="s">
        <v>3706</v>
      </c>
      <c r="J323" s="508"/>
      <c r="K323" s="615" t="s">
        <v>3360</v>
      </c>
      <c r="L323" s="508"/>
      <c r="M323" s="508" t="s">
        <v>3358</v>
      </c>
      <c r="N323" s="547">
        <v>2024129466</v>
      </c>
      <c r="O323" s="508"/>
    </row>
    <row r="324" spans="2:15">
      <c r="B324" s="503"/>
      <c r="C324" s="508"/>
      <c r="D324" s="508"/>
      <c r="E324" s="508">
        <v>5</v>
      </c>
      <c r="F324" s="508" t="s">
        <v>1554</v>
      </c>
      <c r="G324" s="508">
        <v>100</v>
      </c>
      <c r="H324" s="508">
        <v>10</v>
      </c>
      <c r="I324" s="557" t="s">
        <v>3706</v>
      </c>
      <c r="J324" s="508"/>
      <c r="K324" s="615" t="s">
        <v>3366</v>
      </c>
      <c r="L324" s="508"/>
      <c r="M324" s="508" t="s">
        <v>3358</v>
      </c>
      <c r="N324" s="547">
        <v>2024048201</v>
      </c>
      <c r="O324" s="508"/>
    </row>
    <row r="325" spans="2:15">
      <c r="B325" s="503"/>
      <c r="C325" s="508"/>
      <c r="D325" s="508"/>
      <c r="E325" s="508">
        <v>6</v>
      </c>
      <c r="F325" s="508" t="s">
        <v>3806</v>
      </c>
      <c r="G325" s="508"/>
      <c r="H325" s="508">
        <v>10</v>
      </c>
      <c r="I325" s="508" t="s">
        <v>3706</v>
      </c>
      <c r="J325" s="508"/>
      <c r="K325" s="615" t="s">
        <v>3807</v>
      </c>
      <c r="L325" s="508"/>
      <c r="M325" s="508" t="s">
        <v>3358</v>
      </c>
      <c r="N325" s="547">
        <v>2024119395</v>
      </c>
      <c r="O325" s="508"/>
    </row>
    <row r="326" spans="2:15">
      <c r="B326" s="503"/>
      <c r="C326" s="508"/>
      <c r="D326" s="508"/>
      <c r="E326" s="508">
        <v>7</v>
      </c>
      <c r="F326" s="508" t="s">
        <v>3808</v>
      </c>
      <c r="G326" s="508"/>
      <c r="H326" s="508">
        <v>10</v>
      </c>
      <c r="I326" s="508" t="s">
        <v>3706</v>
      </c>
      <c r="J326" s="508"/>
      <c r="K326" s="615" t="s">
        <v>3809</v>
      </c>
      <c r="L326" s="508"/>
      <c r="M326" s="508" t="s">
        <v>3358</v>
      </c>
      <c r="N326" s="547">
        <v>2024099214</v>
      </c>
      <c r="O326" s="508"/>
    </row>
    <row r="327" spans="2:15">
      <c r="B327" s="503"/>
      <c r="C327" s="508"/>
      <c r="D327" s="508"/>
      <c r="E327" s="508">
        <v>8</v>
      </c>
      <c r="F327" s="508" t="s">
        <v>3810</v>
      </c>
      <c r="G327" s="508"/>
      <c r="H327" s="508">
        <v>15</v>
      </c>
      <c r="I327" s="508" t="s">
        <v>3706</v>
      </c>
      <c r="J327" s="508"/>
      <c r="K327" s="615" t="s">
        <v>3811</v>
      </c>
      <c r="L327" s="508"/>
      <c r="M327" s="508" t="s">
        <v>3358</v>
      </c>
      <c r="N327" s="547">
        <v>2025019571</v>
      </c>
      <c r="O327" s="508"/>
    </row>
    <row r="328" spans="2:15">
      <c r="B328" s="503"/>
      <c r="C328" s="508"/>
      <c r="D328" s="508"/>
      <c r="E328" s="508">
        <v>9</v>
      </c>
      <c r="F328" s="508" t="s">
        <v>3665</v>
      </c>
      <c r="G328" s="508"/>
      <c r="H328" s="508">
        <v>15</v>
      </c>
      <c r="I328" s="557" t="s">
        <v>3706</v>
      </c>
      <c r="J328" s="508"/>
      <c r="K328" s="615" t="s">
        <v>3812</v>
      </c>
      <c r="L328" s="508"/>
      <c r="M328" s="508" t="s">
        <v>3358</v>
      </c>
      <c r="N328" s="547">
        <v>2024048164</v>
      </c>
      <c r="O328" s="508"/>
    </row>
    <row r="329" spans="2:15">
      <c r="B329" s="503"/>
      <c r="C329" s="508"/>
      <c r="D329" s="508"/>
      <c r="E329" s="508">
        <v>10</v>
      </c>
      <c r="F329" s="508" t="s">
        <v>3813</v>
      </c>
      <c r="G329" s="508"/>
      <c r="H329" s="508">
        <v>10</v>
      </c>
      <c r="I329" s="508" t="s">
        <v>3706</v>
      </c>
      <c r="J329" s="508"/>
      <c r="K329" s="615" t="s">
        <v>3814</v>
      </c>
      <c r="L329" s="508"/>
      <c r="M329" s="508" t="s">
        <v>3358</v>
      </c>
      <c r="N329" s="547">
        <v>2024078961</v>
      </c>
      <c r="O329" s="508"/>
    </row>
    <row r="330" spans="2:15" ht="17.25" thickBot="1">
      <c r="B330" s="503"/>
      <c r="C330" s="516"/>
      <c r="D330" s="516"/>
      <c r="E330" s="547">
        <v>11</v>
      </c>
      <c r="F330" s="516" t="s">
        <v>189</v>
      </c>
      <c r="G330" s="516"/>
      <c r="H330" s="516">
        <v>10</v>
      </c>
      <c r="I330" s="547" t="s">
        <v>3706</v>
      </c>
      <c r="J330" s="516"/>
      <c r="K330" s="616" t="s">
        <v>3815</v>
      </c>
      <c r="L330" s="516"/>
      <c r="M330" s="547" t="s">
        <v>3358</v>
      </c>
      <c r="N330" s="569">
        <v>2024058390</v>
      </c>
      <c r="O330" s="516"/>
    </row>
    <row r="331" spans="2:15">
      <c r="B331" s="503"/>
      <c r="C331" s="501" t="s">
        <v>3371</v>
      </c>
      <c r="D331" s="501" t="s">
        <v>3294</v>
      </c>
      <c r="E331" s="501">
        <v>1</v>
      </c>
      <c r="F331" s="609" t="s">
        <v>3816</v>
      </c>
      <c r="G331" s="501">
        <v>100</v>
      </c>
      <c r="H331" s="501">
        <v>0.5</v>
      </c>
      <c r="I331" s="557" t="s">
        <v>3706</v>
      </c>
      <c r="J331" s="501"/>
      <c r="K331" s="501" t="s">
        <v>3817</v>
      </c>
      <c r="L331" s="501"/>
      <c r="M331" s="501"/>
      <c r="N331" s="557">
        <v>2024048326</v>
      </c>
      <c r="O331" s="501"/>
    </row>
    <row r="332" spans="2:15">
      <c r="B332" s="503"/>
      <c r="C332" s="508"/>
      <c r="D332" s="508"/>
      <c r="E332" s="508">
        <v>2</v>
      </c>
      <c r="F332" s="617" t="s">
        <v>3818</v>
      </c>
      <c r="G332" s="508"/>
      <c r="H332" s="557">
        <v>0.5</v>
      </c>
      <c r="I332" s="557" t="s">
        <v>3706</v>
      </c>
      <c r="J332" s="508"/>
      <c r="K332" s="617" t="s">
        <v>3819</v>
      </c>
      <c r="L332" s="508"/>
      <c r="M332" s="508"/>
      <c r="N332" s="547">
        <v>2024119376</v>
      </c>
      <c r="O332" s="508"/>
    </row>
    <row r="333" spans="2:15">
      <c r="B333" s="503"/>
      <c r="C333" s="501" t="s">
        <v>3376</v>
      </c>
      <c r="D333" s="501" t="s">
        <v>3377</v>
      </c>
      <c r="E333" s="501">
        <v>1</v>
      </c>
      <c r="F333" s="501" t="s">
        <v>2580</v>
      </c>
      <c r="G333" s="501"/>
      <c r="H333" s="501"/>
      <c r="I333" s="501" t="s">
        <v>3706</v>
      </c>
      <c r="J333" s="501"/>
      <c r="K333" s="501" t="s">
        <v>3383</v>
      </c>
      <c r="L333" s="501"/>
      <c r="M333" s="501"/>
      <c r="N333" s="501">
        <v>2024048354</v>
      </c>
      <c r="O333" s="501"/>
    </row>
    <row r="334" spans="2:15">
      <c r="B334" s="503"/>
      <c r="C334" s="508"/>
      <c r="D334" s="508"/>
      <c r="E334" s="508">
        <v>2</v>
      </c>
      <c r="F334" s="508" t="s">
        <v>3378</v>
      </c>
      <c r="G334" s="508"/>
      <c r="H334" s="508"/>
      <c r="I334" s="501" t="s">
        <v>3706</v>
      </c>
      <c r="J334" s="508"/>
      <c r="K334" s="508" t="s">
        <v>3379</v>
      </c>
      <c r="L334" s="508"/>
      <c r="M334" s="508"/>
      <c r="N334" s="508">
        <v>2024058459</v>
      </c>
      <c r="O334" s="508"/>
    </row>
    <row r="335" spans="2:15">
      <c r="B335" s="503"/>
      <c r="C335" s="508"/>
      <c r="D335" s="508"/>
      <c r="E335" s="508">
        <v>3</v>
      </c>
      <c r="F335" s="508" t="s">
        <v>858</v>
      </c>
      <c r="G335" s="508"/>
      <c r="H335" s="508"/>
      <c r="I335" s="501" t="s">
        <v>3706</v>
      </c>
      <c r="J335" s="508"/>
      <c r="K335" s="508" t="s">
        <v>3516</v>
      </c>
      <c r="L335" s="508"/>
      <c r="M335" s="508"/>
      <c r="N335" s="508">
        <v>2024089087</v>
      </c>
      <c r="O335" s="508"/>
    </row>
    <row r="336" spans="2:15">
      <c r="B336" s="503"/>
      <c r="C336" s="508"/>
      <c r="D336" s="508"/>
      <c r="E336" s="508">
        <v>4</v>
      </c>
      <c r="F336" s="508" t="s">
        <v>816</v>
      </c>
      <c r="G336" s="508"/>
      <c r="H336" s="508"/>
      <c r="I336" s="501" t="s">
        <v>3706</v>
      </c>
      <c r="J336" s="508"/>
      <c r="K336" s="508" t="s">
        <v>3820</v>
      </c>
      <c r="L336" s="508"/>
      <c r="M336" s="508"/>
      <c r="N336" s="508">
        <v>2024068639</v>
      </c>
      <c r="O336" s="508"/>
    </row>
    <row r="337" spans="2:15">
      <c r="B337" s="503"/>
      <c r="C337" s="508"/>
      <c r="D337" s="508"/>
      <c r="E337" s="508">
        <v>5</v>
      </c>
      <c r="F337" s="508" t="s">
        <v>1314</v>
      </c>
      <c r="G337" s="508"/>
      <c r="H337" s="508"/>
      <c r="I337" s="501" t="s">
        <v>3706</v>
      </c>
      <c r="J337" s="508"/>
      <c r="K337" s="508" t="s">
        <v>3381</v>
      </c>
      <c r="L337" s="508"/>
      <c r="M337" s="508"/>
      <c r="N337" s="508">
        <v>2024038142</v>
      </c>
      <c r="O337" s="508"/>
    </row>
    <row r="338" spans="2:15">
      <c r="B338" s="503"/>
      <c r="C338" s="508"/>
      <c r="D338" s="508"/>
      <c r="E338" s="508">
        <v>6</v>
      </c>
      <c r="F338" s="508" t="s">
        <v>495</v>
      </c>
      <c r="G338" s="508"/>
      <c r="H338" s="508"/>
      <c r="I338" s="501" t="s">
        <v>3706</v>
      </c>
      <c r="J338" s="508"/>
      <c r="K338" s="508" t="s">
        <v>3384</v>
      </c>
      <c r="L338" s="508"/>
      <c r="M338" s="508"/>
      <c r="N338" s="508">
        <v>2024017601</v>
      </c>
      <c r="O338" s="508"/>
    </row>
    <row r="339" spans="2:15">
      <c r="B339" s="503"/>
      <c r="C339" s="508"/>
      <c r="D339" s="508"/>
      <c r="E339" s="508">
        <v>7</v>
      </c>
      <c r="F339" s="508" t="s">
        <v>1292</v>
      </c>
      <c r="G339" s="508"/>
      <c r="H339" s="508"/>
      <c r="I339" s="501" t="s">
        <v>3706</v>
      </c>
      <c r="J339" s="508"/>
      <c r="K339" s="508" t="s">
        <v>3821</v>
      </c>
      <c r="L339" s="508"/>
      <c r="M339" s="508"/>
      <c r="N339" s="508">
        <v>2024068685</v>
      </c>
      <c r="O339" s="508"/>
    </row>
    <row r="340" spans="2:15">
      <c r="B340" s="503"/>
      <c r="C340" s="501" t="s">
        <v>3385</v>
      </c>
      <c r="D340" s="501" t="s">
        <v>3386</v>
      </c>
      <c r="E340" s="501">
        <v>1</v>
      </c>
      <c r="F340" s="501" t="s">
        <v>3822</v>
      </c>
      <c r="G340" s="501"/>
      <c r="H340" s="501"/>
      <c r="I340" s="501" t="s">
        <v>3706</v>
      </c>
      <c r="J340" s="501"/>
      <c r="K340" s="501" t="s">
        <v>3823</v>
      </c>
      <c r="L340" s="501"/>
      <c r="M340" s="501"/>
      <c r="N340" s="501">
        <v>2024099141</v>
      </c>
      <c r="O340" s="501"/>
    </row>
    <row r="341" spans="2:15">
      <c r="B341" s="503"/>
      <c r="C341" s="508"/>
      <c r="D341" s="508"/>
      <c r="E341" s="508">
        <v>2</v>
      </c>
      <c r="F341" s="508" t="s">
        <v>3824</v>
      </c>
      <c r="G341" s="508"/>
      <c r="H341" s="508"/>
      <c r="I341" s="508" t="s">
        <v>3706</v>
      </c>
      <c r="J341" s="508"/>
      <c r="K341" s="508" t="s">
        <v>3825</v>
      </c>
      <c r="L341" s="508"/>
      <c r="M341" s="508"/>
      <c r="N341" s="508">
        <v>2024027771</v>
      </c>
      <c r="O341" s="508"/>
    </row>
    <row r="342" spans="2:15">
      <c r="B342" s="503"/>
      <c r="C342" s="508"/>
      <c r="D342" s="508"/>
      <c r="E342" s="508">
        <v>3</v>
      </c>
      <c r="F342" s="508" t="s">
        <v>3826</v>
      </c>
      <c r="G342" s="508"/>
      <c r="H342" s="508"/>
      <c r="I342" s="508" t="s">
        <v>3706</v>
      </c>
      <c r="J342" s="508"/>
      <c r="K342" s="508" t="s">
        <v>3827</v>
      </c>
      <c r="L342" s="508"/>
      <c r="M342" s="508"/>
      <c r="N342" s="508">
        <v>2024058584</v>
      </c>
      <c r="O342" s="508"/>
    </row>
    <row r="343" spans="2:15">
      <c r="B343" s="503"/>
      <c r="C343" s="508"/>
      <c r="D343" s="508"/>
      <c r="E343" s="508">
        <v>4</v>
      </c>
      <c r="F343" s="508" t="s">
        <v>3828</v>
      </c>
      <c r="G343" s="508"/>
      <c r="H343" s="508"/>
      <c r="I343" s="508" t="s">
        <v>3706</v>
      </c>
      <c r="J343" s="508"/>
      <c r="K343" s="508" t="s">
        <v>3829</v>
      </c>
      <c r="L343" s="508"/>
      <c r="M343" s="508"/>
      <c r="N343" s="508">
        <v>2024027878</v>
      </c>
      <c r="O343" s="508"/>
    </row>
    <row r="344" spans="2:15">
      <c r="B344" s="503"/>
      <c r="C344" s="508"/>
      <c r="D344" s="508"/>
      <c r="E344" s="508">
        <v>5</v>
      </c>
      <c r="F344" s="508" t="s">
        <v>439</v>
      </c>
      <c r="G344" s="508"/>
      <c r="H344" s="508"/>
      <c r="I344" s="508" t="s">
        <v>3706</v>
      </c>
      <c r="J344" s="508"/>
      <c r="K344" s="508" t="s">
        <v>3830</v>
      </c>
      <c r="L344" s="508"/>
      <c r="M344" s="508"/>
      <c r="N344" s="508">
        <v>2024089045</v>
      </c>
      <c r="O344" s="508"/>
    </row>
    <row r="345" spans="2:15">
      <c r="B345" s="503"/>
      <c r="C345" s="508"/>
      <c r="D345" s="508"/>
      <c r="E345" s="508">
        <v>6</v>
      </c>
      <c r="F345" s="508" t="s">
        <v>3831</v>
      </c>
      <c r="G345" s="508"/>
      <c r="H345" s="508"/>
      <c r="I345" s="508" t="s">
        <v>3706</v>
      </c>
      <c r="J345" s="508"/>
      <c r="K345" s="508" t="s">
        <v>3832</v>
      </c>
      <c r="L345" s="508"/>
      <c r="M345" s="508"/>
      <c r="N345" s="508">
        <v>2024119410</v>
      </c>
      <c r="O345" s="508"/>
    </row>
    <row r="346" spans="2:15">
      <c r="B346" s="503"/>
      <c r="C346" s="508"/>
      <c r="D346" s="508"/>
      <c r="E346" s="508">
        <v>7</v>
      </c>
      <c r="F346" s="508" t="s">
        <v>3833</v>
      </c>
      <c r="G346" s="508"/>
      <c r="H346" s="508"/>
      <c r="I346" s="508" t="s">
        <v>3706</v>
      </c>
      <c r="J346" s="508"/>
      <c r="K346" s="508" t="s">
        <v>3834</v>
      </c>
      <c r="L346" s="508"/>
      <c r="M346" s="508"/>
      <c r="N346" s="508">
        <v>2025019578</v>
      </c>
      <c r="O346" s="508"/>
    </row>
    <row r="347" spans="2:15">
      <c r="B347" s="503"/>
      <c r="C347" s="501" t="s">
        <v>3399</v>
      </c>
      <c r="D347" s="501" t="s">
        <v>3400</v>
      </c>
      <c r="E347" s="501">
        <v>1</v>
      </c>
      <c r="F347" s="501" t="s">
        <v>3540</v>
      </c>
      <c r="G347" s="501">
        <v>50</v>
      </c>
      <c r="H347" s="501"/>
      <c r="I347" s="501" t="s">
        <v>3706</v>
      </c>
      <c r="J347" s="501"/>
      <c r="K347" s="501" t="str">
        <f>F347&amp;" 브랜드위크"</f>
        <v>풀무원 브랜드위크</v>
      </c>
      <c r="L347" s="501"/>
      <c r="M347" s="501"/>
      <c r="N347" s="558">
        <v>2024129482</v>
      </c>
      <c r="O347" s="501"/>
    </row>
    <row r="348" spans="2:15">
      <c r="B348" s="503"/>
      <c r="C348" s="508"/>
      <c r="D348" s="508"/>
      <c r="E348" s="508">
        <v>2</v>
      </c>
      <c r="F348" s="508" t="s">
        <v>3542</v>
      </c>
      <c r="G348" s="508">
        <v>100</v>
      </c>
      <c r="H348" s="508"/>
      <c r="I348" s="508" t="str">
        <f>I351</f>
        <v>1/20~26</v>
      </c>
      <c r="J348" s="508"/>
      <c r="K348" s="508" t="str">
        <f t="shared" ref="K348" si="2">F348&amp;" 브랜드위크"</f>
        <v>마녀바스켓 브랜드위크</v>
      </c>
      <c r="L348" s="508"/>
      <c r="M348" s="508"/>
      <c r="N348" s="559">
        <v>2024129446</v>
      </c>
      <c r="O348" s="508"/>
    </row>
    <row r="349" spans="2:15">
      <c r="B349" s="503"/>
      <c r="C349" s="508"/>
      <c r="D349" s="508"/>
      <c r="E349" s="508">
        <v>3</v>
      </c>
      <c r="F349" s="547" t="s">
        <v>3700</v>
      </c>
      <c r="G349" s="547">
        <v>30</v>
      </c>
      <c r="H349" s="547"/>
      <c r="I349" s="547" t="str">
        <f>I351</f>
        <v>1/20~26</v>
      </c>
      <c r="J349" s="547"/>
      <c r="K349" s="547" t="str">
        <f>F349&amp;" 브랜드위크"</f>
        <v>삼진어묵 브랜드위크</v>
      </c>
      <c r="L349" s="508"/>
      <c r="M349" s="508"/>
      <c r="N349" s="559">
        <v>2024048270</v>
      </c>
      <c r="O349" s="508"/>
    </row>
    <row r="350" spans="2:15">
      <c r="B350" s="503"/>
      <c r="C350" s="508"/>
      <c r="D350" s="508"/>
      <c r="E350" s="508">
        <v>4</v>
      </c>
      <c r="F350" s="547" t="s">
        <v>3835</v>
      </c>
      <c r="G350" s="547"/>
      <c r="H350" s="547"/>
      <c r="I350" s="547" t="str">
        <f>I345</f>
        <v>1/20~26</v>
      </c>
      <c r="J350" s="547"/>
      <c r="K350" s="547" t="str">
        <f>F350&amp;" 브랜드위크"</f>
        <v>해찬 브랜드위크</v>
      </c>
      <c r="L350" s="508"/>
      <c r="M350" s="508"/>
      <c r="N350" s="559">
        <v>2025019575</v>
      </c>
      <c r="O350" s="508"/>
    </row>
    <row r="351" spans="2:15">
      <c r="B351" s="503"/>
      <c r="C351" s="508"/>
      <c r="D351" s="508"/>
      <c r="E351" s="508">
        <v>5</v>
      </c>
      <c r="F351" s="508" t="s">
        <v>3836</v>
      </c>
      <c r="G351" s="508"/>
      <c r="H351" s="508"/>
      <c r="I351" s="547" t="str">
        <f>I346</f>
        <v>1/20~26</v>
      </c>
      <c r="J351" s="508"/>
      <c r="K351" s="508" t="str">
        <f>F351&amp;" 브랜드위크"</f>
        <v>유동 브랜드위크</v>
      </c>
      <c r="L351" s="508"/>
      <c r="M351" s="508"/>
      <c r="N351" s="559">
        <v>2024027803</v>
      </c>
      <c r="O351" s="508"/>
    </row>
    <row r="352" spans="2:15">
      <c r="B352" s="503"/>
      <c r="C352" s="508"/>
      <c r="D352" s="508"/>
      <c r="E352" s="508">
        <v>6</v>
      </c>
      <c r="F352" s="508" t="s">
        <v>3837</v>
      </c>
      <c r="G352" s="508"/>
      <c r="H352" s="508"/>
      <c r="I352" s="547" t="str">
        <f>I347</f>
        <v>1/20~26</v>
      </c>
      <c r="J352" s="508"/>
      <c r="K352" s="508" t="str">
        <f>F352&amp;" 브랜드위크"</f>
        <v>던킨 브랜드위크</v>
      </c>
      <c r="L352" s="508"/>
      <c r="M352" s="508"/>
      <c r="N352" s="559">
        <v>2024027876</v>
      </c>
      <c r="O352" s="508"/>
    </row>
    <row r="353" spans="2:15">
      <c r="B353" s="503"/>
      <c r="C353" s="508"/>
      <c r="D353" s="508"/>
      <c r="E353" s="508">
        <v>7</v>
      </c>
      <c r="F353" s="547" t="s">
        <v>3403</v>
      </c>
      <c r="G353" s="547"/>
      <c r="H353" s="547"/>
      <c r="I353" s="547" t="str">
        <f>I348</f>
        <v>1/20~26</v>
      </c>
      <c r="J353" s="547"/>
      <c r="K353" s="547" t="str">
        <f>F353&amp;" 브랜드위크"</f>
        <v>허닭 브랜드위크</v>
      </c>
      <c r="L353" s="508"/>
      <c r="M353" s="508"/>
      <c r="N353" s="618">
        <v>2024048251</v>
      </c>
      <c r="O353" s="508"/>
    </row>
    <row r="354" spans="2:15">
      <c r="B354" s="619" t="s">
        <v>3838</v>
      </c>
      <c r="C354" s="497"/>
      <c r="D354" s="498"/>
      <c r="E354" s="498"/>
      <c r="F354" s="602"/>
      <c r="G354" s="602"/>
      <c r="H354" s="602"/>
      <c r="I354" s="602"/>
      <c r="J354" s="602"/>
      <c r="K354" s="602"/>
      <c r="L354" s="498"/>
      <c r="M354" s="498"/>
      <c r="N354" s="498"/>
      <c r="O354" s="499"/>
    </row>
    <row r="355" spans="2:15">
      <c r="B355" s="500" t="s">
        <v>3232</v>
      </c>
      <c r="C355" s="501" t="s">
        <v>3233</v>
      </c>
      <c r="D355" s="501" t="s">
        <v>3234</v>
      </c>
      <c r="E355" s="501">
        <v>1</v>
      </c>
      <c r="F355" s="557" t="s">
        <v>3549</v>
      </c>
      <c r="G355" s="557">
        <v>50</v>
      </c>
      <c r="H355" s="557"/>
      <c r="I355" s="557" t="s">
        <v>3839</v>
      </c>
      <c r="J355" s="557" t="s">
        <v>3840</v>
      </c>
      <c r="K355" s="557" t="s">
        <v>3841</v>
      </c>
      <c r="L355" s="501" t="s">
        <v>3842</v>
      </c>
      <c r="M355" s="501" t="s">
        <v>3240</v>
      </c>
      <c r="N355" s="620">
        <v>2024038128</v>
      </c>
      <c r="O355" s="501"/>
    </row>
    <row r="356" spans="2:15">
      <c r="B356" s="503"/>
      <c r="C356" s="508"/>
      <c r="D356" s="508"/>
      <c r="E356" s="508">
        <v>2</v>
      </c>
      <c r="F356" s="508" t="s">
        <v>3843</v>
      </c>
      <c r="G356" s="508"/>
      <c r="H356" s="508"/>
      <c r="I356" s="508" t="s">
        <v>3839</v>
      </c>
      <c r="J356" s="524">
        <v>45687</v>
      </c>
      <c r="K356" s="508" t="s">
        <v>3844</v>
      </c>
      <c r="L356" s="508" t="s">
        <v>3556</v>
      </c>
      <c r="M356" s="508" t="s">
        <v>3240</v>
      </c>
      <c r="N356" s="621">
        <v>2024017506</v>
      </c>
      <c r="O356" s="508"/>
    </row>
    <row r="357" spans="2:15">
      <c r="B357" s="503"/>
      <c r="C357" s="508"/>
      <c r="D357" s="508"/>
      <c r="E357" s="508">
        <v>3</v>
      </c>
      <c r="F357" s="508" t="s">
        <v>3845</v>
      </c>
      <c r="G357" s="508"/>
      <c r="H357" s="508"/>
      <c r="I357" s="508" t="s">
        <v>3839</v>
      </c>
      <c r="J357" s="557" t="s">
        <v>3840</v>
      </c>
      <c r="K357" s="508" t="s">
        <v>3846</v>
      </c>
      <c r="L357" s="508"/>
      <c r="M357" s="508"/>
      <c r="N357" s="622">
        <v>2024099254</v>
      </c>
      <c r="O357" s="508"/>
    </row>
    <row r="358" spans="2:15">
      <c r="B358" s="503"/>
      <c r="C358" s="506" t="s">
        <v>3243</v>
      </c>
      <c r="D358" s="506" t="s">
        <v>3244</v>
      </c>
      <c r="E358" s="501">
        <v>1</v>
      </c>
      <c r="F358" s="506" t="s">
        <v>3717</v>
      </c>
      <c r="G358" s="506">
        <v>100</v>
      </c>
      <c r="H358" s="549"/>
      <c r="I358" s="547" t="s">
        <v>3839</v>
      </c>
      <c r="J358" s="547"/>
      <c r="K358" s="506" t="s">
        <v>3847</v>
      </c>
      <c r="L358" s="549"/>
      <c r="M358" s="547" t="s">
        <v>3240</v>
      </c>
      <c r="N358" s="532">
        <v>2024109289</v>
      </c>
      <c r="O358" s="506"/>
    </row>
    <row r="359" spans="2:15">
      <c r="B359" s="503"/>
      <c r="C359" s="508"/>
      <c r="D359" s="508"/>
      <c r="E359" s="508">
        <v>2</v>
      </c>
      <c r="F359" s="508" t="s">
        <v>3720</v>
      </c>
      <c r="G359" s="508"/>
      <c r="H359" s="508"/>
      <c r="I359" s="508" t="s">
        <v>3839</v>
      </c>
      <c r="J359" s="508"/>
      <c r="K359" s="508" t="s">
        <v>3721</v>
      </c>
      <c r="L359" s="508"/>
      <c r="M359" s="508" t="s">
        <v>3240</v>
      </c>
      <c r="N359" s="508">
        <v>2025019557</v>
      </c>
      <c r="O359" s="508"/>
    </row>
    <row r="360" spans="2:15">
      <c r="B360" s="503"/>
      <c r="C360" s="508"/>
      <c r="D360" s="508"/>
      <c r="E360" s="508">
        <v>3</v>
      </c>
      <c r="F360" s="508" t="s">
        <v>3725</v>
      </c>
      <c r="G360" s="508"/>
      <c r="H360" s="508"/>
      <c r="I360" s="508" t="s">
        <v>3839</v>
      </c>
      <c r="J360" s="508"/>
      <c r="K360" s="508" t="s">
        <v>3726</v>
      </c>
      <c r="L360" s="508"/>
      <c r="M360" s="508" t="s">
        <v>3240</v>
      </c>
      <c r="N360" s="606">
        <v>2024099217</v>
      </c>
      <c r="O360" s="508"/>
    </row>
    <row r="361" spans="2:15">
      <c r="B361" s="503"/>
      <c r="C361" s="508"/>
      <c r="D361" s="508"/>
      <c r="E361" s="508">
        <v>4</v>
      </c>
      <c r="F361" s="508" t="s">
        <v>3727</v>
      </c>
      <c r="G361" s="508"/>
      <c r="H361" s="508"/>
      <c r="I361" s="508" t="s">
        <v>3839</v>
      </c>
      <c r="J361" s="508"/>
      <c r="K361" s="508" t="s">
        <v>3728</v>
      </c>
      <c r="L361" s="508"/>
      <c r="M361" s="547" t="s">
        <v>3240</v>
      </c>
      <c r="N361" s="532">
        <v>2024109293</v>
      </c>
      <c r="O361" s="508"/>
    </row>
    <row r="362" spans="2:15" ht="17.25">
      <c r="B362" s="503"/>
      <c r="C362" s="506" t="s">
        <v>3250</v>
      </c>
      <c r="D362" s="506" t="s">
        <v>3251</v>
      </c>
      <c r="E362" s="501">
        <v>1</v>
      </c>
      <c r="F362" s="506" t="s">
        <v>3848</v>
      </c>
      <c r="G362" s="506"/>
      <c r="H362" s="506"/>
      <c r="I362" s="506" t="s">
        <v>3839</v>
      </c>
      <c r="J362" s="506" t="s">
        <v>3849</v>
      </c>
      <c r="K362" s="506" t="s">
        <v>3850</v>
      </c>
      <c r="L362" s="506" t="s">
        <v>3851</v>
      </c>
      <c r="M362" s="623"/>
      <c r="N362" s="624">
        <v>2024099258</v>
      </c>
      <c r="O362" s="625"/>
    </row>
    <row r="363" spans="2:15" ht="17.25">
      <c r="B363" s="503"/>
      <c r="C363" s="508"/>
      <c r="D363" s="508"/>
      <c r="E363" s="508">
        <v>2</v>
      </c>
      <c r="F363" s="547" t="s">
        <v>3266</v>
      </c>
      <c r="G363" s="547"/>
      <c r="H363" s="547"/>
      <c r="I363" s="547" t="s">
        <v>3839</v>
      </c>
      <c r="J363" s="547" t="s">
        <v>3849</v>
      </c>
      <c r="K363" s="547" t="s">
        <v>3730</v>
      </c>
      <c r="L363" s="547" t="s">
        <v>3731</v>
      </c>
      <c r="M363" s="626" t="s">
        <v>3358</v>
      </c>
      <c r="N363" s="627">
        <v>2024099200</v>
      </c>
      <c r="O363" s="628"/>
    </row>
    <row r="364" spans="2:15" ht="17.25">
      <c r="B364" s="503"/>
      <c r="C364" s="508"/>
      <c r="D364" s="508"/>
      <c r="E364" s="508">
        <v>3</v>
      </c>
      <c r="F364" s="547" t="s">
        <v>3735</v>
      </c>
      <c r="G364" s="547"/>
      <c r="H364" s="547"/>
      <c r="I364" s="547" t="s">
        <v>3839</v>
      </c>
      <c r="J364" s="547" t="s">
        <v>3849</v>
      </c>
      <c r="K364" s="547" t="s">
        <v>3736</v>
      </c>
      <c r="L364" s="547"/>
      <c r="M364" s="626" t="s">
        <v>3358</v>
      </c>
      <c r="N364" s="629">
        <v>2024119380</v>
      </c>
      <c r="O364" s="628"/>
    </row>
    <row r="365" spans="2:15" ht="17.25">
      <c r="B365" s="503"/>
      <c r="C365" s="508"/>
      <c r="D365" s="508"/>
      <c r="E365" s="547">
        <v>4</v>
      </c>
      <c r="F365" s="547" t="s">
        <v>3737</v>
      </c>
      <c r="G365" s="547"/>
      <c r="H365" s="547"/>
      <c r="I365" s="547" t="s">
        <v>3839</v>
      </c>
      <c r="J365" s="547" t="s">
        <v>3849</v>
      </c>
      <c r="K365" s="547" t="s">
        <v>3738</v>
      </c>
      <c r="L365" s="547" t="s">
        <v>3739</v>
      </c>
      <c r="M365" s="626" t="s">
        <v>3358</v>
      </c>
      <c r="N365" s="630">
        <v>2024099272</v>
      </c>
      <c r="O365" s="628"/>
    </row>
    <row r="366" spans="2:15" ht="17.25">
      <c r="B366" s="503"/>
      <c r="C366" s="508"/>
      <c r="D366" s="508"/>
      <c r="E366" s="547">
        <v>5</v>
      </c>
      <c r="F366" s="547" t="s">
        <v>3740</v>
      </c>
      <c r="G366" s="547"/>
      <c r="H366" s="547"/>
      <c r="I366" s="547" t="s">
        <v>3839</v>
      </c>
      <c r="J366" s="547" t="s">
        <v>3849</v>
      </c>
      <c r="K366" s="547" t="s">
        <v>3741</v>
      </c>
      <c r="L366" s="547"/>
      <c r="M366" s="626" t="s">
        <v>3358</v>
      </c>
      <c r="N366" s="631">
        <v>2024099269</v>
      </c>
      <c r="O366" s="628"/>
    </row>
    <row r="367" spans="2:15" ht="17.25">
      <c r="B367" s="503"/>
      <c r="C367" s="508"/>
      <c r="D367" s="508"/>
      <c r="E367" s="547">
        <v>6</v>
      </c>
      <c r="F367" s="547" t="s">
        <v>3742</v>
      </c>
      <c r="G367" s="547"/>
      <c r="H367" s="547"/>
      <c r="I367" s="547" t="s">
        <v>3839</v>
      </c>
      <c r="J367" s="547" t="s">
        <v>3849</v>
      </c>
      <c r="K367" s="547" t="s">
        <v>3743</v>
      </c>
      <c r="L367" s="547" t="s">
        <v>3739</v>
      </c>
      <c r="M367" s="626" t="s">
        <v>3358</v>
      </c>
      <c r="N367" s="631">
        <v>2024099194</v>
      </c>
      <c r="O367" s="628"/>
    </row>
    <row r="368" spans="2:15" ht="17.25">
      <c r="B368" s="503"/>
      <c r="C368" s="508"/>
      <c r="D368" s="508"/>
      <c r="E368" s="547">
        <v>7</v>
      </c>
      <c r="F368" s="547" t="s">
        <v>3270</v>
      </c>
      <c r="G368" s="547"/>
      <c r="H368" s="547"/>
      <c r="I368" s="547" t="s">
        <v>3839</v>
      </c>
      <c r="J368" s="547" t="s">
        <v>3849</v>
      </c>
      <c r="K368" s="547" t="s">
        <v>3744</v>
      </c>
      <c r="L368" s="547"/>
      <c r="M368" s="626" t="s">
        <v>3358</v>
      </c>
      <c r="N368" s="631">
        <v>2024099270</v>
      </c>
      <c r="O368" s="628"/>
    </row>
    <row r="369" spans="2:16" ht="17.25">
      <c r="B369" s="503"/>
      <c r="C369" s="508"/>
      <c r="D369" s="508"/>
      <c r="E369" s="508">
        <v>8</v>
      </c>
      <c r="F369" s="547" t="s">
        <v>3745</v>
      </c>
      <c r="G369" s="547"/>
      <c r="H369" s="547"/>
      <c r="I369" s="547" t="s">
        <v>3839</v>
      </c>
      <c r="J369" s="547" t="s">
        <v>3849</v>
      </c>
      <c r="K369" s="547" t="s">
        <v>3746</v>
      </c>
      <c r="L369" s="547" t="s">
        <v>3739</v>
      </c>
      <c r="M369" s="626" t="s">
        <v>3358</v>
      </c>
      <c r="N369" s="632">
        <v>2024099264</v>
      </c>
      <c r="O369" s="628"/>
    </row>
    <row r="370" spans="2:16">
      <c r="B370" s="503" t="s">
        <v>3276</v>
      </c>
      <c r="C370" s="506" t="s">
        <v>3277</v>
      </c>
      <c r="D370" s="506" t="s">
        <v>3278</v>
      </c>
      <c r="E370" s="501">
        <v>1</v>
      </c>
      <c r="F370" s="506" t="s">
        <v>3852</v>
      </c>
      <c r="G370" s="506"/>
      <c r="H370" s="506">
        <v>0.5</v>
      </c>
      <c r="I370" s="506" t="s">
        <v>3839</v>
      </c>
      <c r="J370" s="506" t="s">
        <v>3839</v>
      </c>
      <c r="K370" s="506" t="s">
        <v>3853</v>
      </c>
      <c r="L370" s="506"/>
      <c r="M370" s="506" t="s">
        <v>3358</v>
      </c>
      <c r="N370" s="506">
        <v>2024017567</v>
      </c>
      <c r="O370" s="506"/>
    </row>
    <row r="371" spans="2:16" ht="17.25" thickBot="1">
      <c r="B371" s="503"/>
      <c r="C371" s="506" t="s">
        <v>3291</v>
      </c>
      <c r="D371" s="506" t="s">
        <v>3292</v>
      </c>
      <c r="E371" s="501">
        <v>1</v>
      </c>
      <c r="F371" s="506"/>
      <c r="G371" s="506"/>
      <c r="H371" s="506"/>
      <c r="I371" s="506"/>
      <c r="J371" s="506"/>
      <c r="K371" s="506"/>
      <c r="L371" s="506"/>
      <c r="M371" s="506"/>
      <c r="N371" s="506"/>
      <c r="O371" s="506"/>
    </row>
    <row r="372" spans="2:16">
      <c r="B372" s="503"/>
      <c r="C372" s="506" t="s">
        <v>3293</v>
      </c>
      <c r="D372" s="506" t="s">
        <v>3294</v>
      </c>
      <c r="E372" s="506">
        <v>1</v>
      </c>
      <c r="F372" s="609" t="s">
        <v>3766</v>
      </c>
      <c r="G372" s="549"/>
      <c r="H372" s="506"/>
      <c r="I372" s="506" t="s">
        <v>3839</v>
      </c>
      <c r="J372" s="506" t="s">
        <v>3854</v>
      </c>
      <c r="K372" s="506" t="s">
        <v>3767</v>
      </c>
      <c r="L372" s="506"/>
      <c r="M372" s="506"/>
      <c r="N372" s="506">
        <v>2024027787</v>
      </c>
      <c r="O372" s="506"/>
      <c r="P372" s="578"/>
    </row>
    <row r="373" spans="2:16">
      <c r="B373" s="503"/>
      <c r="C373" s="508"/>
      <c r="D373" s="508"/>
      <c r="E373" s="508">
        <v>2</v>
      </c>
      <c r="F373" s="610" t="s">
        <v>3768</v>
      </c>
      <c r="G373" s="633"/>
      <c r="H373" s="633"/>
      <c r="I373" s="634" t="s">
        <v>3839</v>
      </c>
      <c r="J373" s="633" t="s">
        <v>3849</v>
      </c>
      <c r="K373" s="633" t="s">
        <v>3769</v>
      </c>
      <c r="L373" s="633"/>
      <c r="M373" s="633"/>
      <c r="N373" s="633">
        <v>2024068738</v>
      </c>
      <c r="O373" s="550"/>
    </row>
    <row r="374" spans="2:16">
      <c r="B374" s="503" t="s">
        <v>3300</v>
      </c>
      <c r="C374" s="506" t="s">
        <v>3301</v>
      </c>
      <c r="D374" s="506" t="s">
        <v>3302</v>
      </c>
      <c r="E374" s="506">
        <v>1</v>
      </c>
      <c r="F374" s="553" t="s">
        <v>3855</v>
      </c>
      <c r="G374" s="553"/>
      <c r="H374" s="553"/>
      <c r="I374" s="547" t="s">
        <v>3839</v>
      </c>
      <c r="J374" s="553"/>
      <c r="K374" s="553" t="s">
        <v>3856</v>
      </c>
      <c r="L374" s="553"/>
      <c r="M374" s="553" t="s">
        <v>3247</v>
      </c>
      <c r="N374" s="553">
        <v>2025019585</v>
      </c>
      <c r="O374" s="553"/>
    </row>
    <row r="375" spans="2:16">
      <c r="B375" s="503"/>
      <c r="C375" s="508"/>
      <c r="D375" s="508"/>
      <c r="E375" s="508">
        <v>2</v>
      </c>
      <c r="F375" s="508" t="s">
        <v>3857</v>
      </c>
      <c r="G375" s="508"/>
      <c r="H375" s="508"/>
      <c r="I375" s="547" t="s">
        <v>3839</v>
      </c>
      <c r="J375" s="508"/>
      <c r="K375" s="508" t="s">
        <v>3858</v>
      </c>
      <c r="L375" s="508"/>
      <c r="M375" s="508"/>
      <c r="N375" s="508">
        <v>2025019586</v>
      </c>
      <c r="O375" s="508"/>
    </row>
    <row r="376" spans="2:16">
      <c r="B376" s="503"/>
      <c r="C376" s="508"/>
      <c r="D376" s="508"/>
      <c r="E376" s="508">
        <v>3</v>
      </c>
      <c r="F376" s="508" t="s">
        <v>3859</v>
      </c>
      <c r="G376" s="508"/>
      <c r="H376" s="508"/>
      <c r="I376" s="547" t="s">
        <v>3839</v>
      </c>
      <c r="J376" s="508"/>
      <c r="K376" s="508" t="s">
        <v>3858</v>
      </c>
      <c r="L376" s="508"/>
      <c r="M376" s="508"/>
      <c r="N376" s="508">
        <v>2025019587</v>
      </c>
      <c r="O376" s="508"/>
    </row>
    <row r="377" spans="2:16">
      <c r="B377" s="503"/>
      <c r="C377" s="508"/>
      <c r="D377" s="508"/>
      <c r="E377" s="508">
        <v>4</v>
      </c>
      <c r="F377" s="508" t="s">
        <v>3860</v>
      </c>
      <c r="G377" s="508"/>
      <c r="H377" s="508"/>
      <c r="I377" s="547" t="s">
        <v>3839</v>
      </c>
      <c r="J377" s="508"/>
      <c r="K377" s="508" t="s">
        <v>3861</v>
      </c>
      <c r="L377" s="508"/>
      <c r="M377" s="508"/>
      <c r="N377" s="508">
        <v>2025019588</v>
      </c>
      <c r="O377" s="508"/>
    </row>
    <row r="378" spans="2:16">
      <c r="B378" s="503"/>
      <c r="C378" s="508"/>
      <c r="D378" s="508"/>
      <c r="E378" s="508">
        <v>5</v>
      </c>
      <c r="F378" s="508" t="s">
        <v>3862</v>
      </c>
      <c r="G378" s="508"/>
      <c r="H378" s="508"/>
      <c r="I378" s="547" t="s">
        <v>3839</v>
      </c>
      <c r="J378" s="508"/>
      <c r="K378" s="508" t="s">
        <v>3863</v>
      </c>
      <c r="L378" s="508"/>
      <c r="M378" s="508"/>
      <c r="N378" s="508">
        <v>2025019589</v>
      </c>
      <c r="O378" s="508"/>
    </row>
    <row r="379" spans="2:16">
      <c r="B379" s="503"/>
      <c r="C379" s="508"/>
      <c r="D379" s="508"/>
      <c r="E379" s="508">
        <v>6</v>
      </c>
      <c r="F379" s="508" t="s">
        <v>3864</v>
      </c>
      <c r="G379" s="508"/>
      <c r="H379" s="508"/>
      <c r="I379" s="547" t="s">
        <v>3839</v>
      </c>
      <c r="J379" s="508"/>
      <c r="K379" s="508" t="s">
        <v>3865</v>
      </c>
      <c r="L379" s="508"/>
      <c r="M379" s="508"/>
      <c r="N379" s="508">
        <v>2025019590</v>
      </c>
      <c r="O379" s="508"/>
    </row>
    <row r="380" spans="2:16">
      <c r="B380" s="503"/>
      <c r="C380" s="508"/>
      <c r="D380" s="508"/>
      <c r="E380" s="508">
        <v>7</v>
      </c>
      <c r="F380" s="508" t="s">
        <v>3866</v>
      </c>
      <c r="G380" s="508"/>
      <c r="H380" s="508"/>
      <c r="I380" s="547" t="s">
        <v>3839</v>
      </c>
      <c r="J380" s="508"/>
      <c r="K380" s="508" t="s">
        <v>3867</v>
      </c>
      <c r="L380" s="508"/>
      <c r="M380" s="508"/>
      <c r="N380" s="508">
        <v>2025019591</v>
      </c>
      <c r="O380" s="508"/>
    </row>
    <row r="381" spans="2:16">
      <c r="B381" s="503"/>
      <c r="C381" s="508"/>
      <c r="D381" s="508"/>
      <c r="E381" s="508">
        <v>8</v>
      </c>
      <c r="F381" s="508" t="s">
        <v>3783</v>
      </c>
      <c r="G381" s="508"/>
      <c r="H381" s="508"/>
      <c r="I381" s="547" t="s">
        <v>3839</v>
      </c>
      <c r="J381" s="508"/>
      <c r="K381" s="508" t="s">
        <v>3868</v>
      </c>
      <c r="L381" s="508"/>
      <c r="M381" s="508"/>
      <c r="N381" s="508">
        <v>2025019592</v>
      </c>
      <c r="O381" s="508"/>
    </row>
    <row r="382" spans="2:16">
      <c r="B382" s="503"/>
      <c r="C382" s="508"/>
      <c r="D382" s="508"/>
      <c r="E382" s="508">
        <v>9</v>
      </c>
      <c r="F382" s="508" t="s">
        <v>3869</v>
      </c>
      <c r="G382" s="508"/>
      <c r="H382" s="508"/>
      <c r="I382" s="547" t="s">
        <v>3839</v>
      </c>
      <c r="J382" s="508"/>
      <c r="K382" s="508" t="s">
        <v>3870</v>
      </c>
      <c r="L382" s="508"/>
      <c r="M382" s="508"/>
      <c r="N382" s="508">
        <v>2025019593</v>
      </c>
      <c r="O382" s="508"/>
    </row>
    <row r="383" spans="2:16">
      <c r="B383" s="503"/>
      <c r="C383" s="508"/>
      <c r="D383" s="508"/>
      <c r="E383" s="508">
        <v>10</v>
      </c>
      <c r="F383" s="508" t="s">
        <v>2404</v>
      </c>
      <c r="G383" s="508"/>
      <c r="H383" s="508"/>
      <c r="I383" s="547" t="s">
        <v>3839</v>
      </c>
      <c r="J383" s="508"/>
      <c r="K383" s="508" t="s">
        <v>3871</v>
      </c>
      <c r="L383" s="508"/>
      <c r="M383" s="508"/>
      <c r="N383" s="508">
        <v>2025019594</v>
      </c>
      <c r="O383" s="508"/>
    </row>
    <row r="384" spans="2:16">
      <c r="B384" s="503"/>
      <c r="C384" s="516"/>
      <c r="D384" s="516"/>
      <c r="E384" s="516">
        <v>11</v>
      </c>
      <c r="F384" s="516" t="s">
        <v>3872</v>
      </c>
      <c r="G384" s="516"/>
      <c r="H384" s="516"/>
      <c r="I384" s="547" t="s">
        <v>3839</v>
      </c>
      <c r="J384" s="516"/>
      <c r="K384" s="508" t="s">
        <v>3873</v>
      </c>
      <c r="L384" s="516"/>
      <c r="M384" s="516"/>
      <c r="N384" s="516">
        <v>2025019595</v>
      </c>
      <c r="O384" s="516"/>
    </row>
    <row r="385" spans="1:17">
      <c r="B385" s="503"/>
      <c r="C385" s="551"/>
      <c r="D385" s="551"/>
      <c r="E385" s="635">
        <v>12</v>
      </c>
      <c r="F385" s="635" t="s">
        <v>3874</v>
      </c>
      <c r="G385" s="635"/>
      <c r="H385" s="635"/>
      <c r="I385" s="593" t="s">
        <v>3839</v>
      </c>
      <c r="J385" s="636">
        <v>45689</v>
      </c>
      <c r="K385" s="603" t="s">
        <v>3875</v>
      </c>
      <c r="L385" s="635"/>
      <c r="M385" s="635"/>
      <c r="N385" s="635">
        <v>2025019611</v>
      </c>
      <c r="O385" s="635"/>
    </row>
    <row r="386" spans="1:17">
      <c r="B386" s="503"/>
      <c r="C386" s="501" t="s">
        <v>3474</v>
      </c>
      <c r="D386" s="501" t="s">
        <v>3315</v>
      </c>
      <c r="E386" s="501">
        <v>1</v>
      </c>
      <c r="F386" s="501" t="s">
        <v>3876</v>
      </c>
      <c r="G386" s="501"/>
      <c r="H386" s="501"/>
      <c r="I386" s="547" t="s">
        <v>3839</v>
      </c>
      <c r="J386" s="501"/>
      <c r="K386" s="501" t="s">
        <v>3876</v>
      </c>
      <c r="L386" s="501"/>
      <c r="M386" s="501"/>
      <c r="N386" s="501">
        <v>2025019596</v>
      </c>
      <c r="O386" s="501"/>
    </row>
    <row r="387" spans="1:17">
      <c r="B387" s="503"/>
      <c r="C387" s="508"/>
      <c r="D387" s="508"/>
      <c r="E387" s="508">
        <v>2</v>
      </c>
      <c r="F387" s="508" t="s">
        <v>3475</v>
      </c>
      <c r="G387" s="508"/>
      <c r="H387" s="508"/>
      <c r="I387" s="547" t="s">
        <v>3839</v>
      </c>
      <c r="J387" s="508"/>
      <c r="K387" s="508" t="s">
        <v>3475</v>
      </c>
      <c r="L387" s="508"/>
      <c r="M387" s="508"/>
      <c r="N387" s="508">
        <v>2025019576</v>
      </c>
      <c r="O387" s="508"/>
    </row>
    <row r="388" spans="1:17">
      <c r="B388" s="503"/>
      <c r="C388" s="508"/>
      <c r="D388" s="508"/>
      <c r="E388" s="508">
        <v>3</v>
      </c>
      <c r="F388" s="508" t="s">
        <v>3877</v>
      </c>
      <c r="G388" s="508"/>
      <c r="H388" s="508"/>
      <c r="I388" s="547" t="s">
        <v>3839</v>
      </c>
      <c r="J388" s="508"/>
      <c r="K388" s="508" t="s">
        <v>3877</v>
      </c>
      <c r="L388" s="508"/>
      <c r="M388" s="508"/>
      <c r="N388" s="508">
        <v>2025019597</v>
      </c>
      <c r="O388" s="508"/>
    </row>
    <row r="389" spans="1:17">
      <c r="B389" s="503"/>
      <c r="C389" s="508"/>
      <c r="D389" s="508"/>
      <c r="E389" s="522">
        <v>4</v>
      </c>
      <c r="F389" s="522" t="s">
        <v>3878</v>
      </c>
      <c r="G389" s="522"/>
      <c r="H389" s="522"/>
      <c r="I389" s="574" t="s">
        <v>3839</v>
      </c>
      <c r="J389" s="522"/>
      <c r="K389" s="522" t="s">
        <v>3878</v>
      </c>
      <c r="L389" s="522"/>
      <c r="M389" s="522"/>
      <c r="N389" s="522" t="s">
        <v>3632</v>
      </c>
      <c r="O389" s="522"/>
    </row>
    <row r="390" spans="1:17">
      <c r="B390" s="503"/>
      <c r="C390" s="508"/>
      <c r="D390" s="508"/>
      <c r="E390" s="508">
        <v>5</v>
      </c>
      <c r="F390" s="508" t="s">
        <v>3879</v>
      </c>
      <c r="G390" s="508"/>
      <c r="H390" s="508"/>
      <c r="I390" s="547" t="s">
        <v>3839</v>
      </c>
      <c r="J390" s="508"/>
      <c r="K390" s="508" t="s">
        <v>3879</v>
      </c>
      <c r="L390" s="508"/>
      <c r="M390" s="508"/>
      <c r="N390" s="508">
        <v>2024109362</v>
      </c>
      <c r="O390" s="508"/>
    </row>
    <row r="391" spans="1:17">
      <c r="B391" s="503"/>
      <c r="C391" s="508"/>
      <c r="D391" s="508"/>
      <c r="E391" s="508">
        <v>6</v>
      </c>
      <c r="F391" s="508" t="s">
        <v>3880</v>
      </c>
      <c r="G391" s="508"/>
      <c r="H391" s="508"/>
      <c r="I391" s="547" t="s">
        <v>3839</v>
      </c>
      <c r="J391" s="508"/>
      <c r="K391" s="508" t="s">
        <v>3880</v>
      </c>
      <c r="L391" s="508"/>
      <c r="M391" s="508"/>
      <c r="N391" s="508">
        <v>2024109363</v>
      </c>
      <c r="O391" s="508"/>
    </row>
    <row r="392" spans="1:17">
      <c r="B392" s="500" t="s">
        <v>3324</v>
      </c>
      <c r="C392" s="501" t="s">
        <v>3325</v>
      </c>
      <c r="D392" s="501" t="s">
        <v>3326</v>
      </c>
      <c r="E392" s="637">
        <v>1</v>
      </c>
      <c r="F392" s="557" t="s">
        <v>3327</v>
      </c>
      <c r="G392" s="576" t="s">
        <v>3328</v>
      </c>
      <c r="H392" s="501">
        <v>15</v>
      </c>
      <c r="I392" s="501" t="s">
        <v>3881</v>
      </c>
      <c r="J392" s="577">
        <v>45684</v>
      </c>
      <c r="K392" s="501" t="s">
        <v>3488</v>
      </c>
      <c r="L392" s="501"/>
      <c r="M392" s="501"/>
      <c r="N392" s="501">
        <v>2024058452</v>
      </c>
      <c r="O392" s="501"/>
    </row>
    <row r="393" spans="1:17">
      <c r="B393" s="503"/>
      <c r="C393" s="508"/>
      <c r="D393" s="508"/>
      <c r="E393" s="508">
        <v>2</v>
      </c>
      <c r="F393" s="547" t="s">
        <v>3330</v>
      </c>
      <c r="G393" s="580" t="s">
        <v>3328</v>
      </c>
      <c r="H393" s="547">
        <v>20</v>
      </c>
      <c r="I393" s="547" t="s">
        <v>3881</v>
      </c>
      <c r="J393" s="581">
        <v>45685</v>
      </c>
      <c r="K393" s="547" t="s">
        <v>3489</v>
      </c>
      <c r="L393" s="547"/>
      <c r="M393" s="547"/>
      <c r="N393" s="547">
        <v>2024058453</v>
      </c>
      <c r="O393" s="547"/>
    </row>
    <row r="394" spans="1:17">
      <c r="B394" s="503"/>
      <c r="C394" s="508"/>
      <c r="D394" s="508"/>
      <c r="E394" s="508">
        <v>3</v>
      </c>
      <c r="F394" s="547" t="s">
        <v>3332</v>
      </c>
      <c r="G394" s="580" t="s">
        <v>3328</v>
      </c>
      <c r="H394" s="547">
        <v>15</v>
      </c>
      <c r="I394" s="547" t="s">
        <v>3881</v>
      </c>
      <c r="J394" s="581">
        <v>45686</v>
      </c>
      <c r="K394" s="547" t="s">
        <v>3490</v>
      </c>
      <c r="L394" s="547"/>
      <c r="M394" s="547"/>
      <c r="N394" s="547">
        <v>2024068760</v>
      </c>
      <c r="O394" s="547"/>
    </row>
    <row r="395" spans="1:17">
      <c r="B395" s="503"/>
      <c r="C395" s="508"/>
      <c r="D395" s="508"/>
      <c r="E395" s="508">
        <v>4</v>
      </c>
      <c r="F395" s="547" t="s">
        <v>3334</v>
      </c>
      <c r="G395" s="580" t="s">
        <v>3328</v>
      </c>
      <c r="H395" s="547">
        <v>10</v>
      </c>
      <c r="I395" s="581" t="s">
        <v>3881</v>
      </c>
      <c r="J395" s="638">
        <v>45688</v>
      </c>
      <c r="K395" s="547" t="s">
        <v>3491</v>
      </c>
      <c r="L395" s="547"/>
      <c r="M395" s="547"/>
      <c r="N395" s="547">
        <v>2024068644</v>
      </c>
      <c r="O395" s="547"/>
    </row>
    <row r="396" spans="1:17">
      <c r="B396" s="503"/>
      <c r="C396" s="508"/>
      <c r="D396" s="508"/>
      <c r="E396" s="508">
        <v>5</v>
      </c>
      <c r="F396" s="547" t="s">
        <v>3336</v>
      </c>
      <c r="G396" s="580" t="s">
        <v>3328</v>
      </c>
      <c r="H396" s="547">
        <v>10</v>
      </c>
      <c r="I396" s="547" t="s">
        <v>3881</v>
      </c>
      <c r="J396" s="581">
        <v>45689</v>
      </c>
      <c r="K396" s="547" t="s">
        <v>3492</v>
      </c>
      <c r="L396" s="547"/>
      <c r="M396" s="547"/>
      <c r="N396" s="547">
        <v>2024109287</v>
      </c>
      <c r="O396" s="547"/>
    </row>
    <row r="397" spans="1:17">
      <c r="B397" s="503"/>
      <c r="C397" s="508"/>
      <c r="D397" s="508"/>
      <c r="E397" s="508">
        <v>6</v>
      </c>
      <c r="F397" s="547" t="s">
        <v>3338</v>
      </c>
      <c r="G397" s="580" t="s">
        <v>3328</v>
      </c>
      <c r="H397" s="547">
        <v>20</v>
      </c>
      <c r="I397" s="547" t="s">
        <v>3881</v>
      </c>
      <c r="J397" s="581">
        <v>45687</v>
      </c>
      <c r="K397" s="547" t="s">
        <v>3493</v>
      </c>
      <c r="L397" s="547"/>
      <c r="M397" s="547"/>
      <c r="N397" s="547">
        <v>2024078762</v>
      </c>
      <c r="O397" s="547"/>
    </row>
    <row r="398" spans="1:17">
      <c r="A398" s="578"/>
      <c r="B398" s="579"/>
      <c r="C398" s="547"/>
      <c r="D398" s="547"/>
      <c r="E398" s="547">
        <v>4</v>
      </c>
      <c r="F398" s="547" t="s">
        <v>3340</v>
      </c>
      <c r="G398" s="580" t="s">
        <v>3328</v>
      </c>
      <c r="H398" s="547">
        <v>20</v>
      </c>
      <c r="I398" s="547" t="s">
        <v>3881</v>
      </c>
      <c r="J398" s="581">
        <v>45690</v>
      </c>
      <c r="K398" s="547" t="s">
        <v>3494</v>
      </c>
      <c r="L398" s="547"/>
      <c r="M398" s="547"/>
      <c r="N398" s="547">
        <v>2024078899</v>
      </c>
      <c r="O398" s="547"/>
      <c r="P398" s="578"/>
      <c r="Q398" s="578"/>
    </row>
    <row r="399" spans="1:17">
      <c r="A399" s="578"/>
      <c r="B399" s="579"/>
      <c r="C399" s="547"/>
      <c r="D399" s="547"/>
      <c r="E399" s="547">
        <v>5</v>
      </c>
      <c r="F399" s="582" t="s">
        <v>3882</v>
      </c>
      <c r="G399" s="586" t="s">
        <v>3328</v>
      </c>
      <c r="H399" s="582">
        <v>40</v>
      </c>
      <c r="I399" s="583">
        <v>45686</v>
      </c>
      <c r="J399" s="583">
        <v>45686</v>
      </c>
      <c r="K399" s="582" t="s">
        <v>3883</v>
      </c>
      <c r="L399" s="582" t="s">
        <v>3348</v>
      </c>
      <c r="M399" s="582"/>
      <c r="N399" s="582">
        <v>2024089093</v>
      </c>
      <c r="O399" s="582"/>
      <c r="P399" s="578"/>
      <c r="Q399" s="578"/>
    </row>
    <row r="400" spans="1:17">
      <c r="A400" s="578"/>
      <c r="B400" s="579"/>
      <c r="C400" s="547"/>
      <c r="D400" s="547"/>
      <c r="E400" s="547">
        <v>6</v>
      </c>
      <c r="F400" s="582" t="s">
        <v>3650</v>
      </c>
      <c r="G400" s="582">
        <v>50</v>
      </c>
      <c r="H400" s="582">
        <v>50</v>
      </c>
      <c r="I400" s="583">
        <v>45687</v>
      </c>
      <c r="J400" s="583">
        <v>45687</v>
      </c>
      <c r="K400" s="582" t="s">
        <v>3651</v>
      </c>
      <c r="L400" s="582" t="s">
        <v>3348</v>
      </c>
      <c r="M400" s="582"/>
      <c r="N400" s="582">
        <v>2022033252</v>
      </c>
      <c r="O400" s="582"/>
      <c r="P400" s="578"/>
      <c r="Q400" s="578"/>
    </row>
    <row r="401" spans="1:17">
      <c r="A401" s="578"/>
      <c r="B401" s="579"/>
      <c r="C401" s="547"/>
      <c r="D401" s="547"/>
      <c r="E401" s="547">
        <v>6</v>
      </c>
      <c r="F401" s="582" t="s">
        <v>3650</v>
      </c>
      <c r="G401" s="582">
        <v>50</v>
      </c>
      <c r="H401" s="582">
        <v>50</v>
      </c>
      <c r="I401" s="583">
        <v>45689</v>
      </c>
      <c r="J401" s="583">
        <v>45689</v>
      </c>
      <c r="K401" s="582" t="s">
        <v>3651</v>
      </c>
      <c r="L401" s="582" t="s">
        <v>3348</v>
      </c>
      <c r="M401" s="582"/>
      <c r="N401" s="582">
        <v>2022033252</v>
      </c>
      <c r="O401" s="582"/>
      <c r="P401" s="578"/>
      <c r="Q401" s="578"/>
    </row>
    <row r="402" spans="1:17">
      <c r="B402" s="503" t="s">
        <v>3349</v>
      </c>
      <c r="C402" s="501" t="s">
        <v>3350</v>
      </c>
      <c r="D402" s="501" t="s">
        <v>3351</v>
      </c>
      <c r="E402" s="501">
        <v>1</v>
      </c>
      <c r="F402" s="557" t="s">
        <v>3813</v>
      </c>
      <c r="G402" s="580" t="s">
        <v>3328</v>
      </c>
      <c r="H402" s="501">
        <v>10</v>
      </c>
      <c r="I402" s="501" t="s">
        <v>3881</v>
      </c>
      <c r="J402" s="501"/>
      <c r="K402" s="501" t="s">
        <v>3884</v>
      </c>
      <c r="L402" s="501"/>
      <c r="M402" s="501" t="s">
        <v>3358</v>
      </c>
      <c r="N402" s="639">
        <v>2024078961</v>
      </c>
      <c r="O402" s="501"/>
    </row>
    <row r="403" spans="1:17">
      <c r="B403" s="503"/>
      <c r="C403" s="508"/>
      <c r="D403" s="508"/>
      <c r="E403" s="508">
        <v>2</v>
      </c>
      <c r="F403" s="547" t="s">
        <v>3885</v>
      </c>
      <c r="G403" s="580" t="s">
        <v>3328</v>
      </c>
      <c r="H403" s="508">
        <v>20</v>
      </c>
      <c r="I403" s="547" t="s">
        <v>3881</v>
      </c>
      <c r="J403" s="508"/>
      <c r="K403" s="508" t="s">
        <v>3886</v>
      </c>
      <c r="L403" s="508"/>
      <c r="M403" s="508" t="s">
        <v>3358</v>
      </c>
      <c r="N403" s="547">
        <v>2024037977</v>
      </c>
      <c r="O403" s="508"/>
    </row>
    <row r="404" spans="1:17" s="611" customFormat="1">
      <c r="B404" s="612"/>
      <c r="C404" s="598"/>
      <c r="D404" s="598"/>
      <c r="E404" s="598">
        <v>3</v>
      </c>
      <c r="F404" s="593" t="s">
        <v>3806</v>
      </c>
      <c r="G404" s="640" t="s">
        <v>3328</v>
      </c>
      <c r="H404" s="598">
        <v>10</v>
      </c>
      <c r="I404" s="593" t="s">
        <v>3881</v>
      </c>
      <c r="J404" s="641">
        <v>45688</v>
      </c>
      <c r="K404" s="598" t="s">
        <v>3807</v>
      </c>
      <c r="L404" s="598" t="s">
        <v>3887</v>
      </c>
      <c r="M404" s="598" t="s">
        <v>3358</v>
      </c>
      <c r="N404" s="598">
        <v>2024119395</v>
      </c>
      <c r="O404" s="598"/>
    </row>
    <row r="405" spans="1:17">
      <c r="B405" s="503"/>
      <c r="C405" s="508"/>
      <c r="D405" s="508"/>
      <c r="E405" s="508">
        <v>4</v>
      </c>
      <c r="F405" s="547" t="s">
        <v>3888</v>
      </c>
      <c r="G405" s="580" t="s">
        <v>3328</v>
      </c>
      <c r="H405" s="508">
        <v>10</v>
      </c>
      <c r="I405" s="581" t="s">
        <v>3881</v>
      </c>
      <c r="J405" s="508"/>
      <c r="K405" s="508" t="s">
        <v>3889</v>
      </c>
      <c r="L405" s="508"/>
      <c r="M405" s="508" t="s">
        <v>3358</v>
      </c>
      <c r="N405" s="547">
        <v>2024048322</v>
      </c>
      <c r="O405" s="508"/>
    </row>
    <row r="406" spans="1:17">
      <c r="B406" s="503"/>
      <c r="C406" s="508"/>
      <c r="D406" s="508"/>
      <c r="E406" s="508">
        <v>5</v>
      </c>
      <c r="F406" s="547" t="s">
        <v>3890</v>
      </c>
      <c r="G406" s="580" t="s">
        <v>3328</v>
      </c>
      <c r="H406" s="508">
        <v>10</v>
      </c>
      <c r="I406" s="547" t="s">
        <v>3881</v>
      </c>
      <c r="J406" s="508"/>
      <c r="K406" s="508" t="s">
        <v>3891</v>
      </c>
      <c r="L406" s="508"/>
      <c r="M406" s="508" t="s">
        <v>3358</v>
      </c>
      <c r="N406" s="547">
        <v>2024129480</v>
      </c>
      <c r="O406" s="508"/>
    </row>
    <row r="407" spans="1:17">
      <c r="B407" s="503"/>
      <c r="C407" s="508"/>
      <c r="D407" s="508"/>
      <c r="E407" s="508">
        <v>6</v>
      </c>
      <c r="F407" s="547" t="s">
        <v>3892</v>
      </c>
      <c r="G407" s="580" t="s">
        <v>3328</v>
      </c>
      <c r="H407" s="508">
        <v>10</v>
      </c>
      <c r="I407" s="547" t="s">
        <v>3881</v>
      </c>
      <c r="J407" s="508"/>
      <c r="K407" s="508" t="s">
        <v>3893</v>
      </c>
      <c r="L407" s="508"/>
      <c r="M407" s="508" t="s">
        <v>3358</v>
      </c>
      <c r="N407" s="547">
        <v>2024129479</v>
      </c>
      <c r="O407" s="508"/>
    </row>
    <row r="408" spans="1:17">
      <c r="B408" s="503"/>
      <c r="C408" s="508"/>
      <c r="D408" s="508"/>
      <c r="E408" s="508">
        <v>7</v>
      </c>
      <c r="F408" s="547" t="s">
        <v>3894</v>
      </c>
      <c r="G408" s="580" t="s">
        <v>3328</v>
      </c>
      <c r="H408" s="508">
        <v>10</v>
      </c>
      <c r="I408" s="581" t="s">
        <v>3881</v>
      </c>
      <c r="J408" s="508"/>
      <c r="K408" s="508" t="s">
        <v>3895</v>
      </c>
      <c r="L408" s="508"/>
      <c r="M408" s="508" t="s">
        <v>3358</v>
      </c>
      <c r="N408" s="547">
        <v>2024058520</v>
      </c>
      <c r="O408" s="508"/>
    </row>
    <row r="409" spans="1:17">
      <c r="B409" s="503"/>
      <c r="C409" s="508"/>
      <c r="D409" s="508"/>
      <c r="E409" s="508">
        <v>8</v>
      </c>
      <c r="F409" s="547" t="s">
        <v>3896</v>
      </c>
      <c r="G409" s="580" t="s">
        <v>3328</v>
      </c>
      <c r="H409" s="508">
        <v>20</v>
      </c>
      <c r="I409" s="547" t="s">
        <v>3881</v>
      </c>
      <c r="J409" s="508"/>
      <c r="K409" s="508" t="s">
        <v>3357</v>
      </c>
      <c r="L409" s="508"/>
      <c r="M409" s="508" t="s">
        <v>3358</v>
      </c>
      <c r="N409" s="547">
        <v>2024048247</v>
      </c>
      <c r="O409" s="508"/>
    </row>
    <row r="410" spans="1:17">
      <c r="B410" s="503"/>
      <c r="C410" s="508"/>
      <c r="D410" s="508"/>
      <c r="E410" s="508">
        <v>9</v>
      </c>
      <c r="F410" s="547" t="s">
        <v>3897</v>
      </c>
      <c r="G410" s="580" t="s">
        <v>3328</v>
      </c>
      <c r="H410" s="508">
        <v>10</v>
      </c>
      <c r="I410" s="547" t="s">
        <v>3881</v>
      </c>
      <c r="J410" s="508"/>
      <c r="K410" s="508" t="s">
        <v>3898</v>
      </c>
      <c r="L410" s="508"/>
      <c r="M410" s="508" t="s">
        <v>3358</v>
      </c>
      <c r="N410" s="547">
        <v>2024058392</v>
      </c>
      <c r="O410" s="508"/>
    </row>
    <row r="411" spans="1:17">
      <c r="B411" s="503"/>
      <c r="C411" s="508"/>
      <c r="D411" s="508"/>
      <c r="E411" s="508">
        <v>10</v>
      </c>
      <c r="F411" s="547" t="s">
        <v>3628</v>
      </c>
      <c r="G411" s="580" t="s">
        <v>3328</v>
      </c>
      <c r="H411" s="508">
        <v>10</v>
      </c>
      <c r="I411" s="581" t="s">
        <v>3881</v>
      </c>
      <c r="J411" s="508"/>
      <c r="K411" s="508" t="s">
        <v>3899</v>
      </c>
      <c r="L411" s="508"/>
      <c r="M411" s="508" t="s">
        <v>3358</v>
      </c>
      <c r="N411" s="547">
        <v>2024048248</v>
      </c>
      <c r="O411" s="508"/>
    </row>
    <row r="412" spans="1:17" ht="17.25" thickBot="1">
      <c r="B412" s="503"/>
      <c r="C412" s="516"/>
      <c r="D412" s="516"/>
      <c r="E412" s="516">
        <v>11</v>
      </c>
      <c r="F412" s="569" t="s">
        <v>3900</v>
      </c>
      <c r="G412" s="580" t="s">
        <v>3328</v>
      </c>
      <c r="H412" s="516">
        <v>10</v>
      </c>
      <c r="I412" s="547" t="s">
        <v>3881</v>
      </c>
      <c r="J412" s="516"/>
      <c r="K412" s="516" t="s">
        <v>3901</v>
      </c>
      <c r="L412" s="516"/>
      <c r="M412" s="547" t="s">
        <v>3358</v>
      </c>
      <c r="N412" s="569">
        <v>2024038071</v>
      </c>
      <c r="O412" s="516"/>
    </row>
    <row r="413" spans="1:17">
      <c r="B413" s="503"/>
      <c r="C413" s="501" t="s">
        <v>3371</v>
      </c>
      <c r="D413" s="501" t="s">
        <v>3294</v>
      </c>
      <c r="E413" s="501">
        <v>1</v>
      </c>
      <c r="F413" s="609" t="s">
        <v>3902</v>
      </c>
      <c r="G413" s="501"/>
      <c r="H413" s="501"/>
      <c r="I413" s="581" t="s">
        <v>3881</v>
      </c>
      <c r="J413" s="501"/>
      <c r="K413" s="501" t="s">
        <v>3515</v>
      </c>
      <c r="L413" s="501"/>
      <c r="M413" s="501"/>
      <c r="N413" s="557">
        <v>2024119396</v>
      </c>
      <c r="O413" s="501"/>
    </row>
    <row r="414" spans="1:17">
      <c r="B414" s="503"/>
      <c r="C414" s="508"/>
      <c r="D414" s="508"/>
      <c r="E414" s="508">
        <v>2</v>
      </c>
      <c r="F414" s="617" t="s">
        <v>3818</v>
      </c>
      <c r="G414" s="508"/>
      <c r="H414" s="557"/>
      <c r="I414" s="581" t="s">
        <v>3881</v>
      </c>
      <c r="J414" s="508"/>
      <c r="K414" s="617" t="s">
        <v>3819</v>
      </c>
      <c r="L414" s="508"/>
      <c r="M414" s="508"/>
      <c r="N414" s="547">
        <v>2024119376</v>
      </c>
      <c r="O414" s="508"/>
    </row>
    <row r="415" spans="1:17">
      <c r="B415" s="503"/>
      <c r="C415" s="501" t="s">
        <v>3376</v>
      </c>
      <c r="D415" s="501" t="s">
        <v>3377</v>
      </c>
      <c r="E415" s="501">
        <v>1</v>
      </c>
      <c r="F415" s="501" t="s">
        <v>1306</v>
      </c>
      <c r="G415" s="501"/>
      <c r="H415" s="501"/>
      <c r="I415" s="501" t="s">
        <v>3839</v>
      </c>
      <c r="J415" s="501"/>
      <c r="K415" s="501" t="s">
        <v>3903</v>
      </c>
      <c r="L415" s="501"/>
      <c r="M415" s="501"/>
      <c r="N415" s="501">
        <v>2024017603</v>
      </c>
      <c r="O415" s="501"/>
    </row>
    <row r="416" spans="1:17">
      <c r="B416" s="503"/>
      <c r="C416" s="508"/>
      <c r="D416" s="508"/>
      <c r="E416" s="508">
        <v>2</v>
      </c>
      <c r="F416" s="508" t="s">
        <v>3904</v>
      </c>
      <c r="G416" s="508"/>
      <c r="H416" s="508"/>
      <c r="I416" s="508" t="s">
        <v>3839</v>
      </c>
      <c r="J416" s="508"/>
      <c r="K416" s="508" t="s">
        <v>3905</v>
      </c>
      <c r="L416" s="508"/>
      <c r="M416" s="508"/>
      <c r="N416" s="508">
        <v>2024058583</v>
      </c>
      <c r="O416" s="508"/>
    </row>
    <row r="417" spans="2:15">
      <c r="B417" s="503"/>
      <c r="C417" s="508"/>
      <c r="D417" s="508"/>
      <c r="E417" s="508">
        <v>3</v>
      </c>
      <c r="F417" s="508" t="s">
        <v>3906</v>
      </c>
      <c r="G417" s="508"/>
      <c r="H417" s="508"/>
      <c r="I417" s="508" t="s">
        <v>3839</v>
      </c>
      <c r="J417" s="508"/>
      <c r="K417" s="508" t="s">
        <v>3907</v>
      </c>
      <c r="L417" s="508"/>
      <c r="M417" s="508"/>
      <c r="N417" s="508">
        <v>2024058456</v>
      </c>
      <c r="O417" s="508"/>
    </row>
    <row r="418" spans="2:15">
      <c r="B418" s="503"/>
      <c r="C418" s="508"/>
      <c r="D418" s="508"/>
      <c r="E418" s="508">
        <v>4</v>
      </c>
      <c r="F418" s="508" t="s">
        <v>3908</v>
      </c>
      <c r="G418" s="508"/>
      <c r="H418" s="508"/>
      <c r="I418" s="508" t="s">
        <v>3839</v>
      </c>
      <c r="J418" s="508"/>
      <c r="K418" s="508" t="s">
        <v>3909</v>
      </c>
      <c r="L418" s="508"/>
      <c r="M418" s="508"/>
      <c r="N418" s="508">
        <v>2024119432</v>
      </c>
      <c r="O418" s="508"/>
    </row>
    <row r="419" spans="2:15">
      <c r="B419" s="503"/>
      <c r="C419" s="508"/>
      <c r="D419" s="508"/>
      <c r="E419" s="508">
        <v>5</v>
      </c>
      <c r="F419" s="508" t="s">
        <v>803</v>
      </c>
      <c r="G419" s="508"/>
      <c r="H419" s="508"/>
      <c r="I419" s="508" t="s">
        <v>3839</v>
      </c>
      <c r="J419" s="508"/>
      <c r="K419" s="508" t="s">
        <v>3382</v>
      </c>
      <c r="L419" s="508"/>
      <c r="M419" s="508"/>
      <c r="N419" s="508">
        <v>2024058552</v>
      </c>
      <c r="O419" s="508"/>
    </row>
    <row r="420" spans="2:15">
      <c r="B420" s="503"/>
      <c r="C420" s="508"/>
      <c r="D420" s="508"/>
      <c r="E420" s="508">
        <v>6</v>
      </c>
      <c r="F420" s="508" t="s">
        <v>2363</v>
      </c>
      <c r="G420" s="508"/>
      <c r="H420" s="508"/>
      <c r="I420" s="508" t="s">
        <v>3839</v>
      </c>
      <c r="J420" s="508"/>
      <c r="K420" s="508" t="s">
        <v>3910</v>
      </c>
      <c r="L420" s="508"/>
      <c r="M420" s="508"/>
      <c r="N420" s="508">
        <v>2024109301</v>
      </c>
      <c r="O420" s="508"/>
    </row>
    <row r="421" spans="2:15">
      <c r="B421" s="503"/>
      <c r="C421" s="508"/>
      <c r="D421" s="508"/>
      <c r="E421" s="508">
        <v>7</v>
      </c>
      <c r="F421" s="508" t="s">
        <v>478</v>
      </c>
      <c r="G421" s="508"/>
      <c r="H421" s="508"/>
      <c r="I421" s="508" t="s">
        <v>3839</v>
      </c>
      <c r="J421" s="508"/>
      <c r="K421" s="508" t="s">
        <v>3911</v>
      </c>
      <c r="L421" s="508"/>
      <c r="M421" s="508"/>
      <c r="N421" s="508">
        <v>2025019602</v>
      </c>
      <c r="O421" s="508"/>
    </row>
    <row r="422" spans="2:15">
      <c r="B422" s="503"/>
      <c r="C422" s="501" t="s">
        <v>3385</v>
      </c>
      <c r="D422" s="501" t="s">
        <v>3386</v>
      </c>
      <c r="E422" s="501">
        <v>1</v>
      </c>
      <c r="F422" s="501" t="s">
        <v>3912</v>
      </c>
      <c r="G422" s="501">
        <v>50</v>
      </c>
      <c r="H422" s="501"/>
      <c r="I422" s="526" t="s">
        <v>3839</v>
      </c>
      <c r="J422" s="501"/>
      <c r="K422" s="501" t="s">
        <v>3913</v>
      </c>
      <c r="L422" s="501"/>
      <c r="M422" s="501"/>
      <c r="N422" s="501">
        <v>2024027820</v>
      </c>
      <c r="O422" s="501"/>
    </row>
    <row r="423" spans="2:15">
      <c r="B423" s="503"/>
      <c r="C423" s="508"/>
      <c r="D423" s="508"/>
      <c r="E423" s="508">
        <v>2</v>
      </c>
      <c r="F423" s="508" t="s">
        <v>3387</v>
      </c>
      <c r="G423" s="508">
        <v>50</v>
      </c>
      <c r="H423" s="508"/>
      <c r="I423" s="577" t="s">
        <v>3839</v>
      </c>
      <c r="J423" s="508"/>
      <c r="K423" s="508" t="s">
        <v>3388</v>
      </c>
      <c r="L423" s="508"/>
      <c r="M423" s="508"/>
      <c r="N423" s="508">
        <v>2024027768</v>
      </c>
      <c r="O423" s="508"/>
    </row>
    <row r="424" spans="2:15">
      <c r="B424" s="503"/>
      <c r="C424" s="508"/>
      <c r="D424" s="508"/>
      <c r="E424" s="508">
        <v>3</v>
      </c>
      <c r="F424" s="508" t="s">
        <v>3391</v>
      </c>
      <c r="G424" s="508"/>
      <c r="H424" s="508"/>
      <c r="I424" s="577" t="s">
        <v>3839</v>
      </c>
      <c r="J424" s="508"/>
      <c r="K424" s="508" t="s">
        <v>3392</v>
      </c>
      <c r="L424" s="508"/>
      <c r="M424" s="508"/>
      <c r="N424" s="508">
        <v>2024027769</v>
      </c>
      <c r="O424" s="508"/>
    </row>
    <row r="425" spans="2:15">
      <c r="B425" s="503"/>
      <c r="C425" s="508"/>
      <c r="D425" s="508"/>
      <c r="E425" s="508">
        <v>4</v>
      </c>
      <c r="F425" s="508" t="s">
        <v>3397</v>
      </c>
      <c r="G425" s="508"/>
      <c r="H425" s="508"/>
      <c r="I425" s="577" t="s">
        <v>3839</v>
      </c>
      <c r="J425" s="508"/>
      <c r="K425" s="508" t="s">
        <v>3398</v>
      </c>
      <c r="L425" s="508"/>
      <c r="M425" s="508"/>
      <c r="N425" s="508">
        <v>2024129454</v>
      </c>
      <c r="O425" s="508"/>
    </row>
    <row r="426" spans="2:15">
      <c r="B426" s="503"/>
      <c r="C426" s="501" t="s">
        <v>3399</v>
      </c>
      <c r="D426" s="501" t="s">
        <v>3400</v>
      </c>
      <c r="E426" s="501">
        <v>1</v>
      </c>
      <c r="F426" s="501" t="s">
        <v>3403</v>
      </c>
      <c r="G426" s="501"/>
      <c r="H426" s="501"/>
      <c r="I426" s="501" t="s">
        <v>3839</v>
      </c>
      <c r="J426" s="501"/>
      <c r="K426" s="501"/>
      <c r="L426" s="501"/>
      <c r="M426" s="501"/>
      <c r="N426" s="642">
        <v>2024048251</v>
      </c>
      <c r="O426" s="501"/>
    </row>
    <row r="427" spans="2:15">
      <c r="B427" s="503"/>
      <c r="C427" s="508"/>
      <c r="D427" s="508"/>
      <c r="E427" s="508">
        <v>2</v>
      </c>
      <c r="F427" s="508" t="s">
        <v>3401</v>
      </c>
      <c r="G427" s="508"/>
      <c r="H427" s="508"/>
      <c r="I427" s="508" t="str">
        <f>I426</f>
        <v>1/27~2/2</v>
      </c>
      <c r="J427" s="508"/>
      <c r="K427" s="508"/>
      <c r="L427" s="508"/>
      <c r="M427" s="508"/>
      <c r="N427" s="643">
        <v>2024048208</v>
      </c>
      <c r="O427" s="508"/>
    </row>
    <row r="428" spans="2:15">
      <c r="B428" s="503"/>
      <c r="C428" s="508"/>
      <c r="D428" s="508"/>
      <c r="E428" s="508">
        <v>3</v>
      </c>
      <c r="F428" s="508" t="s">
        <v>3837</v>
      </c>
      <c r="G428" s="508"/>
      <c r="H428" s="508"/>
      <c r="I428" s="508" t="str">
        <f>I426</f>
        <v>1/27~2/2</v>
      </c>
      <c r="J428" s="508"/>
      <c r="K428" s="508"/>
      <c r="L428" s="508"/>
      <c r="M428" s="508"/>
      <c r="N428" s="643">
        <v>2024027876</v>
      </c>
      <c r="O428" s="508"/>
    </row>
    <row r="429" spans="2:15">
      <c r="B429" s="619" t="s">
        <v>3914</v>
      </c>
      <c r="C429" s="497"/>
      <c r="D429" s="498"/>
      <c r="E429" s="498"/>
      <c r="F429" s="498"/>
      <c r="G429" s="498"/>
      <c r="H429" s="498"/>
      <c r="I429" s="644"/>
      <c r="J429" s="498"/>
      <c r="K429" s="498"/>
      <c r="L429" s="498"/>
      <c r="M429" s="498"/>
      <c r="N429" s="498"/>
      <c r="O429" s="499"/>
    </row>
    <row r="430" spans="2:15">
      <c r="B430" s="500" t="s">
        <v>3232</v>
      </c>
      <c r="C430" s="501" t="s">
        <v>3233</v>
      </c>
      <c r="D430" s="501" t="s">
        <v>3234</v>
      </c>
      <c r="E430" s="501">
        <v>1</v>
      </c>
      <c r="F430" s="501" t="s">
        <v>3843</v>
      </c>
      <c r="G430" s="501">
        <v>50</v>
      </c>
      <c r="H430" s="501"/>
      <c r="I430" s="506" t="s">
        <v>3915</v>
      </c>
      <c r="J430" s="526">
        <v>45694</v>
      </c>
      <c r="K430" s="501" t="s">
        <v>3916</v>
      </c>
      <c r="L430" s="501" t="s">
        <v>3917</v>
      </c>
      <c r="M430" s="501" t="s">
        <v>3240</v>
      </c>
      <c r="N430" s="621">
        <v>2024017506</v>
      </c>
      <c r="O430" s="501"/>
    </row>
    <row r="431" spans="2:15">
      <c r="B431" s="503"/>
      <c r="C431" s="508"/>
      <c r="D431" s="508"/>
      <c r="E431" s="508">
        <v>2</v>
      </c>
      <c r="F431" s="508" t="s">
        <v>3918</v>
      </c>
      <c r="G431" s="508">
        <v>50</v>
      </c>
      <c r="H431" s="508"/>
      <c r="I431" s="508" t="s">
        <v>3915</v>
      </c>
      <c r="J431" s="508" t="s">
        <v>3919</v>
      </c>
      <c r="K431" s="508" t="s">
        <v>3920</v>
      </c>
      <c r="L431" s="508" t="s">
        <v>3921</v>
      </c>
      <c r="M431" s="508" t="s">
        <v>3240</v>
      </c>
      <c r="N431" s="508">
        <v>2024089108</v>
      </c>
      <c r="O431" s="508"/>
    </row>
    <row r="432" spans="2:15">
      <c r="B432" s="503"/>
      <c r="C432" s="508"/>
      <c r="D432" s="508"/>
      <c r="E432" s="508">
        <v>3</v>
      </c>
      <c r="F432" s="508" t="s">
        <v>3922</v>
      </c>
      <c r="G432" s="508"/>
      <c r="H432" s="508"/>
      <c r="I432" s="508" t="s">
        <v>3915</v>
      </c>
      <c r="J432" s="508" t="s">
        <v>3923</v>
      </c>
      <c r="K432" s="508" t="s">
        <v>3924</v>
      </c>
      <c r="L432" s="508" t="s">
        <v>3925</v>
      </c>
      <c r="M432" s="508" t="s">
        <v>3240</v>
      </c>
      <c r="N432" s="508">
        <v>2025019609</v>
      </c>
      <c r="O432" s="508"/>
    </row>
    <row r="433" spans="2:15">
      <c r="B433" s="503"/>
      <c r="C433" s="506" t="s">
        <v>3243</v>
      </c>
      <c r="D433" s="506" t="s">
        <v>3244</v>
      </c>
      <c r="E433" s="501">
        <v>1</v>
      </c>
      <c r="F433" s="506" t="s">
        <v>3926</v>
      </c>
      <c r="G433" s="506"/>
      <c r="H433" s="506"/>
      <c r="I433" s="508" t="s">
        <v>3915</v>
      </c>
      <c r="J433" s="508" t="s">
        <v>3919</v>
      </c>
      <c r="K433" s="506" t="s">
        <v>3926</v>
      </c>
      <c r="L433" s="506" t="s">
        <v>3927</v>
      </c>
      <c r="M433" s="508" t="s">
        <v>3240</v>
      </c>
      <c r="N433" s="541">
        <v>2025019584</v>
      </c>
      <c r="O433" s="506"/>
    </row>
    <row r="434" spans="2:15">
      <c r="B434" s="503"/>
      <c r="C434" s="508"/>
      <c r="D434" s="508"/>
      <c r="E434" s="508">
        <v>2</v>
      </c>
      <c r="F434" s="508" t="s">
        <v>3416</v>
      </c>
      <c r="G434" s="508"/>
      <c r="H434" s="508"/>
      <c r="I434" s="508" t="s">
        <v>3915</v>
      </c>
      <c r="J434" s="508" t="s">
        <v>3923</v>
      </c>
      <c r="K434" s="508" t="s">
        <v>3416</v>
      </c>
      <c r="L434" s="508"/>
      <c r="M434" s="508" t="s">
        <v>3240</v>
      </c>
      <c r="N434" s="570">
        <v>2024099201</v>
      </c>
      <c r="O434" s="508"/>
    </row>
    <row r="435" spans="2:15">
      <c r="B435" s="503"/>
      <c r="C435" s="506"/>
      <c r="D435" s="506"/>
      <c r="E435" s="645">
        <v>3</v>
      </c>
      <c r="F435" s="603" t="s">
        <v>3928</v>
      </c>
      <c r="G435" s="645">
        <v>100</v>
      </c>
      <c r="H435" s="645"/>
      <c r="I435" s="646" t="s">
        <v>3915</v>
      </c>
      <c r="J435" s="645" t="s">
        <v>3929</v>
      </c>
      <c r="K435" s="645" t="s">
        <v>3930</v>
      </c>
      <c r="L435" s="645"/>
      <c r="M435" s="508" t="s">
        <v>3240</v>
      </c>
      <c r="N435" s="647">
        <v>2024099261</v>
      </c>
      <c r="O435" s="506"/>
    </row>
    <row r="436" spans="2:15" ht="17.25">
      <c r="B436" s="503"/>
      <c r="C436" s="506" t="s">
        <v>3250</v>
      </c>
      <c r="D436" s="506" t="s">
        <v>3251</v>
      </c>
      <c r="E436" s="501">
        <v>1</v>
      </c>
      <c r="F436" s="506" t="s">
        <v>3931</v>
      </c>
      <c r="G436" s="506"/>
      <c r="H436" s="506"/>
      <c r="I436" s="506" t="s">
        <v>3915</v>
      </c>
      <c r="J436" s="506" t="s">
        <v>3932</v>
      </c>
      <c r="K436" s="506" t="s">
        <v>3933</v>
      </c>
      <c r="L436" s="506" t="s">
        <v>3934</v>
      </c>
      <c r="M436" s="508"/>
      <c r="N436" s="567">
        <v>2024119404</v>
      </c>
      <c r="O436" s="506"/>
    </row>
    <row r="437" spans="2:15" ht="17.25">
      <c r="B437" s="503"/>
      <c r="C437" s="508"/>
      <c r="D437" s="508"/>
      <c r="E437" s="508">
        <v>2</v>
      </c>
      <c r="F437" s="508" t="s">
        <v>3935</v>
      </c>
      <c r="G437" s="508"/>
      <c r="H437" s="508"/>
      <c r="I437" s="508" t="s">
        <v>3915</v>
      </c>
      <c r="J437" s="508" t="s">
        <v>3936</v>
      </c>
      <c r="K437" s="508" t="s">
        <v>3937</v>
      </c>
      <c r="L437" s="508" t="s">
        <v>3938</v>
      </c>
      <c r="M437" s="508"/>
      <c r="N437" s="567">
        <v>2024109314</v>
      </c>
      <c r="O437" s="508"/>
    </row>
    <row r="438" spans="2:15" ht="17.25">
      <c r="B438" s="503"/>
      <c r="C438" s="508"/>
      <c r="D438" s="508"/>
      <c r="E438" s="508">
        <v>3</v>
      </c>
      <c r="F438" s="508" t="s">
        <v>3272</v>
      </c>
      <c r="G438" s="508"/>
      <c r="H438" s="508"/>
      <c r="I438" s="508" t="s">
        <v>3915</v>
      </c>
      <c r="J438" s="508" t="s">
        <v>3915</v>
      </c>
      <c r="K438" s="508" t="s">
        <v>3939</v>
      </c>
      <c r="L438" s="508"/>
      <c r="M438" s="508"/>
      <c r="N438" s="565">
        <v>2024099190</v>
      </c>
      <c r="O438" s="508"/>
    </row>
    <row r="439" spans="2:15" ht="17.25">
      <c r="B439" s="503"/>
      <c r="C439" s="508"/>
      <c r="D439" s="508"/>
      <c r="E439" s="508">
        <v>4</v>
      </c>
      <c r="F439" s="508" t="s">
        <v>3940</v>
      </c>
      <c r="G439" s="508"/>
      <c r="H439" s="508"/>
      <c r="I439" s="508" t="s">
        <v>3915</v>
      </c>
      <c r="J439" s="508" t="s">
        <v>3915</v>
      </c>
      <c r="K439" s="508" t="s">
        <v>3941</v>
      </c>
      <c r="L439" s="508"/>
      <c r="M439" s="508"/>
      <c r="N439" s="565">
        <v>2024099140</v>
      </c>
      <c r="O439" s="508"/>
    </row>
    <row r="440" spans="2:15" ht="17.25">
      <c r="B440" s="503"/>
      <c r="C440" s="508"/>
      <c r="D440" s="508"/>
      <c r="E440" s="508">
        <v>5</v>
      </c>
      <c r="F440" s="508" t="s">
        <v>3942</v>
      </c>
      <c r="G440" s="508"/>
      <c r="H440" s="508"/>
      <c r="I440" s="508" t="s">
        <v>3915</v>
      </c>
      <c r="J440" s="508" t="s">
        <v>3915</v>
      </c>
      <c r="K440" s="508" t="s">
        <v>3943</v>
      </c>
      <c r="L440" s="508"/>
      <c r="M440" s="508"/>
      <c r="N440" s="565">
        <v>2025019601</v>
      </c>
      <c r="O440" s="508"/>
    </row>
    <row r="441" spans="2:15" ht="17.25">
      <c r="B441" s="503"/>
      <c r="C441" s="508"/>
      <c r="D441" s="508"/>
      <c r="E441" s="508">
        <v>6</v>
      </c>
      <c r="F441" s="508" t="s">
        <v>286</v>
      </c>
      <c r="G441" s="508"/>
      <c r="H441" s="508"/>
      <c r="I441" s="508" t="s">
        <v>3915</v>
      </c>
      <c r="J441" s="508" t="s">
        <v>3915</v>
      </c>
      <c r="K441" s="508" t="s">
        <v>3944</v>
      </c>
      <c r="L441" s="508"/>
      <c r="M441" s="508"/>
      <c r="N441" s="565">
        <v>2024099225</v>
      </c>
      <c r="O441" s="508"/>
    </row>
    <row r="442" spans="2:15" ht="17.25">
      <c r="B442" s="503"/>
      <c r="C442" s="508"/>
      <c r="D442" s="508"/>
      <c r="E442" s="508">
        <v>7</v>
      </c>
      <c r="F442" s="508" t="s">
        <v>3945</v>
      </c>
      <c r="G442" s="508"/>
      <c r="H442" s="508"/>
      <c r="I442" s="508" t="s">
        <v>3915</v>
      </c>
      <c r="J442" s="508" t="s">
        <v>3915</v>
      </c>
      <c r="K442" s="508" t="s">
        <v>3946</v>
      </c>
      <c r="L442" s="508"/>
      <c r="M442" s="508"/>
      <c r="N442" s="565">
        <v>2024099199</v>
      </c>
      <c r="O442" s="508"/>
    </row>
    <row r="443" spans="2:15" ht="17.25">
      <c r="B443" s="503"/>
      <c r="C443" s="508"/>
      <c r="D443" s="508"/>
      <c r="E443" s="508">
        <v>8</v>
      </c>
      <c r="F443" s="508" t="s">
        <v>3435</v>
      </c>
      <c r="G443" s="508"/>
      <c r="H443" s="508"/>
      <c r="I443" s="508" t="s">
        <v>3915</v>
      </c>
      <c r="J443" s="508" t="s">
        <v>3915</v>
      </c>
      <c r="K443" s="508" t="s">
        <v>3947</v>
      </c>
      <c r="L443" s="508"/>
      <c r="M443" s="508"/>
      <c r="N443" s="565">
        <v>2024099178</v>
      </c>
      <c r="O443" s="508"/>
    </row>
    <row r="444" spans="2:15" ht="17.25">
      <c r="B444" s="503"/>
      <c r="C444" s="508"/>
      <c r="D444" s="508"/>
      <c r="E444" s="508">
        <v>9</v>
      </c>
      <c r="F444" s="508" t="s">
        <v>3443</v>
      </c>
      <c r="G444" s="508"/>
      <c r="H444" s="508"/>
      <c r="I444" s="508" t="s">
        <v>3915</v>
      </c>
      <c r="J444" s="508" t="s">
        <v>3915</v>
      </c>
      <c r="K444" s="508" t="s">
        <v>3948</v>
      </c>
      <c r="L444" s="508"/>
      <c r="M444" s="508"/>
      <c r="N444" s="565">
        <v>2024099212</v>
      </c>
      <c r="O444" s="508"/>
    </row>
    <row r="445" spans="2:15" ht="17.25">
      <c r="B445" s="515"/>
      <c r="C445" s="516"/>
      <c r="D445" s="516"/>
      <c r="E445" s="516">
        <v>10</v>
      </c>
      <c r="F445" s="516" t="s">
        <v>3439</v>
      </c>
      <c r="G445" s="516"/>
      <c r="H445" s="516"/>
      <c r="I445" s="516" t="s">
        <v>3915</v>
      </c>
      <c r="J445" s="516" t="s">
        <v>3915</v>
      </c>
      <c r="K445" s="516" t="s">
        <v>3949</v>
      </c>
      <c r="L445" s="516"/>
      <c r="M445" s="516"/>
      <c r="N445" s="543">
        <v>2024099216</v>
      </c>
      <c r="O445" s="516"/>
    </row>
    <row r="446" spans="2:15">
      <c r="B446" s="503" t="s">
        <v>3276</v>
      </c>
      <c r="C446" s="506" t="s">
        <v>3277</v>
      </c>
      <c r="D446" s="506" t="s">
        <v>3278</v>
      </c>
      <c r="E446" s="501">
        <v>1</v>
      </c>
      <c r="F446" s="506" t="s">
        <v>3598</v>
      </c>
      <c r="G446" s="506"/>
      <c r="H446" s="506">
        <v>10</v>
      </c>
      <c r="I446" s="506" t="s">
        <v>3915</v>
      </c>
      <c r="J446" s="545" t="s">
        <v>3923</v>
      </c>
      <c r="K446" s="506" t="s">
        <v>3950</v>
      </c>
      <c r="L446" s="506"/>
      <c r="M446" s="506" t="s">
        <v>3358</v>
      </c>
      <c r="N446" s="506">
        <v>2023127227</v>
      </c>
      <c r="O446" s="506"/>
    </row>
    <row r="447" spans="2:15">
      <c r="B447" s="503"/>
      <c r="C447" s="508"/>
      <c r="D447" s="508"/>
      <c r="E447" s="508">
        <v>2</v>
      </c>
      <c r="F447" s="508" t="s">
        <v>3279</v>
      </c>
      <c r="G447" s="508">
        <v>100</v>
      </c>
      <c r="H447" s="508">
        <v>10</v>
      </c>
      <c r="I447" s="508" t="s">
        <v>3915</v>
      </c>
      <c r="J447" s="508" t="s">
        <v>3923</v>
      </c>
      <c r="K447" s="508" t="s">
        <v>3951</v>
      </c>
      <c r="L447" s="508"/>
      <c r="M447" s="508" t="s">
        <v>3358</v>
      </c>
      <c r="N447" s="508">
        <v>2024027857</v>
      </c>
      <c r="O447" s="508"/>
    </row>
    <row r="448" spans="2:15">
      <c r="B448" s="503"/>
      <c r="C448" s="508"/>
      <c r="D448" s="508"/>
      <c r="E448" s="508">
        <v>3</v>
      </c>
      <c r="F448" s="508" t="s">
        <v>3445</v>
      </c>
      <c r="G448" s="508"/>
      <c r="H448" s="508">
        <v>10</v>
      </c>
      <c r="I448" s="508" t="s">
        <v>3915</v>
      </c>
      <c r="J448" s="508" t="s">
        <v>3952</v>
      </c>
      <c r="K448" s="508" t="s">
        <v>3953</v>
      </c>
      <c r="L448" s="508"/>
      <c r="M448" s="508" t="s">
        <v>3358</v>
      </c>
      <c r="N448" s="508">
        <v>2024017475</v>
      </c>
      <c r="O448" s="508"/>
    </row>
    <row r="449" spans="2:26">
      <c r="B449" s="503"/>
      <c r="C449" s="508"/>
      <c r="D449" s="508"/>
      <c r="E449" s="508">
        <v>4</v>
      </c>
      <c r="F449" s="508" t="s">
        <v>3452</v>
      </c>
      <c r="G449" s="508"/>
      <c r="H449" s="508">
        <v>10</v>
      </c>
      <c r="I449" s="508" t="s">
        <v>3915</v>
      </c>
      <c r="J449" s="508" t="s">
        <v>3952</v>
      </c>
      <c r="K449" s="508" t="s">
        <v>3954</v>
      </c>
      <c r="L449" s="508"/>
      <c r="M449" s="508" t="s">
        <v>3358</v>
      </c>
      <c r="N449" s="508">
        <v>2024089016</v>
      </c>
      <c r="O449" s="508"/>
    </row>
    <row r="450" spans="2:26">
      <c r="B450" s="503"/>
      <c r="C450" s="506" t="s">
        <v>3291</v>
      </c>
      <c r="D450" s="506" t="s">
        <v>3292</v>
      </c>
      <c r="E450" s="501">
        <v>1</v>
      </c>
      <c r="F450" s="506" t="s">
        <v>3955</v>
      </c>
      <c r="G450" s="506"/>
      <c r="H450" s="506">
        <v>50</v>
      </c>
      <c r="I450" s="557" t="s">
        <v>3956</v>
      </c>
      <c r="J450" s="545">
        <v>45691</v>
      </c>
      <c r="K450" s="506" t="s">
        <v>3957</v>
      </c>
      <c r="L450" s="506"/>
      <c r="M450" s="506" t="s">
        <v>3247</v>
      </c>
      <c r="N450" s="506">
        <v>2024088967</v>
      </c>
      <c r="O450" s="506" t="s">
        <v>3958</v>
      </c>
      <c r="P450" s="486" t="s">
        <v>3959</v>
      </c>
      <c r="Q450" s="486" t="s">
        <v>3960</v>
      </c>
      <c r="R450" s="486" t="s">
        <v>3961</v>
      </c>
      <c r="S450" s="486" t="s">
        <v>3962</v>
      </c>
      <c r="T450" s="486" t="s">
        <v>3963</v>
      </c>
      <c r="U450" s="486" t="s">
        <v>3964</v>
      </c>
      <c r="V450" s="486" t="s">
        <v>3965</v>
      </c>
      <c r="W450" s="486" t="s">
        <v>3966</v>
      </c>
      <c r="X450" s="486" t="s">
        <v>3967</v>
      </c>
      <c r="Y450" s="486" t="s">
        <v>3968</v>
      </c>
      <c r="Z450" s="486" t="s">
        <v>3969</v>
      </c>
    </row>
    <row r="451" spans="2:26">
      <c r="B451" s="503"/>
      <c r="C451" s="506"/>
      <c r="D451" s="506"/>
      <c r="E451" s="506">
        <v>2</v>
      </c>
      <c r="F451" s="648" t="s">
        <v>3970</v>
      </c>
      <c r="G451" s="506"/>
      <c r="H451" s="506"/>
      <c r="I451" s="557" t="s">
        <v>3971</v>
      </c>
      <c r="J451" s="545"/>
      <c r="K451" s="549" t="s">
        <v>3972</v>
      </c>
      <c r="L451" s="506"/>
      <c r="M451" s="506"/>
      <c r="N451" s="506">
        <v>2024038055</v>
      </c>
      <c r="O451" s="506"/>
    </row>
    <row r="452" spans="2:26">
      <c r="B452" s="503"/>
      <c r="C452" s="508"/>
      <c r="D452" s="508"/>
      <c r="E452" s="508">
        <v>3</v>
      </c>
      <c r="F452" s="508" t="s">
        <v>1859</v>
      </c>
      <c r="G452" s="508"/>
      <c r="H452" s="508">
        <v>10</v>
      </c>
      <c r="I452" s="547" t="s">
        <v>3956</v>
      </c>
      <c r="J452" s="524">
        <v>45692</v>
      </c>
      <c r="K452" s="508" t="s">
        <v>3973</v>
      </c>
      <c r="L452" s="508"/>
      <c r="M452" s="549" t="s">
        <v>3247</v>
      </c>
      <c r="N452" s="508">
        <v>2025019583</v>
      </c>
      <c r="O452" s="508" t="s">
        <v>3974</v>
      </c>
      <c r="P452" s="486">
        <v>30210171</v>
      </c>
      <c r="Q452" s="486" t="s">
        <v>3975</v>
      </c>
      <c r="R452" s="486">
        <v>0</v>
      </c>
      <c r="S452" s="486">
        <v>0</v>
      </c>
      <c r="T452" s="486">
        <v>1</v>
      </c>
      <c r="U452" s="486" t="s">
        <v>3976</v>
      </c>
      <c r="V452" s="486" t="s">
        <v>3977</v>
      </c>
      <c r="W452" s="649">
        <v>161000</v>
      </c>
      <c r="X452" s="486">
        <v>23.45</v>
      </c>
      <c r="Y452" s="486">
        <v>426572</v>
      </c>
      <c r="Z452" s="486" t="s">
        <v>3978</v>
      </c>
    </row>
    <row r="453" spans="2:26">
      <c r="B453" s="503"/>
      <c r="C453" s="508"/>
      <c r="D453" s="508"/>
      <c r="E453" s="508">
        <v>4</v>
      </c>
      <c r="F453" s="508" t="s">
        <v>3979</v>
      </c>
      <c r="G453" s="508"/>
      <c r="H453" s="508">
        <v>10</v>
      </c>
      <c r="I453" s="547" t="s">
        <v>3956</v>
      </c>
      <c r="J453" s="524">
        <v>45693</v>
      </c>
      <c r="K453" s="508" t="s">
        <v>3980</v>
      </c>
      <c r="L453" s="508"/>
      <c r="M453" s="508" t="s">
        <v>3358</v>
      </c>
      <c r="N453" s="508">
        <v>2025019610</v>
      </c>
      <c r="O453" s="508"/>
    </row>
    <row r="454" spans="2:26">
      <c r="B454" s="503"/>
      <c r="C454" s="508"/>
      <c r="D454" s="508"/>
      <c r="E454" s="508">
        <v>5</v>
      </c>
      <c r="F454" s="508" t="s">
        <v>3981</v>
      </c>
      <c r="G454" s="508"/>
      <c r="H454" s="508">
        <v>10</v>
      </c>
      <c r="I454" s="547" t="s">
        <v>3956</v>
      </c>
      <c r="J454" s="508" t="s">
        <v>3982</v>
      </c>
      <c r="K454" s="508" t="s">
        <v>3983</v>
      </c>
      <c r="L454" s="508"/>
      <c r="M454" s="508" t="s">
        <v>3358</v>
      </c>
      <c r="N454" s="508">
        <v>2024119393</v>
      </c>
      <c r="O454" s="508"/>
    </row>
    <row r="455" spans="2:26">
      <c r="B455" s="503"/>
      <c r="C455" s="506" t="s">
        <v>3293</v>
      </c>
      <c r="D455" s="506" t="s">
        <v>3294</v>
      </c>
      <c r="E455" s="506">
        <v>1</v>
      </c>
      <c r="F455" s="508" t="s">
        <v>3984</v>
      </c>
      <c r="G455" s="506"/>
      <c r="H455" s="506"/>
      <c r="I455" s="547" t="s">
        <v>3956</v>
      </c>
      <c r="J455" s="545" t="s">
        <v>3923</v>
      </c>
      <c r="K455" s="506" t="s">
        <v>3985</v>
      </c>
      <c r="L455" s="506" t="s">
        <v>3986</v>
      </c>
      <c r="M455" s="506"/>
      <c r="N455" s="506">
        <v>2025019582</v>
      </c>
      <c r="O455" s="506"/>
    </row>
    <row r="456" spans="2:26">
      <c r="B456" s="503"/>
      <c r="C456" s="550"/>
      <c r="D456" s="550"/>
      <c r="E456" s="550">
        <v>2</v>
      </c>
      <c r="F456" s="550" t="s">
        <v>3987</v>
      </c>
      <c r="G456" s="550"/>
      <c r="H456" s="550"/>
      <c r="I456" s="633" t="s">
        <v>3956</v>
      </c>
      <c r="J456" s="550" t="s">
        <v>3952</v>
      </c>
      <c r="K456" s="550" t="s">
        <v>3988</v>
      </c>
      <c r="L456" s="550"/>
      <c r="M456" s="550"/>
      <c r="N456" s="550">
        <v>2024078824</v>
      </c>
      <c r="O456" s="550"/>
    </row>
    <row r="457" spans="2:26">
      <c r="B457" s="503" t="s">
        <v>3300</v>
      </c>
      <c r="C457" s="553" t="s">
        <v>3301</v>
      </c>
      <c r="D457" s="553" t="s">
        <v>3302</v>
      </c>
      <c r="E457" s="553">
        <v>1</v>
      </c>
      <c r="F457" s="553" t="s">
        <v>3785</v>
      </c>
      <c r="G457" s="553"/>
      <c r="H457" s="553"/>
      <c r="I457" s="553"/>
      <c r="J457" s="650">
        <v>45694</v>
      </c>
      <c r="K457" s="553" t="s">
        <v>3786</v>
      </c>
      <c r="L457" s="553"/>
      <c r="M457" s="553"/>
      <c r="N457" s="553">
        <v>2025019603</v>
      </c>
      <c r="O457" s="553"/>
    </row>
    <row r="458" spans="2:26">
      <c r="B458" s="503"/>
      <c r="C458" s="508"/>
      <c r="D458" s="508"/>
      <c r="E458" s="508">
        <v>2</v>
      </c>
      <c r="F458" s="484" t="s">
        <v>3989</v>
      </c>
      <c r="G458" s="508"/>
      <c r="H458" s="508"/>
      <c r="I458" s="557" t="s">
        <v>3956</v>
      </c>
      <c r="J458" s="524">
        <v>45695</v>
      </c>
      <c r="K458" s="508" t="s">
        <v>3990</v>
      </c>
      <c r="L458" s="508"/>
      <c r="M458" s="508"/>
      <c r="N458" s="508">
        <v>2025019604</v>
      </c>
      <c r="O458" s="508"/>
    </row>
    <row r="459" spans="2:26">
      <c r="B459" s="503"/>
      <c r="C459" s="508"/>
      <c r="D459" s="508"/>
      <c r="E459" s="508">
        <v>3</v>
      </c>
      <c r="F459" s="547" t="s">
        <v>3991</v>
      </c>
      <c r="G459" s="508"/>
      <c r="H459" s="508"/>
      <c r="I459" s="557" t="s">
        <v>3956</v>
      </c>
      <c r="J459" s="524">
        <v>45695</v>
      </c>
      <c r="K459" s="508"/>
      <c r="L459" s="508"/>
      <c r="M459" s="508"/>
      <c r="N459" s="508">
        <v>2025019605</v>
      </c>
      <c r="O459" s="508"/>
    </row>
    <row r="460" spans="2:26">
      <c r="B460" s="503"/>
      <c r="C460" s="508"/>
      <c r="D460" s="508"/>
      <c r="E460" s="508">
        <v>4</v>
      </c>
      <c r="F460" s="508" t="s">
        <v>3866</v>
      </c>
      <c r="G460" s="508"/>
      <c r="H460" s="508"/>
      <c r="I460" s="557" t="s">
        <v>3956</v>
      </c>
      <c r="J460" s="524">
        <v>45696</v>
      </c>
      <c r="K460" s="508" t="s">
        <v>3992</v>
      </c>
      <c r="L460" s="508"/>
      <c r="M460" s="508"/>
      <c r="N460" s="508">
        <v>2025019591</v>
      </c>
      <c r="O460" s="508"/>
    </row>
    <row r="461" spans="2:26">
      <c r="B461" s="503"/>
      <c r="C461" s="508"/>
      <c r="D461" s="508"/>
      <c r="E461" s="508">
        <v>5</v>
      </c>
      <c r="F461" s="508" t="s">
        <v>3869</v>
      </c>
      <c r="G461" s="508"/>
      <c r="H461" s="508"/>
      <c r="I461" s="557" t="s">
        <v>3956</v>
      </c>
      <c r="J461" s="524">
        <v>45691</v>
      </c>
      <c r="K461" s="508" t="s">
        <v>3993</v>
      </c>
      <c r="L461" s="508"/>
      <c r="M461" s="508"/>
      <c r="N461" s="508">
        <v>2025019593</v>
      </c>
      <c r="O461" s="508"/>
    </row>
    <row r="462" spans="2:26">
      <c r="B462" s="503"/>
      <c r="C462" s="508"/>
      <c r="D462" s="508"/>
      <c r="E462" s="508">
        <v>6</v>
      </c>
      <c r="F462" s="508" t="s">
        <v>3779</v>
      </c>
      <c r="G462" s="508"/>
      <c r="H462" s="508"/>
      <c r="I462" s="557" t="s">
        <v>3956</v>
      </c>
      <c r="J462" s="524">
        <v>45692</v>
      </c>
      <c r="K462" s="508" t="s">
        <v>3994</v>
      </c>
      <c r="L462" s="508"/>
      <c r="M462" s="508"/>
      <c r="N462" s="508">
        <v>2025019606</v>
      </c>
      <c r="O462" s="508"/>
    </row>
    <row r="463" spans="2:26">
      <c r="B463" s="503"/>
      <c r="C463" s="508"/>
      <c r="D463" s="508"/>
      <c r="E463" s="508">
        <v>7</v>
      </c>
      <c r="F463" s="508" t="s">
        <v>3995</v>
      </c>
      <c r="G463" s="508"/>
      <c r="H463" s="508"/>
      <c r="I463" s="557" t="s">
        <v>3956</v>
      </c>
      <c r="J463" s="524">
        <v>45695</v>
      </c>
      <c r="K463" s="508" t="s">
        <v>3996</v>
      </c>
      <c r="L463" s="508" t="s">
        <v>3997</v>
      </c>
      <c r="M463" s="508"/>
      <c r="N463" s="508">
        <v>2025019607</v>
      </c>
      <c r="O463" s="508"/>
    </row>
    <row r="464" spans="2:26">
      <c r="B464" s="503"/>
      <c r="C464" s="508"/>
      <c r="D464" s="508"/>
      <c r="E464" s="508">
        <v>8</v>
      </c>
      <c r="F464" s="508" t="s">
        <v>3998</v>
      </c>
      <c r="G464" s="508"/>
      <c r="H464" s="508"/>
      <c r="I464" s="557" t="s">
        <v>3956</v>
      </c>
      <c r="J464" s="524">
        <v>45693</v>
      </c>
      <c r="K464" s="508"/>
      <c r="L464" s="508"/>
      <c r="M464" s="508"/>
      <c r="N464" s="508">
        <v>2025019608</v>
      </c>
      <c r="O464" s="508"/>
    </row>
    <row r="465" spans="1:17">
      <c r="B465" s="503"/>
      <c r="C465" s="508"/>
      <c r="D465" s="508"/>
      <c r="E465" s="508">
        <v>8</v>
      </c>
      <c r="F465" s="508" t="s">
        <v>3787</v>
      </c>
      <c r="G465" s="508"/>
      <c r="H465" s="508"/>
      <c r="I465" s="557" t="s">
        <v>3956</v>
      </c>
      <c r="J465" s="524">
        <v>45697</v>
      </c>
      <c r="K465" s="508"/>
      <c r="L465" s="508"/>
      <c r="M465" s="508"/>
      <c r="N465" s="508">
        <v>2025019613</v>
      </c>
      <c r="O465" s="508"/>
    </row>
    <row r="466" spans="1:17">
      <c r="B466" s="503"/>
      <c r="C466" s="501" t="s">
        <v>3474</v>
      </c>
      <c r="D466" s="501" t="s">
        <v>3315</v>
      </c>
      <c r="E466" s="501">
        <v>1</v>
      </c>
      <c r="F466" s="501" t="s">
        <v>3999</v>
      </c>
      <c r="G466" s="501"/>
      <c r="H466" s="501"/>
      <c r="I466" s="557" t="s">
        <v>3956</v>
      </c>
      <c r="J466" s="501"/>
      <c r="K466" s="501"/>
      <c r="L466" s="501"/>
      <c r="M466" s="501"/>
      <c r="N466" s="557">
        <v>2024017638</v>
      </c>
      <c r="O466" s="501"/>
    </row>
    <row r="467" spans="1:17">
      <c r="B467" s="503"/>
      <c r="C467" s="508"/>
      <c r="D467" s="508"/>
      <c r="E467" s="508">
        <v>2</v>
      </c>
      <c r="F467" s="508" t="s">
        <v>3320</v>
      </c>
      <c r="G467" s="508"/>
      <c r="H467" s="508"/>
      <c r="I467" s="557" t="s">
        <v>3956</v>
      </c>
      <c r="J467" s="508"/>
      <c r="K467" s="508"/>
      <c r="L467" s="508"/>
      <c r="M467" s="508"/>
      <c r="N467" s="547">
        <v>2024017624</v>
      </c>
      <c r="O467" s="508"/>
    </row>
    <row r="468" spans="1:17">
      <c r="A468" s="486" t="s">
        <v>4000</v>
      </c>
      <c r="B468" s="503"/>
      <c r="C468" s="508"/>
      <c r="D468" s="508"/>
      <c r="E468" s="508">
        <v>3</v>
      </c>
      <c r="F468" s="508" t="s">
        <v>3475</v>
      </c>
      <c r="G468" s="508"/>
      <c r="H468" s="508"/>
      <c r="I468" s="557" t="s">
        <v>3956</v>
      </c>
      <c r="J468" s="508"/>
      <c r="K468" s="508"/>
      <c r="L468" s="508"/>
      <c r="M468" s="508"/>
      <c r="N468" s="508">
        <v>2025019598</v>
      </c>
      <c r="O468" s="508"/>
    </row>
    <row r="469" spans="1:17">
      <c r="B469" s="503"/>
      <c r="C469" s="508"/>
      <c r="D469" s="508"/>
      <c r="E469" s="508">
        <v>4</v>
      </c>
      <c r="F469" s="508" t="s">
        <v>3479</v>
      </c>
      <c r="G469" s="508"/>
      <c r="H469" s="508"/>
      <c r="I469" s="557" t="s">
        <v>3956</v>
      </c>
      <c r="J469" s="508"/>
      <c r="K469" s="508"/>
      <c r="L469" s="508"/>
      <c r="M469" s="508"/>
      <c r="N469" s="508">
        <v>2025019599</v>
      </c>
      <c r="O469" s="508"/>
    </row>
    <row r="470" spans="1:17">
      <c r="B470" s="503"/>
      <c r="C470" s="508"/>
      <c r="D470" s="508"/>
      <c r="E470" s="508">
        <v>5</v>
      </c>
      <c r="F470" s="508" t="s">
        <v>4001</v>
      </c>
      <c r="G470" s="508"/>
      <c r="H470" s="508"/>
      <c r="I470" s="557" t="s">
        <v>3956</v>
      </c>
      <c r="J470" s="508"/>
      <c r="K470" s="508"/>
      <c r="L470" s="508"/>
      <c r="M470" s="508"/>
      <c r="N470" s="508">
        <v>2025019600</v>
      </c>
      <c r="O470" s="508"/>
    </row>
    <row r="471" spans="1:17">
      <c r="B471" s="500" t="s">
        <v>3324</v>
      </c>
      <c r="C471" s="501" t="s">
        <v>3325</v>
      </c>
      <c r="D471" s="501" t="s">
        <v>3326</v>
      </c>
      <c r="E471" s="637">
        <v>1</v>
      </c>
      <c r="F471" s="557" t="s">
        <v>4002</v>
      </c>
      <c r="G471" s="576" t="s">
        <v>3328</v>
      </c>
      <c r="H471" s="557">
        <v>15</v>
      </c>
      <c r="I471" s="501" t="s">
        <v>3956</v>
      </c>
      <c r="J471" s="577">
        <v>45691</v>
      </c>
      <c r="K471" s="557" t="s">
        <v>3488</v>
      </c>
      <c r="L471" s="501"/>
      <c r="M471" s="501"/>
      <c r="N471" s="501">
        <v>2024058452</v>
      </c>
      <c r="O471" s="501"/>
      <c r="P471" s="578"/>
    </row>
    <row r="472" spans="1:17">
      <c r="B472" s="503"/>
      <c r="C472" s="508"/>
      <c r="D472" s="508"/>
      <c r="E472" s="508">
        <v>2</v>
      </c>
      <c r="F472" s="547" t="s">
        <v>3330</v>
      </c>
      <c r="G472" s="580" t="s">
        <v>3328</v>
      </c>
      <c r="H472" s="547">
        <v>20</v>
      </c>
      <c r="I472" s="547" t="s">
        <v>3956</v>
      </c>
      <c r="J472" s="581">
        <v>45692</v>
      </c>
      <c r="K472" s="547" t="s">
        <v>3489</v>
      </c>
      <c r="L472" s="547"/>
      <c r="M472" s="547"/>
      <c r="N472" s="547">
        <v>2024058453</v>
      </c>
      <c r="O472" s="547"/>
      <c r="P472" s="578"/>
    </row>
    <row r="473" spans="1:17">
      <c r="B473" s="503"/>
      <c r="C473" s="508"/>
      <c r="D473" s="508"/>
      <c r="E473" s="508">
        <v>3</v>
      </c>
      <c r="F473" s="547" t="s">
        <v>3332</v>
      </c>
      <c r="G473" s="580" t="s">
        <v>3328</v>
      </c>
      <c r="H473" s="547">
        <v>15</v>
      </c>
      <c r="I473" s="547" t="s">
        <v>3956</v>
      </c>
      <c r="J473" s="581">
        <v>45693</v>
      </c>
      <c r="K473" s="547" t="s">
        <v>3490</v>
      </c>
      <c r="L473" s="547"/>
      <c r="M473" s="547"/>
      <c r="N473" s="547">
        <v>2024068760</v>
      </c>
      <c r="O473" s="547"/>
      <c r="P473" s="578"/>
    </row>
    <row r="474" spans="1:17">
      <c r="B474" s="503"/>
      <c r="C474" s="508"/>
      <c r="D474" s="508"/>
      <c r="E474" s="508">
        <v>4</v>
      </c>
      <c r="F474" s="547" t="s">
        <v>3334</v>
      </c>
      <c r="G474" s="580" t="s">
        <v>3328</v>
      </c>
      <c r="H474" s="547">
        <v>10</v>
      </c>
      <c r="I474" s="547" t="s">
        <v>3956</v>
      </c>
      <c r="J474" s="581">
        <v>45694</v>
      </c>
      <c r="K474" s="547" t="s">
        <v>3491</v>
      </c>
      <c r="L474" s="547"/>
      <c r="M474" s="547"/>
      <c r="N474" s="547">
        <v>2024068644</v>
      </c>
      <c r="O474" s="547"/>
      <c r="P474" s="578"/>
    </row>
    <row r="475" spans="1:17">
      <c r="B475" s="503"/>
      <c r="C475" s="508"/>
      <c r="D475" s="508"/>
      <c r="E475" s="508">
        <v>5</v>
      </c>
      <c r="F475" s="547" t="s">
        <v>3336</v>
      </c>
      <c r="G475" s="580" t="s">
        <v>3328</v>
      </c>
      <c r="H475" s="547">
        <v>10</v>
      </c>
      <c r="I475" s="547" t="s">
        <v>3956</v>
      </c>
      <c r="J475" s="581">
        <v>45695</v>
      </c>
      <c r="K475" s="547" t="s">
        <v>3492</v>
      </c>
      <c r="L475" s="547"/>
      <c r="M475" s="547"/>
      <c r="N475" s="547">
        <v>2024109287</v>
      </c>
      <c r="O475" s="547"/>
      <c r="P475" s="578"/>
    </row>
    <row r="476" spans="1:17">
      <c r="B476" s="503"/>
      <c r="C476" s="508"/>
      <c r="D476" s="508"/>
      <c r="E476" s="508">
        <v>6</v>
      </c>
      <c r="F476" s="547" t="s">
        <v>3338</v>
      </c>
      <c r="G476" s="580" t="s">
        <v>3328</v>
      </c>
      <c r="H476" s="547" t="s">
        <v>4003</v>
      </c>
      <c r="I476" s="547" t="s">
        <v>3956</v>
      </c>
      <c r="J476" s="581">
        <v>45696</v>
      </c>
      <c r="K476" s="547" t="s">
        <v>3493</v>
      </c>
      <c r="L476" s="547"/>
      <c r="M476" s="547"/>
      <c r="N476" s="547">
        <v>2024078762</v>
      </c>
      <c r="O476" s="547"/>
      <c r="P476" s="578"/>
    </row>
    <row r="477" spans="1:17">
      <c r="A477" s="578"/>
      <c r="B477" s="579"/>
      <c r="C477" s="547"/>
      <c r="D477" s="547"/>
      <c r="E477" s="547">
        <v>4</v>
      </c>
      <c r="F477" s="547" t="s">
        <v>3340</v>
      </c>
      <c r="G477" s="580" t="s">
        <v>3328</v>
      </c>
      <c r="H477" s="547">
        <v>20</v>
      </c>
      <c r="I477" s="547" t="s">
        <v>3956</v>
      </c>
      <c r="J477" s="581">
        <v>45697</v>
      </c>
      <c r="K477" s="547" t="s">
        <v>3494</v>
      </c>
      <c r="L477" s="547"/>
      <c r="M477" s="547"/>
      <c r="N477" s="547">
        <v>2024078899</v>
      </c>
      <c r="O477" s="547"/>
      <c r="P477" s="578"/>
      <c r="Q477" s="578"/>
    </row>
    <row r="478" spans="1:17">
      <c r="A478" s="578"/>
      <c r="B478" s="579"/>
      <c r="C478" s="547"/>
      <c r="D478" s="547"/>
      <c r="E478" s="547">
        <v>6</v>
      </c>
      <c r="F478" s="582" t="s">
        <v>4004</v>
      </c>
      <c r="G478" s="582">
        <v>300</v>
      </c>
      <c r="H478" s="582">
        <v>150</v>
      </c>
      <c r="I478" s="583">
        <v>45691</v>
      </c>
      <c r="J478" s="583">
        <v>45691</v>
      </c>
      <c r="K478" s="582" t="s">
        <v>4005</v>
      </c>
      <c r="L478" s="582" t="s">
        <v>4006</v>
      </c>
      <c r="M478" s="582"/>
      <c r="N478" s="582">
        <v>2022033252</v>
      </c>
      <c r="O478" s="582"/>
      <c r="P478" s="578"/>
      <c r="Q478" s="578"/>
    </row>
    <row r="479" spans="1:17">
      <c r="A479" s="578"/>
      <c r="B479" s="579"/>
      <c r="C479" s="547"/>
      <c r="D479" s="547"/>
      <c r="E479" s="547">
        <v>6</v>
      </c>
      <c r="F479" s="582" t="s">
        <v>4007</v>
      </c>
      <c r="G479" s="582">
        <v>100</v>
      </c>
      <c r="H479" s="582">
        <v>100</v>
      </c>
      <c r="I479" s="583">
        <v>45693</v>
      </c>
      <c r="J479" s="583">
        <v>45693</v>
      </c>
      <c r="K479" s="582" t="s">
        <v>4008</v>
      </c>
      <c r="L479" s="582" t="s">
        <v>4006</v>
      </c>
      <c r="M479" s="582"/>
      <c r="N479" s="582">
        <v>2024089095</v>
      </c>
      <c r="O479" s="582"/>
      <c r="P479" s="578"/>
      <c r="Q479" s="578"/>
    </row>
    <row r="480" spans="1:17">
      <c r="B480" s="503"/>
      <c r="C480" s="508"/>
      <c r="D480" s="508"/>
      <c r="E480" s="508">
        <v>7</v>
      </c>
      <c r="F480" s="508" t="s">
        <v>4009</v>
      </c>
      <c r="G480" s="508">
        <v>100</v>
      </c>
      <c r="H480" s="508">
        <v>70</v>
      </c>
      <c r="I480" s="508" t="s">
        <v>3956</v>
      </c>
      <c r="J480" s="508" t="s">
        <v>4010</v>
      </c>
      <c r="K480" s="508" t="s">
        <v>4011</v>
      </c>
      <c r="L480" s="508" t="s">
        <v>4012</v>
      </c>
      <c r="M480" s="508"/>
      <c r="N480" s="508">
        <v>2024099210</v>
      </c>
      <c r="O480" s="508"/>
    </row>
    <row r="481" spans="2:15">
      <c r="B481" s="503" t="s">
        <v>3349</v>
      </c>
      <c r="C481" s="501" t="s">
        <v>3350</v>
      </c>
      <c r="D481" s="501" t="s">
        <v>3351</v>
      </c>
      <c r="E481" s="501">
        <v>1</v>
      </c>
      <c r="F481" s="501" t="s">
        <v>4013</v>
      </c>
      <c r="G481" s="557">
        <v>300</v>
      </c>
      <c r="H481" s="501">
        <v>100</v>
      </c>
      <c r="I481" s="547" t="s">
        <v>3956</v>
      </c>
      <c r="J481" s="526">
        <v>45694</v>
      </c>
      <c r="K481" s="501" t="s">
        <v>4014</v>
      </c>
      <c r="L481" s="501" t="s">
        <v>3348</v>
      </c>
      <c r="M481" s="501" t="s">
        <v>3247</v>
      </c>
      <c r="N481" s="557">
        <v>2024058386</v>
      </c>
      <c r="O481" s="501"/>
    </row>
    <row r="482" spans="2:15">
      <c r="B482" s="503"/>
      <c r="C482" s="508"/>
      <c r="D482" s="508"/>
      <c r="E482" s="508">
        <v>2</v>
      </c>
      <c r="F482" s="508" t="s">
        <v>4015</v>
      </c>
      <c r="G482" s="580" t="s">
        <v>3328</v>
      </c>
      <c r="H482" s="508">
        <v>30</v>
      </c>
      <c r="I482" s="547" t="s">
        <v>3956</v>
      </c>
      <c r="J482" s="524">
        <v>45694</v>
      </c>
      <c r="K482" s="508" t="s">
        <v>4016</v>
      </c>
      <c r="L482" s="508" t="s">
        <v>3348</v>
      </c>
      <c r="M482" s="508" t="s">
        <v>3247</v>
      </c>
      <c r="N482" s="547">
        <v>2024048242</v>
      </c>
      <c r="O482" s="508"/>
    </row>
    <row r="483" spans="2:15">
      <c r="B483" s="503"/>
      <c r="C483" s="508"/>
      <c r="D483" s="508"/>
      <c r="E483" s="508">
        <v>3</v>
      </c>
      <c r="F483" s="508" t="s">
        <v>3659</v>
      </c>
      <c r="G483" s="508">
        <v>100</v>
      </c>
      <c r="H483" s="508">
        <v>20</v>
      </c>
      <c r="I483" s="547" t="s">
        <v>3956</v>
      </c>
      <c r="J483" s="508"/>
      <c r="K483" s="508" t="s">
        <v>4017</v>
      </c>
      <c r="L483" s="508"/>
      <c r="M483" s="508" t="s">
        <v>3358</v>
      </c>
      <c r="N483" s="547">
        <v>2024048197</v>
      </c>
      <c r="O483" s="508"/>
    </row>
    <row r="484" spans="2:15">
      <c r="B484" s="503"/>
      <c r="C484" s="508"/>
      <c r="D484" s="508"/>
      <c r="E484" s="508">
        <v>4</v>
      </c>
      <c r="F484" s="508" t="s">
        <v>4018</v>
      </c>
      <c r="G484" s="580" t="s">
        <v>3328</v>
      </c>
      <c r="H484" s="508">
        <v>10</v>
      </c>
      <c r="I484" s="547" t="s">
        <v>3956</v>
      </c>
      <c r="J484" s="508"/>
      <c r="K484" s="508" t="s">
        <v>4019</v>
      </c>
      <c r="L484" s="508"/>
      <c r="M484" s="508" t="s">
        <v>3358</v>
      </c>
      <c r="N484" s="547">
        <v>2024017672</v>
      </c>
      <c r="O484" s="508"/>
    </row>
    <row r="485" spans="2:15">
      <c r="B485" s="503"/>
      <c r="C485" s="508"/>
      <c r="D485" s="508"/>
      <c r="E485" s="508">
        <v>5</v>
      </c>
      <c r="F485" s="508" t="s">
        <v>4020</v>
      </c>
      <c r="G485" s="580" t="s">
        <v>3328</v>
      </c>
      <c r="H485" s="508">
        <v>10</v>
      </c>
      <c r="I485" s="547" t="s">
        <v>3956</v>
      </c>
      <c r="J485" s="508"/>
      <c r="K485" s="508" t="s">
        <v>4021</v>
      </c>
      <c r="L485" s="508"/>
      <c r="M485" s="508" t="s">
        <v>3358</v>
      </c>
      <c r="N485" s="547">
        <v>2024048321</v>
      </c>
      <c r="O485" s="508"/>
    </row>
    <row r="486" spans="2:15">
      <c r="B486" s="503"/>
      <c r="C486" s="508"/>
      <c r="D486" s="508"/>
      <c r="E486" s="508">
        <v>6</v>
      </c>
      <c r="F486" s="508" t="s">
        <v>4022</v>
      </c>
      <c r="G486" s="580" t="s">
        <v>3328</v>
      </c>
      <c r="H486" s="508">
        <v>10</v>
      </c>
      <c r="I486" s="547" t="s">
        <v>3956</v>
      </c>
      <c r="J486" s="508"/>
      <c r="K486" s="508" t="s">
        <v>4023</v>
      </c>
      <c r="L486" s="508"/>
      <c r="M486" s="508" t="s">
        <v>3358</v>
      </c>
      <c r="N486" s="547">
        <v>2024058389</v>
      </c>
      <c r="O486" s="508"/>
    </row>
    <row r="487" spans="2:15">
      <c r="B487" s="503"/>
      <c r="C487" s="508"/>
      <c r="D487" s="508"/>
      <c r="E487" s="508">
        <v>7</v>
      </c>
      <c r="F487" s="508" t="s">
        <v>4024</v>
      </c>
      <c r="G487" s="580" t="s">
        <v>3328</v>
      </c>
      <c r="H487" s="508">
        <v>10</v>
      </c>
      <c r="I487" s="547" t="s">
        <v>3956</v>
      </c>
      <c r="J487" s="508"/>
      <c r="K487" s="508" t="s">
        <v>4025</v>
      </c>
      <c r="L487" s="508"/>
      <c r="M487" s="508" t="s">
        <v>3358</v>
      </c>
      <c r="N487" s="547">
        <v>2025019581</v>
      </c>
      <c r="O487" s="508"/>
    </row>
    <row r="488" spans="2:15">
      <c r="B488" s="503"/>
      <c r="C488" s="501" t="s">
        <v>3371</v>
      </c>
      <c r="D488" s="501" t="s">
        <v>3294</v>
      </c>
      <c r="E488" s="501">
        <v>1</v>
      </c>
      <c r="F488" s="508" t="s">
        <v>222</v>
      </c>
      <c r="G488" s="508">
        <v>100</v>
      </c>
      <c r="H488" s="508"/>
      <c r="I488" s="501" t="s">
        <v>3915</v>
      </c>
      <c r="J488" s="508" t="s">
        <v>4026</v>
      </c>
      <c r="K488" s="508" t="s">
        <v>4027</v>
      </c>
      <c r="L488" s="501"/>
      <c r="M488" s="501"/>
      <c r="N488" s="557">
        <v>2024048326</v>
      </c>
      <c r="O488" s="501"/>
    </row>
    <row r="489" spans="2:15">
      <c r="B489" s="503"/>
      <c r="C489" s="508"/>
      <c r="D489" s="508"/>
      <c r="E489" s="508">
        <v>2</v>
      </c>
      <c r="F489" s="501" t="s">
        <v>234</v>
      </c>
      <c r="G489" s="501"/>
      <c r="H489" s="501"/>
      <c r="I489" s="501" t="s">
        <v>3915</v>
      </c>
      <c r="J489" s="501"/>
      <c r="K489" s="501" t="s">
        <v>4028</v>
      </c>
      <c r="L489" s="508"/>
      <c r="M489" s="508"/>
      <c r="N489" s="547">
        <v>2024119378</v>
      </c>
      <c r="O489" s="508"/>
    </row>
    <row r="490" spans="2:15">
      <c r="B490" s="503"/>
      <c r="C490" s="508"/>
      <c r="D490" s="508"/>
      <c r="E490" s="508">
        <v>3</v>
      </c>
      <c r="F490" s="508" t="s">
        <v>3512</v>
      </c>
      <c r="G490" s="508"/>
      <c r="H490" s="508"/>
      <c r="I490" s="501" t="s">
        <v>3915</v>
      </c>
      <c r="J490" s="508"/>
      <c r="K490" s="508" t="s">
        <v>4029</v>
      </c>
      <c r="L490" s="508"/>
      <c r="M490" s="508"/>
      <c r="N490" s="547">
        <v>2024068742</v>
      </c>
      <c r="O490" s="508"/>
    </row>
    <row r="491" spans="2:15">
      <c r="B491" s="503"/>
      <c r="C491" s="501" t="s">
        <v>3376</v>
      </c>
      <c r="D491" s="501" t="s">
        <v>3377</v>
      </c>
      <c r="E491" s="501">
        <v>1</v>
      </c>
      <c r="F491" s="501" t="s">
        <v>1306</v>
      </c>
      <c r="G491" s="501"/>
      <c r="H491" s="501"/>
      <c r="I491" s="501" t="s">
        <v>3915</v>
      </c>
      <c r="J491" s="501"/>
      <c r="K491" s="501" t="s">
        <v>3903</v>
      </c>
      <c r="L491" s="501"/>
      <c r="M491" s="501"/>
      <c r="N491" s="501">
        <v>2024017603</v>
      </c>
      <c r="O491" s="501"/>
    </row>
    <row r="492" spans="2:15">
      <c r="B492" s="503"/>
      <c r="C492" s="508"/>
      <c r="D492" s="508"/>
      <c r="E492" s="508">
        <v>2</v>
      </c>
      <c r="F492" s="508" t="s">
        <v>3904</v>
      </c>
      <c r="G492" s="508"/>
      <c r="H492" s="508"/>
      <c r="I492" s="508" t="s">
        <v>3915</v>
      </c>
      <c r="J492" s="508"/>
      <c r="K492" s="508" t="s">
        <v>3905</v>
      </c>
      <c r="L492" s="508"/>
      <c r="M492" s="508"/>
      <c r="N492" s="508">
        <v>2024058583</v>
      </c>
      <c r="O492" s="508"/>
    </row>
    <row r="493" spans="2:15">
      <c r="B493" s="503"/>
      <c r="C493" s="508"/>
      <c r="D493" s="508"/>
      <c r="E493" s="508">
        <v>3</v>
      </c>
      <c r="F493" s="508" t="s">
        <v>3906</v>
      </c>
      <c r="G493" s="508"/>
      <c r="H493" s="508"/>
      <c r="I493" s="508" t="s">
        <v>3915</v>
      </c>
      <c r="J493" s="508"/>
      <c r="K493" s="508" t="s">
        <v>3907</v>
      </c>
      <c r="L493" s="508"/>
      <c r="M493" s="508"/>
      <c r="N493" s="508">
        <v>2024058456</v>
      </c>
      <c r="O493" s="508"/>
    </row>
    <row r="494" spans="2:15">
      <c r="B494" s="503"/>
      <c r="C494" s="508"/>
      <c r="D494" s="508"/>
      <c r="E494" s="508">
        <v>4</v>
      </c>
      <c r="F494" s="508" t="s">
        <v>3908</v>
      </c>
      <c r="G494" s="508"/>
      <c r="H494" s="508"/>
      <c r="I494" s="508" t="s">
        <v>3915</v>
      </c>
      <c r="J494" s="508"/>
      <c r="K494" s="508" t="s">
        <v>3909</v>
      </c>
      <c r="L494" s="508"/>
      <c r="M494" s="508"/>
      <c r="N494" s="508">
        <v>2024119432</v>
      </c>
      <c r="O494" s="508"/>
    </row>
    <row r="495" spans="2:15">
      <c r="B495" s="503"/>
      <c r="C495" s="508"/>
      <c r="D495" s="508"/>
      <c r="E495" s="508">
        <v>5</v>
      </c>
      <c r="F495" s="508" t="s">
        <v>803</v>
      </c>
      <c r="G495" s="508"/>
      <c r="H495" s="508"/>
      <c r="I495" s="508" t="s">
        <v>3915</v>
      </c>
      <c r="J495" s="508"/>
      <c r="K495" s="508" t="s">
        <v>3382</v>
      </c>
      <c r="L495" s="508"/>
      <c r="M495" s="508"/>
      <c r="N495" s="547">
        <v>2024058552</v>
      </c>
      <c r="O495" s="508"/>
    </row>
    <row r="496" spans="2:15">
      <c r="B496" s="503"/>
      <c r="C496" s="508"/>
      <c r="D496" s="508"/>
      <c r="E496" s="508">
        <v>6</v>
      </c>
      <c r="F496" s="508" t="s">
        <v>2363</v>
      </c>
      <c r="G496" s="508"/>
      <c r="H496" s="508"/>
      <c r="I496" s="508" t="s">
        <v>3915</v>
      </c>
      <c r="J496" s="508"/>
      <c r="K496" s="508" t="s">
        <v>3910</v>
      </c>
      <c r="L496" s="508"/>
      <c r="M496" s="508"/>
      <c r="N496" s="508">
        <v>2024109301</v>
      </c>
      <c r="O496" s="508"/>
    </row>
    <row r="497" spans="2:15">
      <c r="B497" s="503"/>
      <c r="C497" s="508"/>
      <c r="D497" s="508"/>
      <c r="E497" s="508">
        <v>7</v>
      </c>
      <c r="F497" s="508" t="s">
        <v>478</v>
      </c>
      <c r="G497" s="508"/>
      <c r="H497" s="508"/>
      <c r="I497" s="508" t="s">
        <v>3915</v>
      </c>
      <c r="J497" s="508"/>
      <c r="K497" s="508" t="s">
        <v>3911</v>
      </c>
      <c r="L497" s="508"/>
      <c r="M497" s="508"/>
      <c r="N497" s="508">
        <v>2025019602</v>
      </c>
      <c r="O497" s="508"/>
    </row>
    <row r="498" spans="2:15">
      <c r="B498" s="503"/>
      <c r="C498" s="501" t="s">
        <v>3385</v>
      </c>
      <c r="D498" s="501" t="s">
        <v>3386</v>
      </c>
      <c r="E498" s="501">
        <v>1</v>
      </c>
      <c r="F498" s="501" t="s">
        <v>3537</v>
      </c>
      <c r="G498" s="501">
        <v>50</v>
      </c>
      <c r="H498" s="501"/>
      <c r="I498" s="526" t="s">
        <v>3915</v>
      </c>
      <c r="J498" s="501"/>
      <c r="K498" s="501" t="s">
        <v>3538</v>
      </c>
      <c r="L498" s="501"/>
      <c r="M498" s="501"/>
      <c r="N498" s="501">
        <v>2024048241</v>
      </c>
      <c r="O498" s="501"/>
    </row>
    <row r="499" spans="2:15">
      <c r="B499" s="503"/>
      <c r="C499" s="508"/>
      <c r="D499" s="508"/>
      <c r="E499" s="508">
        <v>2</v>
      </c>
      <c r="F499" s="547" t="s">
        <v>3522</v>
      </c>
      <c r="G499" s="508">
        <v>100</v>
      </c>
      <c r="H499" s="508"/>
      <c r="I499" s="577" t="s">
        <v>3915</v>
      </c>
      <c r="J499" s="508"/>
      <c r="K499" s="508" t="s">
        <v>3523</v>
      </c>
      <c r="L499" s="508"/>
      <c r="M499" s="508"/>
      <c r="N499" s="508">
        <v>2024027770</v>
      </c>
      <c r="O499" s="508"/>
    </row>
    <row r="500" spans="2:15">
      <c r="B500" s="503"/>
      <c r="C500" s="508"/>
      <c r="D500" s="508"/>
      <c r="E500" s="508">
        <v>3</v>
      </c>
      <c r="F500" s="508" t="s">
        <v>3393</v>
      </c>
      <c r="G500" s="557">
        <v>50</v>
      </c>
      <c r="H500" s="508"/>
      <c r="I500" s="577" t="s">
        <v>3915</v>
      </c>
      <c r="J500" s="508"/>
      <c r="K500" s="508" t="s">
        <v>3394</v>
      </c>
      <c r="L500" s="508"/>
      <c r="M500" s="508"/>
      <c r="N500" s="508">
        <v>2024099148</v>
      </c>
      <c r="O500" s="508"/>
    </row>
    <row r="501" spans="2:15">
      <c r="B501" s="503"/>
      <c r="C501" s="508"/>
      <c r="D501" s="508"/>
      <c r="E501" s="508">
        <v>4</v>
      </c>
      <c r="F501" s="508" t="s">
        <v>3395</v>
      </c>
      <c r="G501" s="557">
        <v>50</v>
      </c>
      <c r="H501" s="508"/>
      <c r="I501" s="577" t="s">
        <v>3915</v>
      </c>
      <c r="J501" s="508"/>
      <c r="K501" s="508" t="s">
        <v>3396</v>
      </c>
      <c r="L501" s="508"/>
      <c r="M501" s="508"/>
      <c r="N501" s="508">
        <v>2024027823</v>
      </c>
      <c r="O501" s="508"/>
    </row>
    <row r="502" spans="2:15">
      <c r="B502" s="503"/>
      <c r="C502" s="501" t="s">
        <v>3399</v>
      </c>
      <c r="D502" s="501" t="s">
        <v>3400</v>
      </c>
      <c r="E502" s="501">
        <v>1</v>
      </c>
      <c r="F502" s="501" t="s">
        <v>4030</v>
      </c>
      <c r="G502" s="501">
        <v>50</v>
      </c>
      <c r="H502" s="501"/>
      <c r="I502" s="501" t="s">
        <v>3915</v>
      </c>
      <c r="J502" s="501"/>
      <c r="K502" s="501" t="str">
        <f t="shared" ref="K502:K507" si="3">F502&amp;" 브랜드위크"</f>
        <v>올가 브랜드위크</v>
      </c>
      <c r="L502" s="501"/>
      <c r="M502" s="501"/>
      <c r="N502" s="651">
        <v>2024129482</v>
      </c>
      <c r="O502" s="501"/>
    </row>
    <row r="503" spans="2:15">
      <c r="B503" s="503"/>
      <c r="C503" s="508"/>
      <c r="D503" s="508"/>
      <c r="E503" s="508">
        <v>2</v>
      </c>
      <c r="F503" s="508" t="s">
        <v>3542</v>
      </c>
      <c r="G503" s="508">
        <v>100</v>
      </c>
      <c r="H503" s="508"/>
      <c r="I503" s="508" t="str">
        <f>I502</f>
        <v>2/3~2/9</v>
      </c>
      <c r="J503" s="508"/>
      <c r="K503" s="547" t="str">
        <f t="shared" si="3"/>
        <v>마녀바스켓 브랜드위크</v>
      </c>
      <c r="L503" s="508"/>
      <c r="M503" s="508"/>
      <c r="N503" s="643">
        <v>2024129446</v>
      </c>
      <c r="O503" s="508"/>
    </row>
    <row r="504" spans="2:15">
      <c r="B504" s="503"/>
      <c r="C504" s="508"/>
      <c r="D504" s="508"/>
      <c r="E504" s="508">
        <v>3</v>
      </c>
      <c r="F504" s="547" t="s">
        <v>4031</v>
      </c>
      <c r="G504" s="547">
        <v>50</v>
      </c>
      <c r="H504" s="547"/>
      <c r="I504" s="547" t="str">
        <f>I503</f>
        <v>2/3~2/9</v>
      </c>
      <c r="J504" s="547"/>
      <c r="K504" s="547" t="str">
        <f t="shared" si="3"/>
        <v>오픈더테이블 브랜드위크</v>
      </c>
      <c r="L504" s="508"/>
      <c r="M504" s="508"/>
      <c r="N504" s="643">
        <v>2024099240</v>
      </c>
      <c r="O504" s="508"/>
    </row>
    <row r="505" spans="2:15">
      <c r="B505" s="503"/>
      <c r="C505" s="508"/>
      <c r="D505" s="508"/>
      <c r="E505" s="508">
        <v>4</v>
      </c>
      <c r="F505" s="547" t="s">
        <v>4032</v>
      </c>
      <c r="G505" s="547"/>
      <c r="H505" s="547"/>
      <c r="I505" s="547" t="str">
        <f>I504</f>
        <v>2/3~2/9</v>
      </c>
      <c r="J505" s="547"/>
      <c r="K505" s="547" t="str">
        <f t="shared" si="3"/>
        <v>쿠캣 브랜드위크</v>
      </c>
      <c r="L505" s="508"/>
      <c r="M505" s="508"/>
      <c r="N505" s="652">
        <v>2024058396</v>
      </c>
      <c r="O505" s="508"/>
    </row>
    <row r="506" spans="2:15">
      <c r="B506" s="503"/>
      <c r="C506" s="508"/>
      <c r="D506" s="508"/>
      <c r="E506" s="508">
        <v>5</v>
      </c>
      <c r="F506" s="547" t="s">
        <v>4033</v>
      </c>
      <c r="G506" s="547"/>
      <c r="H506" s="547"/>
      <c r="I506" s="547" t="str">
        <f>I505</f>
        <v>2/3~2/9</v>
      </c>
      <c r="J506" s="547"/>
      <c r="K506" s="547" t="str">
        <f t="shared" si="3"/>
        <v>보라티알 브랜드위크</v>
      </c>
      <c r="L506" s="508"/>
      <c r="M506" s="508"/>
      <c r="N506" s="652">
        <v>2024058429</v>
      </c>
      <c r="O506" s="508"/>
    </row>
    <row r="507" spans="2:15">
      <c r="B507" s="503"/>
      <c r="C507" s="508"/>
      <c r="D507" s="508"/>
      <c r="E507" s="508">
        <v>6</v>
      </c>
      <c r="F507" s="508" t="s">
        <v>3697</v>
      </c>
      <c r="G507" s="508"/>
      <c r="H507" s="508"/>
      <c r="I507" s="508" t="str">
        <f>I506</f>
        <v>2/3~2/9</v>
      </c>
      <c r="J507" s="508"/>
      <c r="K507" s="547" t="str">
        <f t="shared" si="3"/>
        <v>오뚜기 브랜드위크</v>
      </c>
      <c r="L507" s="508"/>
      <c r="M507" s="508"/>
      <c r="N507" s="652">
        <v>2024048330</v>
      </c>
      <c r="O507" s="508"/>
    </row>
    <row r="508" spans="2:15">
      <c r="B508" s="619" t="s">
        <v>4034</v>
      </c>
      <c r="C508" s="497"/>
      <c r="D508" s="498"/>
      <c r="E508" s="498"/>
      <c r="F508" s="498"/>
      <c r="G508" s="498"/>
      <c r="H508" s="498"/>
      <c r="I508" s="498"/>
      <c r="J508" s="498"/>
      <c r="K508" s="498"/>
      <c r="L508" s="498"/>
      <c r="M508" s="498"/>
      <c r="N508" s="498"/>
      <c r="O508" s="499"/>
    </row>
    <row r="509" spans="2:15">
      <c r="B509" s="500" t="s">
        <v>3232</v>
      </c>
      <c r="C509" s="501" t="s">
        <v>3233</v>
      </c>
      <c r="D509" s="501" t="s">
        <v>3234</v>
      </c>
      <c r="E509" s="501">
        <v>1</v>
      </c>
      <c r="F509" s="501" t="s">
        <v>3406</v>
      </c>
      <c r="G509" s="501"/>
      <c r="H509" s="501"/>
      <c r="I509" s="501" t="s">
        <v>4035</v>
      </c>
      <c r="J509" s="526">
        <v>45700</v>
      </c>
      <c r="K509" s="501" t="s">
        <v>4036</v>
      </c>
      <c r="L509" s="501" t="s">
        <v>4037</v>
      </c>
      <c r="M509" s="501" t="s">
        <v>3358</v>
      </c>
      <c r="N509" s="502">
        <v>2024048318</v>
      </c>
      <c r="O509" s="501"/>
    </row>
    <row r="510" spans="2:15">
      <c r="B510" s="503"/>
      <c r="C510" s="508"/>
      <c r="D510" s="508"/>
      <c r="E510" s="508">
        <v>2</v>
      </c>
      <c r="F510" s="508" t="s">
        <v>4038</v>
      </c>
      <c r="G510" s="508">
        <v>50</v>
      </c>
      <c r="H510" s="508"/>
      <c r="I510" s="508" t="s">
        <v>4035</v>
      </c>
      <c r="J510" s="508" t="s">
        <v>4039</v>
      </c>
      <c r="K510" s="508" t="s">
        <v>4040</v>
      </c>
      <c r="L510" s="653" t="s">
        <v>4041</v>
      </c>
      <c r="M510" s="508" t="s">
        <v>3358</v>
      </c>
      <c r="N510" s="502">
        <v>2024078958</v>
      </c>
      <c r="O510" s="508"/>
    </row>
    <row r="511" spans="2:15">
      <c r="B511" s="503"/>
      <c r="C511" s="508"/>
      <c r="D511" s="508"/>
      <c r="E511" s="508">
        <v>3</v>
      </c>
      <c r="F511" s="508" t="s">
        <v>4042</v>
      </c>
      <c r="G511" s="508"/>
      <c r="H511" s="508"/>
      <c r="I511" s="508" t="s">
        <v>4035</v>
      </c>
      <c r="J511" s="508"/>
      <c r="K511" s="508" t="s">
        <v>4043</v>
      </c>
      <c r="L511" s="508" t="s">
        <v>3433</v>
      </c>
      <c r="M511" s="508" t="s">
        <v>3358</v>
      </c>
      <c r="N511" s="502">
        <v>2025029627</v>
      </c>
      <c r="O511" s="508"/>
    </row>
    <row r="512" spans="2:15">
      <c r="B512" s="503"/>
      <c r="C512" s="508"/>
      <c r="D512" s="508"/>
      <c r="E512" s="508">
        <v>4</v>
      </c>
      <c r="F512" s="508" t="s">
        <v>4044</v>
      </c>
      <c r="G512" s="508"/>
      <c r="H512" s="508"/>
      <c r="I512" s="508" t="s">
        <v>4035</v>
      </c>
      <c r="J512" s="508"/>
      <c r="K512" s="508" t="s">
        <v>4045</v>
      </c>
      <c r="L512" s="508"/>
      <c r="M512" s="508" t="s">
        <v>3358</v>
      </c>
      <c r="N512" s="502">
        <v>2025019555</v>
      </c>
      <c r="O512" s="508"/>
    </row>
    <row r="513" spans="2:15">
      <c r="B513" s="503"/>
      <c r="C513" s="506"/>
      <c r="D513" s="506"/>
      <c r="E513" s="654">
        <v>5</v>
      </c>
      <c r="F513" s="654" t="s">
        <v>3410</v>
      </c>
      <c r="G513" s="654"/>
      <c r="H513" s="654"/>
      <c r="I513" s="655" t="s">
        <v>4035</v>
      </c>
      <c r="J513" s="656">
        <v>45701</v>
      </c>
      <c r="K513" s="654" t="s">
        <v>4046</v>
      </c>
      <c r="L513" s="654" t="s">
        <v>4047</v>
      </c>
      <c r="M513" s="654" t="s">
        <v>3358</v>
      </c>
      <c r="N513" s="502">
        <v>2023127223</v>
      </c>
      <c r="O513" s="654"/>
    </row>
    <row r="514" spans="2:15">
      <c r="B514" s="503"/>
      <c r="C514" s="506" t="s">
        <v>3243</v>
      </c>
      <c r="D514" s="506" t="s">
        <v>3244</v>
      </c>
      <c r="E514" s="501">
        <v>1</v>
      </c>
      <c r="F514" s="506" t="s">
        <v>3564</v>
      </c>
      <c r="G514" s="506">
        <v>100</v>
      </c>
      <c r="H514" s="506"/>
      <c r="I514" s="506" t="s">
        <v>4035</v>
      </c>
      <c r="J514" s="506"/>
      <c r="K514" s="506" t="s">
        <v>4048</v>
      </c>
      <c r="L514" s="506"/>
      <c r="M514" s="501" t="s">
        <v>3358</v>
      </c>
      <c r="N514" s="561">
        <v>2024099262</v>
      </c>
      <c r="O514" s="506"/>
    </row>
    <row r="515" spans="2:15">
      <c r="B515" s="503"/>
      <c r="C515" s="508"/>
      <c r="D515" s="508"/>
      <c r="E515" s="508">
        <v>2</v>
      </c>
      <c r="F515" s="508" t="s">
        <v>4049</v>
      </c>
      <c r="G515" s="508"/>
      <c r="H515" s="508"/>
      <c r="I515" s="508" t="s">
        <v>4035</v>
      </c>
      <c r="J515" s="508"/>
      <c r="K515" s="508" t="s">
        <v>4050</v>
      </c>
      <c r="L515" s="508"/>
      <c r="M515" s="508" t="s">
        <v>3358</v>
      </c>
      <c r="N515" s="534">
        <v>2024099259</v>
      </c>
      <c r="O515" s="508"/>
    </row>
    <row r="516" spans="2:15">
      <c r="B516" s="503"/>
      <c r="C516" s="508"/>
      <c r="D516" s="508"/>
      <c r="E516" s="508">
        <v>3</v>
      </c>
      <c r="F516" s="508" t="s">
        <v>3413</v>
      </c>
      <c r="G516" s="508"/>
      <c r="H516" s="508"/>
      <c r="I516" s="508" t="s">
        <v>4035</v>
      </c>
      <c r="J516" s="508"/>
      <c r="K516" s="508" t="s">
        <v>4051</v>
      </c>
      <c r="L516" s="508" t="s">
        <v>4052</v>
      </c>
      <c r="M516" s="508" t="s">
        <v>3358</v>
      </c>
      <c r="N516" s="534">
        <v>2024099124</v>
      </c>
      <c r="O516" s="508"/>
    </row>
    <row r="517" spans="2:15">
      <c r="B517" s="503"/>
      <c r="C517" s="508"/>
      <c r="D517" s="508"/>
      <c r="E517" s="508">
        <v>4</v>
      </c>
      <c r="F517" s="508" t="s">
        <v>4053</v>
      </c>
      <c r="G517" s="508"/>
      <c r="H517" s="508"/>
      <c r="I517" s="508" t="s">
        <v>4035</v>
      </c>
      <c r="J517" s="508"/>
      <c r="K517" s="508" t="s">
        <v>4054</v>
      </c>
      <c r="L517" s="508"/>
      <c r="M517" s="508" t="s">
        <v>3358</v>
      </c>
      <c r="N517" s="532">
        <v>2024109290</v>
      </c>
      <c r="O517" s="508"/>
    </row>
    <row r="518" spans="2:15">
      <c r="B518" s="503"/>
      <c r="C518" s="506" t="s">
        <v>3250</v>
      </c>
      <c r="D518" s="506" t="s">
        <v>3251</v>
      </c>
      <c r="E518" s="501">
        <v>1</v>
      </c>
      <c r="F518" s="506" t="s">
        <v>4055</v>
      </c>
      <c r="G518" s="506"/>
      <c r="H518" s="506"/>
      <c r="I518" s="506" t="s">
        <v>4035</v>
      </c>
      <c r="J518" s="506" t="s">
        <v>4056</v>
      </c>
      <c r="K518" s="506" t="s">
        <v>4057</v>
      </c>
      <c r="L518" s="506" t="s">
        <v>4058</v>
      </c>
      <c r="M518" s="506" t="s">
        <v>3434</v>
      </c>
      <c r="N518" s="506">
        <v>2025029614</v>
      </c>
      <c r="O518" s="506"/>
    </row>
    <row r="519" spans="2:15" ht="17.25">
      <c r="B519" s="503"/>
      <c r="C519" s="508"/>
      <c r="D519" s="508"/>
      <c r="E519" s="508">
        <v>2</v>
      </c>
      <c r="F519" s="508" t="s">
        <v>3584</v>
      </c>
      <c r="G519" s="508"/>
      <c r="H519" s="508"/>
      <c r="I519" s="508" t="s">
        <v>4035</v>
      </c>
      <c r="J519" s="508" t="s">
        <v>4035</v>
      </c>
      <c r="K519" s="508" t="s">
        <v>4059</v>
      </c>
      <c r="L519" s="508"/>
      <c r="M519" s="508" t="s">
        <v>3358</v>
      </c>
      <c r="N519" s="544">
        <v>2024109315</v>
      </c>
      <c r="O519" s="508"/>
    </row>
    <row r="520" spans="2:15" ht="17.25">
      <c r="B520" s="503"/>
      <c r="C520" s="508"/>
      <c r="D520" s="508"/>
      <c r="E520" s="508">
        <v>3</v>
      </c>
      <c r="F520" s="508" t="s">
        <v>4060</v>
      </c>
      <c r="G520" s="508"/>
      <c r="H520" s="508"/>
      <c r="I520" s="508" t="s">
        <v>4035</v>
      </c>
      <c r="J520" s="508" t="s">
        <v>4035</v>
      </c>
      <c r="K520" s="508" t="s">
        <v>4061</v>
      </c>
      <c r="L520" s="508"/>
      <c r="M520" s="508" t="s">
        <v>3358</v>
      </c>
      <c r="N520" s="565">
        <v>2024099193</v>
      </c>
      <c r="O520" s="508"/>
    </row>
    <row r="521" spans="2:15" ht="17.25">
      <c r="B521" s="503"/>
      <c r="C521" s="508"/>
      <c r="D521" s="508"/>
      <c r="E521" s="508">
        <v>4</v>
      </c>
      <c r="F521" s="508" t="s">
        <v>4062</v>
      </c>
      <c r="G521" s="508"/>
      <c r="H521" s="508"/>
      <c r="I521" s="508" t="s">
        <v>4035</v>
      </c>
      <c r="J521" s="508" t="s">
        <v>4035</v>
      </c>
      <c r="K521" s="508" t="s">
        <v>4063</v>
      </c>
      <c r="L521" s="508"/>
      <c r="M521" s="508" t="s">
        <v>3358</v>
      </c>
      <c r="N521" s="536">
        <v>2024109296</v>
      </c>
      <c r="O521" s="508"/>
    </row>
    <row r="522" spans="2:15" ht="17.25">
      <c r="B522" s="503"/>
      <c r="C522" s="508"/>
      <c r="D522" s="508"/>
      <c r="E522" s="508">
        <v>5</v>
      </c>
      <c r="F522" s="508" t="s">
        <v>4064</v>
      </c>
      <c r="G522" s="508"/>
      <c r="H522" s="508"/>
      <c r="I522" s="508" t="s">
        <v>4035</v>
      </c>
      <c r="J522" s="508" t="s">
        <v>4035</v>
      </c>
      <c r="K522" s="508" t="s">
        <v>4065</v>
      </c>
      <c r="L522" s="508"/>
      <c r="M522" s="508" t="s">
        <v>3358</v>
      </c>
      <c r="N522" s="568">
        <v>2024068621</v>
      </c>
      <c r="O522" s="508"/>
    </row>
    <row r="523" spans="2:15" ht="17.25">
      <c r="B523" s="503"/>
      <c r="C523" s="508"/>
      <c r="D523" s="508"/>
      <c r="E523" s="508">
        <v>6</v>
      </c>
      <c r="F523" s="508" t="s">
        <v>3740</v>
      </c>
      <c r="G523" s="508"/>
      <c r="H523" s="508"/>
      <c r="I523" s="508" t="s">
        <v>4035</v>
      </c>
      <c r="J523" s="508" t="s">
        <v>4035</v>
      </c>
      <c r="K523" s="508" t="s">
        <v>4066</v>
      </c>
      <c r="L523" s="508"/>
      <c r="M523" s="508" t="s">
        <v>3358</v>
      </c>
      <c r="N523" s="536">
        <v>2024099269</v>
      </c>
      <c r="O523" s="508"/>
    </row>
    <row r="524" spans="2:15" ht="17.25">
      <c r="B524" s="503"/>
      <c r="C524" s="508"/>
      <c r="D524" s="508"/>
      <c r="E524" s="508">
        <v>7</v>
      </c>
      <c r="F524" s="508" t="s">
        <v>4067</v>
      </c>
      <c r="G524" s="508"/>
      <c r="H524" s="508"/>
      <c r="I524" s="508" t="s">
        <v>4035</v>
      </c>
      <c r="J524" s="508" t="s">
        <v>4035</v>
      </c>
      <c r="K524" s="508" t="s">
        <v>4068</v>
      </c>
      <c r="L524" s="547" t="s">
        <v>4069</v>
      </c>
      <c r="M524" s="508" t="s">
        <v>3358</v>
      </c>
      <c r="N524" s="565">
        <v>2024099200</v>
      </c>
      <c r="O524" s="508"/>
    </row>
    <row r="525" spans="2:15">
      <c r="B525" s="503"/>
      <c r="C525" s="508"/>
      <c r="D525" s="508"/>
      <c r="E525" s="508">
        <v>8</v>
      </c>
      <c r="F525" s="508" t="s">
        <v>4070</v>
      </c>
      <c r="G525" s="508"/>
      <c r="H525" s="508"/>
      <c r="I525" s="508" t="s">
        <v>4035</v>
      </c>
      <c r="J525" s="508" t="s">
        <v>4035</v>
      </c>
      <c r="K525" s="508" t="s">
        <v>4071</v>
      </c>
      <c r="L525" s="508" t="s">
        <v>3433</v>
      </c>
      <c r="M525" s="508" t="s">
        <v>3358</v>
      </c>
      <c r="N525" s="508">
        <v>2025029615</v>
      </c>
      <c r="O525" s="508"/>
    </row>
    <row r="526" spans="2:15" ht="17.25">
      <c r="B526" s="503"/>
      <c r="C526" s="508"/>
      <c r="D526" s="508"/>
      <c r="E526" s="508">
        <v>9</v>
      </c>
      <c r="F526" s="508" t="s">
        <v>3270</v>
      </c>
      <c r="G526" s="508"/>
      <c r="H526" s="508"/>
      <c r="I526" s="508" t="s">
        <v>4035</v>
      </c>
      <c r="J526" s="508" t="s">
        <v>4035</v>
      </c>
      <c r="K526" s="508" t="s">
        <v>4072</v>
      </c>
      <c r="L526" s="508"/>
      <c r="M526" s="508" t="s">
        <v>3358</v>
      </c>
      <c r="N526" s="536">
        <v>2024099270</v>
      </c>
      <c r="O526" s="508"/>
    </row>
    <row r="527" spans="2:15" ht="17.25">
      <c r="B527" s="515"/>
      <c r="C527" s="516"/>
      <c r="D527" s="516"/>
      <c r="E527" s="516">
        <v>10</v>
      </c>
      <c r="F527" s="516" t="s">
        <v>4073</v>
      </c>
      <c r="G527" s="516"/>
      <c r="H527" s="516"/>
      <c r="I527" s="516" t="s">
        <v>4035</v>
      </c>
      <c r="J527" s="516" t="s">
        <v>4056</v>
      </c>
      <c r="K527" s="516" t="s">
        <v>4074</v>
      </c>
      <c r="L527" s="516" t="s">
        <v>4069</v>
      </c>
      <c r="M527" s="547" t="s">
        <v>3358</v>
      </c>
      <c r="N527" s="632">
        <v>2024099264</v>
      </c>
      <c r="O527" s="516"/>
    </row>
    <row r="528" spans="2:15">
      <c r="B528" s="503" t="s">
        <v>3276</v>
      </c>
      <c r="C528" s="506" t="s">
        <v>3277</v>
      </c>
      <c r="D528" s="506" t="s">
        <v>3278</v>
      </c>
      <c r="E528" s="501">
        <v>1</v>
      </c>
      <c r="F528" s="506" t="s">
        <v>4075</v>
      </c>
      <c r="G528" s="506">
        <v>100</v>
      </c>
      <c r="H528" s="506">
        <v>10</v>
      </c>
      <c r="I528" s="506" t="s">
        <v>4035</v>
      </c>
      <c r="J528" s="506" t="s">
        <v>4076</v>
      </c>
      <c r="K528" s="506" t="s">
        <v>4077</v>
      </c>
      <c r="L528" s="506"/>
      <c r="M528" s="506" t="s">
        <v>3358</v>
      </c>
      <c r="N528" s="506">
        <v>2023127227</v>
      </c>
      <c r="O528" s="506"/>
    </row>
    <row r="529" spans="2:15">
      <c r="B529" s="503"/>
      <c r="C529" s="508"/>
      <c r="D529" s="508"/>
      <c r="E529" s="508">
        <v>2</v>
      </c>
      <c r="F529" s="508" t="s">
        <v>3852</v>
      </c>
      <c r="G529" s="508"/>
      <c r="H529" s="508">
        <v>5</v>
      </c>
      <c r="I529" s="508" t="s">
        <v>4035</v>
      </c>
      <c r="J529" s="508" t="s">
        <v>4056</v>
      </c>
      <c r="K529" s="508" t="s">
        <v>4078</v>
      </c>
      <c r="L529" s="508"/>
      <c r="M529" s="508" t="s">
        <v>3358</v>
      </c>
      <c r="N529" s="508">
        <v>2024017567</v>
      </c>
      <c r="O529" s="508"/>
    </row>
    <row r="530" spans="2:15">
      <c r="B530" s="503"/>
      <c r="C530" s="508"/>
      <c r="D530" s="508"/>
      <c r="E530" s="508">
        <v>3</v>
      </c>
      <c r="F530" s="508" t="s">
        <v>3279</v>
      </c>
      <c r="G530" s="508">
        <v>100</v>
      </c>
      <c r="H530" s="508">
        <v>10</v>
      </c>
      <c r="I530" s="508" t="s">
        <v>4035</v>
      </c>
      <c r="J530" s="508" t="s">
        <v>4079</v>
      </c>
      <c r="K530" s="508" t="s">
        <v>4080</v>
      </c>
      <c r="L530" s="508"/>
      <c r="M530" s="508" t="s">
        <v>3358</v>
      </c>
      <c r="N530" s="508">
        <v>2024027857</v>
      </c>
      <c r="O530" s="508"/>
    </row>
    <row r="531" spans="2:15">
      <c r="B531" s="503"/>
      <c r="C531" s="508"/>
      <c r="D531" s="508"/>
      <c r="E531" s="508">
        <v>4</v>
      </c>
      <c r="F531" s="508" t="s">
        <v>3283</v>
      </c>
      <c r="G531" s="508"/>
      <c r="H531" s="508">
        <v>5</v>
      </c>
      <c r="I531" s="508" t="s">
        <v>4035</v>
      </c>
      <c r="J531" s="508" t="s">
        <v>4081</v>
      </c>
      <c r="K531" s="508" t="s">
        <v>4082</v>
      </c>
      <c r="L531" s="508"/>
      <c r="M531" s="508" t="s">
        <v>3358</v>
      </c>
      <c r="N531" s="508">
        <v>2023127229</v>
      </c>
      <c r="O531" s="508"/>
    </row>
    <row r="532" spans="2:15">
      <c r="B532" s="503"/>
      <c r="C532" s="508"/>
      <c r="D532" s="508"/>
      <c r="E532" s="508">
        <v>5</v>
      </c>
      <c r="F532" s="508" t="s">
        <v>3449</v>
      </c>
      <c r="G532" s="508"/>
      <c r="H532" s="508">
        <v>5</v>
      </c>
      <c r="I532" s="508" t="s">
        <v>4035</v>
      </c>
      <c r="J532" s="508" t="s">
        <v>4056</v>
      </c>
      <c r="K532" s="508" t="s">
        <v>4083</v>
      </c>
      <c r="L532" s="508"/>
      <c r="M532" s="508" t="s">
        <v>3358</v>
      </c>
      <c r="N532" s="508">
        <v>2023127388</v>
      </c>
      <c r="O532" s="508"/>
    </row>
    <row r="533" spans="2:15">
      <c r="B533" s="503"/>
      <c r="C533" s="506" t="s">
        <v>4084</v>
      </c>
      <c r="D533" s="506" t="s">
        <v>3292</v>
      </c>
      <c r="E533" s="501">
        <v>1</v>
      </c>
      <c r="F533" s="508" t="s">
        <v>4085</v>
      </c>
      <c r="G533" s="508"/>
      <c r="H533" s="508">
        <v>10</v>
      </c>
      <c r="I533" s="547" t="s">
        <v>4086</v>
      </c>
      <c r="J533" s="524" t="s">
        <v>4087</v>
      </c>
      <c r="K533" s="508" t="s">
        <v>4088</v>
      </c>
      <c r="L533" s="508"/>
      <c r="M533" s="508" t="s">
        <v>3358</v>
      </c>
      <c r="N533" s="508">
        <v>2023086314</v>
      </c>
      <c r="O533" s="508"/>
    </row>
    <row r="534" spans="2:15" s="662" customFormat="1">
      <c r="B534" s="657"/>
      <c r="C534" s="658" t="s">
        <v>3291</v>
      </c>
      <c r="D534" s="658" t="s">
        <v>3292</v>
      </c>
      <c r="E534" s="659">
        <v>2</v>
      </c>
      <c r="F534" s="659" t="s">
        <v>4089</v>
      </c>
      <c r="G534" s="659"/>
      <c r="H534" s="659">
        <v>10</v>
      </c>
      <c r="I534" s="660" t="s">
        <v>4090</v>
      </c>
      <c r="J534" s="661" t="s">
        <v>4091</v>
      </c>
      <c r="K534" s="659" t="s">
        <v>4092</v>
      </c>
      <c r="L534" s="659"/>
      <c r="M534" s="659" t="s">
        <v>3358</v>
      </c>
      <c r="N534" s="659">
        <v>2023127392</v>
      </c>
      <c r="O534" s="659"/>
    </row>
    <row r="535" spans="2:15">
      <c r="B535" s="503"/>
      <c r="C535" s="506" t="s">
        <v>3291</v>
      </c>
      <c r="D535" s="508" t="s">
        <v>942</v>
      </c>
      <c r="E535" s="508">
        <v>3</v>
      </c>
      <c r="F535" s="508" t="s">
        <v>4093</v>
      </c>
      <c r="G535" s="508"/>
      <c r="H535" s="508">
        <v>10</v>
      </c>
      <c r="I535" s="547" t="s">
        <v>4090</v>
      </c>
      <c r="J535" s="524" t="s">
        <v>4091</v>
      </c>
      <c r="K535" s="508" t="s">
        <v>4094</v>
      </c>
      <c r="L535" s="508"/>
      <c r="M535" s="508" t="s">
        <v>3358</v>
      </c>
      <c r="N535" s="508">
        <v>2023127395</v>
      </c>
      <c r="O535" s="508"/>
    </row>
    <row r="536" spans="2:15">
      <c r="B536" s="503"/>
      <c r="C536" s="506" t="s">
        <v>3293</v>
      </c>
      <c r="D536" s="506" t="s">
        <v>3294</v>
      </c>
      <c r="E536" s="506">
        <v>1</v>
      </c>
      <c r="F536" s="506" t="s">
        <v>411</v>
      </c>
      <c r="G536" s="506"/>
      <c r="H536" s="506"/>
      <c r="I536" s="547" t="s">
        <v>4035</v>
      </c>
      <c r="J536" s="506" t="s">
        <v>4095</v>
      </c>
      <c r="K536" s="506" t="s">
        <v>4096</v>
      </c>
      <c r="L536" s="506"/>
      <c r="M536" s="506"/>
      <c r="N536" s="506">
        <v>2025029629</v>
      </c>
      <c r="O536" s="506"/>
    </row>
    <row r="537" spans="2:15">
      <c r="B537" s="503"/>
      <c r="C537" s="508"/>
      <c r="D537" s="508"/>
      <c r="E537" s="508">
        <v>2</v>
      </c>
      <c r="F537" s="550" t="s">
        <v>4097</v>
      </c>
      <c r="G537" s="550"/>
      <c r="H537" s="550"/>
      <c r="I537" s="550" t="s">
        <v>4035</v>
      </c>
      <c r="J537" s="550" t="s">
        <v>4098</v>
      </c>
      <c r="K537" s="550" t="s">
        <v>4099</v>
      </c>
      <c r="L537" s="550"/>
      <c r="M537" s="550"/>
      <c r="N537" s="550">
        <v>2024129519</v>
      </c>
      <c r="O537" s="550"/>
    </row>
    <row r="538" spans="2:15">
      <c r="B538" s="503" t="s">
        <v>3300</v>
      </c>
      <c r="C538" s="506" t="s">
        <v>3301</v>
      </c>
      <c r="D538" s="506" t="s">
        <v>3302</v>
      </c>
      <c r="E538" s="603">
        <v>1</v>
      </c>
      <c r="F538" s="663" t="s">
        <v>4100</v>
      </c>
      <c r="G538" s="663"/>
      <c r="H538" s="663"/>
      <c r="I538" s="664" t="s">
        <v>4035</v>
      </c>
      <c r="J538" s="665">
        <v>45702</v>
      </c>
      <c r="K538" s="663" t="s">
        <v>4101</v>
      </c>
      <c r="L538" s="663"/>
      <c r="M538" s="663"/>
      <c r="N538" s="663">
        <v>2025029628</v>
      </c>
      <c r="O538" s="663"/>
    </row>
    <row r="539" spans="2:15">
      <c r="B539" s="503"/>
      <c r="C539" s="508"/>
      <c r="D539" s="508"/>
      <c r="E539" s="508">
        <v>2</v>
      </c>
      <c r="F539" s="484" t="s">
        <v>4102</v>
      </c>
      <c r="G539" s="508"/>
      <c r="H539" s="508"/>
      <c r="I539" s="547" t="s">
        <v>4035</v>
      </c>
      <c r="J539" s="524">
        <v>45704</v>
      </c>
      <c r="K539" s="508" t="s">
        <v>4103</v>
      </c>
      <c r="L539" s="508"/>
      <c r="M539" s="508"/>
      <c r="N539" s="508">
        <v>2025029617</v>
      </c>
      <c r="O539" s="508"/>
    </row>
    <row r="540" spans="2:15">
      <c r="B540" s="503"/>
      <c r="C540" s="508"/>
      <c r="D540" s="508"/>
      <c r="E540" s="508">
        <v>3</v>
      </c>
      <c r="F540" s="508" t="s">
        <v>4104</v>
      </c>
      <c r="G540" s="508"/>
      <c r="H540" s="508"/>
      <c r="I540" s="547" t="s">
        <v>4035</v>
      </c>
      <c r="J540" s="524">
        <v>45698</v>
      </c>
      <c r="K540" s="508" t="s">
        <v>4105</v>
      </c>
      <c r="L540" s="508"/>
      <c r="M540" s="508"/>
      <c r="N540" s="508">
        <v>2025029618</v>
      </c>
      <c r="O540" s="508"/>
    </row>
    <row r="541" spans="2:15">
      <c r="B541" s="503"/>
      <c r="C541" s="508"/>
      <c r="D541" s="508"/>
      <c r="E541" s="508">
        <v>4</v>
      </c>
      <c r="F541" s="508" t="s">
        <v>3304</v>
      </c>
      <c r="G541" s="508"/>
      <c r="H541" s="508"/>
      <c r="I541" s="547" t="s">
        <v>4035</v>
      </c>
      <c r="J541" s="524">
        <v>45701</v>
      </c>
      <c r="K541" s="508" t="s">
        <v>4106</v>
      </c>
      <c r="L541" s="508"/>
      <c r="M541" s="508"/>
      <c r="N541" s="508">
        <v>2025029619</v>
      </c>
      <c r="O541" s="508"/>
    </row>
    <row r="542" spans="2:15">
      <c r="B542" s="503"/>
      <c r="C542" s="508"/>
      <c r="D542" s="508"/>
      <c r="E542" s="508">
        <v>5</v>
      </c>
      <c r="F542" s="508" t="s">
        <v>3637</v>
      </c>
      <c r="G542" s="508"/>
      <c r="H542" s="508"/>
      <c r="I542" s="547" t="s">
        <v>4035</v>
      </c>
      <c r="J542" s="524">
        <v>45698</v>
      </c>
      <c r="K542" s="508" t="s">
        <v>3637</v>
      </c>
      <c r="L542" s="508"/>
      <c r="M542" s="508"/>
      <c r="N542" s="508">
        <v>2025029620</v>
      </c>
      <c r="O542" s="508"/>
    </row>
    <row r="543" spans="2:15">
      <c r="B543" s="503"/>
      <c r="C543" s="508"/>
      <c r="D543" s="508"/>
      <c r="E543" s="508">
        <v>6</v>
      </c>
      <c r="F543" s="508" t="s">
        <v>4107</v>
      </c>
      <c r="G543" s="508"/>
      <c r="H543" s="508"/>
      <c r="I543" s="547" t="s">
        <v>4035</v>
      </c>
      <c r="J543" s="524">
        <v>45699</v>
      </c>
      <c r="K543" s="508" t="s">
        <v>4108</v>
      </c>
      <c r="L543" s="508"/>
      <c r="M543" s="508"/>
      <c r="N543" s="508">
        <v>2025029621</v>
      </c>
      <c r="O543" s="508"/>
    </row>
    <row r="544" spans="2:15">
      <c r="B544" s="503"/>
      <c r="C544" s="508"/>
      <c r="D544" s="508"/>
      <c r="E544" s="508">
        <v>7</v>
      </c>
      <c r="F544" s="508" t="s">
        <v>3628</v>
      </c>
      <c r="G544" s="508"/>
      <c r="H544" s="508"/>
      <c r="I544" s="547" t="s">
        <v>4035</v>
      </c>
      <c r="J544" s="524">
        <v>45700</v>
      </c>
      <c r="K544" s="508" t="s">
        <v>4109</v>
      </c>
      <c r="L544" s="508"/>
      <c r="M544" s="508"/>
      <c r="N544" s="508">
        <v>2025029622</v>
      </c>
      <c r="O544" s="508"/>
    </row>
    <row r="545" spans="2:15">
      <c r="B545" s="503"/>
      <c r="C545" s="508"/>
      <c r="D545" s="508"/>
      <c r="E545" s="508">
        <v>8</v>
      </c>
      <c r="F545" s="508" t="s">
        <v>4110</v>
      </c>
      <c r="G545" s="508"/>
      <c r="H545" s="508"/>
      <c r="I545" s="547" t="s">
        <v>4035</v>
      </c>
      <c r="J545" s="524">
        <v>45701</v>
      </c>
      <c r="K545" s="508" t="s">
        <v>4111</v>
      </c>
      <c r="L545" s="508"/>
      <c r="M545" s="508"/>
      <c r="N545" s="508">
        <v>2025029623</v>
      </c>
      <c r="O545" s="508"/>
    </row>
    <row r="546" spans="2:15">
      <c r="B546" s="503"/>
      <c r="C546" s="508"/>
      <c r="D546" s="508"/>
      <c r="E546" s="508">
        <v>9</v>
      </c>
      <c r="F546" s="508" t="s">
        <v>4112</v>
      </c>
      <c r="G546" s="508"/>
      <c r="H546" s="508"/>
      <c r="I546" s="547" t="s">
        <v>4035</v>
      </c>
      <c r="J546" s="524">
        <v>45702</v>
      </c>
      <c r="K546" s="508"/>
      <c r="L546" s="508"/>
      <c r="M546" s="508"/>
      <c r="N546" s="508">
        <v>2025029624</v>
      </c>
      <c r="O546" s="508"/>
    </row>
    <row r="547" spans="2:15">
      <c r="B547" s="503"/>
      <c r="C547" s="516"/>
      <c r="D547" s="516"/>
      <c r="E547" s="516">
        <v>10</v>
      </c>
      <c r="F547" s="516" t="s">
        <v>3783</v>
      </c>
      <c r="G547" s="516"/>
      <c r="H547" s="516"/>
      <c r="I547" s="569" t="s">
        <v>4035</v>
      </c>
      <c r="J547" s="523">
        <v>45703</v>
      </c>
      <c r="K547" s="516"/>
      <c r="L547" s="516"/>
      <c r="M547" s="516"/>
      <c r="N547" s="516">
        <v>2025029625</v>
      </c>
      <c r="O547" s="516"/>
    </row>
    <row r="548" spans="2:15">
      <c r="B548" s="503"/>
      <c r="C548" s="501" t="s">
        <v>3474</v>
      </c>
      <c r="D548" s="501" t="s">
        <v>3315</v>
      </c>
      <c r="E548" s="501">
        <v>1</v>
      </c>
      <c r="F548" s="501" t="s">
        <v>3880</v>
      </c>
      <c r="G548" s="501"/>
      <c r="H548" s="501">
        <v>15</v>
      </c>
      <c r="I548" s="547" t="s">
        <v>4035</v>
      </c>
      <c r="J548" s="501"/>
      <c r="K548" s="501"/>
      <c r="L548" s="501"/>
      <c r="M548" s="501"/>
      <c r="N548" s="501">
        <v>2024109363</v>
      </c>
      <c r="O548" s="501"/>
    </row>
    <row r="549" spans="2:15">
      <c r="B549" s="503"/>
      <c r="C549" s="508"/>
      <c r="D549" s="508"/>
      <c r="E549" s="508">
        <v>2</v>
      </c>
      <c r="F549" s="508" t="s">
        <v>3879</v>
      </c>
      <c r="G549" s="508"/>
      <c r="H549" s="508">
        <v>15</v>
      </c>
      <c r="I549" s="547" t="s">
        <v>4035</v>
      </c>
      <c r="J549" s="508"/>
      <c r="K549" s="508"/>
      <c r="L549" s="508"/>
      <c r="M549" s="508"/>
      <c r="N549" s="508">
        <v>2024109362</v>
      </c>
      <c r="O549" s="508"/>
    </row>
    <row r="550" spans="2:15">
      <c r="B550" s="503"/>
      <c r="C550" s="508"/>
      <c r="D550" s="508"/>
      <c r="E550" s="508">
        <v>3</v>
      </c>
      <c r="F550" s="508" t="s">
        <v>3320</v>
      </c>
      <c r="G550" s="508"/>
      <c r="H550" s="508"/>
      <c r="I550" s="547" t="s">
        <v>4035</v>
      </c>
      <c r="J550" s="508"/>
      <c r="K550" s="508"/>
      <c r="L550" s="508"/>
      <c r="M550" s="508"/>
      <c r="N550" s="508">
        <v>2024017624</v>
      </c>
      <c r="O550" s="508"/>
    </row>
    <row r="551" spans="2:15">
      <c r="B551" s="503"/>
      <c r="C551" s="508"/>
      <c r="D551" s="508"/>
      <c r="E551" s="508">
        <v>4</v>
      </c>
      <c r="F551" s="508" t="s">
        <v>4113</v>
      </c>
      <c r="G551" s="508">
        <v>100</v>
      </c>
      <c r="H551" s="508">
        <v>15</v>
      </c>
      <c r="I551" s="547" t="s">
        <v>4035</v>
      </c>
      <c r="J551" s="524">
        <v>45703</v>
      </c>
      <c r="K551" s="508" t="s">
        <v>4114</v>
      </c>
      <c r="L551" s="508" t="s">
        <v>4115</v>
      </c>
      <c r="M551" s="508"/>
      <c r="N551" s="508">
        <v>2024129476</v>
      </c>
      <c r="O551" s="508"/>
    </row>
    <row r="552" spans="2:15">
      <c r="B552" s="503"/>
      <c r="C552" s="508"/>
      <c r="D552" s="508"/>
      <c r="E552" s="508">
        <v>5</v>
      </c>
      <c r="F552" s="508" t="s">
        <v>4116</v>
      </c>
      <c r="G552" s="508"/>
      <c r="H552" s="508"/>
      <c r="I552" s="547" t="s">
        <v>4035</v>
      </c>
      <c r="J552" s="508"/>
      <c r="K552" s="508"/>
      <c r="L552" s="508"/>
      <c r="M552" s="508"/>
      <c r="N552" s="508">
        <v>2025019568</v>
      </c>
      <c r="O552" s="508"/>
    </row>
    <row r="553" spans="2:15">
      <c r="B553" s="503"/>
      <c r="C553" s="508"/>
      <c r="D553" s="508"/>
      <c r="E553" s="508">
        <v>6</v>
      </c>
      <c r="F553" s="508" t="s">
        <v>4117</v>
      </c>
      <c r="G553" s="508"/>
      <c r="H553" s="508"/>
      <c r="I553" s="547" t="s">
        <v>4035</v>
      </c>
      <c r="J553" s="508"/>
      <c r="K553" s="508"/>
      <c r="L553" s="508"/>
      <c r="M553" s="508"/>
      <c r="N553" s="508">
        <v>2025019570</v>
      </c>
      <c r="O553" s="508"/>
    </row>
    <row r="554" spans="2:15">
      <c r="B554" s="503"/>
      <c r="C554" s="508"/>
      <c r="D554" s="508"/>
      <c r="E554" s="508">
        <v>7</v>
      </c>
      <c r="F554" s="508" t="s">
        <v>4118</v>
      </c>
      <c r="G554" s="508"/>
      <c r="H554" s="508"/>
      <c r="I554" s="547" t="s">
        <v>4035</v>
      </c>
      <c r="J554" s="508"/>
      <c r="K554" s="508"/>
      <c r="L554" s="508"/>
      <c r="M554" s="508"/>
      <c r="N554" s="508">
        <v>2025019569</v>
      </c>
      <c r="O554" s="508"/>
    </row>
    <row r="555" spans="2:15">
      <c r="B555" s="503"/>
      <c r="C555" s="506"/>
      <c r="D555" s="506"/>
      <c r="E555" s="506">
        <v>8</v>
      </c>
      <c r="F555" s="506" t="s">
        <v>4119</v>
      </c>
      <c r="G555" s="506"/>
      <c r="H555" s="506"/>
      <c r="I555" s="547" t="s">
        <v>4035</v>
      </c>
      <c r="J555" s="506"/>
      <c r="K555" s="506"/>
      <c r="L555" s="506"/>
      <c r="M555" s="506"/>
      <c r="N555" s="506">
        <v>2025029626</v>
      </c>
      <c r="O555" s="506"/>
    </row>
    <row r="556" spans="2:15">
      <c r="B556" s="500" t="s">
        <v>3324</v>
      </c>
      <c r="C556" s="501" t="s">
        <v>3325</v>
      </c>
      <c r="D556" s="501" t="s">
        <v>3326</v>
      </c>
      <c r="E556" s="501">
        <v>1</v>
      </c>
      <c r="F556" s="557" t="s">
        <v>4002</v>
      </c>
      <c r="G556" s="576" t="s">
        <v>3328</v>
      </c>
      <c r="H556" s="557">
        <v>15</v>
      </c>
      <c r="I556" s="501" t="s">
        <v>4120</v>
      </c>
      <c r="J556" s="577">
        <v>45698</v>
      </c>
      <c r="K556" s="557" t="s">
        <v>3488</v>
      </c>
      <c r="L556" s="501"/>
      <c r="M556" s="501"/>
      <c r="N556" s="501">
        <v>2024058452</v>
      </c>
      <c r="O556" s="501"/>
    </row>
    <row r="557" spans="2:15">
      <c r="B557" s="503"/>
      <c r="C557" s="508"/>
      <c r="D557" s="508"/>
      <c r="E557" s="508">
        <v>2</v>
      </c>
      <c r="F557" s="547" t="s">
        <v>3330</v>
      </c>
      <c r="G557" s="580" t="s">
        <v>3328</v>
      </c>
      <c r="H557" s="547">
        <v>20</v>
      </c>
      <c r="I557" s="547" t="s">
        <v>4120</v>
      </c>
      <c r="J557" s="581">
        <v>45699</v>
      </c>
      <c r="K557" s="547" t="s">
        <v>3489</v>
      </c>
      <c r="L557" s="547"/>
      <c r="M557" s="547"/>
      <c r="N557" s="547">
        <v>2024058453</v>
      </c>
      <c r="O557" s="508"/>
    </row>
    <row r="558" spans="2:15">
      <c r="B558" s="503"/>
      <c r="C558" s="508"/>
      <c r="D558" s="508"/>
      <c r="E558" s="508">
        <v>3</v>
      </c>
      <c r="F558" s="547" t="s">
        <v>3332</v>
      </c>
      <c r="G558" s="580" t="s">
        <v>3328</v>
      </c>
      <c r="H558" s="547">
        <v>15</v>
      </c>
      <c r="I558" s="547" t="s">
        <v>4120</v>
      </c>
      <c r="J558" s="581">
        <v>45700</v>
      </c>
      <c r="K558" s="547" t="s">
        <v>3490</v>
      </c>
      <c r="L558" s="547"/>
      <c r="M558" s="547"/>
      <c r="N558" s="547">
        <v>2024068760</v>
      </c>
      <c r="O558" s="508"/>
    </row>
    <row r="559" spans="2:15">
      <c r="B559" s="503"/>
      <c r="C559" s="508"/>
      <c r="D559" s="508"/>
      <c r="E559" s="508">
        <v>4</v>
      </c>
      <c r="F559" s="547" t="s">
        <v>3334</v>
      </c>
      <c r="G559" s="580" t="s">
        <v>3328</v>
      </c>
      <c r="H559" s="547">
        <v>10</v>
      </c>
      <c r="I559" s="547" t="s">
        <v>4120</v>
      </c>
      <c r="J559" s="581">
        <v>45702</v>
      </c>
      <c r="K559" s="547" t="s">
        <v>3491</v>
      </c>
      <c r="L559" s="547"/>
      <c r="M559" s="547"/>
      <c r="N559" s="547">
        <v>2024068644</v>
      </c>
      <c r="O559" s="508"/>
    </row>
    <row r="560" spans="2:15">
      <c r="B560" s="503"/>
      <c r="C560" s="508"/>
      <c r="D560" s="508"/>
      <c r="E560" s="508">
        <v>5</v>
      </c>
      <c r="F560" s="547" t="s">
        <v>3336</v>
      </c>
      <c r="G560" s="580" t="s">
        <v>3328</v>
      </c>
      <c r="H560" s="547">
        <v>10</v>
      </c>
      <c r="I560" s="547" t="s">
        <v>4120</v>
      </c>
      <c r="J560" s="581">
        <v>45703</v>
      </c>
      <c r="K560" s="547" t="s">
        <v>3492</v>
      </c>
      <c r="L560" s="547"/>
      <c r="M560" s="547"/>
      <c r="N560" s="547">
        <v>2024109287</v>
      </c>
      <c r="O560" s="508"/>
    </row>
    <row r="561" spans="2:15">
      <c r="B561" s="503"/>
      <c r="C561" s="508"/>
      <c r="D561" s="508"/>
      <c r="E561" s="508">
        <v>6</v>
      </c>
      <c r="F561" s="547" t="s">
        <v>3338</v>
      </c>
      <c r="G561" s="580" t="s">
        <v>3328</v>
      </c>
      <c r="H561" s="547">
        <v>10</v>
      </c>
      <c r="I561" s="547" t="s">
        <v>4120</v>
      </c>
      <c r="J561" s="581">
        <v>45704</v>
      </c>
      <c r="K561" s="547" t="s">
        <v>3493</v>
      </c>
      <c r="L561" s="547"/>
      <c r="M561" s="547"/>
      <c r="N561" s="547">
        <v>2024078762</v>
      </c>
      <c r="O561" s="508"/>
    </row>
    <row r="562" spans="2:15">
      <c r="B562" s="503"/>
      <c r="C562" s="508"/>
      <c r="D562" s="508"/>
      <c r="E562" s="508">
        <v>7</v>
      </c>
      <c r="F562" s="547" t="s">
        <v>3340</v>
      </c>
      <c r="G562" s="580" t="s">
        <v>3328</v>
      </c>
      <c r="H562" s="547">
        <v>20</v>
      </c>
      <c r="I562" s="547" t="s">
        <v>4120</v>
      </c>
      <c r="J562" s="581">
        <v>45704</v>
      </c>
      <c r="K562" s="547" t="s">
        <v>3494</v>
      </c>
      <c r="L562" s="547"/>
      <c r="M562" s="547"/>
      <c r="N562" s="547">
        <v>2024078899</v>
      </c>
      <c r="O562" s="508"/>
    </row>
    <row r="563" spans="2:15">
      <c r="B563" s="503"/>
      <c r="C563" s="508"/>
      <c r="D563" s="508"/>
      <c r="E563" s="508">
        <v>8</v>
      </c>
      <c r="F563" s="582" t="s">
        <v>4121</v>
      </c>
      <c r="G563" s="582">
        <v>50</v>
      </c>
      <c r="H563" s="582">
        <v>70</v>
      </c>
      <c r="I563" s="583">
        <v>45701</v>
      </c>
      <c r="J563" s="583">
        <v>45701</v>
      </c>
      <c r="K563" s="582" t="s">
        <v>4122</v>
      </c>
      <c r="L563" s="582" t="s">
        <v>3348</v>
      </c>
      <c r="M563" s="582"/>
      <c r="N563" s="582">
        <v>2024099114</v>
      </c>
      <c r="O563" s="508"/>
    </row>
    <row r="564" spans="2:15">
      <c r="B564" s="503" t="s">
        <v>3349</v>
      </c>
      <c r="C564" s="501" t="s">
        <v>3350</v>
      </c>
      <c r="D564" s="501" t="s">
        <v>3351</v>
      </c>
      <c r="E564" s="501">
        <v>1</v>
      </c>
      <c r="F564" s="501" t="s">
        <v>4123</v>
      </c>
      <c r="G564" s="501">
        <v>100</v>
      </c>
      <c r="H564" s="501">
        <v>10</v>
      </c>
      <c r="I564" s="557" t="s">
        <v>4035</v>
      </c>
      <c r="J564" s="526">
        <v>45698</v>
      </c>
      <c r="K564" s="557" t="s">
        <v>4124</v>
      </c>
      <c r="L564" s="501" t="s">
        <v>3348</v>
      </c>
      <c r="M564" s="501" t="s">
        <v>3358</v>
      </c>
      <c r="N564" s="501">
        <v>2024129480</v>
      </c>
      <c r="O564" s="501"/>
    </row>
    <row r="565" spans="2:15">
      <c r="B565" s="503"/>
      <c r="C565" s="508"/>
      <c r="D565" s="508"/>
      <c r="E565" s="508">
        <v>2</v>
      </c>
      <c r="F565" s="508" t="s">
        <v>4125</v>
      </c>
      <c r="G565" s="508">
        <v>500</v>
      </c>
      <c r="H565" s="508">
        <v>30</v>
      </c>
      <c r="I565" s="547" t="s">
        <v>4035</v>
      </c>
      <c r="J565" s="524">
        <v>45700</v>
      </c>
      <c r="K565" s="547" t="s">
        <v>4126</v>
      </c>
      <c r="L565" s="508" t="s">
        <v>4127</v>
      </c>
      <c r="M565" s="508" t="s">
        <v>3358</v>
      </c>
      <c r="N565" s="508">
        <v>2024058585</v>
      </c>
      <c r="O565" s="508"/>
    </row>
    <row r="566" spans="2:15">
      <c r="B566" s="503"/>
      <c r="C566" s="508"/>
      <c r="D566" s="508"/>
      <c r="E566" s="508">
        <v>3</v>
      </c>
      <c r="F566" s="508" t="s">
        <v>3663</v>
      </c>
      <c r="G566" s="508">
        <v>300</v>
      </c>
      <c r="H566" s="508">
        <v>15</v>
      </c>
      <c r="I566" s="547" t="s">
        <v>4035</v>
      </c>
      <c r="J566" s="508"/>
      <c r="K566" s="547" t="s">
        <v>4128</v>
      </c>
      <c r="L566" s="508"/>
      <c r="M566" s="508" t="s">
        <v>3358</v>
      </c>
      <c r="N566" s="508">
        <v>2024027790</v>
      </c>
      <c r="O566" s="508"/>
    </row>
    <row r="567" spans="2:15">
      <c r="B567" s="503"/>
      <c r="C567" s="508"/>
      <c r="D567" s="508"/>
      <c r="E567" s="508">
        <v>4</v>
      </c>
      <c r="F567" s="508" t="s">
        <v>4129</v>
      </c>
      <c r="G567" s="508">
        <v>100</v>
      </c>
      <c r="H567" s="508">
        <v>10</v>
      </c>
      <c r="I567" s="547" t="s">
        <v>4035</v>
      </c>
      <c r="J567" s="508"/>
      <c r="K567" s="547" t="s">
        <v>4130</v>
      </c>
      <c r="L567" s="508"/>
      <c r="M567" s="508" t="s">
        <v>3358</v>
      </c>
      <c r="N567" s="508">
        <v>2024048246</v>
      </c>
      <c r="O567" s="508"/>
    </row>
    <row r="568" spans="2:15">
      <c r="B568" s="503"/>
      <c r="C568" s="508"/>
      <c r="D568" s="508"/>
      <c r="E568" s="508">
        <v>5</v>
      </c>
      <c r="F568" s="508" t="s">
        <v>3657</v>
      </c>
      <c r="G568" s="508">
        <v>200</v>
      </c>
      <c r="H568" s="508">
        <v>15</v>
      </c>
      <c r="I568" s="547" t="s">
        <v>4035</v>
      </c>
      <c r="J568" s="508"/>
      <c r="K568" s="547" t="s">
        <v>4131</v>
      </c>
      <c r="L568" s="508"/>
      <c r="M568" s="508" t="s">
        <v>3358</v>
      </c>
      <c r="N568" s="508">
        <v>2024058388</v>
      </c>
      <c r="O568" s="508"/>
    </row>
    <row r="569" spans="2:15">
      <c r="B569" s="503"/>
      <c r="C569" s="508"/>
      <c r="D569" s="508"/>
      <c r="E569" s="508">
        <v>6</v>
      </c>
      <c r="F569" s="508" t="s">
        <v>2565</v>
      </c>
      <c r="G569" s="508">
        <v>100</v>
      </c>
      <c r="H569" s="508">
        <v>10</v>
      </c>
      <c r="I569" s="547" t="s">
        <v>4035</v>
      </c>
      <c r="J569" s="508"/>
      <c r="K569" s="547" t="s">
        <v>4132</v>
      </c>
      <c r="L569" s="508"/>
      <c r="M569" s="508" t="s">
        <v>3358</v>
      </c>
      <c r="N569" s="508">
        <v>2025019577</v>
      </c>
      <c r="O569" s="508"/>
    </row>
    <row r="570" spans="2:15">
      <c r="B570" s="503"/>
      <c r="C570" s="508"/>
      <c r="D570" s="508"/>
      <c r="E570" s="508">
        <v>7</v>
      </c>
      <c r="F570" s="508" t="s">
        <v>4133</v>
      </c>
      <c r="G570" s="508">
        <v>100</v>
      </c>
      <c r="H570" s="508">
        <v>10</v>
      </c>
      <c r="I570" s="547" t="s">
        <v>4035</v>
      </c>
      <c r="J570" s="508"/>
      <c r="K570" s="547" t="s">
        <v>4134</v>
      </c>
      <c r="L570" s="508"/>
      <c r="M570" s="508" t="s">
        <v>3358</v>
      </c>
      <c r="N570" s="508">
        <v>2024048162</v>
      </c>
      <c r="O570" s="508"/>
    </row>
    <row r="571" spans="2:15">
      <c r="B571" s="503"/>
      <c r="C571" s="508"/>
      <c r="D571" s="508"/>
      <c r="E571" s="508">
        <v>8</v>
      </c>
      <c r="F571" s="508" t="s">
        <v>3672</v>
      </c>
      <c r="G571" s="508">
        <v>100</v>
      </c>
      <c r="H571" s="508">
        <v>10</v>
      </c>
      <c r="I571" s="547" t="s">
        <v>4035</v>
      </c>
      <c r="J571" s="508"/>
      <c r="K571" s="547" t="s">
        <v>4135</v>
      </c>
      <c r="L571" s="508"/>
      <c r="M571" s="508" t="s">
        <v>3358</v>
      </c>
      <c r="N571" s="508">
        <v>2024048163</v>
      </c>
      <c r="O571" s="508"/>
    </row>
    <row r="572" spans="2:15">
      <c r="B572" s="503"/>
      <c r="C572" s="508"/>
      <c r="D572" s="508"/>
      <c r="E572" s="508">
        <v>9</v>
      </c>
      <c r="F572" s="508" t="s">
        <v>1554</v>
      </c>
      <c r="G572" s="508">
        <v>100</v>
      </c>
      <c r="H572" s="508">
        <v>10</v>
      </c>
      <c r="I572" s="508" t="s">
        <v>4035</v>
      </c>
      <c r="J572" s="524" t="s">
        <v>4136</v>
      </c>
      <c r="K572" s="547" t="s">
        <v>4137</v>
      </c>
      <c r="L572" s="508"/>
      <c r="M572" s="508" t="s">
        <v>3358</v>
      </c>
      <c r="N572" s="508">
        <v>2024048201</v>
      </c>
      <c r="O572" s="508"/>
    </row>
    <row r="573" spans="2:15">
      <c r="B573" s="503"/>
      <c r="C573" s="516"/>
      <c r="D573" s="516"/>
      <c r="E573" s="516">
        <v>10</v>
      </c>
      <c r="F573" s="516" t="s">
        <v>3885</v>
      </c>
      <c r="G573" s="516"/>
      <c r="H573" s="547">
        <v>10</v>
      </c>
      <c r="I573" s="547" t="s">
        <v>4035</v>
      </c>
      <c r="J573" s="516"/>
      <c r="K573" s="569" t="s">
        <v>4138</v>
      </c>
      <c r="L573" s="516"/>
      <c r="M573" s="547" t="s">
        <v>3358</v>
      </c>
      <c r="N573" s="516">
        <v>2024037977</v>
      </c>
      <c r="O573" s="516"/>
    </row>
    <row r="574" spans="2:15">
      <c r="B574" s="503"/>
      <c r="C574" s="501" t="s">
        <v>3371</v>
      </c>
      <c r="D574" s="501" t="s">
        <v>3294</v>
      </c>
      <c r="E574" s="501">
        <v>1</v>
      </c>
      <c r="F574" s="557" t="s">
        <v>239</v>
      </c>
      <c r="G574" s="501">
        <v>100</v>
      </c>
      <c r="H574" s="501"/>
      <c r="I574" s="547" t="s">
        <v>4035</v>
      </c>
      <c r="J574" s="549" t="s">
        <v>4095</v>
      </c>
      <c r="K574" s="501" t="s">
        <v>4139</v>
      </c>
      <c r="L574" s="501"/>
      <c r="M574" s="501"/>
      <c r="N574" s="501">
        <v>2024119377</v>
      </c>
      <c r="O574" s="501"/>
    </row>
    <row r="575" spans="2:15">
      <c r="B575" s="503"/>
      <c r="C575" s="501" t="s">
        <v>3376</v>
      </c>
      <c r="D575" s="501" t="s">
        <v>3377</v>
      </c>
      <c r="E575" s="501">
        <v>1</v>
      </c>
      <c r="F575" s="501" t="s">
        <v>1292</v>
      </c>
      <c r="G575" s="501"/>
      <c r="H575" s="501"/>
      <c r="I575" s="547" t="s">
        <v>4035</v>
      </c>
      <c r="J575" s="501"/>
      <c r="K575" s="501" t="s">
        <v>3821</v>
      </c>
      <c r="L575" s="501"/>
      <c r="M575" s="501"/>
      <c r="N575" s="501">
        <v>2024068685</v>
      </c>
      <c r="O575" s="501"/>
    </row>
    <row r="576" spans="2:15">
      <c r="B576" s="503"/>
      <c r="C576" s="508"/>
      <c r="D576" s="508"/>
      <c r="E576" s="508">
        <v>2</v>
      </c>
      <c r="F576" s="508" t="s">
        <v>3906</v>
      </c>
      <c r="G576" s="508"/>
      <c r="H576" s="508"/>
      <c r="I576" s="547" t="s">
        <v>4035</v>
      </c>
      <c r="J576" s="508"/>
      <c r="K576" s="508" t="s">
        <v>3907</v>
      </c>
      <c r="L576" s="508"/>
      <c r="M576" s="508"/>
      <c r="N576" s="508">
        <v>2024048312</v>
      </c>
      <c r="O576" s="508"/>
    </row>
    <row r="577" spans="2:15">
      <c r="B577" s="503"/>
      <c r="C577" s="508"/>
      <c r="D577" s="508"/>
      <c r="E577" s="508">
        <v>3</v>
      </c>
      <c r="F577" s="508" t="s">
        <v>3378</v>
      </c>
      <c r="G577" s="508"/>
      <c r="H577" s="508"/>
      <c r="I577" s="547" t="s">
        <v>4035</v>
      </c>
      <c r="J577" s="508"/>
      <c r="K577" s="508" t="s">
        <v>3379</v>
      </c>
      <c r="L577" s="508"/>
      <c r="M577" s="508"/>
      <c r="N577" s="508">
        <v>2024058459</v>
      </c>
      <c r="O577" s="508"/>
    </row>
    <row r="578" spans="2:15">
      <c r="B578" s="503"/>
      <c r="C578" s="508"/>
      <c r="D578" s="508"/>
      <c r="E578" s="508">
        <v>4</v>
      </c>
      <c r="F578" s="508" t="s">
        <v>1314</v>
      </c>
      <c r="G578" s="508"/>
      <c r="H578" s="508"/>
      <c r="I578" s="547" t="s">
        <v>4035</v>
      </c>
      <c r="J578" s="508"/>
      <c r="K578" s="508" t="s">
        <v>4140</v>
      </c>
      <c r="L578" s="508"/>
      <c r="M578" s="508"/>
      <c r="N578" s="508">
        <v>2024038142</v>
      </c>
      <c r="O578" s="508"/>
    </row>
    <row r="579" spans="2:15">
      <c r="B579" s="503"/>
      <c r="C579" s="508"/>
      <c r="D579" s="508"/>
      <c r="E579" s="508">
        <v>5</v>
      </c>
      <c r="F579" s="508" t="s">
        <v>3517</v>
      </c>
      <c r="G579" s="508"/>
      <c r="H579" s="508"/>
      <c r="I579" s="547" t="s">
        <v>4035</v>
      </c>
      <c r="J579" s="508"/>
      <c r="K579" s="508" t="s">
        <v>3518</v>
      </c>
      <c r="L579" s="508"/>
      <c r="M579" s="508"/>
      <c r="N579" s="508">
        <v>2024048311</v>
      </c>
      <c r="O579" s="508"/>
    </row>
    <row r="580" spans="2:15">
      <c r="B580" s="503"/>
      <c r="C580" s="501" t="s">
        <v>3385</v>
      </c>
      <c r="D580" s="501" t="s">
        <v>3386</v>
      </c>
      <c r="E580" s="501">
        <v>1</v>
      </c>
      <c r="F580" s="501" t="s">
        <v>4141</v>
      </c>
      <c r="G580" s="501"/>
      <c r="H580" s="501"/>
      <c r="I580" s="501" t="s">
        <v>4035</v>
      </c>
      <c r="J580" s="501"/>
      <c r="K580" s="501" t="s">
        <v>4142</v>
      </c>
      <c r="L580" s="501"/>
      <c r="M580" s="501"/>
      <c r="N580" s="501">
        <v>2024058580</v>
      </c>
      <c r="O580" s="501"/>
    </row>
    <row r="581" spans="2:15">
      <c r="B581" s="503"/>
      <c r="C581" s="508"/>
      <c r="D581" s="508"/>
      <c r="E581" s="508">
        <v>2</v>
      </c>
      <c r="F581" s="508" t="s">
        <v>2338</v>
      </c>
      <c r="G581" s="508">
        <v>100</v>
      </c>
      <c r="H581" s="508"/>
      <c r="I581" s="508" t="s">
        <v>4035</v>
      </c>
      <c r="J581" s="508"/>
      <c r="K581" s="508" t="s">
        <v>3536</v>
      </c>
      <c r="L581" s="508"/>
      <c r="M581" s="508"/>
      <c r="N581" s="508">
        <v>2024068637</v>
      </c>
      <c r="O581" s="508"/>
    </row>
    <row r="582" spans="2:15">
      <c r="B582" s="503"/>
      <c r="C582" s="508"/>
      <c r="D582" s="508"/>
      <c r="E582" s="508">
        <v>3</v>
      </c>
      <c r="F582" s="508" t="s">
        <v>3528</v>
      </c>
      <c r="G582" s="508">
        <v>100</v>
      </c>
      <c r="H582" s="508"/>
      <c r="I582" s="508" t="s">
        <v>4035</v>
      </c>
      <c r="J582" s="508"/>
      <c r="K582" s="508" t="s">
        <v>3529</v>
      </c>
      <c r="L582" s="508"/>
      <c r="M582" s="508"/>
      <c r="N582" s="508">
        <v>2024058501</v>
      </c>
      <c r="O582" s="508"/>
    </row>
    <row r="583" spans="2:15">
      <c r="B583" s="503"/>
      <c r="C583" s="508"/>
      <c r="D583" s="508"/>
      <c r="E583" s="508">
        <v>4</v>
      </c>
      <c r="F583" s="508" t="s">
        <v>3690</v>
      </c>
      <c r="G583" s="508">
        <v>50</v>
      </c>
      <c r="H583" s="508"/>
      <c r="I583" s="508" t="s">
        <v>4035</v>
      </c>
      <c r="J583" s="508"/>
      <c r="K583" s="508" t="s">
        <v>3691</v>
      </c>
      <c r="L583" s="508"/>
      <c r="M583" s="508"/>
      <c r="N583" s="508">
        <v>2024027822</v>
      </c>
      <c r="O583" s="508"/>
    </row>
    <row r="584" spans="2:15">
      <c r="B584" s="503"/>
      <c r="C584" s="508"/>
      <c r="D584" s="508"/>
      <c r="E584" s="508">
        <v>5</v>
      </c>
      <c r="F584" s="508" t="s">
        <v>3534</v>
      </c>
      <c r="G584" s="508">
        <v>100</v>
      </c>
      <c r="H584" s="508"/>
      <c r="I584" s="508" t="s">
        <v>4035</v>
      </c>
      <c r="J584" s="508"/>
      <c r="K584" s="508" t="s">
        <v>4143</v>
      </c>
      <c r="L584" s="508"/>
      <c r="M584" s="508"/>
      <c r="N584" s="508">
        <v>2024068638</v>
      </c>
      <c r="O584" s="508"/>
    </row>
    <row r="585" spans="2:15">
      <c r="B585" s="503"/>
      <c r="C585" s="508"/>
      <c r="D585" s="508"/>
      <c r="E585" s="508">
        <v>6</v>
      </c>
      <c r="F585" s="508" t="s">
        <v>3537</v>
      </c>
      <c r="G585" s="508">
        <v>50</v>
      </c>
      <c r="H585" s="508"/>
      <c r="I585" s="508" t="s">
        <v>4035</v>
      </c>
      <c r="J585" s="508"/>
      <c r="K585" s="508" t="s">
        <v>3538</v>
      </c>
      <c r="L585" s="508"/>
      <c r="M585" s="508"/>
      <c r="N585" s="508">
        <v>2024048171</v>
      </c>
      <c r="O585" s="508"/>
    </row>
    <row r="586" spans="2:15">
      <c r="B586" s="503"/>
      <c r="C586" s="508"/>
      <c r="D586" s="508"/>
      <c r="E586" s="508">
        <v>7</v>
      </c>
      <c r="F586" s="508" t="s">
        <v>3824</v>
      </c>
      <c r="G586" s="508"/>
      <c r="H586" s="508"/>
      <c r="I586" s="508" t="s">
        <v>4035</v>
      </c>
      <c r="J586" s="508"/>
      <c r="K586" s="508" t="s">
        <v>3825</v>
      </c>
      <c r="L586" s="508"/>
      <c r="M586" s="508"/>
      <c r="N586" s="508">
        <v>2024027771</v>
      </c>
      <c r="O586" s="508"/>
    </row>
    <row r="587" spans="2:15">
      <c r="B587" s="503"/>
      <c r="C587" s="501" t="s">
        <v>3399</v>
      </c>
      <c r="D587" s="501" t="s">
        <v>3400</v>
      </c>
      <c r="E587" s="501">
        <v>1</v>
      </c>
      <c r="F587" s="501" t="s">
        <v>4144</v>
      </c>
      <c r="G587" s="501">
        <v>25</v>
      </c>
      <c r="H587" s="501"/>
      <c r="I587" s="547" t="s">
        <v>4035</v>
      </c>
      <c r="J587" s="501"/>
      <c r="K587" s="501" t="s">
        <v>4145</v>
      </c>
      <c r="L587" s="501"/>
      <c r="M587" s="501" t="s">
        <v>3358</v>
      </c>
      <c r="N587" s="558">
        <v>2025019575</v>
      </c>
      <c r="O587" s="501"/>
    </row>
    <row r="588" spans="2:15" ht="33">
      <c r="B588" s="503"/>
      <c r="C588" s="508"/>
      <c r="D588" s="508"/>
      <c r="E588" s="508">
        <v>2</v>
      </c>
      <c r="F588" s="508" t="s">
        <v>1237</v>
      </c>
      <c r="G588" s="508">
        <v>200</v>
      </c>
      <c r="H588" s="508"/>
      <c r="I588" s="547" t="s">
        <v>4035</v>
      </c>
      <c r="J588" s="666" t="s">
        <v>4146</v>
      </c>
      <c r="K588" s="508" t="s">
        <v>4147</v>
      </c>
      <c r="L588" s="508"/>
      <c r="M588" s="508" t="s">
        <v>3358</v>
      </c>
      <c r="N588" s="559">
        <v>2024109275</v>
      </c>
      <c r="O588" s="508"/>
    </row>
    <row r="589" spans="2:15">
      <c r="B589" s="503"/>
      <c r="C589" s="508"/>
      <c r="D589" s="508"/>
      <c r="E589" s="508">
        <v>3</v>
      </c>
      <c r="F589" s="508" t="s">
        <v>3701</v>
      </c>
      <c r="G589" s="508"/>
      <c r="H589" s="508"/>
      <c r="I589" s="547" t="s">
        <v>4035</v>
      </c>
      <c r="J589" s="508"/>
      <c r="K589" s="508" t="s">
        <v>3703</v>
      </c>
      <c r="L589" s="508"/>
      <c r="M589" s="508" t="s">
        <v>3358</v>
      </c>
      <c r="N589" s="559">
        <v>2024017494</v>
      </c>
      <c r="O589" s="508"/>
    </row>
    <row r="590" spans="2:15">
      <c r="B590" s="503"/>
      <c r="C590" s="508"/>
      <c r="D590" s="508"/>
      <c r="E590" s="508">
        <v>4</v>
      </c>
      <c r="F590" s="508" t="s">
        <v>3403</v>
      </c>
      <c r="G590" s="508"/>
      <c r="H590" s="508"/>
      <c r="I590" s="547" t="s">
        <v>4035</v>
      </c>
      <c r="J590" s="508"/>
      <c r="K590" s="508" t="s">
        <v>3404</v>
      </c>
      <c r="L590" s="508"/>
      <c r="M590" s="508" t="s">
        <v>3358</v>
      </c>
      <c r="N590" s="559">
        <v>2024048251</v>
      </c>
      <c r="O590" s="508"/>
    </row>
    <row r="591" spans="2:15">
      <c r="B591" s="503"/>
      <c r="C591" s="508"/>
      <c r="D591" s="508"/>
      <c r="E591" s="522">
        <v>5</v>
      </c>
      <c r="F591" s="522" t="s">
        <v>3544</v>
      </c>
      <c r="G591" s="522"/>
      <c r="H591" s="522"/>
      <c r="I591" s="574" t="s">
        <v>4035</v>
      </c>
      <c r="J591" s="522"/>
      <c r="K591" s="522" t="s">
        <v>4148</v>
      </c>
      <c r="L591" s="522"/>
      <c r="M591" s="522" t="s">
        <v>3358</v>
      </c>
      <c r="N591" s="667">
        <v>2024129483</v>
      </c>
      <c r="O591" s="522"/>
    </row>
    <row r="592" spans="2:15">
      <c r="B592" s="503"/>
      <c r="C592" s="508"/>
      <c r="D592" s="508"/>
      <c r="E592" s="508">
        <v>6</v>
      </c>
      <c r="F592" s="508" t="s">
        <v>3543</v>
      </c>
      <c r="G592" s="508"/>
      <c r="H592" s="508"/>
      <c r="I592" s="547" t="s">
        <v>4035</v>
      </c>
      <c r="J592" s="508"/>
      <c r="K592" s="508" t="s">
        <v>4149</v>
      </c>
      <c r="L592" s="508"/>
      <c r="M592" s="508" t="s">
        <v>3358</v>
      </c>
      <c r="N592" s="559">
        <v>2024038102</v>
      </c>
      <c r="O592" s="508"/>
    </row>
    <row r="593" spans="2:15">
      <c r="B593" s="619" t="s">
        <v>4150</v>
      </c>
      <c r="C593" s="668"/>
      <c r="D593" s="602"/>
      <c r="E593" s="602"/>
      <c r="F593" s="602"/>
      <c r="G593" s="602"/>
      <c r="H593" s="602"/>
      <c r="I593" s="669"/>
      <c r="J593" s="602"/>
      <c r="K593" s="602"/>
      <c r="L593" s="602"/>
      <c r="M593" s="602"/>
      <c r="N593" s="602"/>
      <c r="O593" s="670"/>
    </row>
    <row r="594" spans="2:15">
      <c r="B594" s="575" t="s">
        <v>3232</v>
      </c>
      <c r="C594" s="557" t="s">
        <v>3233</v>
      </c>
      <c r="D594" s="557" t="s">
        <v>3234</v>
      </c>
      <c r="E594" s="557">
        <v>1</v>
      </c>
      <c r="F594" s="557" t="s">
        <v>4151</v>
      </c>
      <c r="G594" s="557">
        <v>50</v>
      </c>
      <c r="H594" s="557"/>
      <c r="I594" s="557" t="s">
        <v>4152</v>
      </c>
      <c r="J594" s="577" t="s">
        <v>4153</v>
      </c>
      <c r="K594" s="557" t="s">
        <v>4154</v>
      </c>
      <c r="L594" s="557"/>
      <c r="M594" s="501" t="s">
        <v>3358</v>
      </c>
      <c r="N594" s="502">
        <v>2024089048</v>
      </c>
      <c r="O594" s="557"/>
    </row>
    <row r="595" spans="2:15">
      <c r="B595" s="503"/>
      <c r="C595" s="508"/>
      <c r="D595" s="508"/>
      <c r="E595" s="508">
        <v>2</v>
      </c>
      <c r="F595" s="508" t="s">
        <v>3549</v>
      </c>
      <c r="G595" s="508">
        <v>50</v>
      </c>
      <c r="H595" s="508"/>
      <c r="I595" s="508" t="s">
        <v>4152</v>
      </c>
      <c r="J595" s="508" t="s">
        <v>4155</v>
      </c>
      <c r="K595" s="508" t="s">
        <v>4156</v>
      </c>
      <c r="L595" s="508"/>
      <c r="M595" s="508" t="s">
        <v>3358</v>
      </c>
      <c r="N595" s="502">
        <v>2024038128</v>
      </c>
      <c r="O595" s="508"/>
    </row>
    <row r="596" spans="2:15">
      <c r="B596" s="503"/>
      <c r="C596" s="508"/>
      <c r="D596" s="508"/>
      <c r="E596" s="508">
        <v>3</v>
      </c>
      <c r="F596" s="508" t="s">
        <v>4157</v>
      </c>
      <c r="G596" s="508">
        <v>100</v>
      </c>
      <c r="H596" s="508"/>
      <c r="I596" s="508" t="s">
        <v>4152</v>
      </c>
      <c r="J596" s="524" t="s">
        <v>4158</v>
      </c>
      <c r="K596" s="508" t="s">
        <v>4159</v>
      </c>
      <c r="L596" s="508"/>
      <c r="M596" s="508" t="s">
        <v>3358</v>
      </c>
      <c r="N596" s="502">
        <v>2023127221</v>
      </c>
      <c r="O596" s="508"/>
    </row>
    <row r="597" spans="2:15">
      <c r="B597" s="503"/>
      <c r="C597" s="508"/>
      <c r="D597" s="508"/>
      <c r="E597" s="508">
        <v>4</v>
      </c>
      <c r="F597" s="508" t="s">
        <v>3553</v>
      </c>
      <c r="G597" s="508"/>
      <c r="H597" s="508"/>
      <c r="I597" s="508" t="s">
        <v>4152</v>
      </c>
      <c r="J597" s="508" t="s">
        <v>4152</v>
      </c>
      <c r="K597" s="508" t="s">
        <v>4160</v>
      </c>
      <c r="L597" s="508" t="s">
        <v>4161</v>
      </c>
      <c r="M597" s="508" t="s">
        <v>3358</v>
      </c>
      <c r="N597" s="502">
        <v>2025019554</v>
      </c>
      <c r="O597" s="508"/>
    </row>
    <row r="598" spans="2:15">
      <c r="B598" s="503"/>
      <c r="C598" s="508"/>
      <c r="D598" s="508"/>
      <c r="E598" s="508">
        <v>5</v>
      </c>
      <c r="F598" s="508" t="s">
        <v>3546</v>
      </c>
      <c r="G598" s="508"/>
      <c r="H598" s="508"/>
      <c r="I598" s="508" t="s">
        <v>4152</v>
      </c>
      <c r="J598" s="508"/>
      <c r="K598" s="508" t="s">
        <v>4162</v>
      </c>
      <c r="L598" s="508"/>
      <c r="M598" s="508" t="s">
        <v>3358</v>
      </c>
      <c r="N598" s="502">
        <v>2024089047</v>
      </c>
      <c r="O598" s="508"/>
    </row>
    <row r="599" spans="2:15">
      <c r="B599" s="503"/>
      <c r="C599" s="508"/>
      <c r="D599" s="508"/>
      <c r="E599" s="508">
        <v>6</v>
      </c>
      <c r="F599" s="508" t="s">
        <v>3705</v>
      </c>
      <c r="G599" s="508"/>
      <c r="H599" s="508"/>
      <c r="I599" s="508" t="s">
        <v>4152</v>
      </c>
      <c r="J599" s="524">
        <v>45709</v>
      </c>
      <c r="K599" s="508" t="s">
        <v>3708</v>
      </c>
      <c r="L599" s="508" t="s">
        <v>4163</v>
      </c>
      <c r="M599" s="508" t="s">
        <v>3358</v>
      </c>
      <c r="N599" s="502">
        <v>2024017560</v>
      </c>
      <c r="O599" s="508"/>
    </row>
    <row r="600" spans="2:15">
      <c r="B600" s="503"/>
      <c r="C600" s="549" t="s">
        <v>3243</v>
      </c>
      <c r="D600" s="549" t="s">
        <v>3244</v>
      </c>
      <c r="E600" s="557">
        <v>1</v>
      </c>
      <c r="F600" s="562" t="s">
        <v>4164</v>
      </c>
      <c r="G600" s="508">
        <v>100</v>
      </c>
      <c r="H600" s="508"/>
      <c r="I600" s="508" t="s">
        <v>4152</v>
      </c>
      <c r="J600" s="508" t="s">
        <v>4155</v>
      </c>
      <c r="K600" s="562" t="s">
        <v>4165</v>
      </c>
      <c r="L600" s="549"/>
      <c r="M600" s="547" t="s">
        <v>3358</v>
      </c>
      <c r="N600" s="541">
        <v>2024099202</v>
      </c>
      <c r="O600" s="547"/>
    </row>
    <row r="601" spans="2:15">
      <c r="B601" s="503"/>
      <c r="C601" s="508"/>
      <c r="D601" s="508"/>
      <c r="E601" s="508">
        <v>2</v>
      </c>
      <c r="F601" s="547" t="s">
        <v>4166</v>
      </c>
      <c r="G601" s="508"/>
      <c r="H601" s="508"/>
      <c r="I601" s="508" t="s">
        <v>4152</v>
      </c>
      <c r="J601" s="581" t="s">
        <v>4158</v>
      </c>
      <c r="K601" s="508" t="s">
        <v>4167</v>
      </c>
      <c r="L601" s="508"/>
      <c r="M601" s="508" t="s">
        <v>3358</v>
      </c>
      <c r="N601" s="564">
        <v>2024109291</v>
      </c>
      <c r="O601" s="547"/>
    </row>
    <row r="602" spans="2:15">
      <c r="B602" s="503"/>
      <c r="C602" s="508"/>
      <c r="D602" s="508"/>
      <c r="E602" s="508">
        <v>3</v>
      </c>
      <c r="F602" s="547" t="s">
        <v>3725</v>
      </c>
      <c r="G602" s="508"/>
      <c r="H602" s="508"/>
      <c r="I602" s="508" t="s">
        <v>4152</v>
      </c>
      <c r="J602" s="508" t="s">
        <v>4152</v>
      </c>
      <c r="K602" s="508" t="s">
        <v>3726</v>
      </c>
      <c r="L602" s="508"/>
      <c r="M602" s="508" t="s">
        <v>3358</v>
      </c>
      <c r="N602" s="606">
        <v>2024099217</v>
      </c>
      <c r="O602" s="564"/>
    </row>
    <row r="603" spans="2:15">
      <c r="B603" s="503"/>
      <c r="C603" s="508"/>
      <c r="D603" s="508"/>
      <c r="E603" s="508">
        <v>4</v>
      </c>
      <c r="F603" s="547" t="s">
        <v>4168</v>
      </c>
      <c r="G603" s="549"/>
      <c r="H603" s="549"/>
      <c r="I603" s="547" t="s">
        <v>4152</v>
      </c>
      <c r="J603" s="577" t="s">
        <v>4153</v>
      </c>
      <c r="K603" s="549" t="s">
        <v>4169</v>
      </c>
      <c r="L603" s="508"/>
      <c r="M603" s="508" t="s">
        <v>3358</v>
      </c>
      <c r="N603" s="671">
        <v>2024089071</v>
      </c>
      <c r="O603" s="547"/>
    </row>
    <row r="604" spans="2:15" ht="17.25">
      <c r="B604" s="503"/>
      <c r="C604" s="549" t="s">
        <v>3250</v>
      </c>
      <c r="D604" s="549" t="s">
        <v>3251</v>
      </c>
      <c r="E604" s="557">
        <v>1</v>
      </c>
      <c r="F604" s="549" t="s">
        <v>4170</v>
      </c>
      <c r="G604" s="549"/>
      <c r="H604" s="549"/>
      <c r="I604" s="549" t="s">
        <v>4152</v>
      </c>
      <c r="J604" s="549" t="s">
        <v>4171</v>
      </c>
      <c r="K604" s="549" t="s">
        <v>4172</v>
      </c>
      <c r="L604" s="549" t="s">
        <v>4173</v>
      </c>
      <c r="M604" s="549"/>
      <c r="N604" s="632">
        <v>2024099264</v>
      </c>
      <c r="O604" s="547"/>
    </row>
    <row r="605" spans="2:15">
      <c r="B605" s="503"/>
      <c r="C605" s="508"/>
      <c r="D605" s="508"/>
      <c r="E605" s="508">
        <v>2</v>
      </c>
      <c r="F605" s="508" t="s">
        <v>4174</v>
      </c>
      <c r="G605" s="508"/>
      <c r="H605" s="508"/>
      <c r="I605" s="508" t="s">
        <v>4152</v>
      </c>
      <c r="J605" s="508" t="s">
        <v>4152</v>
      </c>
      <c r="K605" s="508" t="s">
        <v>4175</v>
      </c>
      <c r="L605" s="508" t="s">
        <v>3433</v>
      </c>
      <c r="M605" s="508"/>
      <c r="N605" s="541">
        <v>2025029631</v>
      </c>
      <c r="O605" s="508"/>
    </row>
    <row r="606" spans="2:15" ht="17.25">
      <c r="B606" s="503"/>
      <c r="C606" s="508"/>
      <c r="D606" s="508"/>
      <c r="E606" s="508">
        <v>3</v>
      </c>
      <c r="F606" s="508" t="s">
        <v>4176</v>
      </c>
      <c r="G606" s="508"/>
      <c r="H606" s="508"/>
      <c r="I606" s="508" t="s">
        <v>4152</v>
      </c>
      <c r="J606" s="508" t="s">
        <v>4152</v>
      </c>
      <c r="K606" s="508" t="s">
        <v>4177</v>
      </c>
      <c r="L606" s="508" t="s">
        <v>3433</v>
      </c>
      <c r="M606" s="508"/>
      <c r="N606" s="543">
        <v>2025029632</v>
      </c>
      <c r="O606" s="508"/>
    </row>
    <row r="607" spans="2:15">
      <c r="B607" s="503"/>
      <c r="C607" s="508"/>
      <c r="D607" s="508"/>
      <c r="E607" s="508">
        <v>4</v>
      </c>
      <c r="F607" s="508" t="s">
        <v>4178</v>
      </c>
      <c r="G607" s="508"/>
      <c r="H607" s="508"/>
      <c r="I607" s="508" t="s">
        <v>4152</v>
      </c>
      <c r="J607" s="508" t="s">
        <v>4171</v>
      </c>
      <c r="K607" s="508" t="s">
        <v>4179</v>
      </c>
      <c r="L607" s="508"/>
      <c r="M607" s="508"/>
      <c r="N607" s="566">
        <v>2024119404</v>
      </c>
      <c r="O607" s="508"/>
    </row>
    <row r="608" spans="2:15" ht="17.25">
      <c r="B608" s="503"/>
      <c r="C608" s="508"/>
      <c r="D608" s="508"/>
      <c r="E608" s="508">
        <v>5</v>
      </c>
      <c r="F608" s="508" t="s">
        <v>4180</v>
      </c>
      <c r="G608" s="508"/>
      <c r="H608" s="508"/>
      <c r="I608" s="508" t="s">
        <v>4152</v>
      </c>
      <c r="J608" s="508" t="s">
        <v>4152</v>
      </c>
      <c r="K608" s="508" t="s">
        <v>4181</v>
      </c>
      <c r="L608" s="508"/>
      <c r="M608" s="508"/>
      <c r="N608" s="565">
        <v>2024099190</v>
      </c>
      <c r="O608" s="508"/>
    </row>
    <row r="609" spans="2:15" ht="17.25">
      <c r="B609" s="503"/>
      <c r="C609" s="508"/>
      <c r="D609" s="508"/>
      <c r="E609" s="508">
        <v>6</v>
      </c>
      <c r="F609" s="508" t="s">
        <v>4182</v>
      </c>
      <c r="G609" s="508"/>
      <c r="H609" s="508"/>
      <c r="I609" s="508" t="s">
        <v>4152</v>
      </c>
      <c r="J609" s="508" t="s">
        <v>4152</v>
      </c>
      <c r="K609" s="508" t="s">
        <v>4183</v>
      </c>
      <c r="L609" s="508"/>
      <c r="M609" s="508"/>
      <c r="N609" s="565">
        <v>2024099200</v>
      </c>
      <c r="O609" s="508"/>
    </row>
    <row r="610" spans="2:15" ht="17.25">
      <c r="B610" s="503"/>
      <c r="C610" s="508"/>
      <c r="D610" s="508"/>
      <c r="E610" s="508">
        <v>7</v>
      </c>
      <c r="F610" s="508" t="s">
        <v>4184</v>
      </c>
      <c r="G610" s="508"/>
      <c r="H610" s="508"/>
      <c r="I610" s="508" t="s">
        <v>4152</v>
      </c>
      <c r="J610" s="508" t="s">
        <v>4152</v>
      </c>
      <c r="K610" s="508" t="s">
        <v>4185</v>
      </c>
      <c r="L610" s="508"/>
      <c r="M610" s="508"/>
      <c r="N610" s="565">
        <v>2024099197</v>
      </c>
      <c r="O610" s="508"/>
    </row>
    <row r="611" spans="2:15" ht="17.25">
      <c r="B611" s="503"/>
      <c r="C611" s="508"/>
      <c r="D611" s="508"/>
      <c r="E611" s="508">
        <v>8</v>
      </c>
      <c r="F611" s="508" t="s">
        <v>4186</v>
      </c>
      <c r="G611" s="508"/>
      <c r="H611" s="508"/>
      <c r="I611" s="508" t="s">
        <v>4152</v>
      </c>
      <c r="J611" s="508" t="s">
        <v>4152</v>
      </c>
      <c r="K611" s="508" t="s">
        <v>4187</v>
      </c>
      <c r="L611" s="508" t="s">
        <v>4188</v>
      </c>
      <c r="M611" s="508"/>
      <c r="N611" s="543">
        <v>2024089104</v>
      </c>
      <c r="O611" s="508"/>
    </row>
    <row r="612" spans="2:15" ht="17.25">
      <c r="B612" s="503"/>
      <c r="C612" s="508"/>
      <c r="D612" s="508"/>
      <c r="E612" s="508">
        <v>9</v>
      </c>
      <c r="F612" s="508" t="s">
        <v>4189</v>
      </c>
      <c r="G612" s="508"/>
      <c r="H612" s="508"/>
      <c r="I612" s="508" t="s">
        <v>4152</v>
      </c>
      <c r="J612" s="508" t="s">
        <v>4152</v>
      </c>
      <c r="K612" s="508" t="s">
        <v>4190</v>
      </c>
      <c r="L612" s="508" t="s">
        <v>4188</v>
      </c>
      <c r="M612" s="508"/>
      <c r="N612" s="543">
        <v>2024099149</v>
      </c>
      <c r="O612" s="508"/>
    </row>
    <row r="613" spans="2:15" ht="17.25">
      <c r="B613" s="672"/>
      <c r="C613" s="569"/>
      <c r="D613" s="569"/>
      <c r="E613" s="569">
        <v>10</v>
      </c>
      <c r="F613" s="569" t="s">
        <v>3584</v>
      </c>
      <c r="G613" s="569"/>
      <c r="H613" s="569"/>
      <c r="I613" s="569" t="s">
        <v>4152</v>
      </c>
      <c r="J613" s="569" t="s">
        <v>4152</v>
      </c>
      <c r="K613" s="569" t="s">
        <v>4191</v>
      </c>
      <c r="L613" s="569"/>
      <c r="M613" s="569"/>
      <c r="N613" s="544">
        <v>2024109315</v>
      </c>
      <c r="O613" s="569"/>
    </row>
    <row r="614" spans="2:15">
      <c r="B614" s="503" t="s">
        <v>3276</v>
      </c>
      <c r="C614" s="549" t="s">
        <v>3277</v>
      </c>
      <c r="D614" s="549" t="s">
        <v>3278</v>
      </c>
      <c r="E614" s="557">
        <v>1</v>
      </c>
      <c r="F614" s="549" t="s">
        <v>3455</v>
      </c>
      <c r="G614" s="549"/>
      <c r="H614" s="549">
        <v>10</v>
      </c>
      <c r="I614" s="549" t="s">
        <v>4152</v>
      </c>
      <c r="J614" s="549" t="s">
        <v>4192</v>
      </c>
      <c r="K614" s="549" t="s">
        <v>3456</v>
      </c>
      <c r="L614" s="549"/>
      <c r="M614" s="549" t="s">
        <v>3358</v>
      </c>
      <c r="N614" s="549">
        <v>2023106851</v>
      </c>
      <c r="O614" s="549"/>
    </row>
    <row r="615" spans="2:15">
      <c r="B615" s="503"/>
      <c r="C615" s="508"/>
      <c r="D615" s="508"/>
      <c r="E615" s="508">
        <v>2</v>
      </c>
      <c r="F615" s="508" t="s">
        <v>3605</v>
      </c>
      <c r="G615" s="508">
        <v>50</v>
      </c>
      <c r="H615" s="508">
        <v>5</v>
      </c>
      <c r="I615" s="508" t="s">
        <v>4152</v>
      </c>
      <c r="J615" s="508" t="s">
        <v>4192</v>
      </c>
      <c r="K615" s="508" t="s">
        <v>3606</v>
      </c>
      <c r="L615" s="508"/>
      <c r="M615" s="508" t="s">
        <v>3358</v>
      </c>
      <c r="N615" s="508">
        <v>2024017476</v>
      </c>
      <c r="O615" s="508"/>
    </row>
    <row r="616" spans="2:15">
      <c r="B616" s="503"/>
      <c r="C616" s="508"/>
      <c r="D616" s="508"/>
      <c r="E616" s="508">
        <v>3</v>
      </c>
      <c r="F616" s="508" t="s">
        <v>3594</v>
      </c>
      <c r="G616" s="508"/>
      <c r="H616" s="508">
        <v>5</v>
      </c>
      <c r="I616" s="508" t="s">
        <v>4152</v>
      </c>
      <c r="J616" s="508" t="s">
        <v>4193</v>
      </c>
      <c r="K616" s="508" t="s">
        <v>4194</v>
      </c>
      <c r="L616" s="508"/>
      <c r="M616" s="508" t="s">
        <v>3358</v>
      </c>
      <c r="N616" s="508">
        <v>2023127228</v>
      </c>
      <c r="O616" s="508"/>
    </row>
    <row r="617" spans="2:15">
      <c r="B617" s="503"/>
      <c r="C617" s="508"/>
      <c r="D617" s="508"/>
      <c r="E617" s="508">
        <v>4</v>
      </c>
      <c r="F617" s="508" t="s">
        <v>3596</v>
      </c>
      <c r="G617" s="508"/>
      <c r="H617" s="508">
        <v>20</v>
      </c>
      <c r="I617" s="508" t="s">
        <v>4152</v>
      </c>
      <c r="J617" s="508" t="s">
        <v>4171</v>
      </c>
      <c r="K617" s="508" t="s">
        <v>4195</v>
      </c>
      <c r="L617" s="508"/>
      <c r="M617" s="508" t="s">
        <v>3358</v>
      </c>
      <c r="N617" s="508">
        <v>2024017474</v>
      </c>
      <c r="O617" s="508"/>
    </row>
    <row r="618" spans="2:15">
      <c r="B618" s="503"/>
      <c r="C618" s="508"/>
      <c r="D618" s="508"/>
      <c r="E618" s="508">
        <v>5</v>
      </c>
      <c r="F618" s="508" t="s">
        <v>4196</v>
      </c>
      <c r="G618" s="508"/>
      <c r="H618" s="508">
        <v>10</v>
      </c>
      <c r="I618" s="508" t="s">
        <v>4152</v>
      </c>
      <c r="J618" s="508" t="s">
        <v>4193</v>
      </c>
      <c r="K618" s="508" t="s">
        <v>4197</v>
      </c>
      <c r="L618" s="508"/>
      <c r="M618" s="508" t="s">
        <v>3358</v>
      </c>
      <c r="N618" s="508">
        <v>2024017570</v>
      </c>
      <c r="O618" s="508"/>
    </row>
    <row r="619" spans="2:15">
      <c r="B619" s="503"/>
      <c r="C619" s="508"/>
      <c r="D619" s="508"/>
      <c r="E619" s="508">
        <v>6</v>
      </c>
      <c r="F619" s="508" t="s">
        <v>4198</v>
      </c>
      <c r="G619" s="508"/>
      <c r="H619" s="508">
        <v>10</v>
      </c>
      <c r="I619" s="508" t="s">
        <v>4152</v>
      </c>
      <c r="J619" s="508" t="s">
        <v>4171</v>
      </c>
      <c r="K619" s="508" t="s">
        <v>4199</v>
      </c>
      <c r="L619" s="508"/>
      <c r="M619" s="508"/>
      <c r="N619" s="508">
        <v>2025019580</v>
      </c>
      <c r="O619" s="508"/>
    </row>
    <row r="620" spans="2:15">
      <c r="B620" s="503"/>
      <c r="C620" s="549" t="s">
        <v>3291</v>
      </c>
      <c r="D620" s="549" t="s">
        <v>3292</v>
      </c>
      <c r="E620" s="547">
        <v>1</v>
      </c>
      <c r="F620" s="547" t="s">
        <v>4089</v>
      </c>
      <c r="G620" s="547"/>
      <c r="H620" s="547">
        <v>10</v>
      </c>
      <c r="I620" s="547"/>
      <c r="J620" s="581"/>
      <c r="K620" s="547" t="s">
        <v>4092</v>
      </c>
      <c r="L620" s="547"/>
      <c r="M620" s="547" t="s">
        <v>3358</v>
      </c>
      <c r="N620" s="547">
        <v>2023127392</v>
      </c>
      <c r="O620" s="547"/>
    </row>
    <row r="621" spans="2:15">
      <c r="B621" s="503"/>
      <c r="C621" s="549" t="s">
        <v>3293</v>
      </c>
      <c r="D621" s="549" t="s">
        <v>3294</v>
      </c>
      <c r="E621" s="549">
        <v>1</v>
      </c>
      <c r="F621" s="549" t="s">
        <v>3768</v>
      </c>
      <c r="G621" s="549"/>
      <c r="H621" s="549"/>
      <c r="I621" s="547" t="s">
        <v>4152</v>
      </c>
      <c r="J621" s="549" t="s">
        <v>4200</v>
      </c>
      <c r="K621" s="549"/>
      <c r="L621" s="549"/>
      <c r="M621" s="549"/>
      <c r="N621" s="549">
        <v>2024068738</v>
      </c>
      <c r="O621" s="549"/>
    </row>
    <row r="622" spans="2:15">
      <c r="B622" s="503"/>
      <c r="C622" s="508"/>
      <c r="D622" s="508"/>
      <c r="E622" s="550">
        <v>2</v>
      </c>
      <c r="F622" s="550" t="s">
        <v>1002</v>
      </c>
      <c r="G622" s="550"/>
      <c r="H622" s="550"/>
      <c r="I622" s="550" t="s">
        <v>4152</v>
      </c>
      <c r="J622" s="550" t="s">
        <v>4201</v>
      </c>
      <c r="K622" s="550"/>
      <c r="L622" s="550"/>
      <c r="M622" s="550"/>
      <c r="N622" s="550">
        <v>2024027737</v>
      </c>
      <c r="O622" s="550"/>
    </row>
    <row r="623" spans="2:15">
      <c r="B623" s="503" t="s">
        <v>3300</v>
      </c>
      <c r="C623" s="549" t="s">
        <v>3301</v>
      </c>
      <c r="D623" s="549" t="s">
        <v>3302</v>
      </c>
      <c r="E623" s="673">
        <v>1</v>
      </c>
      <c r="F623" s="674" t="s">
        <v>3770</v>
      </c>
      <c r="G623" s="673"/>
      <c r="H623" s="673"/>
      <c r="I623" s="673" t="s">
        <v>4152</v>
      </c>
      <c r="J623" s="673"/>
      <c r="K623" s="673"/>
      <c r="L623" s="673"/>
      <c r="M623" s="673"/>
      <c r="N623" s="673">
        <v>2025029637</v>
      </c>
      <c r="O623" s="673"/>
    </row>
    <row r="624" spans="2:15">
      <c r="B624" s="503"/>
      <c r="C624" s="508"/>
      <c r="D624" s="508"/>
      <c r="E624" s="508">
        <v>2</v>
      </c>
      <c r="F624" s="675" t="s">
        <v>4202</v>
      </c>
      <c r="G624" s="508"/>
      <c r="H624" s="508"/>
      <c r="I624" s="547" t="s">
        <v>4152</v>
      </c>
      <c r="J624" s="508"/>
      <c r="K624" s="508"/>
      <c r="L624" s="508"/>
      <c r="M624" s="508"/>
      <c r="N624" s="549">
        <v>2025029638</v>
      </c>
      <c r="O624" s="508"/>
    </row>
    <row r="625" spans="2:15">
      <c r="B625" s="503"/>
      <c r="C625" s="508"/>
      <c r="D625" s="508"/>
      <c r="E625" s="508">
        <v>3</v>
      </c>
      <c r="F625" s="675" t="s">
        <v>3470</v>
      </c>
      <c r="G625" s="508"/>
      <c r="H625" s="508"/>
      <c r="I625" s="547" t="s">
        <v>4152</v>
      </c>
      <c r="J625" s="508"/>
      <c r="K625" s="508"/>
      <c r="L625" s="508"/>
      <c r="M625" s="508"/>
      <c r="N625" s="549">
        <v>2025029639</v>
      </c>
      <c r="O625" s="508"/>
    </row>
    <row r="626" spans="2:15">
      <c r="B626" s="503"/>
      <c r="C626" s="508"/>
      <c r="D626" s="508"/>
      <c r="E626" s="508">
        <v>4</v>
      </c>
      <c r="F626" s="675" t="s">
        <v>4203</v>
      </c>
      <c r="G626" s="508"/>
      <c r="H626" s="508"/>
      <c r="I626" s="547" t="s">
        <v>4152</v>
      </c>
      <c r="J626" s="508"/>
      <c r="K626" s="508"/>
      <c r="L626" s="508"/>
      <c r="M626" s="508"/>
      <c r="N626" s="549">
        <v>2025029640</v>
      </c>
      <c r="O626" s="508"/>
    </row>
    <row r="627" spans="2:15">
      <c r="B627" s="503"/>
      <c r="C627" s="508"/>
      <c r="D627" s="508"/>
      <c r="E627" s="508">
        <v>5</v>
      </c>
      <c r="F627" s="675" t="s">
        <v>4102</v>
      </c>
      <c r="G627" s="508"/>
      <c r="H627" s="508"/>
      <c r="I627" s="547" t="s">
        <v>4152</v>
      </c>
      <c r="J627" s="508"/>
      <c r="K627" s="508"/>
      <c r="L627" s="508"/>
      <c r="M627" s="508"/>
      <c r="N627" s="508">
        <v>2025029617</v>
      </c>
      <c r="O627" s="508"/>
    </row>
    <row r="628" spans="2:15">
      <c r="B628" s="503"/>
      <c r="C628" s="508"/>
      <c r="D628" s="508"/>
      <c r="E628" s="508">
        <v>6</v>
      </c>
      <c r="F628" s="675" t="s">
        <v>3785</v>
      </c>
      <c r="G628" s="508"/>
      <c r="H628" s="508"/>
      <c r="I628" s="547" t="s">
        <v>4152</v>
      </c>
      <c r="J628" s="508"/>
      <c r="K628" s="508"/>
      <c r="L628" s="508"/>
      <c r="M628" s="508"/>
      <c r="N628" s="508">
        <v>2025029641</v>
      </c>
      <c r="O628" s="508"/>
    </row>
    <row r="629" spans="2:15">
      <c r="B629" s="503"/>
      <c r="C629" s="508"/>
      <c r="D629" s="508"/>
      <c r="E629" s="508">
        <v>7</v>
      </c>
      <c r="F629" s="675" t="s">
        <v>4204</v>
      </c>
      <c r="G629" s="508"/>
      <c r="H629" s="508"/>
      <c r="I629" s="547" t="s">
        <v>4152</v>
      </c>
      <c r="J629" s="508"/>
      <c r="K629" s="508"/>
      <c r="L629" s="508"/>
      <c r="M629" s="508"/>
      <c r="N629" s="508">
        <v>2025029620</v>
      </c>
      <c r="O629" s="508"/>
    </row>
    <row r="630" spans="2:15">
      <c r="B630" s="503"/>
      <c r="C630" s="508"/>
      <c r="D630" s="508"/>
      <c r="E630" s="508">
        <v>8</v>
      </c>
      <c r="F630" s="508" t="s">
        <v>4205</v>
      </c>
      <c r="G630" s="508"/>
      <c r="H630" s="508"/>
      <c r="I630" s="547" t="s">
        <v>4152</v>
      </c>
      <c r="J630" s="508"/>
      <c r="K630" s="508"/>
      <c r="L630" s="508"/>
      <c r="M630" s="508"/>
      <c r="N630" s="508">
        <v>2025029642</v>
      </c>
      <c r="O630" s="508"/>
    </row>
    <row r="631" spans="2:15">
      <c r="B631" s="503"/>
      <c r="C631" s="508"/>
      <c r="D631" s="508"/>
      <c r="E631" s="508">
        <v>9</v>
      </c>
      <c r="F631" s="508" t="s">
        <v>4206</v>
      </c>
      <c r="G631" s="508"/>
      <c r="H631" s="508"/>
      <c r="I631" s="547" t="s">
        <v>4152</v>
      </c>
      <c r="J631" s="508"/>
      <c r="K631" s="508"/>
      <c r="L631" s="508"/>
      <c r="M631" s="508"/>
      <c r="N631" s="508">
        <v>2025029643</v>
      </c>
      <c r="O631" s="508"/>
    </row>
    <row r="632" spans="2:15">
      <c r="B632" s="503"/>
      <c r="C632" s="557" t="s">
        <v>3474</v>
      </c>
      <c r="D632" s="557" t="s">
        <v>3315</v>
      </c>
      <c r="E632" s="557">
        <v>1</v>
      </c>
      <c r="F632" s="557" t="s">
        <v>3485</v>
      </c>
      <c r="G632" s="557"/>
      <c r="H632" s="557"/>
      <c r="I632" s="557" t="s">
        <v>4152</v>
      </c>
      <c r="J632" s="557"/>
      <c r="K632" s="557" t="s">
        <v>4207</v>
      </c>
      <c r="L632" s="557" t="s">
        <v>4208</v>
      </c>
      <c r="M632" s="557"/>
      <c r="N632" s="557">
        <v>2025019535</v>
      </c>
      <c r="O632" s="557"/>
    </row>
    <row r="633" spans="2:15">
      <c r="B633" s="503"/>
      <c r="C633" s="508"/>
      <c r="D633" s="508"/>
      <c r="E633" s="508">
        <v>2</v>
      </c>
      <c r="F633" s="508" t="s">
        <v>3999</v>
      </c>
      <c r="G633" s="508"/>
      <c r="H633" s="508"/>
      <c r="I633" s="508" t="s">
        <v>4152</v>
      </c>
      <c r="J633" s="508"/>
      <c r="K633" s="508"/>
      <c r="L633" s="508"/>
      <c r="M633" s="508"/>
      <c r="N633" s="508">
        <v>2024017638</v>
      </c>
      <c r="O633" s="508"/>
    </row>
    <row r="634" spans="2:15">
      <c r="B634" s="503"/>
      <c r="C634" s="508"/>
      <c r="D634" s="508"/>
      <c r="E634" s="508">
        <v>3</v>
      </c>
      <c r="F634" s="508" t="s">
        <v>4209</v>
      </c>
      <c r="G634" s="508"/>
      <c r="H634" s="508"/>
      <c r="I634" s="508" t="s">
        <v>4152</v>
      </c>
      <c r="J634" s="508"/>
      <c r="K634" s="508"/>
      <c r="L634" s="508"/>
      <c r="M634" s="508"/>
      <c r="N634" s="508">
        <v>2025029633</v>
      </c>
      <c r="O634" s="508"/>
    </row>
    <row r="635" spans="2:15">
      <c r="B635" s="503"/>
      <c r="C635" s="508"/>
      <c r="D635" s="508"/>
      <c r="E635" s="508">
        <v>4</v>
      </c>
      <c r="F635" s="508" t="s">
        <v>4210</v>
      </c>
      <c r="G635" s="508"/>
      <c r="H635" s="508"/>
      <c r="I635" s="508" t="s">
        <v>4152</v>
      </c>
      <c r="J635" s="508"/>
      <c r="K635" s="508"/>
      <c r="L635" s="508"/>
      <c r="M635" s="508"/>
      <c r="N635" s="508">
        <v>2025029634</v>
      </c>
      <c r="O635" s="508"/>
    </row>
    <row r="636" spans="2:15">
      <c r="B636" s="503"/>
      <c r="C636" s="508"/>
      <c r="D636" s="508"/>
      <c r="E636" s="508">
        <v>5</v>
      </c>
      <c r="F636" s="508" t="s">
        <v>4211</v>
      </c>
      <c r="G636" s="508"/>
      <c r="H636" s="508"/>
      <c r="I636" s="508" t="s">
        <v>4152</v>
      </c>
      <c r="J636" s="508"/>
      <c r="K636" s="508"/>
      <c r="L636" s="508"/>
      <c r="M636" s="508"/>
      <c r="N636" s="508">
        <v>2025029635</v>
      </c>
      <c r="O636" s="508"/>
    </row>
    <row r="637" spans="2:15">
      <c r="B637" s="503"/>
      <c r="C637" s="508"/>
      <c r="D637" s="508"/>
      <c r="E637" s="508">
        <v>6</v>
      </c>
      <c r="F637" s="508" t="s">
        <v>3320</v>
      </c>
      <c r="G637" s="508"/>
      <c r="H637" s="508"/>
      <c r="I637" s="508" t="s">
        <v>4152</v>
      </c>
      <c r="J637" s="508"/>
      <c r="K637" s="508"/>
      <c r="L637" s="508"/>
      <c r="M637" s="508"/>
      <c r="N637" s="547">
        <v>2024017624</v>
      </c>
      <c r="O637" s="508"/>
    </row>
    <row r="638" spans="2:15">
      <c r="B638" s="503"/>
      <c r="C638" s="508"/>
      <c r="D638" s="508"/>
      <c r="E638" s="508">
        <v>7</v>
      </c>
      <c r="F638" s="508" t="s">
        <v>4113</v>
      </c>
      <c r="G638" s="508"/>
      <c r="H638" s="508"/>
      <c r="I638" s="508" t="s">
        <v>4152</v>
      </c>
      <c r="J638" s="508"/>
      <c r="K638" s="508"/>
      <c r="L638" s="508"/>
      <c r="M638" s="508"/>
      <c r="N638" s="547">
        <v>2024129476</v>
      </c>
      <c r="O638" s="508"/>
    </row>
    <row r="639" spans="2:15">
      <c r="B639" s="503"/>
      <c r="C639" s="508"/>
      <c r="D639" s="508"/>
      <c r="E639" s="508">
        <v>8</v>
      </c>
      <c r="F639" s="508" t="s">
        <v>4212</v>
      </c>
      <c r="G639" s="508"/>
      <c r="H639" s="508"/>
      <c r="I639" s="508" t="s">
        <v>4152</v>
      </c>
      <c r="J639" s="508"/>
      <c r="K639" s="508"/>
      <c r="L639" s="508"/>
      <c r="M639" s="508"/>
      <c r="N639" s="547">
        <v>2025029636</v>
      </c>
      <c r="O639" s="508"/>
    </row>
    <row r="640" spans="2:15">
      <c r="B640" s="575" t="s">
        <v>3324</v>
      </c>
      <c r="C640" s="557" t="s">
        <v>3325</v>
      </c>
      <c r="D640" s="557" t="s">
        <v>3326</v>
      </c>
      <c r="E640" s="557">
        <v>1</v>
      </c>
      <c r="F640" s="557" t="s">
        <v>4002</v>
      </c>
      <c r="G640" s="576" t="s">
        <v>3328</v>
      </c>
      <c r="H640" s="557">
        <v>15</v>
      </c>
      <c r="I640" s="562" t="s">
        <v>4152</v>
      </c>
      <c r="J640" s="577">
        <v>45705</v>
      </c>
      <c r="K640" s="557" t="s">
        <v>3488</v>
      </c>
      <c r="L640" s="557"/>
      <c r="M640" s="557"/>
      <c r="N640" s="557">
        <v>2024058452</v>
      </c>
      <c r="O640" s="557"/>
    </row>
    <row r="641" spans="1:26">
      <c r="B641" s="503"/>
      <c r="C641" s="508"/>
      <c r="D641" s="508"/>
      <c r="E641" s="508">
        <v>2</v>
      </c>
      <c r="F641" s="547" t="s">
        <v>3330</v>
      </c>
      <c r="G641" s="580" t="s">
        <v>3328</v>
      </c>
      <c r="H641" s="547">
        <v>20</v>
      </c>
      <c r="I641" s="547" t="s">
        <v>4152</v>
      </c>
      <c r="J641" s="581">
        <v>45705</v>
      </c>
      <c r="K641" s="547" t="s">
        <v>3489</v>
      </c>
      <c r="L641" s="547"/>
      <c r="M641" s="547"/>
      <c r="N641" s="547">
        <v>2024058453</v>
      </c>
      <c r="O641" s="508"/>
    </row>
    <row r="642" spans="1:26">
      <c r="B642" s="503"/>
      <c r="C642" s="508"/>
      <c r="D642" s="508"/>
      <c r="E642" s="508">
        <v>3</v>
      </c>
      <c r="F642" s="547" t="s">
        <v>3332</v>
      </c>
      <c r="G642" s="580" t="s">
        <v>3328</v>
      </c>
      <c r="H642" s="547">
        <v>15</v>
      </c>
      <c r="I642" s="547" t="s">
        <v>4152</v>
      </c>
      <c r="J642" s="581">
        <v>45706</v>
      </c>
      <c r="K642" s="547" t="s">
        <v>3490</v>
      </c>
      <c r="L642" s="547"/>
      <c r="M642" s="547"/>
      <c r="N642" s="547">
        <v>2024068760</v>
      </c>
      <c r="O642" s="508"/>
    </row>
    <row r="643" spans="1:26">
      <c r="B643" s="503"/>
      <c r="C643" s="508"/>
      <c r="D643" s="508"/>
      <c r="E643" s="508">
        <v>4</v>
      </c>
      <c r="F643" s="547" t="s">
        <v>3334</v>
      </c>
      <c r="G643" s="580" t="s">
        <v>3328</v>
      </c>
      <c r="H643" s="547">
        <v>10</v>
      </c>
      <c r="I643" s="547" t="s">
        <v>4152</v>
      </c>
      <c r="J643" s="581">
        <v>45706</v>
      </c>
      <c r="K643" s="547" t="s">
        <v>3491</v>
      </c>
      <c r="L643" s="547"/>
      <c r="M643" s="547"/>
      <c r="N643" s="547">
        <v>2024068644</v>
      </c>
      <c r="O643" s="508"/>
    </row>
    <row r="644" spans="1:26">
      <c r="B644" s="503"/>
      <c r="C644" s="508"/>
      <c r="D644" s="508"/>
      <c r="E644" s="508">
        <v>5</v>
      </c>
      <c r="F644" s="547" t="s">
        <v>3336</v>
      </c>
      <c r="G644" s="580" t="s">
        <v>3328</v>
      </c>
      <c r="H644" s="547">
        <v>10</v>
      </c>
      <c r="I644" s="547" t="s">
        <v>4152</v>
      </c>
      <c r="J644" s="581">
        <v>45707</v>
      </c>
      <c r="K644" s="547" t="s">
        <v>3492</v>
      </c>
      <c r="L644" s="547"/>
      <c r="M644" s="547"/>
      <c r="N644" s="547">
        <v>2024109287</v>
      </c>
      <c r="O644" s="508"/>
    </row>
    <row r="645" spans="1:26">
      <c r="B645" s="503"/>
      <c r="C645" s="508"/>
      <c r="D645" s="508"/>
      <c r="E645" s="508">
        <v>6</v>
      </c>
      <c r="F645" s="547" t="s">
        <v>3338</v>
      </c>
      <c r="G645" s="580" t="s">
        <v>3328</v>
      </c>
      <c r="H645" s="547">
        <v>10</v>
      </c>
      <c r="I645" s="547" t="s">
        <v>4152</v>
      </c>
      <c r="J645" s="581">
        <v>45707</v>
      </c>
      <c r="K645" s="547" t="s">
        <v>3493</v>
      </c>
      <c r="L645" s="547"/>
      <c r="M645" s="547"/>
      <c r="N645" s="547">
        <v>2024078762</v>
      </c>
      <c r="O645" s="508"/>
    </row>
    <row r="646" spans="1:26">
      <c r="B646" s="503"/>
      <c r="C646" s="508"/>
      <c r="D646" s="508"/>
      <c r="E646" s="508">
        <v>7</v>
      </c>
      <c r="F646" s="547" t="s">
        <v>3340</v>
      </c>
      <c r="G646" s="580" t="s">
        <v>3328</v>
      </c>
      <c r="H646" s="547">
        <v>20</v>
      </c>
      <c r="I646" s="547" t="s">
        <v>4152</v>
      </c>
      <c r="J646" s="581">
        <v>45708</v>
      </c>
      <c r="K646" s="547" t="s">
        <v>3494</v>
      </c>
      <c r="L646" s="547"/>
      <c r="M646" s="547"/>
      <c r="N646" s="547">
        <v>2024078899</v>
      </c>
      <c r="O646" s="508"/>
    </row>
    <row r="647" spans="1:26">
      <c r="B647" s="503"/>
      <c r="C647" s="508"/>
      <c r="D647" s="508"/>
      <c r="E647" s="508">
        <v>8</v>
      </c>
      <c r="F647" s="582" t="s">
        <v>4213</v>
      </c>
      <c r="G647" s="582">
        <v>100</v>
      </c>
      <c r="H647" s="582">
        <v>70</v>
      </c>
      <c r="I647" s="583">
        <v>45706</v>
      </c>
      <c r="J647" s="583">
        <v>45706</v>
      </c>
      <c r="K647" s="582" t="s">
        <v>4214</v>
      </c>
      <c r="L647" s="582" t="s">
        <v>3348</v>
      </c>
      <c r="M647" s="582"/>
      <c r="N647" s="582">
        <v>2024099210</v>
      </c>
      <c r="O647" s="508"/>
    </row>
    <row r="648" spans="1:26">
      <c r="A648" s="578"/>
      <c r="B648" s="579"/>
      <c r="C648" s="547"/>
      <c r="D648" s="547"/>
      <c r="E648" s="547">
        <v>8</v>
      </c>
      <c r="F648" s="582" t="s">
        <v>3346</v>
      </c>
      <c r="G648" s="582">
        <v>100</v>
      </c>
      <c r="H648" s="582">
        <v>70</v>
      </c>
      <c r="I648" s="583">
        <v>45707</v>
      </c>
      <c r="J648" s="583">
        <v>45707</v>
      </c>
      <c r="K648" s="582" t="s">
        <v>4215</v>
      </c>
      <c r="L648" s="582" t="s">
        <v>3348</v>
      </c>
      <c r="M648" s="582"/>
      <c r="N648" s="582">
        <v>2024119383</v>
      </c>
      <c r="O648" s="547"/>
      <c r="P648" s="578"/>
      <c r="Q648" s="578"/>
      <c r="R648" s="578"/>
      <c r="S648" s="578"/>
      <c r="T648" s="578"/>
      <c r="U648" s="578"/>
      <c r="V648" s="578"/>
      <c r="W648" s="578"/>
      <c r="X648" s="578"/>
      <c r="Y648" s="578"/>
      <c r="Z648" s="578"/>
    </row>
    <row r="649" spans="1:26">
      <c r="B649" s="503"/>
      <c r="C649" s="508"/>
      <c r="D649" s="508"/>
      <c r="E649" s="508">
        <v>9</v>
      </c>
      <c r="F649" s="554" t="s">
        <v>4216</v>
      </c>
      <c r="G649" s="554">
        <v>200</v>
      </c>
      <c r="H649" s="554">
        <v>120</v>
      </c>
      <c r="I649" s="556">
        <v>45708</v>
      </c>
      <c r="J649" s="556">
        <v>45708</v>
      </c>
      <c r="K649" s="554" t="s">
        <v>4217</v>
      </c>
      <c r="L649" s="554" t="s">
        <v>4006</v>
      </c>
      <c r="M649" s="554"/>
      <c r="N649" s="554">
        <v>2022033252</v>
      </c>
      <c r="O649" s="508"/>
    </row>
    <row r="650" spans="1:26">
      <c r="B650" s="503"/>
      <c r="C650" s="550"/>
      <c r="D650" s="550"/>
      <c r="E650" s="550">
        <v>10</v>
      </c>
      <c r="F650" s="676" t="s">
        <v>4218</v>
      </c>
      <c r="G650" s="676">
        <v>100</v>
      </c>
      <c r="H650" s="676">
        <v>60</v>
      </c>
      <c r="I650" s="677">
        <v>45710</v>
      </c>
      <c r="J650" s="677">
        <v>45710</v>
      </c>
      <c r="K650" s="676" t="s">
        <v>4219</v>
      </c>
      <c r="L650" s="676" t="s">
        <v>4006</v>
      </c>
      <c r="M650" s="676"/>
      <c r="N650" s="676">
        <v>2024078763</v>
      </c>
      <c r="O650" s="550"/>
    </row>
    <row r="651" spans="1:26">
      <c r="B651" s="672"/>
      <c r="C651" s="569"/>
      <c r="D651" s="569"/>
      <c r="E651" s="569">
        <v>11</v>
      </c>
      <c r="F651" s="678" t="s">
        <v>4220</v>
      </c>
      <c r="G651" s="678">
        <v>100</v>
      </c>
      <c r="H651" s="678">
        <v>100</v>
      </c>
      <c r="I651" s="678" t="s">
        <v>4221</v>
      </c>
      <c r="J651" s="679">
        <v>45711</v>
      </c>
      <c r="K651" s="678" t="s">
        <v>4222</v>
      </c>
      <c r="L651" s="678" t="s">
        <v>4006</v>
      </c>
      <c r="M651" s="678"/>
      <c r="N651" s="678">
        <v>2024089095</v>
      </c>
      <c r="O651" s="569"/>
    </row>
    <row r="652" spans="1:26">
      <c r="B652" s="503" t="s">
        <v>3349</v>
      </c>
      <c r="C652" s="557" t="s">
        <v>3350</v>
      </c>
      <c r="D652" s="557" t="s">
        <v>3351</v>
      </c>
      <c r="E652" s="557">
        <v>1</v>
      </c>
      <c r="F652" s="557" t="s">
        <v>3352</v>
      </c>
      <c r="G652" s="557">
        <v>300</v>
      </c>
      <c r="H652" s="557">
        <v>50</v>
      </c>
      <c r="I652" s="557" t="s">
        <v>4152</v>
      </c>
      <c r="J652" s="577">
        <v>45706</v>
      </c>
      <c r="K652" s="557"/>
      <c r="L652" s="557"/>
      <c r="M652" s="557"/>
      <c r="N652" s="557">
        <v>2024058386</v>
      </c>
      <c r="O652" s="557"/>
    </row>
    <row r="653" spans="1:26">
      <c r="B653" s="503"/>
      <c r="C653" s="508"/>
      <c r="D653" s="508"/>
      <c r="E653" s="508">
        <v>2</v>
      </c>
      <c r="F653" s="508" t="s">
        <v>3661</v>
      </c>
      <c r="G653" s="508">
        <v>100</v>
      </c>
      <c r="H653" s="508">
        <v>15</v>
      </c>
      <c r="I653" s="508" t="s">
        <v>4152</v>
      </c>
      <c r="J653" s="508" t="s">
        <v>4153</v>
      </c>
      <c r="K653" s="547"/>
      <c r="L653" s="508"/>
      <c r="M653" s="508"/>
      <c r="N653" s="547">
        <v>2024129466</v>
      </c>
      <c r="O653" s="508"/>
    </row>
    <row r="654" spans="1:26">
      <c r="B654" s="503"/>
      <c r="C654" s="508"/>
      <c r="D654" s="508"/>
      <c r="E654" s="508">
        <v>3</v>
      </c>
      <c r="F654" s="508" t="s">
        <v>3674</v>
      </c>
      <c r="G654" s="508">
        <v>50</v>
      </c>
      <c r="H654" s="508">
        <v>10</v>
      </c>
      <c r="I654" s="508" t="s">
        <v>4152</v>
      </c>
      <c r="J654" s="508" t="s">
        <v>4223</v>
      </c>
      <c r="K654" s="547"/>
      <c r="L654" s="508"/>
      <c r="M654" s="508"/>
      <c r="N654" s="547">
        <v>2024048244</v>
      </c>
      <c r="O654" s="508"/>
    </row>
    <row r="655" spans="1:26">
      <c r="B655" s="503"/>
      <c r="C655" s="508"/>
      <c r="D655" s="508"/>
      <c r="E655" s="508">
        <v>4</v>
      </c>
      <c r="F655" s="508" t="s">
        <v>3665</v>
      </c>
      <c r="G655" s="508">
        <v>100</v>
      </c>
      <c r="H655" s="508">
        <v>15</v>
      </c>
      <c r="I655" s="508" t="s">
        <v>4152</v>
      </c>
      <c r="J655" s="508" t="s">
        <v>4153</v>
      </c>
      <c r="K655" s="547"/>
      <c r="L655" s="508"/>
      <c r="M655" s="508"/>
      <c r="N655" s="547">
        <v>2024048164</v>
      </c>
      <c r="O655" s="508"/>
    </row>
    <row r="656" spans="1:26">
      <c r="B656" s="503"/>
      <c r="C656" s="508"/>
      <c r="D656" s="508"/>
      <c r="E656" s="508">
        <v>5</v>
      </c>
      <c r="F656" s="508" t="s">
        <v>3897</v>
      </c>
      <c r="G656" s="508">
        <v>100</v>
      </c>
      <c r="H656" s="508">
        <v>10</v>
      </c>
      <c r="I656" s="508" t="s">
        <v>4152</v>
      </c>
      <c r="J656" s="508" t="s">
        <v>4223</v>
      </c>
      <c r="K656" s="547"/>
      <c r="L656" s="508"/>
      <c r="M656" s="508"/>
      <c r="N656" s="547">
        <v>2024058392</v>
      </c>
      <c r="O656" s="508"/>
    </row>
    <row r="657" spans="2:15">
      <c r="B657" s="503"/>
      <c r="C657" s="508"/>
      <c r="D657" s="508"/>
      <c r="E657" s="508">
        <v>6</v>
      </c>
      <c r="F657" s="508" t="s">
        <v>3808</v>
      </c>
      <c r="G657" s="508"/>
      <c r="H657" s="508">
        <v>10</v>
      </c>
      <c r="I657" s="508" t="s">
        <v>4152</v>
      </c>
      <c r="J657" s="508"/>
      <c r="K657" s="547"/>
      <c r="L657" s="508"/>
      <c r="M657" s="508"/>
      <c r="N657" s="547">
        <v>2024099214</v>
      </c>
      <c r="O657" s="508"/>
    </row>
    <row r="658" spans="2:15">
      <c r="B658" s="503"/>
      <c r="C658" s="508"/>
      <c r="D658" s="508"/>
      <c r="E658" s="508">
        <v>7</v>
      </c>
      <c r="F658" s="508" t="s">
        <v>4024</v>
      </c>
      <c r="G658" s="508"/>
      <c r="H658" s="508">
        <v>15</v>
      </c>
      <c r="I658" s="508" t="s">
        <v>4152</v>
      </c>
      <c r="J658" s="508"/>
      <c r="K658" s="547"/>
      <c r="L658" s="508"/>
      <c r="M658" s="508"/>
      <c r="N658" s="547">
        <v>2022053517</v>
      </c>
      <c r="O658" s="508"/>
    </row>
    <row r="659" spans="2:15">
      <c r="B659" s="503"/>
      <c r="C659" s="508"/>
      <c r="D659" s="508"/>
      <c r="E659" s="508">
        <v>8</v>
      </c>
      <c r="F659" s="508" t="s">
        <v>4224</v>
      </c>
      <c r="G659" s="508"/>
      <c r="H659" s="508">
        <v>10</v>
      </c>
      <c r="I659" s="508" t="s">
        <v>4152</v>
      </c>
      <c r="J659" s="508"/>
      <c r="K659" s="547"/>
      <c r="L659" s="508"/>
      <c r="M659" s="508"/>
      <c r="N659" s="547">
        <v>2024048200</v>
      </c>
      <c r="O659" s="508"/>
    </row>
    <row r="660" spans="2:15">
      <c r="B660" s="503"/>
      <c r="C660" s="508"/>
      <c r="D660" s="508"/>
      <c r="E660" s="508">
        <v>9</v>
      </c>
      <c r="F660" s="508" t="s">
        <v>3806</v>
      </c>
      <c r="G660" s="508"/>
      <c r="H660" s="508">
        <v>10</v>
      </c>
      <c r="I660" s="508" t="s">
        <v>4152</v>
      </c>
      <c r="J660" s="508"/>
      <c r="K660" s="547"/>
      <c r="L660" s="508"/>
      <c r="M660" s="508"/>
      <c r="N660" s="547">
        <v>2024119395</v>
      </c>
      <c r="O660" s="508"/>
    </row>
    <row r="661" spans="2:15">
      <c r="B661" s="503"/>
      <c r="C661" s="550"/>
      <c r="D661" s="550"/>
      <c r="E661" s="550">
        <v>10</v>
      </c>
      <c r="F661" s="550" t="s">
        <v>4225</v>
      </c>
      <c r="G661" s="550"/>
      <c r="H661" s="550">
        <v>10</v>
      </c>
      <c r="I661" s="550" t="s">
        <v>4152</v>
      </c>
      <c r="J661" s="550"/>
      <c r="K661" s="569"/>
      <c r="L661" s="550"/>
      <c r="M661" s="550"/>
      <c r="N661" s="633">
        <v>2024058493</v>
      </c>
      <c r="O661" s="550"/>
    </row>
    <row r="662" spans="2:15">
      <c r="B662" s="503"/>
      <c r="C662" s="569"/>
      <c r="D662" s="569"/>
      <c r="E662" s="569">
        <v>11</v>
      </c>
      <c r="F662" s="569" t="s">
        <v>189</v>
      </c>
      <c r="G662" s="569"/>
      <c r="H662" s="569">
        <v>10</v>
      </c>
      <c r="I662" s="569" t="s">
        <v>4152</v>
      </c>
      <c r="J662" s="569"/>
      <c r="K662" s="569"/>
      <c r="L662" s="569"/>
      <c r="M662" s="569"/>
      <c r="N662" s="569">
        <v>2024058390</v>
      </c>
      <c r="O662" s="569"/>
    </row>
    <row r="663" spans="2:15">
      <c r="B663" s="503"/>
      <c r="C663" s="557" t="s">
        <v>3371</v>
      </c>
      <c r="D663" s="557" t="s">
        <v>3294</v>
      </c>
      <c r="E663" s="557">
        <v>1</v>
      </c>
      <c r="F663" s="557" t="s">
        <v>3514</v>
      </c>
      <c r="G663" s="557"/>
      <c r="H663" s="557"/>
      <c r="I663" s="569" t="s">
        <v>4152</v>
      </c>
      <c r="J663" s="557"/>
      <c r="K663" s="557"/>
      <c r="L663" s="557"/>
      <c r="M663" s="557"/>
      <c r="N663" s="557">
        <v>2024119396</v>
      </c>
      <c r="O663" s="557"/>
    </row>
    <row r="664" spans="2:15">
      <c r="B664" s="503"/>
      <c r="C664" s="508"/>
      <c r="D664" s="508"/>
      <c r="E664" s="508">
        <v>2</v>
      </c>
      <c r="F664" s="508" t="s">
        <v>3512</v>
      </c>
      <c r="G664" s="508"/>
      <c r="H664" s="508"/>
      <c r="I664" s="569" t="s">
        <v>4152</v>
      </c>
      <c r="J664" s="508"/>
      <c r="K664" s="508"/>
      <c r="L664" s="508"/>
      <c r="M664" s="508"/>
      <c r="N664" s="547">
        <v>2024068742</v>
      </c>
      <c r="O664" s="508"/>
    </row>
    <row r="665" spans="2:15">
      <c r="B665" s="503"/>
      <c r="C665" s="508"/>
      <c r="D665" s="508"/>
      <c r="E665" s="508">
        <v>3</v>
      </c>
      <c r="F665" s="508" t="s">
        <v>222</v>
      </c>
      <c r="G665" s="508">
        <v>100</v>
      </c>
      <c r="H665" s="508"/>
      <c r="I665" s="569" t="s">
        <v>4152</v>
      </c>
      <c r="J665" s="508" t="s">
        <v>4226</v>
      </c>
      <c r="K665" s="508"/>
      <c r="L665" s="508"/>
      <c r="M665" s="508"/>
      <c r="N665" s="547">
        <v>2024048326</v>
      </c>
      <c r="O665" s="508"/>
    </row>
    <row r="666" spans="2:15">
      <c r="B666" s="503"/>
      <c r="C666" s="557" t="s">
        <v>3376</v>
      </c>
      <c r="D666" s="557" t="s">
        <v>3377</v>
      </c>
      <c r="E666" s="557">
        <v>1</v>
      </c>
      <c r="F666" s="557" t="s">
        <v>3378</v>
      </c>
      <c r="G666" s="557"/>
      <c r="H666" s="557"/>
      <c r="I666" s="557" t="s">
        <v>4152</v>
      </c>
      <c r="J666" s="557"/>
      <c r="K666" s="557" t="s">
        <v>3379</v>
      </c>
      <c r="L666" s="557"/>
      <c r="M666" s="557"/>
      <c r="N666" s="557">
        <v>2024068635</v>
      </c>
      <c r="O666" s="557"/>
    </row>
    <row r="667" spans="2:15">
      <c r="B667" s="503"/>
      <c r="C667" s="508"/>
      <c r="D667" s="508"/>
      <c r="E667" s="508">
        <v>2</v>
      </c>
      <c r="F667" s="508" t="s">
        <v>1314</v>
      </c>
      <c r="G667" s="508"/>
      <c r="H667" s="508"/>
      <c r="I667" s="508" t="s">
        <v>4152</v>
      </c>
      <c r="J667" s="508"/>
      <c r="K667" s="508" t="s">
        <v>4140</v>
      </c>
      <c r="L667" s="508"/>
      <c r="M667" s="508"/>
      <c r="N667" s="508">
        <v>2024058502</v>
      </c>
      <c r="O667" s="508"/>
    </row>
    <row r="668" spans="2:15">
      <c r="B668" s="503"/>
      <c r="C668" s="508"/>
      <c r="D668" s="508"/>
      <c r="E668" s="508">
        <v>3</v>
      </c>
      <c r="F668" s="508" t="s">
        <v>1422</v>
      </c>
      <c r="G668" s="508"/>
      <c r="H668" s="508"/>
      <c r="I668" s="508" t="s">
        <v>4152</v>
      </c>
      <c r="J668" s="508"/>
      <c r="K668" s="508" t="s">
        <v>4227</v>
      </c>
      <c r="L668" s="508"/>
      <c r="M668" s="508"/>
      <c r="N668" s="508">
        <v>2024068640</v>
      </c>
      <c r="O668" s="508"/>
    </row>
    <row r="669" spans="2:15">
      <c r="B669" s="503"/>
      <c r="C669" s="508"/>
      <c r="D669" s="508"/>
      <c r="E669" s="508">
        <v>4</v>
      </c>
      <c r="F669" s="508" t="s">
        <v>3906</v>
      </c>
      <c r="G669" s="508"/>
      <c r="H669" s="508"/>
      <c r="I669" s="508" t="s">
        <v>4152</v>
      </c>
      <c r="J669" s="508"/>
      <c r="K669" s="508" t="s">
        <v>3907</v>
      </c>
      <c r="L669" s="508"/>
      <c r="M669" s="508"/>
      <c r="N669" s="508">
        <v>2024058456</v>
      </c>
      <c r="O669" s="508"/>
    </row>
    <row r="670" spans="2:15">
      <c r="B670" s="503"/>
      <c r="C670" s="508"/>
      <c r="D670" s="508"/>
      <c r="E670" s="508">
        <v>5</v>
      </c>
      <c r="F670" s="508" t="s">
        <v>4228</v>
      </c>
      <c r="G670" s="508"/>
      <c r="H670" s="508"/>
      <c r="I670" s="508" t="s">
        <v>4152</v>
      </c>
      <c r="J670" s="508"/>
      <c r="K670" s="508" t="s">
        <v>4229</v>
      </c>
      <c r="L670" s="508"/>
      <c r="M670" s="508"/>
      <c r="N670" s="508">
        <v>2025029649</v>
      </c>
      <c r="O670" s="508"/>
    </row>
    <row r="671" spans="2:15">
      <c r="B671" s="503"/>
      <c r="C671" s="508"/>
      <c r="D671" s="508"/>
      <c r="E671" s="508">
        <v>6</v>
      </c>
      <c r="F671" s="508" t="s">
        <v>803</v>
      </c>
      <c r="G671" s="508"/>
      <c r="H671" s="508"/>
      <c r="I671" s="508" t="s">
        <v>4152</v>
      </c>
      <c r="J671" s="508"/>
      <c r="K671" s="508" t="s">
        <v>3382</v>
      </c>
      <c r="L671" s="508"/>
      <c r="M671" s="508"/>
      <c r="N671" s="508">
        <v>2024058552</v>
      </c>
      <c r="O671" s="508"/>
    </row>
    <row r="672" spans="2:15">
      <c r="B672" s="503"/>
      <c r="C672" s="508"/>
      <c r="D672" s="508"/>
      <c r="E672" s="508">
        <v>7</v>
      </c>
      <c r="F672" s="508" t="s">
        <v>1337</v>
      </c>
      <c r="G672" s="508"/>
      <c r="H672" s="508"/>
      <c r="I672" s="508" t="s">
        <v>4152</v>
      </c>
      <c r="J672" s="508"/>
      <c r="K672" s="508" t="s">
        <v>4230</v>
      </c>
      <c r="L672" s="508"/>
      <c r="M672" s="508"/>
      <c r="N672" s="508">
        <v>2024119411</v>
      </c>
      <c r="O672" s="508"/>
    </row>
    <row r="673" spans="2:15">
      <c r="B673" s="503"/>
      <c r="C673" s="557" t="s">
        <v>3385</v>
      </c>
      <c r="D673" s="557" t="s">
        <v>3386</v>
      </c>
      <c r="E673" s="557">
        <v>1</v>
      </c>
      <c r="F673" s="557" t="s">
        <v>3826</v>
      </c>
      <c r="G673" s="557"/>
      <c r="H673" s="557"/>
      <c r="I673" s="557" t="s">
        <v>4152</v>
      </c>
      <c r="J673" s="557"/>
      <c r="K673" s="557" t="s">
        <v>3827</v>
      </c>
      <c r="L673" s="557"/>
      <c r="M673" s="557"/>
      <c r="N673" s="557">
        <v>2024058584</v>
      </c>
      <c r="O673" s="557"/>
    </row>
    <row r="674" spans="2:15">
      <c r="B674" s="503"/>
      <c r="C674" s="508"/>
      <c r="D674" s="508"/>
      <c r="E674" s="508">
        <v>2</v>
      </c>
      <c r="F674" s="508" t="s">
        <v>3688</v>
      </c>
      <c r="G674" s="508">
        <v>100</v>
      </c>
      <c r="H674" s="508"/>
      <c r="I674" s="508" t="s">
        <v>4152</v>
      </c>
      <c r="J674" s="508"/>
      <c r="K674" s="508" t="s">
        <v>3689</v>
      </c>
      <c r="L674" s="508"/>
      <c r="M674" s="508"/>
      <c r="N674" s="508">
        <v>2024068690</v>
      </c>
      <c r="O674" s="508"/>
    </row>
    <row r="675" spans="2:15">
      <c r="B675" s="503"/>
      <c r="C675" s="508"/>
      <c r="D675" s="508"/>
      <c r="E675" s="508">
        <v>3</v>
      </c>
      <c r="F675" s="508" t="s">
        <v>3530</v>
      </c>
      <c r="G675" s="508"/>
      <c r="H675" s="508"/>
      <c r="I675" s="508" t="s">
        <v>4152</v>
      </c>
      <c r="J675" s="508"/>
      <c r="K675" s="508" t="s">
        <v>3531</v>
      </c>
      <c r="L675" s="508"/>
      <c r="M675" s="508"/>
      <c r="N675" s="508">
        <v>2024017518</v>
      </c>
      <c r="O675" s="508"/>
    </row>
    <row r="676" spans="2:15">
      <c r="B676" s="503"/>
      <c r="C676" s="508"/>
      <c r="D676" s="508"/>
      <c r="E676" s="508">
        <v>4</v>
      </c>
      <c r="F676" s="508" t="s">
        <v>3828</v>
      </c>
      <c r="G676" s="508"/>
      <c r="H676" s="508"/>
      <c r="I676" s="508" t="s">
        <v>4152</v>
      </c>
      <c r="J676" s="508"/>
      <c r="K676" s="508" t="s">
        <v>3829</v>
      </c>
      <c r="L676" s="508"/>
      <c r="M676" s="508"/>
      <c r="N676" s="508">
        <v>2024027878</v>
      </c>
      <c r="O676" s="508"/>
    </row>
    <row r="677" spans="2:15">
      <c r="B677" s="503"/>
      <c r="C677" s="508"/>
      <c r="D677" s="508"/>
      <c r="E677" s="508">
        <v>5</v>
      </c>
      <c r="F677" s="508" t="s">
        <v>439</v>
      </c>
      <c r="G677" s="508"/>
      <c r="H677" s="508"/>
      <c r="I677" s="508" t="s">
        <v>4152</v>
      </c>
      <c r="J677" s="508"/>
      <c r="K677" s="508" t="s">
        <v>3830</v>
      </c>
      <c r="L677" s="508"/>
      <c r="M677" s="508"/>
      <c r="N677" s="508">
        <v>2024089045</v>
      </c>
      <c r="O677" s="508"/>
    </row>
    <row r="678" spans="2:15">
      <c r="B678" s="503"/>
      <c r="C678" s="508"/>
      <c r="D678" s="508"/>
      <c r="E678" s="508">
        <v>6</v>
      </c>
      <c r="F678" s="508" t="s">
        <v>3393</v>
      </c>
      <c r="G678" s="508">
        <v>50</v>
      </c>
      <c r="H678" s="508"/>
      <c r="I678" s="508" t="s">
        <v>4152</v>
      </c>
      <c r="J678" s="508"/>
      <c r="K678" s="508" t="s">
        <v>3394</v>
      </c>
      <c r="L678" s="508"/>
      <c r="M678" s="508"/>
      <c r="N678" s="508">
        <v>2024099148</v>
      </c>
      <c r="O678" s="508"/>
    </row>
    <row r="679" spans="2:15">
      <c r="B679" s="503"/>
      <c r="C679" s="508"/>
      <c r="D679" s="508"/>
      <c r="E679" s="508">
        <v>7</v>
      </c>
      <c r="F679" s="508" t="s">
        <v>4231</v>
      </c>
      <c r="G679" s="508"/>
      <c r="H679" s="508"/>
      <c r="I679" s="508" t="s">
        <v>4152</v>
      </c>
      <c r="J679" s="508"/>
      <c r="K679" s="508" t="s">
        <v>4232</v>
      </c>
      <c r="L679" s="508"/>
      <c r="M679" s="508"/>
      <c r="N679" s="508">
        <v>2024027911</v>
      </c>
      <c r="O679" s="508"/>
    </row>
    <row r="680" spans="2:15">
      <c r="B680" s="503"/>
      <c r="C680" s="508"/>
      <c r="D680" s="508"/>
      <c r="E680" s="508">
        <v>8</v>
      </c>
      <c r="F680" s="508" t="s">
        <v>4233</v>
      </c>
      <c r="G680" s="508">
        <v>50</v>
      </c>
      <c r="H680" s="508"/>
      <c r="I680" s="508" t="s">
        <v>4152</v>
      </c>
      <c r="J680" s="508"/>
      <c r="K680" s="508" t="s">
        <v>4234</v>
      </c>
      <c r="L680" s="508"/>
      <c r="M680" s="508"/>
      <c r="N680" s="508">
        <v>2025029648</v>
      </c>
      <c r="O680" s="508"/>
    </row>
    <row r="681" spans="2:15">
      <c r="B681" s="503"/>
      <c r="C681" s="557" t="s">
        <v>3399</v>
      </c>
      <c r="D681" s="557" t="s">
        <v>3400</v>
      </c>
      <c r="E681" s="557">
        <v>1</v>
      </c>
      <c r="F681" s="557" t="s">
        <v>3539</v>
      </c>
      <c r="G681" s="557">
        <v>100</v>
      </c>
      <c r="H681" s="557">
        <v>10</v>
      </c>
      <c r="I681" s="557" t="s">
        <v>4152</v>
      </c>
      <c r="J681" s="557" t="s">
        <v>4235</v>
      </c>
      <c r="K681" s="557" t="s">
        <v>4236</v>
      </c>
      <c r="L681" s="557" t="s">
        <v>4237</v>
      </c>
      <c r="M681" s="557" t="s">
        <v>3358</v>
      </c>
      <c r="N681" s="558">
        <v>2024129481</v>
      </c>
      <c r="O681" s="557"/>
    </row>
    <row r="682" spans="2:15" ht="33">
      <c r="B682" s="503"/>
      <c r="C682" s="508"/>
      <c r="D682" s="508"/>
      <c r="E682" s="508">
        <v>2</v>
      </c>
      <c r="F682" s="508" t="s">
        <v>3540</v>
      </c>
      <c r="G682" s="508">
        <v>50</v>
      </c>
      <c r="H682" s="508">
        <v>10</v>
      </c>
      <c r="I682" s="508" t="s">
        <v>4152</v>
      </c>
      <c r="J682" s="666" t="s">
        <v>4238</v>
      </c>
      <c r="K682" s="508" t="s">
        <v>4239</v>
      </c>
      <c r="L682" s="508" t="s">
        <v>4240</v>
      </c>
      <c r="M682" s="508" t="s">
        <v>3358</v>
      </c>
      <c r="N682" s="559">
        <v>2024109274</v>
      </c>
      <c r="O682" s="508"/>
    </row>
    <row r="683" spans="2:15">
      <c r="B683" s="503"/>
      <c r="C683" s="508"/>
      <c r="D683" s="508"/>
      <c r="E683" s="508">
        <v>3</v>
      </c>
      <c r="F683" s="508" t="s">
        <v>3700</v>
      </c>
      <c r="G683" s="508">
        <v>30</v>
      </c>
      <c r="H683" s="508">
        <v>10</v>
      </c>
      <c r="I683" s="508" t="s">
        <v>4152</v>
      </c>
      <c r="J683" s="508"/>
      <c r="K683" s="508" t="s">
        <v>4241</v>
      </c>
      <c r="L683" s="508"/>
      <c r="M683" s="508"/>
      <c r="N683" s="559">
        <v>2024048270</v>
      </c>
      <c r="O683" s="508"/>
    </row>
    <row r="684" spans="2:15">
      <c r="B684" s="503"/>
      <c r="C684" s="508"/>
      <c r="D684" s="508"/>
      <c r="E684" s="508">
        <v>4</v>
      </c>
      <c r="F684" s="508" t="s">
        <v>4242</v>
      </c>
      <c r="G684" s="508"/>
      <c r="H684" s="508"/>
      <c r="I684" s="508" t="s">
        <v>4152</v>
      </c>
      <c r="J684" s="508"/>
      <c r="K684" s="508" t="s">
        <v>4243</v>
      </c>
      <c r="L684" s="508"/>
      <c r="M684" s="508"/>
      <c r="N684" s="559">
        <v>2025029647</v>
      </c>
      <c r="O684" s="508"/>
    </row>
    <row r="685" spans="2:15">
      <c r="B685" s="503"/>
      <c r="C685" s="508"/>
      <c r="D685" s="508"/>
      <c r="E685" s="508">
        <v>5</v>
      </c>
      <c r="F685" s="508" t="s">
        <v>4244</v>
      </c>
      <c r="G685" s="508"/>
      <c r="H685" s="508"/>
      <c r="I685" s="508" t="s">
        <v>4152</v>
      </c>
      <c r="J685" s="508"/>
      <c r="K685" s="508" t="s">
        <v>4245</v>
      </c>
      <c r="L685" s="508"/>
      <c r="M685" s="508"/>
      <c r="N685" s="559">
        <v>2024048207</v>
      </c>
      <c r="O685" s="508"/>
    </row>
    <row r="686" spans="2:15">
      <c r="B686" s="579"/>
      <c r="C686" s="547"/>
      <c r="D686" s="547"/>
      <c r="E686" s="547">
        <v>6</v>
      </c>
      <c r="F686" s="547" t="s">
        <v>3699</v>
      </c>
      <c r="G686" s="547"/>
      <c r="H686" s="547"/>
      <c r="I686" s="547" t="s">
        <v>4152</v>
      </c>
      <c r="J686" s="547"/>
      <c r="K686" s="547" t="s">
        <v>4246</v>
      </c>
      <c r="L686" s="547"/>
      <c r="M686" s="547" t="s">
        <v>3358</v>
      </c>
      <c r="N686" s="680">
        <v>2024058397</v>
      </c>
      <c r="O686" s="547"/>
    </row>
    <row r="687" spans="2:15">
      <c r="B687" s="619" t="s">
        <v>4247</v>
      </c>
      <c r="C687" s="668"/>
      <c r="D687" s="602"/>
      <c r="E687" s="602"/>
      <c r="F687" s="669"/>
      <c r="G687" s="669"/>
      <c r="H687" s="669"/>
      <c r="I687" s="669"/>
      <c r="J687" s="669"/>
      <c r="K687" s="669"/>
      <c r="L687" s="669"/>
      <c r="M687" s="669"/>
      <c r="N687" s="602"/>
      <c r="O687" s="670"/>
    </row>
    <row r="688" spans="2:15">
      <c r="B688" s="575" t="s">
        <v>3232</v>
      </c>
      <c r="C688" s="557" t="s">
        <v>3233</v>
      </c>
      <c r="D688" s="557" t="s">
        <v>3234</v>
      </c>
      <c r="E688" s="557">
        <v>1</v>
      </c>
      <c r="F688" s="681" t="s">
        <v>4248</v>
      </c>
      <c r="G688" s="681"/>
      <c r="H688" s="681"/>
      <c r="I688" s="681"/>
      <c r="J688" s="681"/>
      <c r="K688" s="681" t="s">
        <v>4249</v>
      </c>
      <c r="L688" s="681" t="s">
        <v>3433</v>
      </c>
      <c r="M688" s="681"/>
      <c r="N688" s="682"/>
      <c r="O688" s="682"/>
    </row>
    <row r="689" spans="2:15">
      <c r="B689" s="503"/>
      <c r="C689" s="508"/>
      <c r="D689" s="508"/>
      <c r="E689" s="508">
        <v>2</v>
      </c>
      <c r="F689" s="508" t="s">
        <v>3235</v>
      </c>
      <c r="G689" s="508"/>
      <c r="H689" s="508"/>
      <c r="I689" s="508"/>
      <c r="J689" s="508"/>
      <c r="K689" s="508" t="s">
        <v>4250</v>
      </c>
      <c r="L689" s="508" t="s">
        <v>4251</v>
      </c>
      <c r="M689" s="508" t="s">
        <v>3358</v>
      </c>
      <c r="N689" s="502">
        <v>2024129510</v>
      </c>
      <c r="O689" s="508"/>
    </row>
    <row r="690" spans="2:15">
      <c r="B690" s="503"/>
      <c r="C690" s="508"/>
      <c r="D690" s="508"/>
      <c r="E690" s="508">
        <v>3</v>
      </c>
      <c r="F690" s="508" t="s">
        <v>4044</v>
      </c>
      <c r="G690" s="508"/>
      <c r="H690" s="508"/>
      <c r="I690" s="508"/>
      <c r="J690" s="508"/>
      <c r="K690" s="508" t="s">
        <v>4045</v>
      </c>
      <c r="L690" s="508"/>
      <c r="M690" s="508" t="s">
        <v>3358</v>
      </c>
      <c r="N690" s="502">
        <v>2025019555</v>
      </c>
      <c r="O690" s="508"/>
    </row>
    <row r="691" spans="2:15">
      <c r="B691" s="503"/>
      <c r="C691" s="508"/>
      <c r="D691" s="508"/>
      <c r="E691" s="508">
        <v>4</v>
      </c>
      <c r="F691" s="508" t="s">
        <v>4252</v>
      </c>
      <c r="G691" s="508"/>
      <c r="H691" s="508"/>
      <c r="I691" s="508"/>
      <c r="J691" s="508"/>
      <c r="K691" s="508" t="s">
        <v>4253</v>
      </c>
      <c r="L691" s="508"/>
      <c r="M691" s="508" t="s">
        <v>3358</v>
      </c>
      <c r="N691" s="502">
        <v>2023127456</v>
      </c>
      <c r="O691" s="508"/>
    </row>
    <row r="692" spans="2:15">
      <c r="B692" s="503"/>
      <c r="C692" s="549" t="s">
        <v>3243</v>
      </c>
      <c r="D692" s="549" t="s">
        <v>3244</v>
      </c>
      <c r="E692" s="557">
        <v>1</v>
      </c>
      <c r="F692" s="549" t="s">
        <v>3722</v>
      </c>
      <c r="G692" s="549"/>
      <c r="H692" s="549"/>
      <c r="I692" s="547" t="s">
        <v>4254</v>
      </c>
      <c r="J692" s="549" t="s">
        <v>4255</v>
      </c>
      <c r="K692" s="549" t="s">
        <v>4256</v>
      </c>
      <c r="L692" s="549"/>
      <c r="M692" s="547" t="s">
        <v>3358</v>
      </c>
      <c r="N692" s="549">
        <v>2025019558</v>
      </c>
      <c r="O692" s="549"/>
    </row>
    <row r="693" spans="2:15" ht="17.25">
      <c r="B693" s="503"/>
      <c r="C693" s="508"/>
      <c r="D693" s="508"/>
      <c r="E693" s="508">
        <v>2</v>
      </c>
      <c r="F693" s="508" t="s">
        <v>3727</v>
      </c>
      <c r="G693" s="508">
        <v>50</v>
      </c>
      <c r="H693" s="508"/>
      <c r="I693" s="508" t="s">
        <v>4254</v>
      </c>
      <c r="J693" s="547" t="s">
        <v>4257</v>
      </c>
      <c r="K693" s="508" t="s">
        <v>4258</v>
      </c>
      <c r="L693" s="508"/>
      <c r="M693" s="508" t="s">
        <v>3358</v>
      </c>
      <c r="N693" s="683">
        <v>2024109293</v>
      </c>
      <c r="O693" s="508"/>
    </row>
    <row r="694" spans="2:15" ht="17.25">
      <c r="B694" s="503"/>
      <c r="C694" s="508"/>
      <c r="D694" s="508"/>
      <c r="E694" s="508">
        <v>3</v>
      </c>
      <c r="F694" s="508" t="s">
        <v>4259</v>
      </c>
      <c r="G694" s="508"/>
      <c r="H694" s="508"/>
      <c r="I694" s="508" t="s">
        <v>4254</v>
      </c>
      <c r="J694" s="508" t="s">
        <v>4255</v>
      </c>
      <c r="K694" s="508" t="s">
        <v>4260</v>
      </c>
      <c r="L694" s="508"/>
      <c r="M694" s="508" t="s">
        <v>3358</v>
      </c>
      <c r="N694" s="684">
        <v>2024089070</v>
      </c>
      <c r="O694" s="508"/>
    </row>
    <row r="695" spans="2:15" ht="17.25">
      <c r="B695" s="503"/>
      <c r="C695" s="508"/>
      <c r="D695" s="508"/>
      <c r="E695" s="508">
        <v>4</v>
      </c>
      <c r="F695" s="508" t="s">
        <v>4261</v>
      </c>
      <c r="G695" s="508"/>
      <c r="H695" s="508"/>
      <c r="I695" s="508" t="s">
        <v>4254</v>
      </c>
      <c r="J695" s="508" t="s">
        <v>4262</v>
      </c>
      <c r="K695" s="508" t="s">
        <v>4263</v>
      </c>
      <c r="L695" s="508"/>
      <c r="M695" s="508" t="s">
        <v>3358</v>
      </c>
      <c r="N695" s="685">
        <v>2025019584</v>
      </c>
      <c r="O695" s="508"/>
    </row>
    <row r="696" spans="2:15">
      <c r="B696" s="503"/>
      <c r="C696" s="549" t="s">
        <v>3250</v>
      </c>
      <c r="D696" s="549" t="s">
        <v>3251</v>
      </c>
      <c r="E696" s="557">
        <v>1</v>
      </c>
      <c r="F696" s="549" t="s">
        <v>4264</v>
      </c>
      <c r="G696" s="549"/>
      <c r="H696" s="549"/>
      <c r="I696" s="549" t="s">
        <v>4254</v>
      </c>
      <c r="J696" s="549" t="s">
        <v>4265</v>
      </c>
      <c r="K696" s="549" t="s">
        <v>4264</v>
      </c>
      <c r="L696" s="549" t="s">
        <v>4266</v>
      </c>
      <c r="M696" s="549"/>
      <c r="N696" s="566">
        <v>2024119404</v>
      </c>
      <c r="O696" s="549"/>
    </row>
    <row r="697" spans="2:15" ht="17.25">
      <c r="B697" s="503"/>
      <c r="C697" s="508"/>
      <c r="D697" s="508"/>
      <c r="E697" s="508">
        <v>2</v>
      </c>
      <c r="F697" s="508" t="s">
        <v>3740</v>
      </c>
      <c r="G697" s="508"/>
      <c r="H697" s="508"/>
      <c r="I697" s="508" t="s">
        <v>4254</v>
      </c>
      <c r="J697" s="508" t="s">
        <v>4254</v>
      </c>
      <c r="K697" s="508" t="s">
        <v>3740</v>
      </c>
      <c r="L697" s="508"/>
      <c r="M697" s="508"/>
      <c r="N697" s="536">
        <v>2024099269</v>
      </c>
      <c r="O697" s="508"/>
    </row>
    <row r="698" spans="2:15" ht="17.25">
      <c r="B698" s="503"/>
      <c r="C698" s="508"/>
      <c r="D698" s="508"/>
      <c r="E698" s="508">
        <v>3</v>
      </c>
      <c r="F698" s="508" t="s">
        <v>4267</v>
      </c>
      <c r="G698" s="508"/>
      <c r="H698" s="508"/>
      <c r="I698" s="508" t="s">
        <v>4254</v>
      </c>
      <c r="J698" s="508" t="s">
        <v>4254</v>
      </c>
      <c r="K698" s="508" t="s">
        <v>4267</v>
      </c>
      <c r="L698" s="508"/>
      <c r="M698" s="508"/>
      <c r="N698" s="607">
        <v>2024099272</v>
      </c>
      <c r="O698" s="508"/>
    </row>
    <row r="699" spans="2:15">
      <c r="B699" s="503"/>
      <c r="C699" s="508"/>
      <c r="D699" s="508"/>
      <c r="E699" s="508">
        <v>4</v>
      </c>
      <c r="F699" s="508" t="s">
        <v>4268</v>
      </c>
      <c r="G699" s="508"/>
      <c r="H699" s="508"/>
      <c r="I699" s="508" t="s">
        <v>4254</v>
      </c>
      <c r="J699" s="508" t="s">
        <v>4254</v>
      </c>
      <c r="K699" s="508" t="s">
        <v>4269</v>
      </c>
      <c r="L699" s="508" t="s">
        <v>3412</v>
      </c>
      <c r="M699" s="508" t="s">
        <v>3247</v>
      </c>
      <c r="N699" s="508">
        <v>2025029652</v>
      </c>
      <c r="O699" s="508"/>
    </row>
    <row r="700" spans="2:15" ht="17.25">
      <c r="B700" s="503"/>
      <c r="C700" s="508"/>
      <c r="D700" s="508"/>
      <c r="E700" s="508">
        <v>5</v>
      </c>
      <c r="F700" s="508" t="s">
        <v>4270</v>
      </c>
      <c r="G700" s="508"/>
      <c r="H700" s="508"/>
      <c r="I700" s="508" t="s">
        <v>4254</v>
      </c>
      <c r="J700" s="508" t="s">
        <v>4254</v>
      </c>
      <c r="K700" s="508" t="s">
        <v>4270</v>
      </c>
      <c r="L700" s="508"/>
      <c r="M700" s="508"/>
      <c r="N700" s="544">
        <v>2024099271</v>
      </c>
      <c r="O700" s="508"/>
    </row>
    <row r="701" spans="2:15" ht="17.25">
      <c r="B701" s="503"/>
      <c r="C701" s="508"/>
      <c r="D701" s="508"/>
      <c r="E701" s="508">
        <v>6</v>
      </c>
      <c r="F701" s="508" t="s">
        <v>4271</v>
      </c>
      <c r="G701" s="508"/>
      <c r="H701" s="508"/>
      <c r="I701" s="508" t="s">
        <v>4254</v>
      </c>
      <c r="J701" s="508" t="s">
        <v>4254</v>
      </c>
      <c r="K701" s="508" t="s">
        <v>4271</v>
      </c>
      <c r="L701" s="508"/>
      <c r="M701" s="508"/>
      <c r="N701" s="565">
        <v>2025029653</v>
      </c>
      <c r="O701" s="508"/>
    </row>
    <row r="702" spans="2:15">
      <c r="B702" s="503"/>
      <c r="C702" s="508"/>
      <c r="D702" s="508"/>
      <c r="E702" s="508">
        <v>7</v>
      </c>
      <c r="F702" s="508" t="s">
        <v>4272</v>
      </c>
      <c r="G702" s="508"/>
      <c r="H702" s="508"/>
      <c r="I702" s="508" t="s">
        <v>4254</v>
      </c>
      <c r="J702" s="508" t="s">
        <v>4254</v>
      </c>
      <c r="K702" s="508" t="s">
        <v>4272</v>
      </c>
      <c r="L702" s="508"/>
      <c r="M702" s="508"/>
      <c r="N702" s="541">
        <v>2024109303</v>
      </c>
      <c r="O702" s="508"/>
    </row>
    <row r="703" spans="2:15" ht="17.25">
      <c r="B703" s="503"/>
      <c r="C703" s="508"/>
      <c r="D703" s="508"/>
      <c r="E703" s="508">
        <v>8</v>
      </c>
      <c r="F703" s="508" t="s">
        <v>3270</v>
      </c>
      <c r="G703" s="508"/>
      <c r="H703" s="508"/>
      <c r="I703" s="508" t="s">
        <v>4254</v>
      </c>
      <c r="J703" s="508" t="s">
        <v>4254</v>
      </c>
      <c r="K703" s="508" t="s">
        <v>3270</v>
      </c>
      <c r="L703" s="508"/>
      <c r="M703" s="508"/>
      <c r="N703" s="536">
        <v>2024099270</v>
      </c>
      <c r="O703" s="508"/>
    </row>
    <row r="704" spans="2:15" ht="17.25">
      <c r="B704" s="503"/>
      <c r="C704" s="508"/>
      <c r="D704" s="508"/>
      <c r="E704" s="508">
        <v>9</v>
      </c>
      <c r="F704" s="508" t="s">
        <v>4273</v>
      </c>
      <c r="G704" s="508"/>
      <c r="H704" s="508"/>
      <c r="I704" s="508" t="s">
        <v>4254</v>
      </c>
      <c r="J704" s="508" t="s">
        <v>4254</v>
      </c>
      <c r="K704" s="508" t="s">
        <v>4273</v>
      </c>
      <c r="L704" s="508"/>
      <c r="M704" s="508"/>
      <c r="N704" s="536">
        <v>2024099225</v>
      </c>
      <c r="O704" s="508"/>
    </row>
    <row r="705" spans="2:15" ht="17.25">
      <c r="B705" s="672"/>
      <c r="C705" s="569"/>
      <c r="D705" s="569"/>
      <c r="E705" s="569">
        <v>10</v>
      </c>
      <c r="F705" s="569" t="s">
        <v>4274</v>
      </c>
      <c r="G705" s="569"/>
      <c r="H705" s="569"/>
      <c r="I705" s="569" t="s">
        <v>4254</v>
      </c>
      <c r="J705" s="569" t="s">
        <v>4254</v>
      </c>
      <c r="K705" s="569" t="s">
        <v>4274</v>
      </c>
      <c r="L705" s="569"/>
      <c r="M705" s="569"/>
      <c r="N705" s="536">
        <v>2024099212</v>
      </c>
      <c r="O705" s="569"/>
    </row>
    <row r="706" spans="2:15">
      <c r="B706" s="503" t="s">
        <v>3276</v>
      </c>
      <c r="C706" s="549" t="s">
        <v>3277</v>
      </c>
      <c r="D706" s="549" t="s">
        <v>3278</v>
      </c>
      <c r="E706" s="557">
        <v>1</v>
      </c>
      <c r="F706" s="549" t="s">
        <v>3445</v>
      </c>
      <c r="G706" s="549"/>
      <c r="H706" s="549">
        <v>10</v>
      </c>
      <c r="I706" s="549" t="s">
        <v>4254</v>
      </c>
      <c r="J706" s="549" t="s">
        <v>4255</v>
      </c>
      <c r="K706" s="549" t="s">
        <v>3953</v>
      </c>
      <c r="L706" s="549"/>
      <c r="M706" s="549" t="s">
        <v>3358</v>
      </c>
      <c r="N706" s="549">
        <v>2024017475</v>
      </c>
      <c r="O706" s="549"/>
    </row>
    <row r="707" spans="2:15">
      <c r="B707" s="503"/>
      <c r="C707" s="508"/>
      <c r="D707" s="508"/>
      <c r="E707" s="686">
        <v>2</v>
      </c>
      <c r="F707" s="686" t="s">
        <v>3285</v>
      </c>
      <c r="G707" s="686"/>
      <c r="H707" s="686">
        <v>5</v>
      </c>
      <c r="I707" s="686" t="s">
        <v>4254</v>
      </c>
      <c r="J707" s="686" t="s">
        <v>4257</v>
      </c>
      <c r="K707" s="686" t="s">
        <v>4275</v>
      </c>
      <c r="L707" s="686"/>
      <c r="M707" s="686" t="s">
        <v>3358</v>
      </c>
      <c r="N707" s="686">
        <v>2024027764</v>
      </c>
      <c r="O707" s="686"/>
    </row>
    <row r="708" spans="2:15">
      <c r="B708" s="503"/>
      <c r="C708" s="508"/>
      <c r="D708" s="508"/>
      <c r="E708" s="508">
        <v>3</v>
      </c>
      <c r="F708" s="508" t="s">
        <v>2983</v>
      </c>
      <c r="G708" s="508"/>
      <c r="H708" s="508">
        <v>5</v>
      </c>
      <c r="I708" s="508" t="s">
        <v>4254</v>
      </c>
      <c r="J708" s="508" t="s">
        <v>4255</v>
      </c>
      <c r="K708" s="508" t="s">
        <v>4276</v>
      </c>
      <c r="L708" s="508"/>
      <c r="M708" s="508" t="s">
        <v>3358</v>
      </c>
      <c r="N708" s="508">
        <v>2020071460</v>
      </c>
      <c r="O708" s="508"/>
    </row>
    <row r="709" spans="2:15">
      <c r="B709" s="503"/>
      <c r="C709" s="508"/>
      <c r="D709" s="508"/>
      <c r="E709" s="508">
        <v>4</v>
      </c>
      <c r="F709" s="508" t="s">
        <v>3603</v>
      </c>
      <c r="G709" s="508">
        <v>50</v>
      </c>
      <c r="H709" s="508">
        <v>5</v>
      </c>
      <c r="I709" s="508" t="s">
        <v>4254</v>
      </c>
      <c r="J709" s="508" t="s">
        <v>4262</v>
      </c>
      <c r="K709" s="508" t="s">
        <v>4277</v>
      </c>
      <c r="L709" s="508"/>
      <c r="M709" s="508" t="s">
        <v>3358</v>
      </c>
      <c r="N709" s="508">
        <v>2024017605</v>
      </c>
      <c r="O709" s="508"/>
    </row>
    <row r="710" spans="2:15">
      <c r="B710" s="503"/>
      <c r="C710" s="508"/>
      <c r="D710" s="508"/>
      <c r="E710" s="508">
        <v>5</v>
      </c>
      <c r="F710" s="508" t="s">
        <v>911</v>
      </c>
      <c r="G710" s="508"/>
      <c r="H710" s="508">
        <v>30</v>
      </c>
      <c r="I710" s="508" t="s">
        <v>4254</v>
      </c>
      <c r="J710" s="508" t="s">
        <v>4278</v>
      </c>
      <c r="K710" s="508" t="s">
        <v>4279</v>
      </c>
      <c r="L710" s="508"/>
      <c r="M710" s="508" t="s">
        <v>3358</v>
      </c>
      <c r="N710" s="508">
        <v>2024089037</v>
      </c>
      <c r="O710" s="508"/>
    </row>
    <row r="711" spans="2:15">
      <c r="B711" s="503"/>
      <c r="C711" s="549" t="s">
        <v>3291</v>
      </c>
      <c r="D711" s="549" t="s">
        <v>3292</v>
      </c>
      <c r="E711" s="557">
        <v>1</v>
      </c>
      <c r="F711" s="549" t="s">
        <v>3760</v>
      </c>
      <c r="G711" s="549"/>
      <c r="H711" s="549"/>
      <c r="I711" s="549"/>
      <c r="J711" s="549"/>
      <c r="K711" s="549" t="s">
        <v>4280</v>
      </c>
      <c r="L711" s="549"/>
      <c r="M711" s="549"/>
      <c r="N711" s="549">
        <v>2024017606</v>
      </c>
      <c r="O711" s="549"/>
    </row>
    <row r="712" spans="2:15">
      <c r="B712" s="503"/>
      <c r="C712" s="549" t="s">
        <v>3293</v>
      </c>
      <c r="D712" s="549" t="s">
        <v>3294</v>
      </c>
      <c r="E712" s="549">
        <v>1</v>
      </c>
      <c r="F712" s="549" t="s">
        <v>4281</v>
      </c>
      <c r="G712" s="549"/>
      <c r="H712" s="549"/>
      <c r="I712" s="508" t="s">
        <v>4254</v>
      </c>
      <c r="J712" s="508" t="s">
        <v>4282</v>
      </c>
      <c r="K712" s="549" t="s">
        <v>4283</v>
      </c>
      <c r="L712" s="549"/>
      <c r="M712" s="549"/>
      <c r="N712" s="549">
        <v>2024119433</v>
      </c>
      <c r="O712" s="549"/>
    </row>
    <row r="713" spans="2:15">
      <c r="B713" s="503"/>
      <c r="C713" s="550"/>
      <c r="D713" s="550"/>
      <c r="E713" s="550">
        <v>2</v>
      </c>
      <c r="F713" s="550" t="s">
        <v>4284</v>
      </c>
      <c r="G713" s="550"/>
      <c r="H713" s="550"/>
      <c r="I713" s="550" t="s">
        <v>4254</v>
      </c>
      <c r="J713" s="550"/>
      <c r="K713" s="550" t="s">
        <v>4285</v>
      </c>
      <c r="L713" s="550"/>
      <c r="M713" s="550"/>
      <c r="N713" s="550">
        <v>2024027785</v>
      </c>
      <c r="O713" s="550"/>
    </row>
    <row r="714" spans="2:15">
      <c r="B714" s="503" t="s">
        <v>3300</v>
      </c>
      <c r="C714" s="673" t="s">
        <v>3301</v>
      </c>
      <c r="D714" s="673" t="s">
        <v>3302</v>
      </c>
      <c r="E714" s="673">
        <v>1</v>
      </c>
      <c r="F714" s="673" t="s">
        <v>3785</v>
      </c>
      <c r="G714" s="673"/>
      <c r="H714" s="673"/>
      <c r="I714" s="673" t="s">
        <v>4254</v>
      </c>
      <c r="J714" s="673"/>
      <c r="K714" s="673"/>
      <c r="L714" s="673"/>
      <c r="M714" s="673"/>
      <c r="N714" s="673">
        <v>2025029658</v>
      </c>
      <c r="O714" s="673"/>
    </row>
    <row r="715" spans="2:15">
      <c r="B715" s="503"/>
      <c r="C715" s="508"/>
      <c r="D715" s="508"/>
      <c r="E715" s="508">
        <v>2</v>
      </c>
      <c r="F715" s="687" t="s">
        <v>3637</v>
      </c>
      <c r="G715" s="508"/>
      <c r="H715" s="508"/>
      <c r="I715" s="508" t="s">
        <v>4254</v>
      </c>
      <c r="J715" s="508"/>
      <c r="K715" s="508"/>
      <c r="L715" s="508"/>
      <c r="M715" s="508"/>
      <c r="N715" s="508">
        <v>2025029620</v>
      </c>
      <c r="O715" s="508"/>
    </row>
    <row r="716" spans="2:15">
      <c r="B716" s="503"/>
      <c r="C716" s="508"/>
      <c r="D716" s="508"/>
      <c r="E716" s="508">
        <v>3</v>
      </c>
      <c r="F716" s="508" t="s">
        <v>4286</v>
      </c>
      <c r="G716" s="508"/>
      <c r="H716" s="508"/>
      <c r="I716" s="508" t="s">
        <v>4254</v>
      </c>
      <c r="J716" s="508"/>
      <c r="K716" s="508"/>
      <c r="L716" s="508"/>
      <c r="M716" s="508"/>
      <c r="N716" s="508">
        <v>2025029659</v>
      </c>
      <c r="O716" s="508"/>
    </row>
    <row r="717" spans="2:15">
      <c r="B717" s="503"/>
      <c r="C717" s="508"/>
      <c r="D717" s="508"/>
      <c r="E717" s="508">
        <v>4</v>
      </c>
      <c r="F717" s="508" t="s">
        <v>3304</v>
      </c>
      <c r="G717" s="508"/>
      <c r="H717" s="508"/>
      <c r="I717" s="508" t="s">
        <v>4254</v>
      </c>
      <c r="J717" s="508"/>
      <c r="K717" s="508"/>
      <c r="L717" s="508"/>
      <c r="M717" s="508"/>
      <c r="N717" s="508">
        <v>2025029660</v>
      </c>
      <c r="O717" s="508"/>
    </row>
    <row r="718" spans="2:15">
      <c r="B718" s="503"/>
      <c r="C718" s="508"/>
      <c r="D718" s="508"/>
      <c r="E718" s="508">
        <v>5</v>
      </c>
      <c r="F718" s="508" t="s">
        <v>2404</v>
      </c>
      <c r="G718" s="508"/>
      <c r="H718" s="508"/>
      <c r="I718" s="508" t="s">
        <v>4254</v>
      </c>
      <c r="J718" s="508"/>
      <c r="K718" s="508"/>
      <c r="L718" s="508"/>
      <c r="M718" s="508"/>
      <c r="N718" s="508">
        <v>2025029661</v>
      </c>
      <c r="O718" s="508"/>
    </row>
    <row r="719" spans="2:15">
      <c r="B719" s="503"/>
      <c r="C719" s="508"/>
      <c r="D719" s="508"/>
      <c r="E719" s="508">
        <v>6</v>
      </c>
      <c r="F719" s="508" t="s">
        <v>4107</v>
      </c>
      <c r="G719" s="508"/>
      <c r="H719" s="508"/>
      <c r="I719" s="508" t="s">
        <v>4254</v>
      </c>
      <c r="J719" s="508"/>
      <c r="K719" s="508"/>
      <c r="L719" s="508"/>
      <c r="M719" s="508"/>
      <c r="N719" s="508">
        <v>2025029662</v>
      </c>
      <c r="O719" s="508"/>
    </row>
    <row r="720" spans="2:15">
      <c r="B720" s="503"/>
      <c r="C720" s="508"/>
      <c r="D720" s="508"/>
      <c r="E720" s="508">
        <v>7</v>
      </c>
      <c r="F720" s="508" t="s">
        <v>3995</v>
      </c>
      <c r="G720" s="508"/>
      <c r="H720" s="508"/>
      <c r="I720" s="508" t="s">
        <v>4254</v>
      </c>
      <c r="J720" s="508"/>
      <c r="K720" s="508"/>
      <c r="L720" s="508"/>
      <c r="M720" s="508"/>
      <c r="N720" s="508">
        <v>2025029663</v>
      </c>
      <c r="O720" s="508"/>
    </row>
    <row r="721" spans="1:26">
      <c r="B721" s="503"/>
      <c r="C721" s="508"/>
      <c r="D721" s="508"/>
      <c r="E721" s="508">
        <v>8</v>
      </c>
      <c r="F721" s="508" t="s">
        <v>4287</v>
      </c>
      <c r="G721" s="508"/>
      <c r="H721" s="508"/>
      <c r="I721" s="508" t="s">
        <v>4254</v>
      </c>
      <c r="J721" s="508"/>
      <c r="K721" s="508"/>
      <c r="L721" s="508"/>
      <c r="M721" s="508"/>
      <c r="N721" s="508">
        <v>2025029664</v>
      </c>
      <c r="O721" s="508"/>
    </row>
    <row r="722" spans="1:26">
      <c r="B722" s="503"/>
      <c r="C722" s="508"/>
      <c r="D722" s="508"/>
      <c r="E722" s="508">
        <v>9</v>
      </c>
      <c r="F722" s="508" t="s">
        <v>4288</v>
      </c>
      <c r="G722" s="508"/>
      <c r="H722" s="508"/>
      <c r="I722" s="508" t="s">
        <v>4254</v>
      </c>
      <c r="J722" s="508"/>
      <c r="K722" s="508"/>
      <c r="L722" s="508"/>
      <c r="M722" s="508"/>
      <c r="N722" s="508">
        <v>2025029665</v>
      </c>
      <c r="O722" s="508"/>
    </row>
    <row r="723" spans="1:26">
      <c r="B723" s="579"/>
      <c r="C723" s="569"/>
      <c r="D723" s="569"/>
      <c r="E723" s="569">
        <v>10</v>
      </c>
      <c r="F723" s="569" t="s">
        <v>4289</v>
      </c>
      <c r="G723" s="569"/>
      <c r="H723" s="569"/>
      <c r="I723" s="547" t="s">
        <v>4254</v>
      </c>
      <c r="J723" s="569"/>
      <c r="K723" s="569"/>
      <c r="L723" s="569"/>
      <c r="M723" s="569"/>
      <c r="N723" s="569">
        <v>2025029666</v>
      </c>
      <c r="O723" s="569"/>
    </row>
    <row r="724" spans="1:26">
      <c r="B724" s="579"/>
      <c r="C724" s="557" t="s">
        <v>3474</v>
      </c>
      <c r="D724" s="557" t="s">
        <v>3315</v>
      </c>
      <c r="E724" s="557">
        <v>1</v>
      </c>
      <c r="F724" s="557" t="s">
        <v>4290</v>
      </c>
      <c r="G724" s="557"/>
      <c r="H724" s="557"/>
      <c r="I724" s="547" t="s">
        <v>4254</v>
      </c>
      <c r="J724" s="557"/>
      <c r="K724" s="557"/>
      <c r="L724" s="557"/>
      <c r="M724" s="557"/>
      <c r="N724" s="557">
        <v>2025029655</v>
      </c>
      <c r="O724" s="557"/>
    </row>
    <row r="725" spans="1:26">
      <c r="B725" s="579"/>
      <c r="C725" s="547"/>
      <c r="D725" s="547"/>
      <c r="E725" s="547">
        <v>2</v>
      </c>
      <c r="F725" s="547" t="s">
        <v>4291</v>
      </c>
      <c r="G725" s="547"/>
      <c r="H725" s="547"/>
      <c r="I725" s="547" t="s">
        <v>4254</v>
      </c>
      <c r="J725" s="547"/>
      <c r="K725" s="547"/>
      <c r="L725" s="547"/>
      <c r="M725" s="547"/>
      <c r="N725" s="547">
        <v>2025029656</v>
      </c>
      <c r="O725" s="547"/>
    </row>
    <row r="726" spans="1:26">
      <c r="B726" s="579"/>
      <c r="C726" s="547"/>
      <c r="D726" s="547"/>
      <c r="E726" s="547">
        <v>3</v>
      </c>
      <c r="F726" s="547"/>
      <c r="G726" s="547"/>
      <c r="H726" s="547"/>
      <c r="I726" s="547"/>
      <c r="J726" s="547"/>
      <c r="K726" s="547"/>
      <c r="L726" s="547"/>
      <c r="M726" s="547"/>
      <c r="N726" s="547">
        <v>2024129447</v>
      </c>
      <c r="O726" s="547"/>
    </row>
    <row r="727" spans="1:26">
      <c r="B727" s="579"/>
      <c r="C727" s="547"/>
      <c r="D727" s="547"/>
      <c r="E727" s="547">
        <v>4</v>
      </c>
      <c r="F727" s="547" t="s">
        <v>4292</v>
      </c>
      <c r="G727" s="547"/>
      <c r="H727" s="547"/>
      <c r="I727" s="547" t="s">
        <v>4254</v>
      </c>
      <c r="J727" s="547"/>
      <c r="K727" s="547"/>
      <c r="L727" s="547"/>
      <c r="M727" s="547"/>
      <c r="N727" s="547">
        <v>2025029657</v>
      </c>
      <c r="O727" s="547"/>
    </row>
    <row r="728" spans="1:26">
      <c r="B728" s="579"/>
      <c r="C728" s="547"/>
      <c r="D728" s="547"/>
      <c r="E728" s="547">
        <v>5</v>
      </c>
      <c r="F728" s="547" t="s">
        <v>3879</v>
      </c>
      <c r="G728" s="547"/>
      <c r="H728" s="547"/>
      <c r="I728" s="547" t="s">
        <v>4254</v>
      </c>
      <c r="J728" s="547"/>
      <c r="K728" s="547"/>
      <c r="L728" s="547"/>
      <c r="M728" s="547"/>
      <c r="N728" s="547">
        <v>2024109362</v>
      </c>
      <c r="O728" s="547"/>
    </row>
    <row r="729" spans="1:26">
      <c r="B729" s="579"/>
      <c r="C729" s="547"/>
      <c r="D729" s="547"/>
      <c r="E729" s="547">
        <v>6</v>
      </c>
      <c r="F729" s="547" t="s">
        <v>3880</v>
      </c>
      <c r="G729" s="547"/>
      <c r="H729" s="547"/>
      <c r="I729" s="547" t="s">
        <v>4254</v>
      </c>
      <c r="J729" s="547"/>
      <c r="K729" s="547"/>
      <c r="L729" s="547"/>
      <c r="M729" s="547"/>
      <c r="N729" s="547">
        <v>2024109363</v>
      </c>
      <c r="O729" s="547"/>
    </row>
    <row r="730" spans="1:26">
      <c r="B730" s="575" t="s">
        <v>3324</v>
      </c>
      <c r="C730" s="557" t="s">
        <v>3325</v>
      </c>
      <c r="D730" s="557" t="s">
        <v>3326</v>
      </c>
      <c r="E730" s="557">
        <v>1</v>
      </c>
      <c r="F730" s="557" t="s">
        <v>4002</v>
      </c>
      <c r="G730" s="576" t="s">
        <v>3328</v>
      </c>
      <c r="H730" s="557">
        <v>15</v>
      </c>
      <c r="I730" s="688" t="s">
        <v>4293</v>
      </c>
      <c r="J730" s="577">
        <v>45712</v>
      </c>
      <c r="K730" s="557" t="s">
        <v>3488</v>
      </c>
      <c r="L730" s="557"/>
      <c r="M730" s="557"/>
      <c r="N730" s="557">
        <v>2024058452</v>
      </c>
      <c r="O730" s="557"/>
    </row>
    <row r="731" spans="1:26">
      <c r="B731" s="579"/>
      <c r="C731" s="547"/>
      <c r="D731" s="547"/>
      <c r="E731" s="547">
        <v>2</v>
      </c>
      <c r="F731" s="547" t="s">
        <v>3330</v>
      </c>
      <c r="G731" s="580" t="s">
        <v>3328</v>
      </c>
      <c r="H731" s="547">
        <v>20</v>
      </c>
      <c r="I731" s="547" t="s">
        <v>4293</v>
      </c>
      <c r="J731" s="581">
        <v>45713</v>
      </c>
      <c r="K731" s="547" t="s">
        <v>3489</v>
      </c>
      <c r="L731" s="547"/>
      <c r="M731" s="547"/>
      <c r="N731" s="547">
        <v>2024058453</v>
      </c>
      <c r="O731" s="547"/>
    </row>
    <row r="732" spans="1:26">
      <c r="B732" s="579"/>
      <c r="C732" s="547"/>
      <c r="D732" s="547"/>
      <c r="E732" s="547">
        <v>3</v>
      </c>
      <c r="F732" s="547" t="s">
        <v>3332</v>
      </c>
      <c r="G732" s="580" t="s">
        <v>3328</v>
      </c>
      <c r="H732" s="547">
        <v>15</v>
      </c>
      <c r="I732" s="547" t="s">
        <v>4293</v>
      </c>
      <c r="J732" s="581">
        <v>45714</v>
      </c>
      <c r="K732" s="547" t="s">
        <v>3490</v>
      </c>
      <c r="L732" s="547"/>
      <c r="M732" s="547"/>
      <c r="N732" s="547">
        <v>2024068760</v>
      </c>
      <c r="O732" s="547"/>
    </row>
    <row r="733" spans="1:26">
      <c r="B733" s="579"/>
      <c r="C733" s="547"/>
      <c r="D733" s="547"/>
      <c r="E733" s="547">
        <v>4</v>
      </c>
      <c r="F733" s="547" t="s">
        <v>3334</v>
      </c>
      <c r="G733" s="580" t="s">
        <v>3328</v>
      </c>
      <c r="H733" s="547">
        <v>10</v>
      </c>
      <c r="I733" s="547" t="s">
        <v>4293</v>
      </c>
      <c r="J733" s="581">
        <v>45715</v>
      </c>
      <c r="K733" s="547" t="s">
        <v>3491</v>
      </c>
      <c r="L733" s="547"/>
      <c r="M733" s="547"/>
      <c r="N733" s="547">
        <v>2024068644</v>
      </c>
      <c r="O733" s="547"/>
    </row>
    <row r="734" spans="1:26">
      <c r="B734" s="579"/>
      <c r="C734" s="547"/>
      <c r="D734" s="547"/>
      <c r="E734" s="547">
        <v>5</v>
      </c>
      <c r="F734" s="547" t="s">
        <v>3336</v>
      </c>
      <c r="G734" s="580" t="s">
        <v>3328</v>
      </c>
      <c r="H734" s="547">
        <v>10</v>
      </c>
      <c r="I734" s="547" t="s">
        <v>4293</v>
      </c>
      <c r="J734" s="581">
        <v>45716</v>
      </c>
      <c r="K734" s="547" t="s">
        <v>3492</v>
      </c>
      <c r="L734" s="547"/>
      <c r="M734" s="547"/>
      <c r="N734" s="547">
        <v>2024109287</v>
      </c>
      <c r="O734" s="547"/>
    </row>
    <row r="735" spans="1:26">
      <c r="B735" s="579"/>
      <c r="C735" s="547"/>
      <c r="D735" s="547"/>
      <c r="E735" s="547">
        <v>6</v>
      </c>
      <c r="F735" s="547" t="s">
        <v>3338</v>
      </c>
      <c r="G735" s="580" t="s">
        <v>3328</v>
      </c>
      <c r="H735" s="547">
        <v>10</v>
      </c>
      <c r="I735" s="547" t="s">
        <v>4293</v>
      </c>
      <c r="J735" s="581">
        <v>45717</v>
      </c>
      <c r="K735" s="547" t="s">
        <v>3493</v>
      </c>
      <c r="L735" s="547"/>
      <c r="M735" s="547"/>
      <c r="N735" s="547">
        <v>2024078762</v>
      </c>
      <c r="O735" s="547"/>
    </row>
    <row r="736" spans="1:26">
      <c r="A736" s="578"/>
      <c r="B736" s="579"/>
      <c r="C736" s="547"/>
      <c r="D736" s="547"/>
      <c r="E736" s="547">
        <v>7</v>
      </c>
      <c r="F736" s="547" t="s">
        <v>3340</v>
      </c>
      <c r="G736" s="580" t="s">
        <v>3328</v>
      </c>
      <c r="H736" s="547">
        <v>20</v>
      </c>
      <c r="I736" s="547" t="s">
        <v>4293</v>
      </c>
      <c r="J736" s="581">
        <v>45718</v>
      </c>
      <c r="K736" s="547" t="s">
        <v>3494</v>
      </c>
      <c r="L736" s="547"/>
      <c r="M736" s="547"/>
      <c r="N736" s="547">
        <v>2024078899</v>
      </c>
      <c r="O736" s="547"/>
      <c r="P736" s="578"/>
      <c r="Q736" s="578"/>
      <c r="R736" s="578"/>
      <c r="S736" s="578"/>
      <c r="T736" s="578"/>
      <c r="U736" s="578"/>
      <c r="V736" s="578"/>
      <c r="W736" s="578"/>
      <c r="X736" s="578"/>
      <c r="Y736" s="578"/>
      <c r="Z736" s="578"/>
    </row>
    <row r="737" spans="1:26">
      <c r="A737" s="578"/>
      <c r="B737" s="579"/>
      <c r="C737" s="547"/>
      <c r="D737" s="547"/>
      <c r="E737" s="547">
        <v>8</v>
      </c>
      <c r="F737" s="582" t="s">
        <v>4218</v>
      </c>
      <c r="G737" s="582">
        <v>400</v>
      </c>
      <c r="H737" s="582">
        <v>70</v>
      </c>
      <c r="I737" s="583">
        <v>45712</v>
      </c>
      <c r="J737" s="583">
        <v>45712</v>
      </c>
      <c r="K737" s="582" t="s">
        <v>4294</v>
      </c>
      <c r="L737" s="582" t="s">
        <v>3348</v>
      </c>
      <c r="M737" s="582"/>
      <c r="N737" s="582">
        <v>2024078763</v>
      </c>
      <c r="O737" s="547"/>
      <c r="P737" s="578"/>
      <c r="Q737" s="578"/>
      <c r="R737" s="578"/>
      <c r="S737" s="578"/>
      <c r="T737" s="578"/>
      <c r="U737" s="578"/>
      <c r="V737" s="578"/>
      <c r="W737" s="578"/>
      <c r="X737" s="578"/>
      <c r="Y737" s="578"/>
      <c r="Z737" s="578"/>
    </row>
    <row r="738" spans="1:26">
      <c r="A738" s="578"/>
      <c r="B738" s="579"/>
      <c r="C738" s="547"/>
      <c r="D738" s="547"/>
      <c r="E738" s="547">
        <v>9</v>
      </c>
      <c r="F738" s="582" t="s">
        <v>4295</v>
      </c>
      <c r="G738" s="582">
        <v>100</v>
      </c>
      <c r="H738" s="582">
        <v>70</v>
      </c>
      <c r="I738" s="583">
        <v>45713</v>
      </c>
      <c r="J738" s="583">
        <v>45713</v>
      </c>
      <c r="K738" s="582" t="s">
        <v>4296</v>
      </c>
      <c r="L738" s="582" t="s">
        <v>4006</v>
      </c>
      <c r="M738" s="582"/>
      <c r="N738" s="582">
        <v>2024089093</v>
      </c>
      <c r="O738" s="547"/>
      <c r="P738" s="578"/>
      <c r="Q738" s="578"/>
      <c r="R738" s="578"/>
      <c r="S738" s="578"/>
      <c r="T738" s="578"/>
      <c r="U738" s="578"/>
      <c r="V738" s="578"/>
      <c r="W738" s="578"/>
      <c r="X738" s="578"/>
      <c r="Y738" s="578"/>
      <c r="Z738" s="578"/>
    </row>
    <row r="739" spans="1:26">
      <c r="A739" s="578"/>
      <c r="B739" s="579"/>
      <c r="C739" s="547"/>
      <c r="D739" s="547"/>
      <c r="E739" s="547">
        <v>10</v>
      </c>
      <c r="F739" s="582" t="s">
        <v>4216</v>
      </c>
      <c r="G739" s="586" t="s">
        <v>3328</v>
      </c>
      <c r="H739" s="582">
        <v>80</v>
      </c>
      <c r="I739" s="583">
        <v>45716</v>
      </c>
      <c r="J739" s="583">
        <v>45716</v>
      </c>
      <c r="K739" s="582" t="s">
        <v>4217</v>
      </c>
      <c r="L739" s="582" t="s">
        <v>3348</v>
      </c>
      <c r="M739" s="582"/>
      <c r="N739" s="582">
        <v>2022033252</v>
      </c>
      <c r="O739" s="547"/>
      <c r="P739" s="578"/>
      <c r="Q739" s="578"/>
      <c r="R739" s="578"/>
      <c r="S739" s="578"/>
      <c r="T739" s="578"/>
      <c r="U739" s="578"/>
      <c r="V739" s="578"/>
      <c r="W739" s="578"/>
      <c r="X739" s="578"/>
      <c r="Y739" s="578"/>
      <c r="Z739" s="578"/>
    </row>
    <row r="740" spans="1:26">
      <c r="B740" s="579" t="s">
        <v>3349</v>
      </c>
      <c r="C740" s="557" t="s">
        <v>3350</v>
      </c>
      <c r="D740" s="557" t="s">
        <v>3351</v>
      </c>
      <c r="E740" s="557">
        <v>1</v>
      </c>
      <c r="F740" s="557" t="s">
        <v>3668</v>
      </c>
      <c r="G740" s="557">
        <v>300</v>
      </c>
      <c r="H740" s="557">
        <v>3</v>
      </c>
      <c r="I740" s="557" t="s">
        <v>4254</v>
      </c>
      <c r="J740" s="577">
        <v>45713</v>
      </c>
      <c r="K740" s="557" t="s">
        <v>4297</v>
      </c>
      <c r="L740" s="557" t="s">
        <v>4298</v>
      </c>
      <c r="M740" s="557" t="s">
        <v>3358</v>
      </c>
      <c r="N740" s="557">
        <v>2024058493</v>
      </c>
      <c r="O740" s="557"/>
    </row>
    <row r="741" spans="1:26">
      <c r="B741" s="579"/>
      <c r="C741" s="547"/>
      <c r="D741" s="547"/>
      <c r="E741" s="547">
        <v>2</v>
      </c>
      <c r="F741" s="547" t="s">
        <v>3670</v>
      </c>
      <c r="G741" s="547"/>
      <c r="H741" s="547"/>
      <c r="I741" s="547" t="s">
        <v>4254</v>
      </c>
      <c r="J741" s="547"/>
      <c r="K741" s="547" t="s">
        <v>4299</v>
      </c>
      <c r="L741" s="547"/>
      <c r="M741" s="557" t="s">
        <v>3358</v>
      </c>
      <c r="N741" s="547">
        <v>2025019539</v>
      </c>
      <c r="O741" s="547"/>
    </row>
    <row r="742" spans="1:26">
      <c r="B742" s="579"/>
      <c r="C742" s="547"/>
      <c r="D742" s="547"/>
      <c r="E742" s="547">
        <v>3</v>
      </c>
      <c r="F742" s="547" t="s">
        <v>3892</v>
      </c>
      <c r="G742" s="547"/>
      <c r="H742" s="547"/>
      <c r="I742" s="547" t="s">
        <v>4254</v>
      </c>
      <c r="J742" s="547"/>
      <c r="K742" s="547" t="s">
        <v>4300</v>
      </c>
      <c r="L742" s="547"/>
      <c r="M742" s="557" t="s">
        <v>3358</v>
      </c>
      <c r="N742" s="547">
        <v>2024129479</v>
      </c>
      <c r="O742" s="547"/>
    </row>
    <row r="743" spans="1:26">
      <c r="B743" s="579"/>
      <c r="C743" s="547"/>
      <c r="D743" s="547"/>
      <c r="E743" s="547">
        <v>4</v>
      </c>
      <c r="F743" s="547" t="s">
        <v>3813</v>
      </c>
      <c r="G743" s="547"/>
      <c r="H743" s="547"/>
      <c r="I743" s="547" t="s">
        <v>4254</v>
      </c>
      <c r="J743" s="547"/>
      <c r="K743" s="547" t="s">
        <v>4301</v>
      </c>
      <c r="L743" s="547"/>
      <c r="M743" s="557" t="s">
        <v>3358</v>
      </c>
      <c r="N743" s="547">
        <v>2024078961</v>
      </c>
      <c r="O743" s="547"/>
    </row>
    <row r="744" spans="1:26">
      <c r="B744" s="579"/>
      <c r="C744" s="547"/>
      <c r="D744" s="547"/>
      <c r="E744" s="547">
        <v>5</v>
      </c>
      <c r="F744" s="547" t="s">
        <v>4302</v>
      </c>
      <c r="G744" s="547"/>
      <c r="H744" s="547"/>
      <c r="I744" s="547" t="s">
        <v>4254</v>
      </c>
      <c r="J744" s="547"/>
      <c r="K744" s="547" t="s">
        <v>4303</v>
      </c>
      <c r="L744" s="547"/>
      <c r="M744" s="557" t="s">
        <v>3358</v>
      </c>
      <c r="N744" s="547">
        <v>2024048247</v>
      </c>
      <c r="O744" s="547"/>
    </row>
    <row r="745" spans="1:26">
      <c r="B745" s="579"/>
      <c r="C745" s="547"/>
      <c r="D745" s="547"/>
      <c r="E745" s="547">
        <v>6</v>
      </c>
      <c r="F745" s="547" t="s">
        <v>3628</v>
      </c>
      <c r="G745" s="547"/>
      <c r="H745" s="547"/>
      <c r="I745" s="547" t="s">
        <v>4254</v>
      </c>
      <c r="J745" s="547"/>
      <c r="K745" s="547" t="s">
        <v>4304</v>
      </c>
      <c r="L745" s="547"/>
      <c r="M745" s="557" t="s">
        <v>3358</v>
      </c>
      <c r="N745" s="547">
        <v>2024048248</v>
      </c>
      <c r="O745" s="547"/>
    </row>
    <row r="746" spans="1:26">
      <c r="B746" s="579"/>
      <c r="C746" s="547"/>
      <c r="D746" s="547"/>
      <c r="E746" s="547">
        <v>7</v>
      </c>
      <c r="F746" s="547" t="s">
        <v>3900</v>
      </c>
      <c r="G746" s="547"/>
      <c r="H746" s="547"/>
      <c r="I746" s="547" t="s">
        <v>4254</v>
      </c>
      <c r="J746" s="547"/>
      <c r="K746" s="547" t="s">
        <v>4305</v>
      </c>
      <c r="L746" s="547"/>
      <c r="M746" s="557" t="s">
        <v>3358</v>
      </c>
      <c r="N746" s="547">
        <v>2024038071</v>
      </c>
      <c r="O746" s="547"/>
    </row>
    <row r="747" spans="1:26">
      <c r="B747" s="579"/>
      <c r="C747" s="547"/>
      <c r="D747" s="547"/>
      <c r="E747" s="547">
        <v>8</v>
      </c>
      <c r="F747" s="547" t="s">
        <v>212</v>
      </c>
      <c r="G747" s="547"/>
      <c r="H747" s="547"/>
      <c r="I747" s="547" t="s">
        <v>4254</v>
      </c>
      <c r="J747" s="547"/>
      <c r="K747" s="547" t="s">
        <v>4306</v>
      </c>
      <c r="L747" s="547"/>
      <c r="M747" s="557" t="s">
        <v>3358</v>
      </c>
      <c r="N747" s="547">
        <v>2024068691</v>
      </c>
      <c r="O747" s="547"/>
    </row>
    <row r="748" spans="1:26">
      <c r="B748" s="579"/>
      <c r="C748" s="547"/>
      <c r="D748" s="547"/>
      <c r="E748" s="547">
        <v>9</v>
      </c>
      <c r="F748" s="547" t="s">
        <v>3885</v>
      </c>
      <c r="G748" s="547"/>
      <c r="H748" s="547"/>
      <c r="I748" s="547" t="s">
        <v>4254</v>
      </c>
      <c r="J748" s="547"/>
      <c r="K748" s="547" t="s">
        <v>4307</v>
      </c>
      <c r="L748" s="547"/>
      <c r="M748" s="557" t="s">
        <v>3358</v>
      </c>
      <c r="N748" s="547">
        <v>2024037977</v>
      </c>
      <c r="O748" s="547"/>
    </row>
    <row r="749" spans="1:26">
      <c r="B749" s="579"/>
      <c r="C749" s="557" t="s">
        <v>3371</v>
      </c>
      <c r="D749" s="557" t="s">
        <v>3294</v>
      </c>
      <c r="E749" s="557">
        <v>1</v>
      </c>
      <c r="F749" s="557" t="s">
        <v>4308</v>
      </c>
      <c r="G749" s="557">
        <v>100</v>
      </c>
      <c r="H749" s="557"/>
      <c r="I749" s="547" t="s">
        <v>4254</v>
      </c>
      <c r="J749" s="557" t="s">
        <v>4309</v>
      </c>
      <c r="K749" s="557" t="s">
        <v>4310</v>
      </c>
      <c r="L749" s="557"/>
      <c r="M749" s="557"/>
      <c r="N749" s="557">
        <v>2024119377</v>
      </c>
      <c r="O749" s="557"/>
    </row>
    <row r="750" spans="1:26" s="578" customFormat="1">
      <c r="B750" s="579"/>
      <c r="C750" s="547"/>
      <c r="D750" s="547"/>
      <c r="E750" s="547">
        <v>2</v>
      </c>
      <c r="F750" s="689" t="s">
        <v>4311</v>
      </c>
      <c r="G750" s="689"/>
      <c r="H750" s="689"/>
      <c r="I750" s="689" t="s">
        <v>4254</v>
      </c>
      <c r="J750" s="689" t="s">
        <v>4312</v>
      </c>
      <c r="K750" s="689" t="s">
        <v>4313</v>
      </c>
      <c r="L750" s="689"/>
      <c r="M750" s="689"/>
      <c r="N750" s="689">
        <v>2024119376</v>
      </c>
      <c r="O750" s="689"/>
    </row>
    <row r="751" spans="1:26">
      <c r="B751" s="579"/>
      <c r="C751" s="547"/>
      <c r="D751" s="547"/>
      <c r="E751" s="547">
        <v>3</v>
      </c>
      <c r="F751" s="547" t="s">
        <v>234</v>
      </c>
      <c r="G751" s="547"/>
      <c r="H751" s="547"/>
      <c r="I751" s="547" t="s">
        <v>4254</v>
      </c>
      <c r="J751" s="547" t="s">
        <v>4314</v>
      </c>
      <c r="K751" s="547" t="s">
        <v>4028</v>
      </c>
      <c r="L751" s="547"/>
      <c r="M751" s="547"/>
      <c r="N751" s="547">
        <v>2024119378</v>
      </c>
      <c r="O751" s="547"/>
    </row>
    <row r="752" spans="1:26">
      <c r="B752" s="579"/>
      <c r="C752" s="557" t="s">
        <v>3376</v>
      </c>
      <c r="D752" s="557" t="s">
        <v>3377</v>
      </c>
      <c r="E752" s="557">
        <v>1</v>
      </c>
      <c r="F752" s="557" t="s">
        <v>3378</v>
      </c>
      <c r="G752" s="557"/>
      <c r="H752" s="557"/>
      <c r="I752" s="557" t="s">
        <v>4254</v>
      </c>
      <c r="J752" s="557"/>
      <c r="K752" s="557" t="s">
        <v>3379</v>
      </c>
      <c r="L752" s="557"/>
      <c r="M752" s="557"/>
      <c r="N752" s="557">
        <v>2024058459</v>
      </c>
      <c r="O752" s="557"/>
    </row>
    <row r="753" spans="2:15">
      <c r="B753" s="579"/>
      <c r="C753" s="547"/>
      <c r="D753" s="547"/>
      <c r="E753" s="547">
        <v>2</v>
      </c>
      <c r="F753" s="547" t="s">
        <v>3904</v>
      </c>
      <c r="G753" s="547"/>
      <c r="H753" s="547"/>
      <c r="I753" s="547" t="s">
        <v>4254</v>
      </c>
      <c r="J753" s="547"/>
      <c r="K753" s="547" t="s">
        <v>3905</v>
      </c>
      <c r="L753" s="547"/>
      <c r="M753" s="547"/>
      <c r="N753" s="547">
        <v>2024058583</v>
      </c>
      <c r="O753" s="547"/>
    </row>
    <row r="754" spans="2:15">
      <c r="B754" s="579"/>
      <c r="C754" s="547"/>
      <c r="D754" s="547"/>
      <c r="E754" s="547">
        <v>3</v>
      </c>
      <c r="F754" s="547" t="s">
        <v>4315</v>
      </c>
      <c r="G754" s="547"/>
      <c r="H754" s="547"/>
      <c r="I754" s="547" t="s">
        <v>4254</v>
      </c>
      <c r="J754" s="547"/>
      <c r="K754" s="547" t="s">
        <v>4316</v>
      </c>
      <c r="L754" s="547"/>
      <c r="M754" s="547"/>
      <c r="N754" s="547">
        <v>2024058579</v>
      </c>
      <c r="O754" s="547"/>
    </row>
    <row r="755" spans="2:15">
      <c r="B755" s="579"/>
      <c r="C755" s="547"/>
      <c r="D755" s="547"/>
      <c r="E755" s="547">
        <v>4</v>
      </c>
      <c r="F755" s="690" t="s">
        <v>4317</v>
      </c>
      <c r="G755" s="547"/>
      <c r="H755" s="547"/>
      <c r="I755" s="547" t="s">
        <v>4254</v>
      </c>
      <c r="J755" s="547"/>
      <c r="K755" s="547" t="s">
        <v>3903</v>
      </c>
      <c r="L755" s="547"/>
      <c r="M755" s="547"/>
      <c r="N755" s="547">
        <v>2024017603</v>
      </c>
      <c r="O755" s="547"/>
    </row>
    <row r="756" spans="2:15">
      <c r="B756" s="579"/>
      <c r="C756" s="547"/>
      <c r="D756" s="547"/>
      <c r="E756" s="547">
        <v>5</v>
      </c>
      <c r="F756" s="690" t="s">
        <v>4318</v>
      </c>
      <c r="G756" s="547"/>
      <c r="H756" s="547"/>
      <c r="I756" s="547" t="s">
        <v>4254</v>
      </c>
      <c r="J756" s="547"/>
      <c r="K756" s="547" t="s">
        <v>3911</v>
      </c>
      <c r="L756" s="547"/>
      <c r="M756" s="547"/>
      <c r="N756" s="547">
        <v>2025019602</v>
      </c>
      <c r="O756" s="547"/>
    </row>
    <row r="757" spans="2:15">
      <c r="B757" s="579"/>
      <c r="C757" s="547"/>
      <c r="D757" s="547"/>
      <c r="E757" s="547">
        <v>7</v>
      </c>
      <c r="F757" s="690" t="s">
        <v>4319</v>
      </c>
      <c r="G757" s="547"/>
      <c r="H757" s="547"/>
      <c r="I757" s="547" t="s">
        <v>4254</v>
      </c>
      <c r="J757" s="547"/>
      <c r="K757" s="690" t="s">
        <v>4320</v>
      </c>
      <c r="L757" s="547"/>
      <c r="M757" s="547"/>
      <c r="N757" s="547">
        <v>2024068639</v>
      </c>
      <c r="O757" s="547"/>
    </row>
    <row r="758" spans="2:15">
      <c r="B758" s="579"/>
      <c r="C758" s="547"/>
      <c r="D758" s="547"/>
      <c r="E758" s="547"/>
      <c r="F758" s="690"/>
      <c r="G758" s="547"/>
      <c r="H758" s="547"/>
      <c r="I758" s="547" t="s">
        <v>4254</v>
      </c>
      <c r="J758" s="547"/>
      <c r="K758" s="690"/>
      <c r="L758" s="547"/>
      <c r="M758" s="547"/>
      <c r="N758" s="547"/>
      <c r="O758" s="547"/>
    </row>
    <row r="759" spans="2:15">
      <c r="B759" s="579"/>
      <c r="C759" s="557" t="s">
        <v>3385</v>
      </c>
      <c r="D759" s="557" t="s">
        <v>3386</v>
      </c>
      <c r="E759" s="557">
        <v>1</v>
      </c>
      <c r="F759" s="557" t="s">
        <v>3389</v>
      </c>
      <c r="G759" s="557">
        <v>150</v>
      </c>
      <c r="H759" s="557"/>
      <c r="I759" s="557" t="s">
        <v>4254</v>
      </c>
      <c r="J759" s="557"/>
      <c r="K759" s="557" t="s">
        <v>3390</v>
      </c>
      <c r="L759" s="557"/>
      <c r="M759" s="557"/>
      <c r="N759" s="557">
        <v>2024129455</v>
      </c>
      <c r="O759" s="557"/>
    </row>
    <row r="760" spans="2:15">
      <c r="B760" s="579"/>
      <c r="C760" s="547"/>
      <c r="D760" s="547"/>
      <c r="E760" s="547">
        <v>2</v>
      </c>
      <c r="F760" s="547" t="s">
        <v>4321</v>
      </c>
      <c r="G760" s="547" t="s">
        <v>252</v>
      </c>
      <c r="H760" s="547"/>
      <c r="I760" s="557" t="s">
        <v>4254</v>
      </c>
      <c r="J760" s="547"/>
      <c r="K760" s="547" t="s">
        <v>4322</v>
      </c>
      <c r="L760" s="547"/>
      <c r="M760" s="547"/>
      <c r="N760" s="547">
        <v>2024099141</v>
      </c>
      <c r="O760" s="547"/>
    </row>
    <row r="761" spans="2:15">
      <c r="B761" s="579"/>
      <c r="C761" s="547"/>
      <c r="D761" s="547"/>
      <c r="E761" s="547">
        <v>3</v>
      </c>
      <c r="F761" s="547" t="s">
        <v>3692</v>
      </c>
      <c r="G761" s="547" t="s">
        <v>252</v>
      </c>
      <c r="H761" s="547"/>
      <c r="I761" s="547" t="s">
        <v>4254</v>
      </c>
      <c r="J761" s="547"/>
      <c r="K761" s="547" t="s">
        <v>3693</v>
      </c>
      <c r="L761" s="547"/>
      <c r="M761" s="547"/>
      <c r="N761" s="547">
        <v>2024088966</v>
      </c>
      <c r="O761" s="547"/>
    </row>
    <row r="762" spans="2:15">
      <c r="B762" s="579"/>
      <c r="C762" s="547"/>
      <c r="D762" s="547"/>
      <c r="E762" s="547">
        <v>4</v>
      </c>
      <c r="F762" s="547" t="s">
        <v>4323</v>
      </c>
      <c r="G762" s="547">
        <v>50</v>
      </c>
      <c r="H762" s="547"/>
      <c r="I762" s="547" t="s">
        <v>4254</v>
      </c>
      <c r="J762" s="547"/>
      <c r="K762" s="547" t="s">
        <v>4324</v>
      </c>
      <c r="L762" s="547"/>
      <c r="M762" s="547"/>
      <c r="N762" s="547">
        <v>2024027820</v>
      </c>
      <c r="O762" s="547"/>
    </row>
    <row r="763" spans="2:15">
      <c r="B763" s="579"/>
      <c r="C763" s="547"/>
      <c r="D763" s="547"/>
      <c r="E763" s="547">
        <v>5</v>
      </c>
      <c r="F763" s="547" t="s">
        <v>4325</v>
      </c>
      <c r="G763" s="547">
        <v>50</v>
      </c>
      <c r="H763" s="547"/>
      <c r="I763" s="547" t="s">
        <v>4254</v>
      </c>
      <c r="J763" s="547"/>
      <c r="K763" s="547" t="s">
        <v>4142</v>
      </c>
      <c r="L763" s="547"/>
      <c r="M763" s="547"/>
      <c r="N763" s="547">
        <v>2024058580</v>
      </c>
      <c r="O763" s="547"/>
    </row>
    <row r="764" spans="2:15">
      <c r="B764" s="579"/>
      <c r="C764" s="547"/>
      <c r="D764" s="547"/>
      <c r="E764" s="547">
        <v>6</v>
      </c>
      <c r="F764" s="547" t="s">
        <v>4326</v>
      </c>
      <c r="G764" s="547">
        <v>50</v>
      </c>
      <c r="H764" s="547"/>
      <c r="I764" s="547" t="s">
        <v>4254</v>
      </c>
      <c r="J764" s="547"/>
      <c r="K764" s="547" t="s">
        <v>4327</v>
      </c>
      <c r="L764" s="547"/>
      <c r="M764" s="547"/>
      <c r="N764" s="547">
        <v>2025029667</v>
      </c>
      <c r="O764" s="547"/>
    </row>
    <row r="765" spans="2:15">
      <c r="B765" s="579"/>
      <c r="C765" s="547"/>
      <c r="D765" s="547"/>
      <c r="E765" s="547">
        <v>7</v>
      </c>
      <c r="F765" s="547" t="s">
        <v>3833</v>
      </c>
      <c r="G765" s="547"/>
      <c r="H765" s="547"/>
      <c r="I765" s="547" t="s">
        <v>4254</v>
      </c>
      <c r="J765" s="547"/>
      <c r="K765" s="547" t="s">
        <v>3834</v>
      </c>
      <c r="L765" s="547"/>
      <c r="M765" s="547"/>
      <c r="N765" s="547">
        <v>2025019578</v>
      </c>
      <c r="O765" s="547"/>
    </row>
    <row r="766" spans="2:15">
      <c r="B766" s="579"/>
      <c r="C766" s="547"/>
      <c r="D766" s="547"/>
      <c r="E766" s="547">
        <v>8</v>
      </c>
      <c r="F766" s="547" t="s">
        <v>3534</v>
      </c>
      <c r="G766" s="547"/>
      <c r="H766" s="547"/>
      <c r="I766" s="547" t="s">
        <v>4254</v>
      </c>
      <c r="J766" s="547"/>
      <c r="K766" s="547" t="s">
        <v>3686</v>
      </c>
      <c r="L766" s="547"/>
      <c r="M766" s="547"/>
      <c r="N766" s="547">
        <v>2024068638</v>
      </c>
      <c r="O766" s="547"/>
    </row>
    <row r="767" spans="2:15">
      <c r="B767" s="579"/>
      <c r="C767" s="557" t="s">
        <v>3399</v>
      </c>
      <c r="D767" s="557" t="s">
        <v>3400</v>
      </c>
      <c r="E767" s="557">
        <v>1</v>
      </c>
      <c r="F767" s="557" t="s">
        <v>3541</v>
      </c>
      <c r="G767" s="557"/>
      <c r="H767" s="557">
        <v>50</v>
      </c>
      <c r="I767" s="577" t="s">
        <v>4254</v>
      </c>
      <c r="J767" s="557" t="s">
        <v>4328</v>
      </c>
      <c r="K767" s="557" t="str">
        <f>F767&amp;" 브랜드위크"</f>
        <v>동원 브랜드위크</v>
      </c>
      <c r="L767" s="557"/>
      <c r="M767" s="557"/>
      <c r="N767" s="651">
        <v>2025019575</v>
      </c>
      <c r="O767" s="557"/>
    </row>
    <row r="768" spans="2:15">
      <c r="B768" s="579"/>
      <c r="C768" s="547"/>
      <c r="D768" s="547"/>
      <c r="E768" s="547">
        <v>2</v>
      </c>
      <c r="F768" s="547" t="s">
        <v>4031</v>
      </c>
      <c r="G768" s="547">
        <v>100</v>
      </c>
      <c r="H768" s="547">
        <v>30</v>
      </c>
      <c r="I768" s="547" t="s">
        <v>4254</v>
      </c>
      <c r="J768" s="547" t="s">
        <v>4329</v>
      </c>
      <c r="K768" s="547" t="str">
        <f>F768&amp;" 브랜드위크"</f>
        <v>오픈더테이블 브랜드위크</v>
      </c>
      <c r="L768" s="547"/>
      <c r="M768" s="547"/>
      <c r="N768" s="643">
        <v>2024099240</v>
      </c>
      <c r="O768" s="547"/>
    </row>
    <row r="769" spans="2:15">
      <c r="B769" s="579"/>
      <c r="C769" s="547"/>
      <c r="D769" s="547"/>
      <c r="E769" s="547">
        <v>3</v>
      </c>
      <c r="F769" s="547" t="s">
        <v>1237</v>
      </c>
      <c r="G769" s="547">
        <v>50</v>
      </c>
      <c r="H769" s="547">
        <v>10</v>
      </c>
      <c r="I769" s="547" t="s">
        <v>4254</v>
      </c>
      <c r="J769" s="547"/>
      <c r="K769" s="547" t="str">
        <f t="shared" ref="K769:K775" si="4">F769&amp;" 브랜드위크"</f>
        <v>하림 브랜드위크</v>
      </c>
      <c r="L769" s="547"/>
      <c r="M769" s="547"/>
      <c r="N769" s="643">
        <v>2024109275</v>
      </c>
      <c r="O769" s="547"/>
    </row>
    <row r="770" spans="2:15">
      <c r="B770" s="579"/>
      <c r="C770" s="547"/>
      <c r="D770" s="547"/>
      <c r="E770" s="547">
        <v>4</v>
      </c>
      <c r="F770" s="547" t="s">
        <v>4330</v>
      </c>
      <c r="G770" s="547"/>
      <c r="H770" s="547">
        <v>10</v>
      </c>
      <c r="I770" s="547" t="s">
        <v>4254</v>
      </c>
      <c r="J770" s="547"/>
      <c r="K770" s="547" t="str">
        <f t="shared" si="4"/>
        <v>미스터셰프 브랜드위크</v>
      </c>
      <c r="L770" s="547"/>
      <c r="M770" s="547" t="s">
        <v>4331</v>
      </c>
      <c r="N770" s="643">
        <v>2025029654</v>
      </c>
      <c r="O770" s="547"/>
    </row>
    <row r="771" spans="2:15">
      <c r="B771" s="579"/>
      <c r="C771" s="547"/>
      <c r="D771" s="547"/>
      <c r="E771" s="547">
        <v>5</v>
      </c>
      <c r="F771" s="547" t="s">
        <v>4332</v>
      </c>
      <c r="G771" s="547"/>
      <c r="H771" s="547">
        <v>10</v>
      </c>
      <c r="I771" s="547" t="s">
        <v>4254</v>
      </c>
      <c r="J771" s="547"/>
      <c r="K771" s="547" t="str">
        <f t="shared" si="4"/>
        <v>복음자리 브랜드위크</v>
      </c>
      <c r="L771" s="547"/>
      <c r="M771" s="547" t="s">
        <v>4331</v>
      </c>
      <c r="N771" s="643">
        <v>2025029668</v>
      </c>
      <c r="O771" s="547"/>
    </row>
    <row r="772" spans="2:15">
      <c r="B772" s="579"/>
      <c r="C772" s="547"/>
      <c r="D772" s="547"/>
      <c r="E772" s="547">
        <v>6</v>
      </c>
      <c r="F772" s="547" t="s">
        <v>4333</v>
      </c>
      <c r="G772" s="547"/>
      <c r="H772" s="547">
        <v>10</v>
      </c>
      <c r="I772" s="547" t="s">
        <v>4254</v>
      </c>
      <c r="J772" s="547"/>
      <c r="K772" s="547" t="str">
        <f>F772&amp;" 브랜드위크"</f>
        <v>푸라닭/프레시지 브랜드위크</v>
      </c>
      <c r="L772" s="547"/>
      <c r="M772" s="547"/>
      <c r="N772" s="651">
        <v>2024078915</v>
      </c>
      <c r="O772" s="547"/>
    </row>
    <row r="773" spans="2:15">
      <c r="B773" s="579"/>
      <c r="C773" s="547"/>
      <c r="D773" s="547"/>
      <c r="E773" s="547">
        <v>7</v>
      </c>
      <c r="F773" s="547" t="s">
        <v>4334</v>
      </c>
      <c r="G773" s="547"/>
      <c r="H773" s="547">
        <v>10</v>
      </c>
      <c r="I773" s="547" t="s">
        <v>4254</v>
      </c>
      <c r="J773" s="547"/>
      <c r="K773" s="547" t="str">
        <f t="shared" si="4"/>
        <v>유가네 브랜드위크</v>
      </c>
      <c r="L773" s="547"/>
      <c r="M773" s="547" t="s">
        <v>4331</v>
      </c>
      <c r="N773" s="691">
        <v>2024058429</v>
      </c>
      <c r="O773" s="547"/>
    </row>
    <row r="774" spans="2:15">
      <c r="B774" s="579"/>
      <c r="C774" s="547"/>
      <c r="D774" s="547"/>
      <c r="E774" s="547">
        <v>8</v>
      </c>
      <c r="F774" s="547" t="s">
        <v>3401</v>
      </c>
      <c r="G774" s="547"/>
      <c r="H774" s="547">
        <v>10</v>
      </c>
      <c r="I774" s="547" t="s">
        <v>4254</v>
      </c>
      <c r="J774" s="547"/>
      <c r="K774" s="547" t="str">
        <f t="shared" si="4"/>
        <v>굽네 브랜드위크</v>
      </c>
      <c r="L774" s="547"/>
      <c r="M774" s="547"/>
      <c r="N774" s="691">
        <v>2024048208</v>
      </c>
      <c r="O774" s="547"/>
    </row>
    <row r="775" spans="2:15">
      <c r="B775" s="579"/>
      <c r="C775" s="547"/>
      <c r="D775" s="547"/>
      <c r="E775" s="547">
        <v>9</v>
      </c>
      <c r="F775" s="547" t="s">
        <v>4033</v>
      </c>
      <c r="G775" s="547"/>
      <c r="H775" s="547">
        <v>10</v>
      </c>
      <c r="I775" s="547" t="s">
        <v>4254</v>
      </c>
      <c r="J775" s="547"/>
      <c r="K775" s="547" t="str">
        <f t="shared" si="4"/>
        <v>보라티알 브랜드위크</v>
      </c>
      <c r="L775" s="547"/>
      <c r="M775" s="547"/>
      <c r="N775" s="692">
        <v>2024058429</v>
      </c>
      <c r="O775" s="547"/>
    </row>
    <row r="776" spans="2:15">
      <c r="B776" s="619" t="s">
        <v>4335</v>
      </c>
      <c r="C776" s="668"/>
      <c r="D776" s="602"/>
      <c r="E776" s="602"/>
      <c r="F776" s="669"/>
      <c r="G776" s="669"/>
      <c r="H776" s="669"/>
      <c r="I776" s="669"/>
      <c r="J776" s="669"/>
      <c r="K776" s="669"/>
      <c r="L776" s="669"/>
      <c r="M776" s="669"/>
      <c r="N776" s="602"/>
      <c r="O776" s="670"/>
    </row>
    <row r="777" spans="2:15">
      <c r="B777" s="575" t="s">
        <v>3232</v>
      </c>
      <c r="C777" s="557" t="s">
        <v>3233</v>
      </c>
      <c r="D777" s="557" t="s">
        <v>3234</v>
      </c>
      <c r="E777" s="557">
        <v>1</v>
      </c>
      <c r="F777" s="549" t="s">
        <v>4336</v>
      </c>
      <c r="G777" s="549"/>
      <c r="H777" s="549"/>
      <c r="I777" s="549" t="s">
        <v>4337</v>
      </c>
      <c r="J777" s="549" t="s">
        <v>4338</v>
      </c>
      <c r="K777" s="549" t="s">
        <v>4339</v>
      </c>
      <c r="L777" s="549" t="s">
        <v>4340</v>
      </c>
      <c r="M777" s="549" t="s">
        <v>3358</v>
      </c>
      <c r="N777" s="557"/>
      <c r="O777" s="557"/>
    </row>
    <row r="778" spans="2:15">
      <c r="B778" s="579"/>
      <c r="C778" s="547"/>
      <c r="D778" s="547"/>
      <c r="E778" s="547">
        <v>2</v>
      </c>
      <c r="F778" s="547" t="s">
        <v>4341</v>
      </c>
      <c r="G778" s="547">
        <v>50</v>
      </c>
      <c r="H778" s="547"/>
      <c r="I778" s="547" t="s">
        <v>4337</v>
      </c>
      <c r="J778" s="547" t="s">
        <v>4342</v>
      </c>
      <c r="K778" s="547" t="s">
        <v>4343</v>
      </c>
      <c r="L778" s="547" t="s">
        <v>4344</v>
      </c>
      <c r="M778" s="508" t="s">
        <v>3358</v>
      </c>
      <c r="N778" s="547"/>
      <c r="O778" s="547"/>
    </row>
    <row r="779" spans="2:15">
      <c r="B779" s="579"/>
      <c r="C779" s="547"/>
      <c r="D779" s="547"/>
      <c r="E779" s="547">
        <v>3</v>
      </c>
      <c r="F779" s="547" t="s">
        <v>4345</v>
      </c>
      <c r="G779" s="547">
        <v>100</v>
      </c>
      <c r="H779" s="547"/>
      <c r="I779" s="547" t="s">
        <v>4337</v>
      </c>
      <c r="J779" s="547" t="s">
        <v>4346</v>
      </c>
      <c r="K779" s="547" t="s">
        <v>4347</v>
      </c>
      <c r="L779" s="547"/>
      <c r="M779" s="547" t="s">
        <v>3358</v>
      </c>
      <c r="N779" s="547"/>
      <c r="O779" s="547"/>
    </row>
    <row r="780" spans="2:15">
      <c r="B780" s="579"/>
      <c r="C780" s="549" t="s">
        <v>3243</v>
      </c>
      <c r="D780" s="549" t="s">
        <v>3244</v>
      </c>
      <c r="E780" s="557">
        <v>1</v>
      </c>
      <c r="F780" s="549" t="s">
        <v>4348</v>
      </c>
      <c r="G780" s="549"/>
      <c r="H780" s="549"/>
      <c r="I780" s="547" t="s">
        <v>4337</v>
      </c>
      <c r="J780" s="549" t="s">
        <v>4349</v>
      </c>
      <c r="K780" s="549" t="s">
        <v>4263</v>
      </c>
      <c r="L780" s="549" t="s">
        <v>3412</v>
      </c>
      <c r="M780" s="549" t="s">
        <v>3240</v>
      </c>
      <c r="N780" s="693">
        <v>2025019584</v>
      </c>
      <c r="O780" s="549"/>
    </row>
    <row r="781" spans="2:15">
      <c r="B781" s="579"/>
      <c r="C781" s="547"/>
      <c r="D781" s="547"/>
      <c r="E781" s="547">
        <v>2</v>
      </c>
      <c r="F781" s="547" t="s">
        <v>4350</v>
      </c>
      <c r="G781" s="547"/>
      <c r="H781" s="547"/>
      <c r="I781" s="547" t="s">
        <v>4337</v>
      </c>
      <c r="J781" s="547" t="s">
        <v>4351</v>
      </c>
      <c r="K781" s="547" t="s">
        <v>4352</v>
      </c>
      <c r="L781" s="547"/>
      <c r="M781" s="547" t="s">
        <v>3240</v>
      </c>
      <c r="N781" s="547"/>
      <c r="O781" s="547"/>
    </row>
    <row r="782" spans="2:15">
      <c r="B782" s="579"/>
      <c r="C782" s="547"/>
      <c r="D782" s="547"/>
      <c r="E782" s="547">
        <v>3</v>
      </c>
      <c r="F782" s="547" t="s">
        <v>4353</v>
      </c>
      <c r="G782" s="547">
        <v>100</v>
      </c>
      <c r="H782" s="547"/>
      <c r="I782" s="547" t="s">
        <v>4337</v>
      </c>
      <c r="J782" s="547" t="s">
        <v>4337</v>
      </c>
      <c r="K782" s="547" t="s">
        <v>4353</v>
      </c>
      <c r="L782" s="547"/>
      <c r="M782" s="547" t="s">
        <v>3240</v>
      </c>
      <c r="N782" s="547"/>
      <c r="O782" s="547"/>
    </row>
    <row r="783" spans="2:15">
      <c r="B783" s="579"/>
      <c r="C783" s="549" t="s">
        <v>3250</v>
      </c>
      <c r="D783" s="549" t="s">
        <v>3251</v>
      </c>
      <c r="E783" s="557">
        <v>1</v>
      </c>
      <c r="F783" s="549" t="s">
        <v>4354</v>
      </c>
      <c r="G783" s="549"/>
      <c r="H783" s="549"/>
      <c r="I783" s="549" t="s">
        <v>4337</v>
      </c>
      <c r="J783" s="549" t="s">
        <v>4355</v>
      </c>
      <c r="K783" s="549" t="s">
        <v>4356</v>
      </c>
      <c r="L783" s="549" t="s">
        <v>4357</v>
      </c>
      <c r="M783" s="549"/>
      <c r="N783" s="549"/>
      <c r="O783" s="549"/>
    </row>
    <row r="784" spans="2:15">
      <c r="B784" s="579"/>
      <c r="C784" s="547"/>
      <c r="D784" s="547"/>
      <c r="E784" s="547">
        <v>2</v>
      </c>
      <c r="F784" s="547" t="s">
        <v>4358</v>
      </c>
      <c r="G784" s="547"/>
      <c r="H784" s="547"/>
      <c r="I784" s="547" t="s">
        <v>4351</v>
      </c>
      <c r="J784" s="547" t="s">
        <v>4351</v>
      </c>
      <c r="K784" s="547" t="s">
        <v>4359</v>
      </c>
      <c r="L784" s="547"/>
      <c r="M784" s="547"/>
      <c r="N784" s="547"/>
      <c r="O784" s="547"/>
    </row>
    <row r="785" spans="2:15">
      <c r="B785" s="579"/>
      <c r="C785" s="547"/>
      <c r="D785" s="547"/>
      <c r="E785" s="547">
        <v>3</v>
      </c>
      <c r="F785" s="547" t="s">
        <v>4360</v>
      </c>
      <c r="G785" s="547"/>
      <c r="H785" s="547"/>
      <c r="I785" s="547" t="s">
        <v>4337</v>
      </c>
      <c r="J785" s="547" t="s">
        <v>4337</v>
      </c>
      <c r="K785" s="547" t="s">
        <v>4361</v>
      </c>
      <c r="L785" s="547" t="s">
        <v>3433</v>
      </c>
      <c r="M785" s="547"/>
      <c r="N785" s="547"/>
      <c r="O785" s="547"/>
    </row>
    <row r="786" spans="2:15">
      <c r="B786" s="579"/>
      <c r="C786" s="547"/>
      <c r="D786" s="547"/>
      <c r="E786" s="547">
        <v>4</v>
      </c>
      <c r="F786" s="547" t="s">
        <v>4362</v>
      </c>
      <c r="G786" s="547"/>
      <c r="H786" s="547"/>
      <c r="I786" s="547" t="s">
        <v>4337</v>
      </c>
      <c r="J786" s="547" t="s">
        <v>4337</v>
      </c>
      <c r="K786" s="547" t="s">
        <v>4363</v>
      </c>
      <c r="L786" s="547"/>
      <c r="M786" s="547"/>
      <c r="N786" s="547"/>
      <c r="O786" s="547"/>
    </row>
    <row r="787" spans="2:15">
      <c r="B787" s="579"/>
      <c r="C787" s="547"/>
      <c r="D787" s="547"/>
      <c r="E787" s="547">
        <v>5</v>
      </c>
      <c r="F787" s="547" t="s">
        <v>3742</v>
      </c>
      <c r="G787" s="547"/>
      <c r="H787" s="547"/>
      <c r="I787" s="547" t="s">
        <v>4337</v>
      </c>
      <c r="J787" s="547" t="s">
        <v>4337</v>
      </c>
      <c r="K787" s="547" t="s">
        <v>4364</v>
      </c>
      <c r="L787" s="547"/>
      <c r="M787" s="547"/>
      <c r="N787" s="547"/>
      <c r="O787" s="547"/>
    </row>
    <row r="788" spans="2:15">
      <c r="B788" s="579"/>
      <c r="C788" s="547"/>
      <c r="D788" s="547"/>
      <c r="E788" s="547">
        <v>6</v>
      </c>
      <c r="F788" s="547" t="s">
        <v>4365</v>
      </c>
      <c r="G788" s="547"/>
      <c r="H788" s="547"/>
      <c r="I788" s="547" t="s">
        <v>4337</v>
      </c>
      <c r="J788" s="547" t="s">
        <v>4337</v>
      </c>
      <c r="K788" s="547" t="s">
        <v>4366</v>
      </c>
      <c r="L788" s="547"/>
      <c r="M788" s="547"/>
      <c r="N788" s="547"/>
      <c r="O788" s="547"/>
    </row>
    <row r="789" spans="2:15">
      <c r="B789" s="579"/>
      <c r="C789" s="547"/>
      <c r="D789" s="547"/>
      <c r="E789" s="547">
        <v>7</v>
      </c>
      <c r="F789" s="547" t="s">
        <v>3435</v>
      </c>
      <c r="G789" s="547"/>
      <c r="H789" s="547"/>
      <c r="I789" s="547" t="s">
        <v>4337</v>
      </c>
      <c r="J789" s="547" t="s">
        <v>4337</v>
      </c>
      <c r="K789" s="547" t="s">
        <v>4367</v>
      </c>
      <c r="L789" s="547"/>
      <c r="M789" s="547"/>
      <c r="N789" s="547"/>
      <c r="O789" s="547"/>
    </row>
    <row r="790" spans="2:15">
      <c r="B790" s="579"/>
      <c r="C790" s="547"/>
      <c r="D790" s="547"/>
      <c r="E790" s="547">
        <v>8</v>
      </c>
      <c r="F790" s="547" t="s">
        <v>3582</v>
      </c>
      <c r="G790" s="547"/>
      <c r="H790" s="547"/>
      <c r="I790" s="547" t="s">
        <v>4337</v>
      </c>
      <c r="J790" s="547" t="s">
        <v>4337</v>
      </c>
      <c r="K790" s="547" t="s">
        <v>4368</v>
      </c>
      <c r="L790" s="547"/>
      <c r="M790" s="547"/>
      <c r="N790" s="547"/>
      <c r="O790" s="547"/>
    </row>
    <row r="791" spans="2:15">
      <c r="B791" s="579"/>
      <c r="C791" s="547"/>
      <c r="D791" s="547"/>
      <c r="E791" s="547">
        <v>9</v>
      </c>
      <c r="F791" s="547" t="s">
        <v>4369</v>
      </c>
      <c r="G791" s="547"/>
      <c r="H791" s="547"/>
      <c r="I791" s="547" t="s">
        <v>4337</v>
      </c>
      <c r="J791" s="547" t="s">
        <v>4337</v>
      </c>
      <c r="K791" s="547" t="s">
        <v>4370</v>
      </c>
      <c r="L791" s="547"/>
      <c r="M791" s="547"/>
      <c r="N791" s="547"/>
      <c r="O791" s="547"/>
    </row>
    <row r="792" spans="2:15">
      <c r="B792" s="672"/>
      <c r="C792" s="569"/>
      <c r="D792" s="569"/>
      <c r="E792" s="569">
        <v>10</v>
      </c>
      <c r="F792" s="569" t="s">
        <v>4371</v>
      </c>
      <c r="G792" s="569"/>
      <c r="H792" s="569"/>
      <c r="I792" s="569" t="s">
        <v>4337</v>
      </c>
      <c r="J792" s="569" t="s">
        <v>4337</v>
      </c>
      <c r="K792" s="569" t="s">
        <v>4372</v>
      </c>
      <c r="L792" s="569"/>
      <c r="M792" s="569"/>
      <c r="N792" s="569"/>
      <c r="O792" s="569"/>
    </row>
    <row r="793" spans="2:15">
      <c r="B793" s="579" t="s">
        <v>3276</v>
      </c>
      <c r="C793" s="549" t="s">
        <v>3277</v>
      </c>
      <c r="D793" s="549" t="s">
        <v>3278</v>
      </c>
      <c r="E793" s="557">
        <v>1</v>
      </c>
      <c r="F793" s="549" t="s">
        <v>3852</v>
      </c>
      <c r="G793" s="549"/>
      <c r="H793" s="549">
        <v>10</v>
      </c>
      <c r="I793" s="549" t="s">
        <v>4337</v>
      </c>
      <c r="J793" s="549" t="s">
        <v>4349</v>
      </c>
      <c r="K793" s="549" t="s">
        <v>4373</v>
      </c>
      <c r="L793" s="549"/>
      <c r="M793" s="549" t="s">
        <v>3358</v>
      </c>
      <c r="N793" s="549"/>
      <c r="O793" s="549"/>
    </row>
    <row r="794" spans="2:15">
      <c r="B794" s="579"/>
      <c r="C794" s="547"/>
      <c r="D794" s="547"/>
      <c r="E794" s="547">
        <v>2</v>
      </c>
      <c r="F794" s="547" t="s">
        <v>911</v>
      </c>
      <c r="G794" s="547"/>
      <c r="H794" s="547">
        <v>30</v>
      </c>
      <c r="I794" s="547" t="s">
        <v>4351</v>
      </c>
      <c r="J794" s="547" t="s">
        <v>4351</v>
      </c>
      <c r="K794" s="547" t="s">
        <v>4374</v>
      </c>
      <c r="L794" s="547"/>
      <c r="M794" s="547" t="s">
        <v>3358</v>
      </c>
      <c r="N794" s="547"/>
      <c r="O794" s="547"/>
    </row>
    <row r="795" spans="2:15">
      <c r="B795" s="579"/>
      <c r="C795" s="547"/>
      <c r="D795" s="547"/>
      <c r="E795" s="547">
        <v>3</v>
      </c>
      <c r="F795" s="547" t="s">
        <v>3598</v>
      </c>
      <c r="G795" s="547"/>
      <c r="H795" s="547">
        <v>10</v>
      </c>
      <c r="I795" s="547" t="s">
        <v>4337</v>
      </c>
      <c r="J795" s="547" t="s">
        <v>4351</v>
      </c>
      <c r="K795" s="547" t="s">
        <v>4375</v>
      </c>
      <c r="L795" s="547"/>
      <c r="M795" s="547" t="s">
        <v>3358</v>
      </c>
      <c r="N795" s="547"/>
      <c r="O795" s="547"/>
    </row>
    <row r="796" spans="2:15">
      <c r="B796" s="579"/>
      <c r="C796" s="694" t="s">
        <v>3291</v>
      </c>
      <c r="D796" s="694" t="s">
        <v>3292</v>
      </c>
      <c r="E796" s="695">
        <v>1</v>
      </c>
      <c r="F796" s="694" t="s">
        <v>4376</v>
      </c>
      <c r="G796" s="694"/>
      <c r="H796" s="694"/>
      <c r="I796" s="694"/>
      <c r="J796" s="694"/>
      <c r="K796" s="694"/>
      <c r="L796" s="694"/>
      <c r="M796" s="549"/>
      <c r="N796" s="549"/>
      <c r="O796" s="549"/>
    </row>
    <row r="797" spans="2:15">
      <c r="B797" s="579"/>
      <c r="C797" s="694" t="s">
        <v>3293</v>
      </c>
      <c r="D797" s="694" t="s">
        <v>3294</v>
      </c>
      <c r="E797" s="694">
        <v>1</v>
      </c>
      <c r="F797" s="694" t="s">
        <v>4376</v>
      </c>
      <c r="G797" s="694"/>
      <c r="H797" s="694"/>
      <c r="I797" s="694"/>
      <c r="J797" s="694"/>
      <c r="K797" s="694"/>
      <c r="L797" s="694"/>
      <c r="M797" s="549"/>
      <c r="N797" s="549"/>
      <c r="O797" s="549"/>
    </row>
    <row r="798" spans="2:15">
      <c r="B798" s="579" t="s">
        <v>3300</v>
      </c>
      <c r="C798" s="549" t="s">
        <v>3301</v>
      </c>
      <c r="D798" s="549" t="s">
        <v>3302</v>
      </c>
      <c r="E798" s="549">
        <v>1</v>
      </c>
      <c r="F798" s="549" t="s">
        <v>4377</v>
      </c>
      <c r="G798" s="549"/>
      <c r="H798" s="549"/>
      <c r="I798" s="696" t="s">
        <v>4378</v>
      </c>
      <c r="J798" s="697">
        <v>45719</v>
      </c>
      <c r="K798" s="549"/>
      <c r="L798" s="549"/>
      <c r="M798" s="549"/>
      <c r="N798" s="549"/>
      <c r="O798" s="549"/>
    </row>
    <row r="799" spans="2:15">
      <c r="B799" s="579"/>
      <c r="C799" s="547"/>
      <c r="D799" s="547"/>
      <c r="E799" s="547">
        <v>2</v>
      </c>
      <c r="F799" s="547" t="s">
        <v>4379</v>
      </c>
      <c r="G799" s="547"/>
      <c r="H799" s="547"/>
      <c r="I799" s="698" t="s">
        <v>4378</v>
      </c>
      <c r="J799" s="581">
        <v>45721</v>
      </c>
      <c r="K799" s="547"/>
      <c r="L799" s="547"/>
      <c r="M799" s="547"/>
      <c r="N799" s="547"/>
      <c r="O799" s="547"/>
    </row>
    <row r="800" spans="2:15">
      <c r="B800" s="579"/>
      <c r="C800" s="547"/>
      <c r="D800" s="547"/>
      <c r="E800" s="547">
        <v>3</v>
      </c>
      <c r="F800" s="547" t="s">
        <v>4380</v>
      </c>
      <c r="G800" s="547"/>
      <c r="H800" s="547"/>
      <c r="I800" s="698" t="s">
        <v>4378</v>
      </c>
      <c r="J800" s="581">
        <v>45725</v>
      </c>
      <c r="K800" s="547"/>
      <c r="L800" s="547"/>
      <c r="M800" s="547"/>
      <c r="N800" s="547"/>
      <c r="O800" s="547"/>
    </row>
    <row r="801" spans="2:15">
      <c r="B801" s="579"/>
      <c r="C801" s="547"/>
      <c r="D801" s="547"/>
      <c r="E801" s="547">
        <v>4</v>
      </c>
      <c r="F801" s="547" t="s">
        <v>4381</v>
      </c>
      <c r="G801" s="547"/>
      <c r="H801" s="547"/>
      <c r="I801" s="698" t="s">
        <v>4378</v>
      </c>
      <c r="J801" s="581">
        <v>45720</v>
      </c>
      <c r="K801" s="547"/>
      <c r="L801" s="547"/>
      <c r="M801" s="547"/>
      <c r="N801" s="547"/>
      <c r="O801" s="547"/>
    </row>
    <row r="802" spans="2:15">
      <c r="B802" s="579"/>
      <c r="C802" s="547"/>
      <c r="D802" s="547"/>
      <c r="E802" s="547">
        <v>5</v>
      </c>
      <c r="F802" s="547" t="s">
        <v>3775</v>
      </c>
      <c r="G802" s="547"/>
      <c r="H802" s="547"/>
      <c r="I802" s="698" t="s">
        <v>4378</v>
      </c>
      <c r="J802" s="581">
        <v>45722</v>
      </c>
      <c r="K802" s="547"/>
      <c r="L802" s="547"/>
      <c r="M802" s="547"/>
      <c r="N802" s="547"/>
      <c r="O802" s="547"/>
    </row>
    <row r="803" spans="2:15">
      <c r="B803" s="579"/>
      <c r="C803" s="547"/>
      <c r="D803" s="547"/>
      <c r="E803" s="547">
        <v>6</v>
      </c>
      <c r="F803" s="547" t="s">
        <v>4382</v>
      </c>
      <c r="G803" s="547"/>
      <c r="H803" s="547"/>
      <c r="I803" s="698" t="s">
        <v>4378</v>
      </c>
      <c r="J803" s="699">
        <v>45723</v>
      </c>
      <c r="K803" s="547"/>
      <c r="L803" s="547"/>
      <c r="M803" s="547"/>
      <c r="N803" s="547"/>
      <c r="O803" s="547"/>
    </row>
    <row r="804" spans="2:15">
      <c r="B804" s="579"/>
      <c r="C804" s="547"/>
      <c r="D804" s="547"/>
      <c r="E804" s="547">
        <v>7</v>
      </c>
      <c r="F804" s="547" t="s">
        <v>4383</v>
      </c>
      <c r="G804" s="547"/>
      <c r="H804" s="547"/>
      <c r="I804" s="698" t="s">
        <v>4378</v>
      </c>
      <c r="J804" s="700">
        <v>45725</v>
      </c>
      <c r="K804" s="628"/>
      <c r="L804" s="547"/>
      <c r="M804" s="547"/>
      <c r="N804" s="547"/>
      <c r="O804" s="547"/>
    </row>
    <row r="805" spans="2:15">
      <c r="B805" s="579"/>
      <c r="C805" s="547"/>
      <c r="D805" s="547"/>
      <c r="E805" s="547">
        <v>8</v>
      </c>
      <c r="F805" s="547" t="s">
        <v>4384</v>
      </c>
      <c r="G805" s="547"/>
      <c r="H805" s="547"/>
      <c r="I805" s="698" t="s">
        <v>4378</v>
      </c>
      <c r="J805" s="701">
        <v>45723</v>
      </c>
      <c r="K805" s="628"/>
      <c r="L805" s="547"/>
      <c r="M805" s="547"/>
      <c r="N805" s="547"/>
      <c r="O805" s="547"/>
    </row>
    <row r="806" spans="2:15">
      <c r="B806" s="579"/>
      <c r="C806" s="547"/>
      <c r="D806" s="547"/>
      <c r="E806" s="547">
        <v>9</v>
      </c>
      <c r="F806" s="547" t="s">
        <v>4287</v>
      </c>
      <c r="G806" s="547"/>
      <c r="H806" s="547"/>
      <c r="I806" s="698" t="s">
        <v>4378</v>
      </c>
      <c r="J806" s="697">
        <v>45724</v>
      </c>
      <c r="K806" s="547"/>
      <c r="L806" s="547"/>
      <c r="M806" s="547"/>
      <c r="N806" s="547"/>
      <c r="O806" s="547"/>
    </row>
    <row r="807" spans="2:15">
      <c r="B807" s="579"/>
      <c r="C807" s="569"/>
      <c r="D807" s="569"/>
      <c r="E807" s="569">
        <v>10</v>
      </c>
      <c r="F807" s="569" t="s">
        <v>4385</v>
      </c>
      <c r="G807" s="569"/>
      <c r="H807" s="569"/>
      <c r="I807" s="702" t="s">
        <v>4378</v>
      </c>
      <c r="J807" s="703">
        <v>45722</v>
      </c>
      <c r="K807" s="569"/>
      <c r="L807" s="569"/>
      <c r="M807" s="569"/>
      <c r="N807" s="569"/>
      <c r="O807" s="569"/>
    </row>
    <row r="808" spans="2:15">
      <c r="B808" s="579"/>
      <c r="C808" s="557" t="s">
        <v>3474</v>
      </c>
      <c r="D808" s="557" t="s">
        <v>3315</v>
      </c>
      <c r="E808" s="557">
        <v>1</v>
      </c>
      <c r="F808" s="557" t="s">
        <v>4386</v>
      </c>
      <c r="G808" s="557"/>
      <c r="H808" s="557"/>
      <c r="I808" s="704" t="s">
        <v>4387</v>
      </c>
      <c r="J808" s="557"/>
      <c r="K808" s="557"/>
      <c r="L808" s="557"/>
      <c r="M808" s="557"/>
      <c r="N808" s="557"/>
      <c r="O808" s="557"/>
    </row>
    <row r="809" spans="2:15">
      <c r="B809" s="579"/>
      <c r="C809" s="547"/>
      <c r="D809" s="547"/>
      <c r="E809" s="547">
        <v>2</v>
      </c>
      <c r="F809" s="547" t="s">
        <v>4388</v>
      </c>
      <c r="G809" s="547"/>
      <c r="H809" s="547"/>
      <c r="I809" s="705" t="s">
        <v>4387</v>
      </c>
      <c r="J809" s="547"/>
      <c r="K809" s="547"/>
      <c r="L809" s="547"/>
      <c r="M809" s="547"/>
      <c r="N809" s="547"/>
      <c r="O809" s="547"/>
    </row>
    <row r="810" spans="2:15">
      <c r="B810" s="575" t="s">
        <v>3324</v>
      </c>
      <c r="C810" s="557" t="s">
        <v>3325</v>
      </c>
      <c r="D810" s="557" t="s">
        <v>3326</v>
      </c>
      <c r="E810" s="557">
        <v>1</v>
      </c>
      <c r="F810" s="557" t="s">
        <v>4002</v>
      </c>
      <c r="G810" s="706" t="s">
        <v>3328</v>
      </c>
      <c r="H810" s="707">
        <v>15</v>
      </c>
      <c r="I810" s="688" t="s">
        <v>4378</v>
      </c>
      <c r="J810" s="708">
        <v>45719</v>
      </c>
      <c r="K810" s="709" t="s">
        <v>3488</v>
      </c>
      <c r="L810" s="557"/>
      <c r="M810" s="557"/>
      <c r="N810" s="557">
        <v>2024058452</v>
      </c>
      <c r="O810" s="557"/>
    </row>
    <row r="811" spans="2:15">
      <c r="B811" s="579"/>
      <c r="C811" s="547"/>
      <c r="D811" s="547"/>
      <c r="E811" s="547">
        <v>2</v>
      </c>
      <c r="F811" s="547" t="s">
        <v>3330</v>
      </c>
      <c r="G811" s="710" t="s">
        <v>3328</v>
      </c>
      <c r="H811" s="711">
        <v>20</v>
      </c>
      <c r="I811" s="702" t="s">
        <v>4378</v>
      </c>
      <c r="J811" s="712">
        <v>45720</v>
      </c>
      <c r="K811" s="628" t="s">
        <v>3489</v>
      </c>
      <c r="L811" s="547"/>
      <c r="M811" s="547"/>
      <c r="N811" s="547">
        <v>2024058453</v>
      </c>
      <c r="O811" s="547"/>
    </row>
    <row r="812" spans="2:15">
      <c r="B812" s="579"/>
      <c r="C812" s="547"/>
      <c r="D812" s="547"/>
      <c r="E812" s="547">
        <v>3</v>
      </c>
      <c r="F812" s="547" t="s">
        <v>3332</v>
      </c>
      <c r="G812" s="710" t="s">
        <v>3328</v>
      </c>
      <c r="H812" s="711">
        <v>15</v>
      </c>
      <c r="I812" s="698" t="s">
        <v>4378</v>
      </c>
      <c r="J812" s="712">
        <v>45721</v>
      </c>
      <c r="K812" s="628" t="s">
        <v>3490</v>
      </c>
      <c r="L812" s="547"/>
      <c r="M812" s="547"/>
      <c r="N812" s="547">
        <v>2024068760</v>
      </c>
      <c r="O812" s="547"/>
    </row>
    <row r="813" spans="2:15">
      <c r="B813" s="579"/>
      <c r="C813" s="547"/>
      <c r="D813" s="547"/>
      <c r="E813" s="547">
        <v>4</v>
      </c>
      <c r="F813" s="547" t="s">
        <v>3334</v>
      </c>
      <c r="G813" s="710" t="s">
        <v>3328</v>
      </c>
      <c r="H813" s="713">
        <v>10</v>
      </c>
      <c r="I813" s="688" t="s">
        <v>4378</v>
      </c>
      <c r="J813" s="712">
        <v>45722</v>
      </c>
      <c r="K813" s="628" t="s">
        <v>3491</v>
      </c>
      <c r="L813" s="547"/>
      <c r="M813" s="547"/>
      <c r="N813" s="547">
        <v>2024068644</v>
      </c>
      <c r="O813" s="547"/>
    </row>
    <row r="814" spans="2:15">
      <c r="B814" s="579"/>
      <c r="C814" s="547"/>
      <c r="D814" s="547"/>
      <c r="E814" s="547">
        <v>5</v>
      </c>
      <c r="F814" s="547" t="s">
        <v>3336</v>
      </c>
      <c r="G814" s="710" t="s">
        <v>3328</v>
      </c>
      <c r="H814" s="714">
        <v>10</v>
      </c>
      <c r="I814" s="702" t="s">
        <v>4378</v>
      </c>
      <c r="J814" s="712">
        <v>45723</v>
      </c>
      <c r="K814" s="628" t="s">
        <v>3492</v>
      </c>
      <c r="L814" s="547"/>
      <c r="M814" s="547"/>
      <c r="N814" s="547">
        <v>2024109287</v>
      </c>
      <c r="O814" s="547"/>
    </row>
    <row r="815" spans="2:15">
      <c r="B815" s="579"/>
      <c r="C815" s="547"/>
      <c r="D815" s="547"/>
      <c r="E815" s="547">
        <v>6</v>
      </c>
      <c r="F815" s="547" t="s">
        <v>3338</v>
      </c>
      <c r="G815" s="710" t="s">
        <v>3328</v>
      </c>
      <c r="H815" s="714">
        <v>10</v>
      </c>
      <c r="I815" s="698" t="s">
        <v>4378</v>
      </c>
      <c r="J815" s="712">
        <v>45724</v>
      </c>
      <c r="K815" s="628" t="s">
        <v>3493</v>
      </c>
      <c r="L815" s="547"/>
      <c r="M815" s="547"/>
      <c r="N815" s="547">
        <v>2024078762</v>
      </c>
      <c r="O815" s="547"/>
    </row>
    <row r="816" spans="2:15">
      <c r="B816" s="579"/>
      <c r="C816" s="547"/>
      <c r="D816" s="547"/>
      <c r="E816" s="547">
        <v>7</v>
      </c>
      <c r="F816" s="547" t="s">
        <v>3340</v>
      </c>
      <c r="G816" s="710" t="s">
        <v>3328</v>
      </c>
      <c r="H816" s="715">
        <v>20</v>
      </c>
      <c r="I816" s="688" t="s">
        <v>4378</v>
      </c>
      <c r="J816" s="712">
        <v>45725</v>
      </c>
      <c r="K816" s="628" t="s">
        <v>3494</v>
      </c>
      <c r="L816" s="547"/>
      <c r="M816" s="547"/>
      <c r="N816" s="547">
        <v>2024078899</v>
      </c>
      <c r="O816" s="547"/>
    </row>
    <row r="817" spans="2:15">
      <c r="B817" s="579"/>
      <c r="C817" s="633"/>
      <c r="D817" s="633"/>
      <c r="E817" s="633">
        <v>8</v>
      </c>
      <c r="F817" s="716" t="s">
        <v>4389</v>
      </c>
      <c r="G817" s="717">
        <v>100</v>
      </c>
      <c r="H817" s="718">
        <v>100</v>
      </c>
      <c r="I817" s="719">
        <v>45721</v>
      </c>
      <c r="J817" s="720">
        <v>45721</v>
      </c>
      <c r="K817" s="721" t="s">
        <v>4390</v>
      </c>
      <c r="L817" s="716" t="s">
        <v>3622</v>
      </c>
      <c r="M817" s="716"/>
      <c r="N817" s="716"/>
      <c r="O817" s="633"/>
    </row>
    <row r="818" spans="2:15">
      <c r="B818" s="579"/>
      <c r="C818" s="563"/>
      <c r="D818" s="563"/>
      <c r="E818" s="563">
        <v>9</v>
      </c>
      <c r="F818" s="722" t="s">
        <v>4391</v>
      </c>
      <c r="G818" s="722">
        <v>100</v>
      </c>
      <c r="H818" s="723">
        <v>70</v>
      </c>
      <c r="I818" s="724" t="s">
        <v>4392</v>
      </c>
      <c r="J818" s="725">
        <v>45720</v>
      </c>
      <c r="K818" s="722" t="s">
        <v>4393</v>
      </c>
      <c r="L818" s="722" t="s">
        <v>4394</v>
      </c>
      <c r="M818" s="722"/>
      <c r="N818" s="722"/>
      <c r="O818" s="563"/>
    </row>
    <row r="819" spans="2:15" ht="33">
      <c r="B819" s="579" t="s">
        <v>3349</v>
      </c>
      <c r="C819" s="549" t="s">
        <v>3350</v>
      </c>
      <c r="D819" s="549" t="s">
        <v>3351</v>
      </c>
      <c r="E819" s="549">
        <v>1</v>
      </c>
      <c r="F819" s="549" t="s">
        <v>4024</v>
      </c>
      <c r="G819" s="726" t="s">
        <v>3328</v>
      </c>
      <c r="H819" s="549">
        <v>15</v>
      </c>
      <c r="I819" s="688" t="s">
        <v>4378</v>
      </c>
      <c r="J819" s="549"/>
      <c r="K819" s="727" t="s">
        <v>4395</v>
      </c>
      <c r="L819" s="549"/>
      <c r="M819" s="549" t="s">
        <v>3358</v>
      </c>
      <c r="N819" s="549"/>
      <c r="O819" s="549"/>
    </row>
    <row r="820" spans="2:15">
      <c r="B820" s="579"/>
      <c r="C820" s="547"/>
      <c r="D820" s="547"/>
      <c r="E820" s="547">
        <v>2</v>
      </c>
      <c r="F820" s="547" t="s">
        <v>3804</v>
      </c>
      <c r="G820" s="728">
        <v>150</v>
      </c>
      <c r="H820" s="547">
        <v>10</v>
      </c>
      <c r="I820" s="698" t="s">
        <v>4378</v>
      </c>
      <c r="J820" s="547"/>
      <c r="K820" s="615" t="s">
        <v>4396</v>
      </c>
      <c r="L820" s="547"/>
      <c r="M820" s="557" t="s">
        <v>3358</v>
      </c>
      <c r="N820" s="547"/>
      <c r="O820" s="547"/>
    </row>
    <row r="821" spans="2:15">
      <c r="B821" s="579"/>
      <c r="C821" s="547"/>
      <c r="D821" s="547"/>
      <c r="E821" s="547">
        <v>3</v>
      </c>
      <c r="F821" s="547" t="s">
        <v>4133</v>
      </c>
      <c r="G821" s="728">
        <v>100</v>
      </c>
      <c r="H821" s="547">
        <v>10</v>
      </c>
      <c r="I821" s="688" t="s">
        <v>4378</v>
      </c>
      <c r="J821" s="547"/>
      <c r="K821" s="615" t="s">
        <v>4397</v>
      </c>
      <c r="L821" s="547"/>
      <c r="M821" s="557" t="s">
        <v>3358</v>
      </c>
      <c r="N821" s="547"/>
      <c r="O821" s="547"/>
    </row>
    <row r="822" spans="2:15">
      <c r="B822" s="579"/>
      <c r="C822" s="547"/>
      <c r="D822" s="547"/>
      <c r="E822" s="547">
        <v>4</v>
      </c>
      <c r="F822" s="547" t="s">
        <v>189</v>
      </c>
      <c r="G822" s="729" t="s">
        <v>3328</v>
      </c>
      <c r="H822" s="547">
        <v>10</v>
      </c>
      <c r="I822" s="702" t="s">
        <v>4378</v>
      </c>
      <c r="J822" s="547"/>
      <c r="K822" s="615" t="s">
        <v>4398</v>
      </c>
      <c r="L822" s="547"/>
      <c r="M822" s="557" t="s">
        <v>3358</v>
      </c>
      <c r="N822" s="547"/>
      <c r="O822" s="547"/>
    </row>
    <row r="823" spans="2:15">
      <c r="B823" s="579"/>
      <c r="C823" s="547"/>
      <c r="D823" s="547"/>
      <c r="E823" s="547">
        <v>5</v>
      </c>
      <c r="F823" s="547" t="s">
        <v>212</v>
      </c>
      <c r="G823" s="729" t="s">
        <v>3328</v>
      </c>
      <c r="H823" s="547">
        <v>10</v>
      </c>
      <c r="I823" s="702" t="s">
        <v>4378</v>
      </c>
      <c r="J823" s="547"/>
      <c r="K823" s="615" t="s">
        <v>4399</v>
      </c>
      <c r="L823" s="547"/>
      <c r="M823" s="557" t="s">
        <v>3358</v>
      </c>
      <c r="N823" s="547"/>
      <c r="O823" s="547"/>
    </row>
    <row r="824" spans="2:15">
      <c r="B824" s="579"/>
      <c r="C824" s="547"/>
      <c r="D824" s="547"/>
      <c r="E824" s="547">
        <v>6</v>
      </c>
      <c r="F824" s="547" t="s">
        <v>4400</v>
      </c>
      <c r="G824" s="729" t="s">
        <v>3328</v>
      </c>
      <c r="H824" s="547">
        <v>15</v>
      </c>
      <c r="I824" s="698" t="s">
        <v>4378</v>
      </c>
      <c r="J824" s="547"/>
      <c r="K824" s="560" t="s">
        <v>4401</v>
      </c>
      <c r="L824" s="547"/>
      <c r="M824" s="557" t="s">
        <v>3358</v>
      </c>
      <c r="N824" s="547"/>
      <c r="O824" s="547"/>
    </row>
    <row r="825" spans="2:15">
      <c r="B825" s="579"/>
      <c r="C825" s="547"/>
      <c r="D825" s="547"/>
      <c r="E825" s="547">
        <v>7</v>
      </c>
      <c r="F825" s="547" t="s">
        <v>4402</v>
      </c>
      <c r="G825" s="729" t="s">
        <v>3328</v>
      </c>
      <c r="H825" s="547">
        <v>15</v>
      </c>
      <c r="I825" s="688" t="s">
        <v>4378</v>
      </c>
      <c r="J825" s="547"/>
      <c r="K825" s="614" t="s">
        <v>4402</v>
      </c>
      <c r="L825" s="547"/>
      <c r="M825" s="557" t="s">
        <v>3358</v>
      </c>
      <c r="N825" s="547"/>
      <c r="O825" s="547"/>
    </row>
    <row r="826" spans="2:15">
      <c r="B826" s="579"/>
      <c r="C826" s="547"/>
      <c r="D826" s="547"/>
      <c r="E826" s="547">
        <v>8</v>
      </c>
      <c r="F826" s="547" t="s">
        <v>3890</v>
      </c>
      <c r="G826" s="729" t="s">
        <v>3328</v>
      </c>
      <c r="H826" s="547">
        <v>15</v>
      </c>
      <c r="I826" s="688" t="s">
        <v>4378</v>
      </c>
      <c r="J826" s="547"/>
      <c r="K826" s="615" t="s">
        <v>4403</v>
      </c>
      <c r="L826" s="547"/>
      <c r="M826" s="557" t="s">
        <v>3358</v>
      </c>
      <c r="N826" s="547"/>
      <c r="O826" s="547"/>
    </row>
    <row r="827" spans="2:15">
      <c r="B827" s="579"/>
      <c r="C827" s="557" t="s">
        <v>3371</v>
      </c>
      <c r="D827" s="557" t="s">
        <v>3294</v>
      </c>
      <c r="E827" s="557">
        <v>1</v>
      </c>
      <c r="F827" s="730" t="s">
        <v>4404</v>
      </c>
      <c r="G827" s="557">
        <v>100</v>
      </c>
      <c r="H827" s="557"/>
      <c r="I827" s="688" t="s">
        <v>4378</v>
      </c>
      <c r="J827" s="557"/>
      <c r="K827" s="547" t="s">
        <v>4027</v>
      </c>
      <c r="L827" s="557"/>
      <c r="M827" s="557"/>
      <c r="N827" s="557"/>
      <c r="O827" s="557"/>
    </row>
    <row r="828" spans="2:15">
      <c r="B828" s="579"/>
      <c r="C828" s="557" t="s">
        <v>3376</v>
      </c>
      <c r="D828" s="557" t="s">
        <v>3377</v>
      </c>
      <c r="E828" s="557">
        <v>1</v>
      </c>
      <c r="F828" s="557" t="s">
        <v>1450</v>
      </c>
      <c r="G828" s="557"/>
      <c r="H828" s="557"/>
      <c r="I828" s="557" t="s">
        <v>4378</v>
      </c>
      <c r="J828" s="557"/>
      <c r="K828" s="557" t="s">
        <v>4405</v>
      </c>
      <c r="L828" s="557"/>
      <c r="M828" s="557"/>
      <c r="N828" s="557"/>
      <c r="O828" s="557"/>
    </row>
    <row r="829" spans="2:15">
      <c r="B829" s="579"/>
      <c r="C829" s="547"/>
      <c r="D829" s="547"/>
      <c r="E829" s="547">
        <v>2</v>
      </c>
      <c r="F829" s="547" t="s">
        <v>1292</v>
      </c>
      <c r="G829" s="547"/>
      <c r="H829" s="547"/>
      <c r="I829" s="547" t="s">
        <v>4378</v>
      </c>
      <c r="J829" s="547"/>
      <c r="K829" s="547" t="s">
        <v>3521</v>
      </c>
      <c r="L829" s="547"/>
      <c r="M829" s="547"/>
      <c r="N829" s="547"/>
      <c r="O829" s="547"/>
    </row>
    <row r="830" spans="2:15">
      <c r="B830" s="579"/>
      <c r="C830" s="547"/>
      <c r="D830" s="547"/>
      <c r="E830" s="547">
        <v>3</v>
      </c>
      <c r="F830" s="547" t="s">
        <v>4406</v>
      </c>
      <c r="G830" s="547"/>
      <c r="H830" s="547"/>
      <c r="I830" s="547" t="s">
        <v>4378</v>
      </c>
      <c r="J830" s="547"/>
      <c r="K830" s="547" t="s">
        <v>4407</v>
      </c>
      <c r="L830" s="547"/>
      <c r="M830" s="547"/>
      <c r="N830" s="547"/>
      <c r="O830" s="547"/>
    </row>
    <row r="831" spans="2:15">
      <c r="B831" s="579"/>
      <c r="C831" s="547"/>
      <c r="D831" s="547"/>
      <c r="E831" s="547">
        <v>4</v>
      </c>
      <c r="F831" s="547" t="s">
        <v>4408</v>
      </c>
      <c r="G831" s="547"/>
      <c r="H831" s="547"/>
      <c r="I831" s="547" t="s">
        <v>4378</v>
      </c>
      <c r="J831" s="547"/>
      <c r="K831" s="547" t="s">
        <v>4409</v>
      </c>
      <c r="L831" s="547"/>
      <c r="M831" s="547"/>
      <c r="N831" s="547"/>
      <c r="O831" s="547"/>
    </row>
    <row r="832" spans="2:15">
      <c r="B832" s="579"/>
      <c r="C832" s="547"/>
      <c r="D832" s="547"/>
      <c r="E832" s="547">
        <v>5</v>
      </c>
      <c r="F832" s="547" t="s">
        <v>4410</v>
      </c>
      <c r="G832" s="547"/>
      <c r="H832" s="547"/>
      <c r="I832" s="547" t="s">
        <v>4378</v>
      </c>
      <c r="J832" s="547"/>
      <c r="K832" s="547" t="s">
        <v>4411</v>
      </c>
      <c r="L832" s="547"/>
      <c r="M832" s="547"/>
      <c r="N832" s="547"/>
      <c r="O832" s="547"/>
    </row>
    <row r="833" spans="2:15">
      <c r="B833" s="579"/>
      <c r="C833" s="547"/>
      <c r="D833" s="547"/>
      <c r="E833" s="547">
        <v>6</v>
      </c>
      <c r="F833" s="547" t="s">
        <v>3906</v>
      </c>
      <c r="G833" s="547"/>
      <c r="H833" s="547"/>
      <c r="I833" s="547" t="s">
        <v>4378</v>
      </c>
      <c r="J833" s="547"/>
      <c r="K833" s="547" t="s">
        <v>3907</v>
      </c>
      <c r="L833" s="547"/>
      <c r="M833" s="547"/>
      <c r="N833" s="547"/>
      <c r="O833" s="547"/>
    </row>
    <row r="834" spans="2:15">
      <c r="B834" s="579"/>
      <c r="C834" s="547"/>
      <c r="D834" s="547"/>
      <c r="E834" s="547">
        <v>7</v>
      </c>
      <c r="F834" s="547" t="s">
        <v>3519</v>
      </c>
      <c r="G834" s="547"/>
      <c r="H834" s="547"/>
      <c r="I834" s="547" t="s">
        <v>4378</v>
      </c>
      <c r="J834" s="547"/>
      <c r="K834" s="547" t="s">
        <v>3520</v>
      </c>
      <c r="L834" s="547"/>
      <c r="M834" s="547"/>
      <c r="N834" s="547"/>
      <c r="O834" s="547"/>
    </row>
    <row r="835" spans="2:15">
      <c r="B835" s="579"/>
      <c r="C835" s="557" t="s">
        <v>3385</v>
      </c>
      <c r="D835" s="557" t="s">
        <v>3386</v>
      </c>
      <c r="E835" s="557">
        <v>1</v>
      </c>
      <c r="F835" s="557" t="s">
        <v>3387</v>
      </c>
      <c r="G835" s="557"/>
      <c r="H835" s="557"/>
      <c r="I835" s="557" t="s">
        <v>4378</v>
      </c>
      <c r="J835" s="557"/>
      <c r="K835" s="557" t="s">
        <v>3388</v>
      </c>
      <c r="L835" s="557"/>
      <c r="M835" s="557"/>
      <c r="N835" s="557"/>
      <c r="O835" s="557"/>
    </row>
    <row r="836" spans="2:15">
      <c r="B836" s="579"/>
      <c r="C836" s="547"/>
      <c r="D836" s="547"/>
      <c r="E836" s="547">
        <v>2</v>
      </c>
      <c r="F836" s="547" t="s">
        <v>3537</v>
      </c>
      <c r="G836" s="547"/>
      <c r="H836" s="547"/>
      <c r="I836" s="547" t="s">
        <v>4378</v>
      </c>
      <c r="J836" s="547"/>
      <c r="K836" s="547" t="s">
        <v>3538</v>
      </c>
      <c r="L836" s="547"/>
      <c r="M836" s="547"/>
      <c r="N836" s="547"/>
      <c r="O836" s="547"/>
    </row>
    <row r="837" spans="2:15">
      <c r="B837" s="579"/>
      <c r="C837" s="547"/>
      <c r="D837" s="547"/>
      <c r="E837" s="547">
        <v>3</v>
      </c>
      <c r="F837" s="547" t="s">
        <v>3522</v>
      </c>
      <c r="G837" s="547"/>
      <c r="H837" s="547"/>
      <c r="I837" s="547" t="s">
        <v>4378</v>
      </c>
      <c r="J837" s="547"/>
      <c r="K837" s="547" t="s">
        <v>3523</v>
      </c>
      <c r="L837" s="547"/>
      <c r="M837" s="547"/>
      <c r="N837" s="547"/>
      <c r="O837" s="547"/>
    </row>
    <row r="838" spans="2:15">
      <c r="B838" s="579"/>
      <c r="C838" s="547"/>
      <c r="D838" s="547"/>
      <c r="E838" s="547">
        <v>4</v>
      </c>
      <c r="F838" s="547" t="s">
        <v>3393</v>
      </c>
      <c r="G838" s="547"/>
      <c r="H838" s="547"/>
      <c r="I838" s="547" t="s">
        <v>4378</v>
      </c>
      <c r="J838" s="547"/>
      <c r="K838" s="547" t="s">
        <v>3394</v>
      </c>
      <c r="L838" s="547"/>
      <c r="M838" s="547"/>
      <c r="N838" s="547"/>
      <c r="O838" s="547"/>
    </row>
    <row r="839" spans="2:15">
      <c r="B839" s="579"/>
      <c r="C839" s="547"/>
      <c r="D839" s="547"/>
      <c r="E839" s="547">
        <v>5</v>
      </c>
      <c r="F839" s="547" t="s">
        <v>3395</v>
      </c>
      <c r="G839" s="547"/>
      <c r="H839" s="547"/>
      <c r="I839" s="547" t="s">
        <v>4378</v>
      </c>
      <c r="J839" s="547"/>
      <c r="K839" s="547" t="s">
        <v>3396</v>
      </c>
      <c r="L839" s="547"/>
      <c r="M839" s="547"/>
      <c r="N839" s="547"/>
      <c r="O839" s="547"/>
    </row>
    <row r="840" spans="2:15">
      <c r="B840" s="579"/>
      <c r="C840" s="557" t="s">
        <v>3399</v>
      </c>
      <c r="D840" s="557" t="s">
        <v>3400</v>
      </c>
      <c r="E840" s="557">
        <v>1</v>
      </c>
      <c r="F840" s="557" t="s">
        <v>3540</v>
      </c>
      <c r="G840" s="557"/>
      <c r="H840" s="557"/>
      <c r="I840" s="557"/>
      <c r="J840" s="557"/>
      <c r="K840" s="557"/>
      <c r="L840" s="557"/>
      <c r="M840" s="557"/>
      <c r="N840" s="557"/>
      <c r="O840" s="557"/>
    </row>
    <row r="841" spans="2:15">
      <c r="B841" s="579"/>
      <c r="C841" s="547"/>
      <c r="D841" s="547"/>
      <c r="E841" s="547">
        <v>2</v>
      </c>
      <c r="F841" s="547" t="s">
        <v>3542</v>
      </c>
      <c r="G841" s="547"/>
      <c r="H841" s="547"/>
      <c r="I841" s="547"/>
      <c r="J841" s="547"/>
      <c r="K841" s="547"/>
      <c r="L841" s="547"/>
      <c r="M841" s="547"/>
      <c r="N841" s="547"/>
      <c r="O841" s="547"/>
    </row>
    <row r="842" spans="2:15">
      <c r="B842" s="579"/>
      <c r="C842" s="547"/>
      <c r="D842" s="547"/>
      <c r="E842" s="547">
        <v>3</v>
      </c>
      <c r="F842" s="547" t="s">
        <v>4032</v>
      </c>
      <c r="G842" s="547"/>
      <c r="H842" s="547"/>
      <c r="I842" s="547"/>
      <c r="J842" s="547"/>
      <c r="K842" s="547"/>
      <c r="L842" s="547"/>
      <c r="M842" s="547"/>
      <c r="N842" s="547"/>
      <c r="O842" s="547"/>
    </row>
    <row r="843" spans="2:15">
      <c r="B843" s="579"/>
      <c r="C843" s="547"/>
      <c r="D843" s="547"/>
      <c r="E843" s="547">
        <v>4</v>
      </c>
      <c r="F843" s="547" t="s">
        <v>3699</v>
      </c>
      <c r="G843" s="547"/>
      <c r="H843" s="547"/>
      <c r="I843" s="547"/>
      <c r="J843" s="547"/>
      <c r="K843" s="547"/>
      <c r="L843" s="547"/>
      <c r="M843" s="547"/>
      <c r="N843" s="547"/>
      <c r="O843" s="547"/>
    </row>
    <row r="844" spans="2:15">
      <c r="B844" s="579"/>
      <c r="C844" s="547"/>
      <c r="D844" s="547"/>
      <c r="E844" s="547">
        <v>5</v>
      </c>
      <c r="F844" s="547" t="s">
        <v>3697</v>
      </c>
      <c r="G844" s="547"/>
      <c r="H844" s="547"/>
      <c r="I844" s="547"/>
      <c r="J844" s="547"/>
      <c r="K844" s="547"/>
      <c r="L844" s="547"/>
      <c r="M844" s="547"/>
      <c r="N844" s="547"/>
      <c r="O844" s="547"/>
    </row>
    <row r="845" spans="2:15">
      <c r="B845" s="579"/>
      <c r="C845" s="547"/>
      <c r="D845" s="547"/>
      <c r="E845" s="547">
        <v>6</v>
      </c>
      <c r="F845" s="547" t="s">
        <v>3544</v>
      </c>
      <c r="G845" s="547"/>
      <c r="H845" s="547"/>
      <c r="I845" s="547"/>
      <c r="J845" s="547"/>
      <c r="K845" s="547"/>
      <c r="L845" s="547"/>
      <c r="M845" s="547"/>
      <c r="N845" s="547"/>
      <c r="O845" s="547"/>
    </row>
    <row r="846" spans="2:15">
      <c r="B846" s="579"/>
      <c r="C846" s="547"/>
      <c r="D846" s="547"/>
      <c r="E846" s="547">
        <v>7</v>
      </c>
      <c r="F846" s="547" t="s">
        <v>3403</v>
      </c>
      <c r="G846" s="547"/>
      <c r="H846" s="547"/>
      <c r="I846" s="547"/>
      <c r="J846" s="547"/>
      <c r="K846" s="547"/>
      <c r="L846" s="547"/>
      <c r="M846" s="547"/>
      <c r="N846" s="547"/>
      <c r="O846" s="547"/>
    </row>
    <row r="847" spans="2:15">
      <c r="B847" s="579"/>
      <c r="C847" s="547"/>
      <c r="D847" s="547"/>
      <c r="E847" s="547">
        <v>8</v>
      </c>
      <c r="F847" s="547" t="s">
        <v>3701</v>
      </c>
      <c r="G847" s="547"/>
      <c r="H847" s="547"/>
      <c r="I847" s="547"/>
      <c r="J847" s="547"/>
      <c r="K847" s="547"/>
      <c r="L847" s="547"/>
      <c r="M847" s="547"/>
      <c r="N847" s="547"/>
      <c r="O847" s="547"/>
    </row>
    <row r="848" spans="2:15">
      <c r="B848" s="619" t="s">
        <v>4412</v>
      </c>
      <c r="C848" s="668"/>
      <c r="D848" s="602"/>
      <c r="E848" s="602"/>
      <c r="F848" s="669"/>
      <c r="G848" s="669"/>
      <c r="H848" s="669"/>
      <c r="I848" s="669"/>
      <c r="J848" s="669"/>
      <c r="K848" s="669"/>
      <c r="L848" s="669"/>
      <c r="M848" s="669"/>
      <c r="N848" s="602"/>
      <c r="O848" s="670"/>
    </row>
    <row r="849" spans="2:15">
      <c r="B849" s="575" t="s">
        <v>3232</v>
      </c>
      <c r="C849" s="557" t="s">
        <v>3233</v>
      </c>
      <c r="D849" s="557" t="s">
        <v>3234</v>
      </c>
      <c r="E849" s="557">
        <v>1</v>
      </c>
      <c r="F849" s="549" t="s">
        <v>3705</v>
      </c>
      <c r="G849" s="549">
        <v>100</v>
      </c>
      <c r="H849" s="549"/>
      <c r="I849" s="549" t="s">
        <v>4413</v>
      </c>
      <c r="J849" s="549"/>
      <c r="K849" s="549"/>
      <c r="L849" s="549"/>
      <c r="M849" s="549"/>
      <c r="N849" s="557"/>
      <c r="O849" s="557"/>
    </row>
    <row r="850" spans="2:15">
      <c r="B850" s="579"/>
      <c r="C850" s="547"/>
      <c r="D850" s="547"/>
      <c r="E850" s="547">
        <v>2</v>
      </c>
      <c r="F850" s="547" t="s">
        <v>4414</v>
      </c>
      <c r="G850" s="547"/>
      <c r="H850" s="547"/>
      <c r="I850" s="547" t="s">
        <v>4413</v>
      </c>
      <c r="J850" s="547"/>
      <c r="K850" s="547"/>
      <c r="L850" s="547"/>
      <c r="M850" s="547"/>
      <c r="N850" s="547"/>
      <c r="O850" s="547"/>
    </row>
    <row r="851" spans="2:15">
      <c r="B851" s="579"/>
      <c r="C851" s="547"/>
      <c r="D851" s="547"/>
      <c r="E851" s="547">
        <v>3</v>
      </c>
      <c r="F851" s="547"/>
      <c r="G851" s="547"/>
      <c r="H851" s="547"/>
      <c r="I851" s="547"/>
      <c r="J851" s="547"/>
      <c r="K851" s="547"/>
      <c r="L851" s="547"/>
      <c r="M851" s="547"/>
      <c r="N851" s="547"/>
      <c r="O851" s="547"/>
    </row>
    <row r="852" spans="2:15">
      <c r="B852" s="579"/>
      <c r="C852" s="547"/>
      <c r="D852" s="547"/>
      <c r="E852" s="547">
        <v>4</v>
      </c>
      <c r="F852" s="547"/>
      <c r="G852" s="547"/>
      <c r="H852" s="547"/>
      <c r="I852" s="547"/>
      <c r="J852" s="547"/>
      <c r="K852" s="547"/>
      <c r="L852" s="547"/>
      <c r="M852" s="547"/>
      <c r="N852" s="547"/>
      <c r="O852" s="547"/>
    </row>
    <row r="853" spans="2:15">
      <c r="B853" s="579"/>
      <c r="C853" s="547"/>
      <c r="D853" s="547"/>
      <c r="E853" s="547">
        <v>5</v>
      </c>
      <c r="F853" s="547"/>
      <c r="G853" s="547"/>
      <c r="H853" s="547"/>
      <c r="I853" s="547"/>
      <c r="J853" s="547"/>
      <c r="K853" s="547"/>
      <c r="L853" s="547"/>
      <c r="M853" s="547"/>
      <c r="N853" s="547"/>
      <c r="O853" s="547"/>
    </row>
    <row r="854" spans="2:15">
      <c r="B854" s="579"/>
      <c r="C854" s="547"/>
      <c r="D854" s="547"/>
      <c r="E854" s="547">
        <v>6</v>
      </c>
      <c r="F854" s="547"/>
      <c r="G854" s="547"/>
      <c r="H854" s="547"/>
      <c r="I854" s="547"/>
      <c r="J854" s="547"/>
      <c r="K854" s="547"/>
      <c r="L854" s="547"/>
      <c r="M854" s="547"/>
      <c r="N854" s="547"/>
      <c r="O854" s="547"/>
    </row>
    <row r="855" spans="2:15">
      <c r="B855" s="579"/>
      <c r="C855" s="547"/>
      <c r="D855" s="547"/>
      <c r="E855" s="547">
        <v>7</v>
      </c>
      <c r="F855" s="547"/>
      <c r="G855" s="547"/>
      <c r="H855" s="547"/>
      <c r="I855" s="547"/>
      <c r="J855" s="547"/>
      <c r="K855" s="547"/>
      <c r="L855" s="547"/>
      <c r="M855" s="547"/>
      <c r="N855" s="547"/>
      <c r="O855" s="547"/>
    </row>
    <row r="856" spans="2:15">
      <c r="B856" s="579"/>
      <c r="C856" s="547"/>
      <c r="D856" s="547"/>
      <c r="E856" s="547">
        <v>8</v>
      </c>
      <c r="F856" s="547"/>
      <c r="G856" s="547"/>
      <c r="H856" s="547"/>
      <c r="I856" s="547"/>
      <c r="J856" s="547"/>
      <c r="K856" s="547"/>
      <c r="L856" s="547"/>
      <c r="M856" s="547"/>
      <c r="N856" s="547"/>
      <c r="O856" s="547"/>
    </row>
    <row r="857" spans="2:15">
      <c r="B857" s="579"/>
      <c r="C857" s="547"/>
      <c r="D857" s="547"/>
      <c r="E857" s="547">
        <v>9</v>
      </c>
      <c r="F857" s="547"/>
      <c r="G857" s="547"/>
      <c r="H857" s="547"/>
      <c r="I857" s="547"/>
      <c r="J857" s="547"/>
      <c r="K857" s="547"/>
      <c r="L857" s="547"/>
      <c r="M857" s="547"/>
      <c r="N857" s="547"/>
      <c r="O857" s="547"/>
    </row>
    <row r="858" spans="2:15">
      <c r="B858" s="579"/>
      <c r="C858" s="569"/>
      <c r="D858" s="569"/>
      <c r="E858" s="569">
        <v>10</v>
      </c>
      <c r="F858" s="569"/>
      <c r="G858" s="569"/>
      <c r="H858" s="569"/>
      <c r="I858" s="569"/>
      <c r="J858" s="569"/>
      <c r="K858" s="569"/>
      <c r="L858" s="569"/>
      <c r="M858" s="569"/>
      <c r="N858" s="569"/>
      <c r="O858" s="569"/>
    </row>
    <row r="859" spans="2:15">
      <c r="B859" s="579"/>
      <c r="C859" s="549" t="s">
        <v>3243</v>
      </c>
      <c r="D859" s="549" t="s">
        <v>3244</v>
      </c>
      <c r="E859" s="557">
        <v>1</v>
      </c>
      <c r="F859" s="549"/>
      <c r="G859" s="549"/>
      <c r="H859" s="549"/>
      <c r="I859" s="549"/>
      <c r="J859" s="549"/>
      <c r="K859" s="549"/>
      <c r="L859" s="549"/>
      <c r="M859" s="549"/>
      <c r="N859" s="549"/>
      <c r="O859" s="549"/>
    </row>
    <row r="860" spans="2:15">
      <c r="B860" s="579"/>
      <c r="C860" s="547"/>
      <c r="D860" s="547"/>
      <c r="E860" s="547">
        <v>2</v>
      </c>
      <c r="F860" s="547"/>
      <c r="G860" s="547"/>
      <c r="H860" s="547"/>
      <c r="I860" s="547"/>
      <c r="J860" s="547"/>
      <c r="K860" s="547"/>
      <c r="L860" s="547"/>
      <c r="M860" s="547"/>
      <c r="N860" s="547"/>
      <c r="O860" s="547"/>
    </row>
    <row r="861" spans="2:15">
      <c r="B861" s="579"/>
      <c r="C861" s="547"/>
      <c r="D861" s="547"/>
      <c r="E861" s="547">
        <v>3</v>
      </c>
      <c r="F861" s="547"/>
      <c r="G861" s="547"/>
      <c r="H861" s="547"/>
      <c r="I861" s="547"/>
      <c r="J861" s="547"/>
      <c r="K861" s="547"/>
      <c r="L861" s="547"/>
      <c r="M861" s="547"/>
      <c r="N861" s="547"/>
      <c r="O861" s="547"/>
    </row>
    <row r="862" spans="2:15">
      <c r="B862" s="579"/>
      <c r="C862" s="547"/>
      <c r="D862" s="547"/>
      <c r="E862" s="547">
        <v>4</v>
      </c>
      <c r="F862" s="547"/>
      <c r="G862" s="547"/>
      <c r="H862" s="547"/>
      <c r="I862" s="547"/>
      <c r="J862" s="547"/>
      <c r="K862" s="547"/>
      <c r="L862" s="547"/>
      <c r="M862" s="547"/>
      <c r="N862" s="547"/>
      <c r="O862" s="547"/>
    </row>
    <row r="863" spans="2:15">
      <c r="B863" s="579"/>
      <c r="C863" s="547"/>
      <c r="D863" s="547"/>
      <c r="E863" s="547">
        <v>5</v>
      </c>
      <c r="F863" s="547"/>
      <c r="G863" s="547"/>
      <c r="H863" s="547"/>
      <c r="I863" s="547"/>
      <c r="J863" s="547"/>
      <c r="K863" s="547"/>
      <c r="L863" s="547"/>
      <c r="M863" s="547"/>
      <c r="N863" s="547"/>
      <c r="O863" s="547"/>
    </row>
    <row r="864" spans="2:15">
      <c r="B864" s="579"/>
      <c r="C864" s="547"/>
      <c r="D864" s="547"/>
      <c r="E864" s="547">
        <v>6</v>
      </c>
      <c r="F864" s="547"/>
      <c r="G864" s="547"/>
      <c r="H864" s="547"/>
      <c r="I864" s="547"/>
      <c r="J864" s="547"/>
      <c r="K864" s="547"/>
      <c r="L864" s="547"/>
      <c r="M864" s="547"/>
      <c r="N864" s="547"/>
      <c r="O864" s="547"/>
    </row>
    <row r="865" spans="2:15">
      <c r="B865" s="579"/>
      <c r="C865" s="547"/>
      <c r="D865" s="547"/>
      <c r="E865" s="547">
        <v>7</v>
      </c>
      <c r="F865" s="547"/>
      <c r="G865" s="547"/>
      <c r="H865" s="547"/>
      <c r="I865" s="547"/>
      <c r="J865" s="547"/>
      <c r="K865" s="547"/>
      <c r="L865" s="547"/>
      <c r="M865" s="547"/>
      <c r="N865" s="547"/>
      <c r="O865" s="547"/>
    </row>
    <row r="866" spans="2:15">
      <c r="B866" s="579"/>
      <c r="C866" s="547"/>
      <c r="D866" s="547"/>
      <c r="E866" s="547">
        <v>8</v>
      </c>
      <c r="F866" s="547"/>
      <c r="G866" s="547"/>
      <c r="H866" s="547"/>
      <c r="I866" s="547"/>
      <c r="J866" s="547"/>
      <c r="K866" s="547"/>
      <c r="L866" s="547"/>
      <c r="M866" s="547"/>
      <c r="N866" s="547"/>
      <c r="O866" s="547"/>
    </row>
    <row r="867" spans="2:15">
      <c r="B867" s="579"/>
      <c r="C867" s="547"/>
      <c r="D867" s="547"/>
      <c r="E867" s="547">
        <v>9</v>
      </c>
      <c r="F867" s="547"/>
      <c r="G867" s="547"/>
      <c r="H867" s="547"/>
      <c r="I867" s="547"/>
      <c r="J867" s="547"/>
      <c r="K867" s="547"/>
      <c r="L867" s="547"/>
      <c r="M867" s="547"/>
      <c r="N867" s="547"/>
      <c r="O867" s="547"/>
    </row>
    <row r="868" spans="2:15">
      <c r="B868" s="579"/>
      <c r="C868" s="569"/>
      <c r="D868" s="569"/>
      <c r="E868" s="569">
        <v>10</v>
      </c>
      <c r="F868" s="569"/>
      <c r="G868" s="569"/>
      <c r="H868" s="569"/>
      <c r="I868" s="569"/>
      <c r="J868" s="569"/>
      <c r="K868" s="569"/>
      <c r="L868" s="569"/>
      <c r="M868" s="569"/>
      <c r="N868" s="569"/>
      <c r="O868" s="569"/>
    </row>
    <row r="869" spans="2:15">
      <c r="B869" s="579"/>
      <c r="C869" s="549" t="s">
        <v>3250</v>
      </c>
      <c r="D869" s="549" t="s">
        <v>3251</v>
      </c>
      <c r="E869" s="557">
        <v>1</v>
      </c>
      <c r="F869" s="549"/>
      <c r="G869" s="549"/>
      <c r="H869" s="549"/>
      <c r="I869" s="549"/>
      <c r="J869" s="549"/>
      <c r="K869" s="549"/>
      <c r="L869" s="549"/>
      <c r="M869" s="549"/>
      <c r="N869" s="549"/>
      <c r="O869" s="549"/>
    </row>
    <row r="870" spans="2:15">
      <c r="B870" s="579"/>
      <c r="C870" s="547"/>
      <c r="D870" s="547"/>
      <c r="E870" s="547">
        <v>2</v>
      </c>
      <c r="F870" s="547"/>
      <c r="G870" s="547"/>
      <c r="H870" s="547"/>
      <c r="I870" s="547"/>
      <c r="J870" s="547"/>
      <c r="K870" s="547"/>
      <c r="L870" s="547"/>
      <c r="M870" s="547"/>
      <c r="N870" s="547"/>
      <c r="O870" s="547"/>
    </row>
    <row r="871" spans="2:15">
      <c r="B871" s="579"/>
      <c r="C871" s="547"/>
      <c r="D871" s="547"/>
      <c r="E871" s="547">
        <v>3</v>
      </c>
      <c r="F871" s="547"/>
      <c r="G871" s="547"/>
      <c r="H871" s="547"/>
      <c r="I871" s="547"/>
      <c r="J871" s="547"/>
      <c r="K871" s="547"/>
      <c r="L871" s="547"/>
      <c r="M871" s="547"/>
      <c r="N871" s="547"/>
      <c r="O871" s="547"/>
    </row>
    <row r="872" spans="2:15">
      <c r="B872" s="579"/>
      <c r="C872" s="547"/>
      <c r="D872" s="547"/>
      <c r="E872" s="547">
        <v>4</v>
      </c>
      <c r="F872" s="547"/>
      <c r="G872" s="547"/>
      <c r="H872" s="547"/>
      <c r="I872" s="547"/>
      <c r="J872" s="547"/>
      <c r="K872" s="547"/>
      <c r="L872" s="547"/>
      <c r="M872" s="547"/>
      <c r="N872" s="547"/>
      <c r="O872" s="547"/>
    </row>
    <row r="873" spans="2:15">
      <c r="B873" s="579"/>
      <c r="C873" s="547"/>
      <c r="D873" s="547"/>
      <c r="E873" s="547">
        <v>5</v>
      </c>
      <c r="F873" s="547"/>
      <c r="G873" s="547"/>
      <c r="H873" s="547"/>
      <c r="I873" s="547"/>
      <c r="J873" s="547"/>
      <c r="K873" s="547"/>
      <c r="L873" s="547"/>
      <c r="M873" s="547"/>
      <c r="N873" s="547"/>
      <c r="O873" s="547"/>
    </row>
    <row r="874" spans="2:15">
      <c r="B874" s="579"/>
      <c r="C874" s="547"/>
      <c r="D874" s="547"/>
      <c r="E874" s="547">
        <v>6</v>
      </c>
      <c r="F874" s="547"/>
      <c r="G874" s="547"/>
      <c r="H874" s="547"/>
      <c r="I874" s="547"/>
      <c r="J874" s="547"/>
      <c r="K874" s="547"/>
      <c r="L874" s="547"/>
      <c r="M874" s="547"/>
      <c r="N874" s="547"/>
      <c r="O874" s="547"/>
    </row>
    <row r="875" spans="2:15">
      <c r="B875" s="579"/>
      <c r="C875" s="547"/>
      <c r="D875" s="547"/>
      <c r="E875" s="547">
        <v>7</v>
      </c>
      <c r="F875" s="547"/>
      <c r="G875" s="547"/>
      <c r="H875" s="547"/>
      <c r="I875" s="547"/>
      <c r="J875" s="547"/>
      <c r="K875" s="547"/>
      <c r="L875" s="547"/>
      <c r="M875" s="547"/>
      <c r="N875" s="547"/>
      <c r="O875" s="547"/>
    </row>
    <row r="876" spans="2:15">
      <c r="B876" s="579"/>
      <c r="C876" s="547"/>
      <c r="D876" s="547"/>
      <c r="E876" s="547">
        <v>8</v>
      </c>
      <c r="F876" s="547"/>
      <c r="G876" s="547"/>
      <c r="H876" s="547"/>
      <c r="I876" s="547"/>
      <c r="J876" s="547"/>
      <c r="K876" s="547"/>
      <c r="L876" s="547"/>
      <c r="M876" s="547"/>
      <c r="N876" s="547"/>
      <c r="O876" s="547"/>
    </row>
    <row r="877" spans="2:15">
      <c r="B877" s="579"/>
      <c r="C877" s="547"/>
      <c r="D877" s="547"/>
      <c r="E877" s="547">
        <v>9</v>
      </c>
      <c r="F877" s="547"/>
      <c r="G877" s="547"/>
      <c r="H877" s="547"/>
      <c r="I877" s="547"/>
      <c r="J877" s="547"/>
      <c r="K877" s="547"/>
      <c r="L877" s="547"/>
      <c r="M877" s="547"/>
      <c r="N877" s="547"/>
      <c r="O877" s="547"/>
    </row>
    <row r="878" spans="2:15">
      <c r="B878" s="672"/>
      <c r="C878" s="569"/>
      <c r="D878" s="569"/>
      <c r="E878" s="569">
        <v>10</v>
      </c>
      <c r="F878" s="569"/>
      <c r="G878" s="569"/>
      <c r="H878" s="569"/>
      <c r="I878" s="569"/>
      <c r="J878" s="569"/>
      <c r="K878" s="569"/>
      <c r="L878" s="569"/>
      <c r="M878" s="569"/>
      <c r="N878" s="569"/>
      <c r="O878" s="569"/>
    </row>
    <row r="879" spans="2:15">
      <c r="B879" s="579" t="s">
        <v>3276</v>
      </c>
      <c r="C879" s="549" t="s">
        <v>3277</v>
      </c>
      <c r="D879" s="549" t="s">
        <v>3278</v>
      </c>
      <c r="E879" s="557">
        <v>1</v>
      </c>
      <c r="F879" s="549"/>
      <c r="G879" s="549"/>
      <c r="H879" s="549"/>
      <c r="I879" s="549"/>
      <c r="J879" s="549"/>
      <c r="K879" s="549"/>
      <c r="L879" s="549"/>
      <c r="M879" s="549"/>
      <c r="N879" s="549"/>
      <c r="O879" s="549"/>
    </row>
    <row r="880" spans="2:15">
      <c r="B880" s="579"/>
      <c r="C880" s="547"/>
      <c r="D880" s="547"/>
      <c r="E880" s="547">
        <v>2</v>
      </c>
      <c r="F880" s="547"/>
      <c r="G880" s="547"/>
      <c r="H880" s="547"/>
      <c r="I880" s="547"/>
      <c r="J880" s="547"/>
      <c r="K880" s="547"/>
      <c r="L880" s="547"/>
      <c r="M880" s="547"/>
      <c r="N880" s="547"/>
      <c r="O880" s="547"/>
    </row>
    <row r="881" spans="2:15">
      <c r="B881" s="579"/>
      <c r="C881" s="547"/>
      <c r="D881" s="547"/>
      <c r="E881" s="547">
        <v>3</v>
      </c>
      <c r="F881" s="547"/>
      <c r="G881" s="547"/>
      <c r="H881" s="547"/>
      <c r="I881" s="547"/>
      <c r="J881" s="547"/>
      <c r="K881" s="547"/>
      <c r="L881" s="547"/>
      <c r="M881" s="547"/>
      <c r="N881" s="547"/>
      <c r="O881" s="547"/>
    </row>
    <row r="882" spans="2:15">
      <c r="B882" s="579"/>
      <c r="C882" s="547"/>
      <c r="D882" s="547"/>
      <c r="E882" s="547">
        <v>4</v>
      </c>
      <c r="F882" s="547"/>
      <c r="G882" s="547"/>
      <c r="H882" s="547"/>
      <c r="I882" s="547"/>
      <c r="J882" s="547"/>
      <c r="K882" s="547"/>
      <c r="L882" s="547"/>
      <c r="M882" s="547"/>
      <c r="N882" s="547"/>
      <c r="O882" s="547"/>
    </row>
    <row r="883" spans="2:15">
      <c r="B883" s="579"/>
      <c r="C883" s="547"/>
      <c r="D883" s="547"/>
      <c r="E883" s="547">
        <v>5</v>
      </c>
      <c r="F883" s="547"/>
      <c r="G883" s="547"/>
      <c r="H883" s="547"/>
      <c r="I883" s="547"/>
      <c r="J883" s="547"/>
      <c r="K883" s="547"/>
      <c r="L883" s="547"/>
      <c r="M883" s="547"/>
      <c r="N883" s="547"/>
      <c r="O883" s="547"/>
    </row>
    <row r="884" spans="2:15">
      <c r="B884" s="579"/>
      <c r="C884" s="547"/>
      <c r="D884" s="547"/>
      <c r="E884" s="547">
        <v>6</v>
      </c>
      <c r="F884" s="547"/>
      <c r="G884" s="547"/>
      <c r="H884" s="547"/>
      <c r="I884" s="547"/>
      <c r="J884" s="547"/>
      <c r="K884" s="547"/>
      <c r="L884" s="547"/>
      <c r="M884" s="547"/>
      <c r="N884" s="547"/>
      <c r="O884" s="547"/>
    </row>
    <row r="885" spans="2:15">
      <c r="B885" s="579"/>
      <c r="C885" s="547"/>
      <c r="D885" s="547"/>
      <c r="E885" s="547">
        <v>7</v>
      </c>
      <c r="F885" s="547"/>
      <c r="G885" s="547"/>
      <c r="H885" s="547"/>
      <c r="I885" s="547"/>
      <c r="J885" s="547"/>
      <c r="K885" s="547"/>
      <c r="L885" s="547"/>
      <c r="M885" s="547"/>
      <c r="N885" s="547"/>
      <c r="O885" s="547"/>
    </row>
    <row r="886" spans="2:15">
      <c r="B886" s="579"/>
      <c r="C886" s="547"/>
      <c r="D886" s="547"/>
      <c r="E886" s="547">
        <v>8</v>
      </c>
      <c r="F886" s="547"/>
      <c r="G886" s="547"/>
      <c r="H886" s="547"/>
      <c r="I886" s="547"/>
      <c r="J886" s="547"/>
      <c r="K886" s="547"/>
      <c r="L886" s="547"/>
      <c r="M886" s="547"/>
      <c r="N886" s="547"/>
      <c r="O886" s="547"/>
    </row>
    <row r="887" spans="2:15">
      <c r="B887" s="579"/>
      <c r="C887" s="547"/>
      <c r="D887" s="547"/>
      <c r="E887" s="547">
        <v>9</v>
      </c>
      <c r="F887" s="547"/>
      <c r="G887" s="547"/>
      <c r="H887" s="547"/>
      <c r="I887" s="547"/>
      <c r="J887" s="547"/>
      <c r="K887" s="547"/>
      <c r="L887" s="547"/>
      <c r="M887" s="547"/>
      <c r="N887" s="547"/>
      <c r="O887" s="547"/>
    </row>
    <row r="888" spans="2:15">
      <c r="B888" s="579"/>
      <c r="C888" s="569"/>
      <c r="D888" s="569"/>
      <c r="E888" s="569">
        <v>10</v>
      </c>
      <c r="F888" s="569"/>
      <c r="G888" s="569"/>
      <c r="H888" s="569"/>
      <c r="I888" s="569"/>
      <c r="J888" s="569"/>
      <c r="K888" s="569"/>
      <c r="L888" s="569"/>
      <c r="M888" s="569"/>
      <c r="N888" s="569"/>
      <c r="O888" s="569"/>
    </row>
    <row r="889" spans="2:15">
      <c r="B889" s="579"/>
      <c r="C889" s="549" t="s">
        <v>3291</v>
      </c>
      <c r="D889" s="549" t="s">
        <v>3292</v>
      </c>
      <c r="E889" s="557">
        <v>1</v>
      </c>
      <c r="F889" s="549"/>
      <c r="G889" s="549"/>
      <c r="H889" s="549"/>
      <c r="I889" s="549"/>
      <c r="J889" s="549"/>
      <c r="K889" s="549"/>
      <c r="L889" s="549"/>
      <c r="M889" s="549"/>
      <c r="N889" s="549"/>
      <c r="O889" s="549"/>
    </row>
    <row r="890" spans="2:15">
      <c r="B890" s="579"/>
      <c r="C890" s="547"/>
      <c r="D890" s="547"/>
      <c r="E890" s="547">
        <v>2</v>
      </c>
      <c r="F890" s="547"/>
      <c r="G890" s="547"/>
      <c r="H890" s="547"/>
      <c r="I890" s="547"/>
      <c r="J890" s="547"/>
      <c r="K890" s="547"/>
      <c r="L890" s="547"/>
      <c r="M890" s="547"/>
      <c r="N890" s="547"/>
      <c r="O890" s="547"/>
    </row>
    <row r="891" spans="2:15">
      <c r="B891" s="579"/>
      <c r="C891" s="547"/>
      <c r="D891" s="547"/>
      <c r="E891" s="547">
        <v>3</v>
      </c>
      <c r="F891" s="547"/>
      <c r="G891" s="547"/>
      <c r="H891" s="547"/>
      <c r="I891" s="547"/>
      <c r="J891" s="547"/>
      <c r="K891" s="547"/>
      <c r="L891" s="547"/>
      <c r="M891" s="547"/>
      <c r="N891" s="547"/>
      <c r="O891" s="547"/>
    </row>
    <row r="892" spans="2:15">
      <c r="B892" s="579"/>
      <c r="C892" s="547"/>
      <c r="D892" s="547"/>
      <c r="E892" s="547">
        <v>4</v>
      </c>
      <c r="F892" s="547"/>
      <c r="G892" s="547"/>
      <c r="H892" s="547"/>
      <c r="I892" s="547"/>
      <c r="J892" s="547"/>
      <c r="K892" s="547"/>
      <c r="L892" s="547"/>
      <c r="M892" s="547"/>
      <c r="N892" s="547"/>
      <c r="O892" s="547"/>
    </row>
    <row r="893" spans="2:15">
      <c r="B893" s="579"/>
      <c r="C893" s="547"/>
      <c r="D893" s="547"/>
      <c r="E893" s="547">
        <v>5</v>
      </c>
      <c r="F893" s="547"/>
      <c r="G893" s="547"/>
      <c r="H893" s="547"/>
      <c r="I893" s="547"/>
      <c r="J893" s="547"/>
      <c r="K893" s="547"/>
      <c r="L893" s="547"/>
      <c r="M893" s="547"/>
      <c r="N893" s="547"/>
      <c r="O893" s="547"/>
    </row>
    <row r="894" spans="2:15">
      <c r="B894" s="579"/>
      <c r="C894" s="547"/>
      <c r="D894" s="547"/>
      <c r="E894" s="547">
        <v>6</v>
      </c>
      <c r="F894" s="547"/>
      <c r="G894" s="547"/>
      <c r="H894" s="547"/>
      <c r="I894" s="547"/>
      <c r="J894" s="547"/>
      <c r="K894" s="547"/>
      <c r="L894" s="547"/>
      <c r="M894" s="547"/>
      <c r="N894" s="547"/>
      <c r="O894" s="547"/>
    </row>
    <row r="895" spans="2:15">
      <c r="B895" s="579"/>
      <c r="C895" s="547"/>
      <c r="D895" s="547"/>
      <c r="E895" s="547">
        <v>7</v>
      </c>
      <c r="F895" s="547"/>
      <c r="G895" s="547"/>
      <c r="H895" s="547"/>
      <c r="I895" s="547"/>
      <c r="J895" s="547"/>
      <c r="K895" s="547"/>
      <c r="L895" s="547"/>
      <c r="M895" s="547"/>
      <c r="N895" s="547"/>
      <c r="O895" s="547"/>
    </row>
    <row r="896" spans="2:15">
      <c r="B896" s="579"/>
      <c r="C896" s="547"/>
      <c r="D896" s="547"/>
      <c r="E896" s="547">
        <v>8</v>
      </c>
      <c r="F896" s="547"/>
      <c r="G896" s="547"/>
      <c r="H896" s="547"/>
      <c r="I896" s="547"/>
      <c r="J896" s="547"/>
      <c r="K896" s="547"/>
      <c r="L896" s="547"/>
      <c r="M896" s="547"/>
      <c r="N896" s="547"/>
      <c r="O896" s="547"/>
    </row>
    <row r="897" spans="2:15">
      <c r="B897" s="579"/>
      <c r="C897" s="547"/>
      <c r="D897" s="547"/>
      <c r="E897" s="547">
        <v>9</v>
      </c>
      <c r="F897" s="547"/>
      <c r="G897" s="547"/>
      <c r="H897" s="547"/>
      <c r="I897" s="547"/>
      <c r="J897" s="547"/>
      <c r="K897" s="547"/>
      <c r="L897" s="547"/>
      <c r="M897" s="547"/>
      <c r="N897" s="547"/>
      <c r="O897" s="547"/>
    </row>
    <row r="898" spans="2:15">
      <c r="B898" s="579"/>
      <c r="C898" s="569"/>
      <c r="D898" s="569"/>
      <c r="E898" s="569">
        <v>10</v>
      </c>
      <c r="F898" s="569"/>
      <c r="G898" s="569"/>
      <c r="H898" s="569"/>
      <c r="I898" s="569"/>
      <c r="J898" s="569"/>
      <c r="K898" s="569"/>
      <c r="L898" s="569"/>
      <c r="M898" s="569"/>
      <c r="N898" s="569"/>
      <c r="O898" s="569"/>
    </row>
    <row r="899" spans="2:15">
      <c r="B899" s="579"/>
      <c r="C899" s="549" t="s">
        <v>3293</v>
      </c>
      <c r="D899" s="549" t="s">
        <v>3294</v>
      </c>
      <c r="E899" s="549">
        <v>1</v>
      </c>
      <c r="F899" s="549"/>
      <c r="G899" s="549"/>
      <c r="H899" s="549"/>
      <c r="I899" s="549"/>
      <c r="J899" s="549"/>
      <c r="K899" s="549"/>
      <c r="L899" s="549"/>
      <c r="M899" s="549"/>
      <c r="N899" s="549"/>
      <c r="O899" s="549"/>
    </row>
    <row r="900" spans="2:15">
      <c r="B900" s="579"/>
      <c r="C900" s="547"/>
      <c r="D900" s="547"/>
      <c r="E900" s="547">
        <v>2</v>
      </c>
      <c r="F900" s="547"/>
      <c r="G900" s="547"/>
      <c r="H900" s="547"/>
      <c r="I900" s="547"/>
      <c r="J900" s="547"/>
      <c r="K900" s="547"/>
      <c r="L900" s="547"/>
      <c r="M900" s="547"/>
      <c r="N900" s="547"/>
      <c r="O900" s="547"/>
    </row>
    <row r="901" spans="2:15">
      <c r="B901" s="579"/>
      <c r="C901" s="547"/>
      <c r="D901" s="547"/>
      <c r="E901" s="547">
        <v>3</v>
      </c>
      <c r="F901" s="547"/>
      <c r="G901" s="547"/>
      <c r="H901" s="547"/>
      <c r="I901" s="547"/>
      <c r="J901" s="547"/>
      <c r="K901" s="547"/>
      <c r="L901" s="547"/>
      <c r="M901" s="547"/>
      <c r="N901" s="547"/>
      <c r="O901" s="547"/>
    </row>
    <row r="902" spans="2:15">
      <c r="B902" s="579"/>
      <c r="C902" s="547"/>
      <c r="D902" s="547"/>
      <c r="E902" s="547">
        <v>4</v>
      </c>
      <c r="F902" s="547"/>
      <c r="G902" s="547"/>
      <c r="H902" s="547"/>
      <c r="I902" s="547"/>
      <c r="J902" s="547"/>
      <c r="K902" s="547"/>
      <c r="L902" s="547"/>
      <c r="M902" s="547"/>
      <c r="N902" s="547"/>
      <c r="O902" s="547"/>
    </row>
    <row r="903" spans="2:15">
      <c r="B903" s="579"/>
      <c r="C903" s="547"/>
      <c r="D903" s="547"/>
      <c r="E903" s="547">
        <v>5</v>
      </c>
      <c r="F903" s="547"/>
      <c r="G903" s="547"/>
      <c r="H903" s="547"/>
      <c r="I903" s="547"/>
      <c r="J903" s="547"/>
      <c r="K903" s="547"/>
      <c r="L903" s="547"/>
      <c r="M903" s="547"/>
      <c r="N903" s="547"/>
      <c r="O903" s="547"/>
    </row>
    <row r="904" spans="2:15">
      <c r="B904" s="579"/>
      <c r="C904" s="547"/>
      <c r="D904" s="547"/>
      <c r="E904" s="547">
        <v>6</v>
      </c>
      <c r="F904" s="547"/>
      <c r="G904" s="547"/>
      <c r="H904" s="547"/>
      <c r="I904" s="547"/>
      <c r="J904" s="547"/>
      <c r="K904" s="547"/>
      <c r="L904" s="547"/>
      <c r="M904" s="547"/>
      <c r="N904" s="547"/>
      <c r="O904" s="547"/>
    </row>
    <row r="905" spans="2:15">
      <c r="B905" s="579"/>
      <c r="C905" s="547"/>
      <c r="D905" s="547"/>
      <c r="E905" s="547">
        <v>7</v>
      </c>
      <c r="F905" s="547"/>
      <c r="G905" s="547"/>
      <c r="H905" s="547"/>
      <c r="I905" s="547"/>
      <c r="J905" s="547"/>
      <c r="K905" s="547"/>
      <c r="L905" s="547"/>
      <c r="M905" s="547"/>
      <c r="N905" s="547"/>
      <c r="O905" s="547"/>
    </row>
    <row r="906" spans="2:15">
      <c r="B906" s="579"/>
      <c r="C906" s="547"/>
      <c r="D906" s="547"/>
      <c r="E906" s="547">
        <v>8</v>
      </c>
      <c r="F906" s="547"/>
      <c r="G906" s="547"/>
      <c r="H906" s="547"/>
      <c r="I906" s="547"/>
      <c r="J906" s="547"/>
      <c r="K906" s="547"/>
      <c r="L906" s="547"/>
      <c r="M906" s="547"/>
      <c r="N906" s="547"/>
      <c r="O906" s="547"/>
    </row>
    <row r="907" spans="2:15">
      <c r="B907" s="579"/>
      <c r="C907" s="547"/>
      <c r="D907" s="547"/>
      <c r="E907" s="547">
        <v>9</v>
      </c>
      <c r="F907" s="547"/>
      <c r="G907" s="547"/>
      <c r="H907" s="547"/>
      <c r="I907" s="547"/>
      <c r="J907" s="547"/>
      <c r="K907" s="547"/>
      <c r="L907" s="547"/>
      <c r="M907" s="547"/>
      <c r="N907" s="547"/>
      <c r="O907" s="547"/>
    </row>
    <row r="908" spans="2:15">
      <c r="B908" s="672"/>
      <c r="C908" s="569"/>
      <c r="D908" s="569"/>
      <c r="E908" s="569">
        <v>10</v>
      </c>
      <c r="F908" s="569"/>
      <c r="G908" s="569"/>
      <c r="H908" s="569"/>
      <c r="I908" s="569"/>
      <c r="J908" s="569"/>
      <c r="K908" s="569"/>
      <c r="L908" s="569"/>
      <c r="M908" s="569"/>
      <c r="N908" s="569"/>
      <c r="O908" s="569"/>
    </row>
    <row r="909" spans="2:15">
      <c r="B909" s="579" t="s">
        <v>3300</v>
      </c>
      <c r="C909" s="549" t="s">
        <v>3301</v>
      </c>
      <c r="D909" s="549" t="s">
        <v>3302</v>
      </c>
      <c r="E909" s="549">
        <v>1</v>
      </c>
      <c r="F909" s="549"/>
      <c r="G909" s="549"/>
      <c r="H909" s="549"/>
      <c r="I909" s="549"/>
      <c r="J909" s="549"/>
      <c r="K909" s="549"/>
      <c r="L909" s="549"/>
      <c r="M909" s="549"/>
      <c r="N909" s="549"/>
      <c r="O909" s="549"/>
    </row>
    <row r="910" spans="2:15">
      <c r="B910" s="579"/>
      <c r="C910" s="547"/>
      <c r="D910" s="547"/>
      <c r="E910" s="547">
        <v>2</v>
      </c>
      <c r="F910" s="687"/>
      <c r="G910" s="547"/>
      <c r="H910" s="547"/>
      <c r="I910" s="547"/>
      <c r="J910" s="547"/>
      <c r="K910" s="547"/>
      <c r="L910" s="547"/>
      <c r="M910" s="547"/>
      <c r="N910" s="547"/>
      <c r="O910" s="547"/>
    </row>
    <row r="911" spans="2:15">
      <c r="B911" s="579"/>
      <c r="C911" s="547"/>
      <c r="D911" s="547"/>
      <c r="E911" s="547">
        <v>3</v>
      </c>
      <c r="F911" s="547"/>
      <c r="G911" s="547"/>
      <c r="H911" s="547"/>
      <c r="I911" s="547"/>
      <c r="J911" s="547"/>
      <c r="K911" s="547"/>
      <c r="L911" s="547"/>
      <c r="M911" s="547"/>
      <c r="N911" s="547"/>
      <c r="O911" s="547"/>
    </row>
    <row r="912" spans="2:15">
      <c r="B912" s="579"/>
      <c r="C912" s="547"/>
      <c r="D912" s="547"/>
      <c r="E912" s="547">
        <v>4</v>
      </c>
      <c r="F912" s="547"/>
      <c r="G912" s="547"/>
      <c r="H912" s="547"/>
      <c r="I912" s="547"/>
      <c r="J912" s="547"/>
      <c r="K912" s="547"/>
      <c r="L912" s="547"/>
      <c r="M912" s="547"/>
      <c r="N912" s="547"/>
      <c r="O912" s="547"/>
    </row>
    <row r="913" spans="2:15">
      <c r="B913" s="579"/>
      <c r="C913" s="547"/>
      <c r="D913" s="547"/>
      <c r="E913" s="547">
        <v>5</v>
      </c>
      <c r="F913" s="547"/>
      <c r="G913" s="547"/>
      <c r="H913" s="547"/>
      <c r="I913" s="547"/>
      <c r="J913" s="547"/>
      <c r="K913" s="547"/>
      <c r="L913" s="547"/>
      <c r="M913" s="547"/>
      <c r="N913" s="547"/>
      <c r="O913" s="547"/>
    </row>
    <row r="914" spans="2:15">
      <c r="B914" s="579"/>
      <c r="C914" s="547"/>
      <c r="D914" s="547"/>
      <c r="E914" s="547">
        <v>6</v>
      </c>
      <c r="F914" s="547"/>
      <c r="G914" s="547"/>
      <c r="H914" s="547"/>
      <c r="I914" s="547"/>
      <c r="J914" s="547"/>
      <c r="K914" s="547"/>
      <c r="L914" s="547"/>
      <c r="M914" s="547"/>
      <c r="N914" s="547"/>
      <c r="O914" s="547"/>
    </row>
    <row r="915" spans="2:15">
      <c r="B915" s="579"/>
      <c r="C915" s="547"/>
      <c r="D915" s="547"/>
      <c r="E915" s="547">
        <v>7</v>
      </c>
      <c r="F915" s="547"/>
      <c r="G915" s="547"/>
      <c r="H915" s="547"/>
      <c r="I915" s="547"/>
      <c r="J915" s="547"/>
      <c r="K915" s="547"/>
      <c r="L915" s="547"/>
      <c r="M915" s="547"/>
      <c r="N915" s="547"/>
      <c r="O915" s="547"/>
    </row>
    <row r="916" spans="2:15">
      <c r="B916" s="579"/>
      <c r="C916" s="547"/>
      <c r="D916" s="547"/>
      <c r="E916" s="547">
        <v>8</v>
      </c>
      <c r="F916" s="547"/>
      <c r="G916" s="547"/>
      <c r="H916" s="547"/>
      <c r="I916" s="547"/>
      <c r="J916" s="547"/>
      <c r="K916" s="547"/>
      <c r="L916" s="547"/>
      <c r="M916" s="547"/>
      <c r="N916" s="547"/>
      <c r="O916" s="547"/>
    </row>
    <row r="917" spans="2:15">
      <c r="B917" s="579"/>
      <c r="C917" s="547"/>
      <c r="D917" s="547"/>
      <c r="E917" s="547">
        <v>9</v>
      </c>
      <c r="F917" s="547"/>
      <c r="G917" s="547"/>
      <c r="H917" s="547"/>
      <c r="I917" s="547"/>
      <c r="J917" s="547"/>
      <c r="K917" s="547"/>
      <c r="L917" s="547"/>
      <c r="M917" s="547"/>
      <c r="N917" s="547"/>
      <c r="O917" s="547"/>
    </row>
    <row r="918" spans="2:15">
      <c r="B918" s="579"/>
      <c r="C918" s="569"/>
      <c r="D918" s="569"/>
      <c r="E918" s="569">
        <v>10</v>
      </c>
      <c r="F918" s="569"/>
      <c r="G918" s="569"/>
      <c r="H918" s="569"/>
      <c r="I918" s="569"/>
      <c r="J918" s="569"/>
      <c r="K918" s="569"/>
      <c r="L918" s="569"/>
      <c r="M918" s="569"/>
      <c r="N918" s="569"/>
      <c r="O918" s="569"/>
    </row>
    <row r="919" spans="2:15">
      <c r="B919" s="579"/>
      <c r="C919" s="557" t="s">
        <v>3474</v>
      </c>
      <c r="D919" s="557" t="s">
        <v>3315</v>
      </c>
      <c r="E919" s="557">
        <v>1</v>
      </c>
      <c r="F919" s="557"/>
      <c r="G919" s="557"/>
      <c r="H919" s="557"/>
      <c r="I919" s="557"/>
      <c r="J919" s="557"/>
      <c r="K919" s="557"/>
      <c r="L919" s="557"/>
      <c r="M919" s="557"/>
      <c r="N919" s="557"/>
      <c r="O919" s="557"/>
    </row>
    <row r="920" spans="2:15">
      <c r="B920" s="579"/>
      <c r="C920" s="547"/>
      <c r="D920" s="547"/>
      <c r="E920" s="547">
        <v>2</v>
      </c>
      <c r="F920" s="547"/>
      <c r="G920" s="547"/>
      <c r="H920" s="547"/>
      <c r="I920" s="547"/>
      <c r="J920" s="547"/>
      <c r="K920" s="547"/>
      <c r="L920" s="547"/>
      <c r="M920" s="547"/>
      <c r="N920" s="547"/>
      <c r="O920" s="547"/>
    </row>
    <row r="921" spans="2:15">
      <c r="B921" s="579"/>
      <c r="C921" s="547"/>
      <c r="D921" s="547"/>
      <c r="E921" s="547">
        <v>3</v>
      </c>
      <c r="F921" s="547"/>
      <c r="G921" s="547"/>
      <c r="H921" s="547"/>
      <c r="I921" s="547"/>
      <c r="J921" s="547"/>
      <c r="K921" s="547"/>
      <c r="L921" s="547"/>
      <c r="M921" s="547"/>
      <c r="N921" s="547"/>
      <c r="O921" s="547"/>
    </row>
    <row r="922" spans="2:15">
      <c r="B922" s="579"/>
      <c r="C922" s="547"/>
      <c r="D922" s="547"/>
      <c r="E922" s="547">
        <v>4</v>
      </c>
      <c r="F922" s="547"/>
      <c r="G922" s="547"/>
      <c r="H922" s="547"/>
      <c r="I922" s="547"/>
      <c r="J922" s="547"/>
      <c r="K922" s="547"/>
      <c r="L922" s="547"/>
      <c r="M922" s="547"/>
      <c r="N922" s="547"/>
      <c r="O922" s="547"/>
    </row>
    <row r="923" spans="2:15">
      <c r="B923" s="579"/>
      <c r="C923" s="547"/>
      <c r="D923" s="547"/>
      <c r="E923" s="547">
        <v>5</v>
      </c>
      <c r="F923" s="547"/>
      <c r="G923" s="547"/>
      <c r="H923" s="547"/>
      <c r="I923" s="547"/>
      <c r="J923" s="547"/>
      <c r="K923" s="547"/>
      <c r="L923" s="547"/>
      <c r="M923" s="547"/>
      <c r="N923" s="547"/>
      <c r="O923" s="547"/>
    </row>
    <row r="924" spans="2:15">
      <c r="B924" s="579"/>
      <c r="C924" s="547"/>
      <c r="D924" s="547"/>
      <c r="E924" s="547">
        <v>6</v>
      </c>
      <c r="F924" s="547"/>
      <c r="G924" s="547"/>
      <c r="H924" s="547"/>
      <c r="I924" s="547"/>
      <c r="J924" s="547"/>
      <c r="K924" s="547"/>
      <c r="L924" s="547"/>
      <c r="M924" s="547"/>
      <c r="N924" s="547"/>
      <c r="O924" s="547"/>
    </row>
    <row r="925" spans="2:15">
      <c r="B925" s="579"/>
      <c r="C925" s="547"/>
      <c r="D925" s="547"/>
      <c r="E925" s="547">
        <v>7</v>
      </c>
      <c r="F925" s="547"/>
      <c r="G925" s="547"/>
      <c r="H925" s="547"/>
      <c r="I925" s="547"/>
      <c r="J925" s="547"/>
      <c r="K925" s="547"/>
      <c r="L925" s="547"/>
      <c r="M925" s="547"/>
      <c r="N925" s="547"/>
      <c r="O925" s="547"/>
    </row>
    <row r="926" spans="2:15">
      <c r="B926" s="579"/>
      <c r="C926" s="547"/>
      <c r="D926" s="547"/>
      <c r="E926" s="547">
        <v>8</v>
      </c>
      <c r="F926" s="547"/>
      <c r="G926" s="547"/>
      <c r="H926" s="547"/>
      <c r="I926" s="547"/>
      <c r="J926" s="547"/>
      <c r="K926" s="547"/>
      <c r="L926" s="547"/>
      <c r="M926" s="547"/>
      <c r="N926" s="547"/>
      <c r="O926" s="547"/>
    </row>
    <row r="927" spans="2:15">
      <c r="B927" s="579"/>
      <c r="C927" s="547"/>
      <c r="D927" s="547"/>
      <c r="E927" s="547">
        <v>9</v>
      </c>
      <c r="F927" s="547"/>
      <c r="G927" s="547"/>
      <c r="H927" s="547"/>
      <c r="I927" s="547"/>
      <c r="J927" s="547"/>
      <c r="K927" s="547"/>
      <c r="L927" s="547"/>
      <c r="M927" s="547"/>
      <c r="N927" s="547"/>
      <c r="O927" s="547"/>
    </row>
    <row r="928" spans="2:15">
      <c r="B928" s="672"/>
      <c r="C928" s="569"/>
      <c r="D928" s="569"/>
      <c r="E928" s="569">
        <v>10</v>
      </c>
      <c r="F928" s="569"/>
      <c r="G928" s="569"/>
      <c r="H928" s="569"/>
      <c r="I928" s="569"/>
      <c r="J928" s="569"/>
      <c r="K928" s="569"/>
      <c r="L928" s="569"/>
      <c r="M928" s="569"/>
      <c r="N928" s="569"/>
      <c r="O928" s="569"/>
    </row>
    <row r="929" spans="2:15">
      <c r="B929" s="575" t="s">
        <v>3324</v>
      </c>
      <c r="C929" s="557" t="s">
        <v>3325</v>
      </c>
      <c r="D929" s="557" t="s">
        <v>3326</v>
      </c>
      <c r="E929" s="557">
        <v>1</v>
      </c>
      <c r="F929" s="557"/>
      <c r="G929" s="557"/>
      <c r="H929" s="557"/>
      <c r="I929" s="557"/>
      <c r="J929" s="557"/>
      <c r="K929" s="557"/>
      <c r="L929" s="557"/>
      <c r="M929" s="557"/>
      <c r="N929" s="557"/>
      <c r="O929" s="557"/>
    </row>
    <row r="930" spans="2:15">
      <c r="B930" s="579"/>
      <c r="C930" s="547"/>
      <c r="D930" s="547"/>
      <c r="E930" s="547">
        <v>2</v>
      </c>
      <c r="F930" s="547"/>
      <c r="G930" s="547"/>
      <c r="H930" s="547"/>
      <c r="I930" s="547"/>
      <c r="J930" s="547"/>
      <c r="K930" s="547"/>
      <c r="L930" s="547"/>
      <c r="M930" s="547"/>
      <c r="N930" s="547"/>
      <c r="O930" s="547"/>
    </row>
    <row r="931" spans="2:15">
      <c r="B931" s="579"/>
      <c r="C931" s="547"/>
      <c r="D931" s="547"/>
      <c r="E931" s="547">
        <v>3</v>
      </c>
      <c r="F931" s="547"/>
      <c r="G931" s="547"/>
      <c r="H931" s="547"/>
      <c r="I931" s="547"/>
      <c r="J931" s="547"/>
      <c r="K931" s="547"/>
      <c r="L931" s="547"/>
      <c r="M931" s="547"/>
      <c r="N931" s="547"/>
      <c r="O931" s="547"/>
    </row>
    <row r="932" spans="2:15">
      <c r="B932" s="579"/>
      <c r="C932" s="547"/>
      <c r="D932" s="547"/>
      <c r="E932" s="547">
        <v>4</v>
      </c>
      <c r="F932" s="547"/>
      <c r="G932" s="547"/>
      <c r="H932" s="547"/>
      <c r="I932" s="547"/>
      <c r="J932" s="547"/>
      <c r="K932" s="547"/>
      <c r="L932" s="547"/>
      <c r="M932" s="547"/>
      <c r="N932" s="547"/>
      <c r="O932" s="547"/>
    </row>
    <row r="933" spans="2:15">
      <c r="B933" s="579"/>
      <c r="C933" s="547"/>
      <c r="D933" s="547"/>
      <c r="E933" s="547">
        <v>5</v>
      </c>
      <c r="F933" s="547"/>
      <c r="G933" s="547"/>
      <c r="H933" s="547"/>
      <c r="I933" s="547"/>
      <c r="J933" s="547"/>
      <c r="K933" s="547"/>
      <c r="L933" s="547"/>
      <c r="M933" s="547"/>
      <c r="N933" s="547"/>
      <c r="O933" s="547"/>
    </row>
    <row r="934" spans="2:15">
      <c r="B934" s="579"/>
      <c r="C934" s="547"/>
      <c r="D934" s="547"/>
      <c r="E934" s="547">
        <v>6</v>
      </c>
      <c r="F934" s="547"/>
      <c r="G934" s="547"/>
      <c r="H934" s="547"/>
      <c r="I934" s="547"/>
      <c r="J934" s="547"/>
      <c r="K934" s="547"/>
      <c r="L934" s="547"/>
      <c r="M934" s="547"/>
      <c r="N934" s="547"/>
      <c r="O934" s="547"/>
    </row>
    <row r="935" spans="2:15">
      <c r="B935" s="579"/>
      <c r="C935" s="547"/>
      <c r="D935" s="547"/>
      <c r="E935" s="547">
        <v>7</v>
      </c>
      <c r="F935" s="547"/>
      <c r="G935" s="547"/>
      <c r="H935" s="547"/>
      <c r="I935" s="547"/>
      <c r="J935" s="547"/>
      <c r="K935" s="547"/>
      <c r="L935" s="547"/>
      <c r="M935" s="547"/>
      <c r="N935" s="547"/>
      <c r="O935" s="547"/>
    </row>
    <row r="936" spans="2:15">
      <c r="B936" s="579"/>
      <c r="C936" s="547"/>
      <c r="D936" s="547"/>
      <c r="E936" s="547">
        <v>8</v>
      </c>
      <c r="F936" s="547"/>
      <c r="G936" s="547"/>
      <c r="H936" s="547"/>
      <c r="I936" s="547"/>
      <c r="J936" s="547"/>
      <c r="K936" s="547"/>
      <c r="L936" s="547"/>
      <c r="M936" s="547"/>
      <c r="N936" s="547"/>
      <c r="O936" s="547"/>
    </row>
    <row r="937" spans="2:15">
      <c r="B937" s="579"/>
      <c r="C937" s="547"/>
      <c r="D937" s="547"/>
      <c r="E937" s="547">
        <v>9</v>
      </c>
      <c r="F937" s="547"/>
      <c r="G937" s="547"/>
      <c r="H937" s="547"/>
      <c r="I937" s="547"/>
      <c r="J937" s="547"/>
      <c r="K937" s="547"/>
      <c r="L937" s="547"/>
      <c r="M937" s="547"/>
      <c r="N937" s="547"/>
      <c r="O937" s="547"/>
    </row>
    <row r="938" spans="2:15">
      <c r="B938" s="672"/>
      <c r="C938" s="569"/>
      <c r="D938" s="569"/>
      <c r="E938" s="569">
        <v>10</v>
      </c>
      <c r="F938" s="569"/>
      <c r="G938" s="569"/>
      <c r="H938" s="569"/>
      <c r="I938" s="569"/>
      <c r="J938" s="569"/>
      <c r="K938" s="569"/>
      <c r="L938" s="569"/>
      <c r="M938" s="569"/>
      <c r="N938" s="569"/>
      <c r="O938" s="569"/>
    </row>
    <row r="939" spans="2:15">
      <c r="B939" s="579" t="s">
        <v>3349</v>
      </c>
      <c r="C939" s="557" t="s">
        <v>3350</v>
      </c>
      <c r="D939" s="557" t="s">
        <v>3351</v>
      </c>
      <c r="E939" s="557">
        <v>1</v>
      </c>
      <c r="F939" s="557"/>
      <c r="G939" s="557"/>
      <c r="H939" s="557"/>
      <c r="I939" s="557"/>
      <c r="J939" s="557"/>
      <c r="K939" s="557"/>
      <c r="L939" s="557"/>
      <c r="M939" s="557"/>
      <c r="N939" s="557"/>
      <c r="O939" s="557"/>
    </row>
    <row r="940" spans="2:15">
      <c r="B940" s="579"/>
      <c r="C940" s="547"/>
      <c r="D940" s="547"/>
      <c r="E940" s="547">
        <v>2</v>
      </c>
      <c r="F940" s="547"/>
      <c r="G940" s="547"/>
      <c r="H940" s="547"/>
      <c r="I940" s="547"/>
      <c r="J940" s="547"/>
      <c r="K940" s="547"/>
      <c r="L940" s="547"/>
      <c r="M940" s="547"/>
      <c r="N940" s="547"/>
      <c r="O940" s="547"/>
    </row>
    <row r="941" spans="2:15">
      <c r="B941" s="579"/>
      <c r="C941" s="547"/>
      <c r="D941" s="547"/>
      <c r="E941" s="547">
        <v>3</v>
      </c>
      <c r="F941" s="547"/>
      <c r="G941" s="547"/>
      <c r="H941" s="547"/>
      <c r="I941" s="547"/>
      <c r="J941" s="547"/>
      <c r="K941" s="547"/>
      <c r="L941" s="547"/>
      <c r="M941" s="547"/>
      <c r="N941" s="547"/>
      <c r="O941" s="547"/>
    </row>
    <row r="942" spans="2:15">
      <c r="B942" s="579"/>
      <c r="C942" s="547"/>
      <c r="D942" s="547"/>
      <c r="E942" s="547">
        <v>4</v>
      </c>
      <c r="F942" s="547"/>
      <c r="G942" s="547"/>
      <c r="H942" s="547"/>
      <c r="I942" s="547"/>
      <c r="J942" s="547"/>
      <c r="K942" s="547"/>
      <c r="L942" s="547"/>
      <c r="M942" s="547"/>
      <c r="N942" s="547"/>
      <c r="O942" s="547"/>
    </row>
    <row r="943" spans="2:15">
      <c r="B943" s="579"/>
      <c r="C943" s="547"/>
      <c r="D943" s="547"/>
      <c r="E943" s="547">
        <v>5</v>
      </c>
      <c r="F943" s="547"/>
      <c r="G943" s="547"/>
      <c r="H943" s="547"/>
      <c r="I943" s="547"/>
      <c r="J943" s="547"/>
      <c r="K943" s="547"/>
      <c r="L943" s="547"/>
      <c r="M943" s="547"/>
      <c r="N943" s="547"/>
      <c r="O943" s="547"/>
    </row>
    <row r="944" spans="2:15">
      <c r="B944" s="579"/>
      <c r="C944" s="547"/>
      <c r="D944" s="547"/>
      <c r="E944" s="547">
        <v>6</v>
      </c>
      <c r="F944" s="547"/>
      <c r="G944" s="547"/>
      <c r="H944" s="547"/>
      <c r="I944" s="547"/>
      <c r="J944" s="547"/>
      <c r="K944" s="547"/>
      <c r="L944" s="547"/>
      <c r="M944" s="547"/>
      <c r="N944" s="547"/>
      <c r="O944" s="547"/>
    </row>
    <row r="945" spans="2:15">
      <c r="B945" s="579"/>
      <c r="C945" s="547"/>
      <c r="D945" s="547"/>
      <c r="E945" s="547">
        <v>7</v>
      </c>
      <c r="F945" s="547"/>
      <c r="G945" s="547"/>
      <c r="H945" s="547"/>
      <c r="I945" s="547"/>
      <c r="J945" s="547"/>
      <c r="K945" s="547"/>
      <c r="L945" s="547"/>
      <c r="M945" s="547"/>
      <c r="N945" s="547"/>
      <c r="O945" s="547"/>
    </row>
    <row r="946" spans="2:15">
      <c r="B946" s="579"/>
      <c r="C946" s="547"/>
      <c r="D946" s="547"/>
      <c r="E946" s="547">
        <v>8</v>
      </c>
      <c r="F946" s="547"/>
      <c r="G946" s="547"/>
      <c r="H946" s="547"/>
      <c r="I946" s="547"/>
      <c r="J946" s="547"/>
      <c r="K946" s="547"/>
      <c r="L946" s="547"/>
      <c r="M946" s="547"/>
      <c r="N946" s="547"/>
      <c r="O946" s="547"/>
    </row>
    <row r="947" spans="2:15">
      <c r="B947" s="579"/>
      <c r="C947" s="547"/>
      <c r="D947" s="547"/>
      <c r="E947" s="547">
        <v>9</v>
      </c>
      <c r="F947" s="547"/>
      <c r="G947" s="547"/>
      <c r="H947" s="547"/>
      <c r="I947" s="547"/>
      <c r="J947" s="547"/>
      <c r="K947" s="547"/>
      <c r="L947" s="547"/>
      <c r="M947" s="547"/>
      <c r="N947" s="547"/>
      <c r="O947" s="547"/>
    </row>
    <row r="948" spans="2:15">
      <c r="B948" s="579"/>
      <c r="C948" s="569"/>
      <c r="D948" s="569"/>
      <c r="E948" s="569">
        <v>10</v>
      </c>
      <c r="F948" s="569"/>
      <c r="G948" s="569"/>
      <c r="H948" s="569"/>
      <c r="I948" s="569"/>
      <c r="J948" s="569"/>
      <c r="K948" s="569"/>
      <c r="L948" s="569"/>
      <c r="M948" s="569"/>
      <c r="N948" s="569"/>
      <c r="O948" s="569"/>
    </row>
    <row r="949" spans="2:15">
      <c r="B949" s="579"/>
      <c r="C949" s="557" t="s">
        <v>3371</v>
      </c>
      <c r="D949" s="557" t="s">
        <v>3294</v>
      </c>
      <c r="E949" s="557">
        <v>1</v>
      </c>
      <c r="F949" s="557"/>
      <c r="G949" s="557"/>
      <c r="H949" s="557"/>
      <c r="I949" s="557"/>
      <c r="J949" s="557"/>
      <c r="K949" s="557"/>
      <c r="L949" s="557"/>
      <c r="M949" s="557"/>
      <c r="N949" s="557"/>
      <c r="O949" s="557"/>
    </row>
    <row r="950" spans="2:15">
      <c r="B950" s="579"/>
      <c r="C950" s="547"/>
      <c r="D950" s="547"/>
      <c r="E950" s="547">
        <v>2</v>
      </c>
      <c r="F950" s="547"/>
      <c r="G950" s="547"/>
      <c r="H950" s="547"/>
      <c r="I950" s="547"/>
      <c r="J950" s="547"/>
      <c r="K950" s="547"/>
      <c r="L950" s="547"/>
      <c r="M950" s="547"/>
      <c r="N950" s="547"/>
      <c r="O950" s="547"/>
    </row>
    <row r="951" spans="2:15">
      <c r="B951" s="579"/>
      <c r="C951" s="547"/>
      <c r="D951" s="547"/>
      <c r="E951" s="547">
        <v>3</v>
      </c>
      <c r="F951" s="547"/>
      <c r="G951" s="547"/>
      <c r="H951" s="547"/>
      <c r="I951" s="547"/>
      <c r="J951" s="547"/>
      <c r="K951" s="547"/>
      <c r="L951" s="547"/>
      <c r="M951" s="547"/>
      <c r="N951" s="547"/>
      <c r="O951" s="547"/>
    </row>
    <row r="952" spans="2:15">
      <c r="B952" s="579"/>
      <c r="C952" s="547"/>
      <c r="D952" s="547"/>
      <c r="E952" s="547">
        <v>4</v>
      </c>
      <c r="F952" s="547"/>
      <c r="G952" s="547"/>
      <c r="H952" s="547"/>
      <c r="I952" s="547"/>
      <c r="J952" s="547"/>
      <c r="K952" s="547"/>
      <c r="L952" s="547"/>
      <c r="M952" s="547"/>
      <c r="N952" s="547"/>
      <c r="O952" s="547"/>
    </row>
    <row r="953" spans="2:15">
      <c r="B953" s="579"/>
      <c r="C953" s="547"/>
      <c r="D953" s="547"/>
      <c r="E953" s="547">
        <v>5</v>
      </c>
      <c r="F953" s="547"/>
      <c r="G953" s="547"/>
      <c r="H953" s="547"/>
      <c r="I953" s="547"/>
      <c r="J953" s="547"/>
      <c r="K953" s="547"/>
      <c r="L953" s="547"/>
      <c r="M953" s="547"/>
      <c r="N953" s="547"/>
      <c r="O953" s="547"/>
    </row>
    <row r="954" spans="2:15">
      <c r="B954" s="579"/>
      <c r="C954" s="547"/>
      <c r="D954" s="547"/>
      <c r="E954" s="547">
        <v>6</v>
      </c>
      <c r="F954" s="547"/>
      <c r="G954" s="547"/>
      <c r="H954" s="547"/>
      <c r="I954" s="547"/>
      <c r="J954" s="547"/>
      <c r="K954" s="547"/>
      <c r="L954" s="547"/>
      <c r="M954" s="547"/>
      <c r="N954" s="547"/>
      <c r="O954" s="547"/>
    </row>
    <row r="955" spans="2:15">
      <c r="B955" s="579"/>
      <c r="C955" s="547"/>
      <c r="D955" s="547"/>
      <c r="E955" s="547">
        <v>7</v>
      </c>
      <c r="F955" s="547"/>
      <c r="G955" s="547"/>
      <c r="H955" s="547"/>
      <c r="I955" s="547"/>
      <c r="J955" s="547"/>
      <c r="K955" s="547"/>
      <c r="L955" s="547"/>
      <c r="M955" s="547"/>
      <c r="N955" s="547"/>
      <c r="O955" s="547"/>
    </row>
    <row r="956" spans="2:15">
      <c r="B956" s="579"/>
      <c r="C956" s="547"/>
      <c r="D956" s="547"/>
      <c r="E956" s="547">
        <v>8</v>
      </c>
      <c r="F956" s="547"/>
      <c r="G956" s="547"/>
      <c r="H956" s="547"/>
      <c r="I956" s="547"/>
      <c r="J956" s="547"/>
      <c r="K956" s="547"/>
      <c r="L956" s="547"/>
      <c r="M956" s="547"/>
      <c r="N956" s="547"/>
      <c r="O956" s="547"/>
    </row>
    <row r="957" spans="2:15">
      <c r="B957" s="579"/>
      <c r="C957" s="547"/>
      <c r="D957" s="547"/>
      <c r="E957" s="547">
        <v>9</v>
      </c>
      <c r="F957" s="547"/>
      <c r="G957" s="547"/>
      <c r="H957" s="547"/>
      <c r="I957" s="547"/>
      <c r="J957" s="547"/>
      <c r="K957" s="547"/>
      <c r="L957" s="547"/>
      <c r="M957" s="547"/>
      <c r="N957" s="547"/>
      <c r="O957" s="547"/>
    </row>
    <row r="958" spans="2:15">
      <c r="B958" s="579"/>
      <c r="C958" s="569"/>
      <c r="D958" s="569"/>
      <c r="E958" s="569">
        <v>10</v>
      </c>
      <c r="F958" s="569"/>
      <c r="G958" s="569"/>
      <c r="H958" s="569"/>
      <c r="I958" s="569"/>
      <c r="J958" s="569"/>
      <c r="K958" s="569"/>
      <c r="L958" s="569"/>
      <c r="M958" s="569"/>
      <c r="N958" s="569"/>
      <c r="O958" s="569"/>
    </row>
    <row r="959" spans="2:15">
      <c r="B959" s="579"/>
      <c r="C959" s="557" t="s">
        <v>3376</v>
      </c>
      <c r="D959" s="557" t="s">
        <v>3377</v>
      </c>
      <c r="E959" s="557">
        <v>1</v>
      </c>
      <c r="F959" s="557"/>
      <c r="G959" s="557"/>
      <c r="H959" s="557"/>
      <c r="I959" s="557"/>
      <c r="J959" s="557"/>
      <c r="K959" s="557"/>
      <c r="L959" s="557"/>
      <c r="M959" s="557"/>
      <c r="N959" s="557"/>
      <c r="O959" s="557"/>
    </row>
    <row r="960" spans="2:15">
      <c r="B960" s="579"/>
      <c r="C960" s="547"/>
      <c r="D960" s="547"/>
      <c r="E960" s="547">
        <v>2</v>
      </c>
      <c r="F960" s="547"/>
      <c r="G960" s="547"/>
      <c r="H960" s="547"/>
      <c r="I960" s="547"/>
      <c r="J960" s="547"/>
      <c r="K960" s="547"/>
      <c r="L960" s="547"/>
      <c r="M960" s="547"/>
      <c r="N960" s="547"/>
      <c r="O960" s="547"/>
    </row>
    <row r="961" spans="2:15">
      <c r="B961" s="579"/>
      <c r="C961" s="547"/>
      <c r="D961" s="547"/>
      <c r="E961" s="547">
        <v>3</v>
      </c>
      <c r="F961" s="547"/>
      <c r="G961" s="547"/>
      <c r="H961" s="547"/>
      <c r="I961" s="547"/>
      <c r="J961" s="547"/>
      <c r="K961" s="547"/>
      <c r="L961" s="547"/>
      <c r="M961" s="547"/>
      <c r="N961" s="547"/>
      <c r="O961" s="547"/>
    </row>
    <row r="962" spans="2:15">
      <c r="B962" s="579"/>
      <c r="C962" s="547"/>
      <c r="D962" s="547"/>
      <c r="E962" s="547">
        <v>4</v>
      </c>
      <c r="F962" s="547"/>
      <c r="G962" s="547"/>
      <c r="H962" s="547"/>
      <c r="I962" s="547"/>
      <c r="J962" s="547"/>
      <c r="K962" s="547"/>
      <c r="L962" s="547"/>
      <c r="M962" s="547"/>
      <c r="N962" s="547"/>
      <c r="O962" s="547"/>
    </row>
    <row r="963" spans="2:15">
      <c r="B963" s="579"/>
      <c r="C963" s="547"/>
      <c r="D963" s="547"/>
      <c r="E963" s="547">
        <v>5</v>
      </c>
      <c r="F963" s="547"/>
      <c r="G963" s="547"/>
      <c r="H963" s="547"/>
      <c r="I963" s="547"/>
      <c r="J963" s="547"/>
      <c r="K963" s="547"/>
      <c r="L963" s="547"/>
      <c r="M963" s="547"/>
      <c r="N963" s="547"/>
      <c r="O963" s="547"/>
    </row>
    <row r="964" spans="2:15">
      <c r="B964" s="579"/>
      <c r="C964" s="547"/>
      <c r="D964" s="547"/>
      <c r="E964" s="547">
        <v>6</v>
      </c>
      <c r="F964" s="547"/>
      <c r="G964" s="547"/>
      <c r="H964" s="547"/>
      <c r="I964" s="547"/>
      <c r="J964" s="547"/>
      <c r="K964" s="547"/>
      <c r="L964" s="547"/>
      <c r="M964" s="547"/>
      <c r="N964" s="547"/>
      <c r="O964" s="547"/>
    </row>
    <row r="965" spans="2:15">
      <c r="B965" s="579"/>
      <c r="C965" s="547"/>
      <c r="D965" s="547"/>
      <c r="E965" s="547">
        <v>7</v>
      </c>
      <c r="F965" s="547"/>
      <c r="G965" s="547"/>
      <c r="H965" s="547"/>
      <c r="I965" s="547"/>
      <c r="J965" s="547"/>
      <c r="K965" s="547"/>
      <c r="L965" s="547"/>
      <c r="M965" s="547"/>
      <c r="N965" s="547"/>
      <c r="O965" s="547"/>
    </row>
    <row r="966" spans="2:15">
      <c r="B966" s="579"/>
      <c r="C966" s="547"/>
      <c r="D966" s="547"/>
      <c r="E966" s="547">
        <v>8</v>
      </c>
      <c r="F966" s="547"/>
      <c r="G966" s="547"/>
      <c r="H966" s="547"/>
      <c r="I966" s="547"/>
      <c r="J966" s="547"/>
      <c r="K966" s="547"/>
      <c r="L966" s="547"/>
      <c r="M966" s="547"/>
      <c r="N966" s="547"/>
      <c r="O966" s="547"/>
    </row>
    <row r="967" spans="2:15">
      <c r="B967" s="579"/>
      <c r="C967" s="547"/>
      <c r="D967" s="547"/>
      <c r="E967" s="547">
        <v>9</v>
      </c>
      <c r="F967" s="547"/>
      <c r="G967" s="547"/>
      <c r="H967" s="547"/>
      <c r="I967" s="547"/>
      <c r="J967" s="547"/>
      <c r="K967" s="547"/>
      <c r="L967" s="547"/>
      <c r="M967" s="547"/>
      <c r="N967" s="547"/>
      <c r="O967" s="547"/>
    </row>
    <row r="968" spans="2:15">
      <c r="B968" s="579"/>
      <c r="C968" s="569"/>
      <c r="D968" s="569"/>
      <c r="E968" s="569">
        <v>10</v>
      </c>
      <c r="F968" s="569"/>
      <c r="G968" s="569"/>
      <c r="H968" s="569"/>
      <c r="I968" s="569"/>
      <c r="J968" s="569"/>
      <c r="K968" s="569"/>
      <c r="L968" s="569"/>
      <c r="M968" s="569"/>
      <c r="N968" s="569"/>
      <c r="O968" s="569"/>
    </row>
    <row r="969" spans="2:15">
      <c r="B969" s="579"/>
      <c r="C969" s="557" t="s">
        <v>3385</v>
      </c>
      <c r="D969" s="557" t="s">
        <v>3386</v>
      </c>
      <c r="E969" s="557">
        <v>1</v>
      </c>
      <c r="F969" s="557"/>
      <c r="G969" s="557"/>
      <c r="H969" s="557"/>
      <c r="I969" s="557"/>
      <c r="J969" s="557"/>
      <c r="K969" s="557"/>
      <c r="L969" s="557"/>
      <c r="M969" s="557"/>
      <c r="N969" s="557"/>
      <c r="O969" s="557"/>
    </row>
    <row r="970" spans="2:15">
      <c r="B970" s="579"/>
      <c r="C970" s="547"/>
      <c r="D970" s="547"/>
      <c r="E970" s="547">
        <v>2</v>
      </c>
      <c r="F970" s="547"/>
      <c r="G970" s="547"/>
      <c r="H970" s="547"/>
      <c r="I970" s="547"/>
      <c r="J970" s="547"/>
      <c r="K970" s="547"/>
      <c r="L970" s="547"/>
      <c r="M970" s="547"/>
      <c r="N970" s="547"/>
      <c r="O970" s="547"/>
    </row>
    <row r="971" spans="2:15">
      <c r="B971" s="579"/>
      <c r="C971" s="547"/>
      <c r="D971" s="547"/>
      <c r="E971" s="547">
        <v>3</v>
      </c>
      <c r="F971" s="547"/>
      <c r="G971" s="547"/>
      <c r="H971" s="547"/>
      <c r="I971" s="547"/>
      <c r="J971" s="547"/>
      <c r="K971" s="547"/>
      <c r="L971" s="547"/>
      <c r="M971" s="547"/>
      <c r="N971" s="547"/>
      <c r="O971" s="547"/>
    </row>
    <row r="972" spans="2:15">
      <c r="B972" s="579"/>
      <c r="C972" s="547"/>
      <c r="D972" s="547"/>
      <c r="E972" s="547">
        <v>4</v>
      </c>
      <c r="F972" s="547"/>
      <c r="G972" s="547"/>
      <c r="H972" s="547"/>
      <c r="I972" s="547"/>
      <c r="J972" s="547"/>
      <c r="K972" s="547"/>
      <c r="L972" s="547"/>
      <c r="M972" s="547"/>
      <c r="N972" s="547"/>
      <c r="O972" s="547"/>
    </row>
    <row r="973" spans="2:15">
      <c r="B973" s="579"/>
      <c r="C973" s="547"/>
      <c r="D973" s="547"/>
      <c r="E973" s="547">
        <v>5</v>
      </c>
      <c r="F973" s="547"/>
      <c r="G973" s="547"/>
      <c r="H973" s="547"/>
      <c r="I973" s="547"/>
      <c r="J973" s="547"/>
      <c r="K973" s="547"/>
      <c r="L973" s="547"/>
      <c r="M973" s="547"/>
      <c r="N973" s="547"/>
      <c r="O973" s="547"/>
    </row>
    <row r="974" spans="2:15">
      <c r="B974" s="579"/>
      <c r="C974" s="547"/>
      <c r="D974" s="547"/>
      <c r="E974" s="547">
        <v>6</v>
      </c>
      <c r="F974" s="547"/>
      <c r="G974" s="547"/>
      <c r="H974" s="547"/>
      <c r="I974" s="547"/>
      <c r="J974" s="547"/>
      <c r="K974" s="547"/>
      <c r="L974" s="547"/>
      <c r="M974" s="547"/>
      <c r="N974" s="547"/>
      <c r="O974" s="547"/>
    </row>
    <row r="975" spans="2:15">
      <c r="B975" s="579"/>
      <c r="C975" s="547"/>
      <c r="D975" s="547"/>
      <c r="E975" s="547">
        <v>7</v>
      </c>
      <c r="F975" s="547"/>
      <c r="G975" s="547"/>
      <c r="H975" s="547"/>
      <c r="I975" s="547"/>
      <c r="J975" s="547"/>
      <c r="K975" s="547"/>
      <c r="L975" s="547"/>
      <c r="M975" s="547"/>
      <c r="N975" s="547"/>
      <c r="O975" s="547"/>
    </row>
    <row r="976" spans="2:15">
      <c r="B976" s="579"/>
      <c r="C976" s="547"/>
      <c r="D976" s="547"/>
      <c r="E976" s="547">
        <v>8</v>
      </c>
      <c r="F976" s="547"/>
      <c r="G976" s="547"/>
      <c r="H976" s="547"/>
      <c r="I976" s="547"/>
      <c r="J976" s="547"/>
      <c r="K976" s="547"/>
      <c r="L976" s="547"/>
      <c r="M976" s="547"/>
      <c r="N976" s="547"/>
      <c r="O976" s="547"/>
    </row>
    <row r="977" spans="2:15">
      <c r="B977" s="579"/>
      <c r="C977" s="547"/>
      <c r="D977" s="547"/>
      <c r="E977" s="547">
        <v>9</v>
      </c>
      <c r="F977" s="547"/>
      <c r="G977" s="547"/>
      <c r="H977" s="547"/>
      <c r="I977" s="547"/>
      <c r="J977" s="547"/>
      <c r="K977" s="547"/>
      <c r="L977" s="547"/>
      <c r="M977" s="547"/>
      <c r="N977" s="547"/>
      <c r="O977" s="547"/>
    </row>
    <row r="978" spans="2:15">
      <c r="B978" s="579"/>
      <c r="C978" s="569"/>
      <c r="D978" s="569"/>
      <c r="E978" s="569">
        <v>10</v>
      </c>
      <c r="F978" s="569"/>
      <c r="G978" s="569"/>
      <c r="H978" s="569"/>
      <c r="I978" s="569"/>
      <c r="J978" s="569"/>
      <c r="K978" s="569"/>
      <c r="L978" s="569"/>
      <c r="M978" s="569"/>
      <c r="N978" s="569"/>
      <c r="O978" s="569"/>
    </row>
    <row r="979" spans="2:15">
      <c r="B979" s="579"/>
      <c r="C979" s="557" t="s">
        <v>3399</v>
      </c>
      <c r="D979" s="557" t="s">
        <v>3400</v>
      </c>
      <c r="E979" s="557">
        <v>1</v>
      </c>
      <c r="F979" s="557"/>
      <c r="G979" s="557"/>
      <c r="H979" s="557"/>
      <c r="I979" s="557"/>
      <c r="J979" s="557"/>
      <c r="K979" s="557"/>
      <c r="L979" s="557"/>
      <c r="M979" s="557"/>
      <c r="N979" s="557"/>
      <c r="O979" s="557"/>
    </row>
    <row r="980" spans="2:15">
      <c r="B980" s="579"/>
      <c r="C980" s="547"/>
      <c r="D980" s="547"/>
      <c r="E980" s="547">
        <v>2</v>
      </c>
      <c r="F980" s="547"/>
      <c r="G980" s="547"/>
      <c r="H980" s="547"/>
      <c r="I980" s="547"/>
      <c r="J980" s="547"/>
      <c r="K980" s="547"/>
      <c r="L980" s="547"/>
      <c r="M980" s="547"/>
      <c r="N980" s="547"/>
      <c r="O980" s="547"/>
    </row>
    <row r="981" spans="2:15">
      <c r="B981" s="579"/>
      <c r="C981" s="547"/>
      <c r="D981" s="547"/>
      <c r="E981" s="547">
        <v>3</v>
      </c>
      <c r="F981" s="547"/>
      <c r="G981" s="547"/>
      <c r="H981" s="547"/>
      <c r="I981" s="547"/>
      <c r="J981" s="547"/>
      <c r="K981" s="547"/>
      <c r="L981" s="547"/>
      <c r="M981" s="547"/>
      <c r="N981" s="547"/>
      <c r="O981" s="547"/>
    </row>
    <row r="982" spans="2:15">
      <c r="B982" s="579"/>
      <c r="C982" s="547"/>
      <c r="D982" s="547"/>
      <c r="E982" s="547">
        <v>4</v>
      </c>
      <c r="F982" s="547"/>
      <c r="G982" s="547"/>
      <c r="H982" s="547"/>
      <c r="I982" s="547"/>
      <c r="J982" s="547"/>
      <c r="K982" s="547"/>
      <c r="L982" s="547"/>
      <c r="M982" s="547"/>
      <c r="N982" s="547"/>
      <c r="O982" s="547"/>
    </row>
    <row r="983" spans="2:15">
      <c r="B983" s="579"/>
      <c r="C983" s="547"/>
      <c r="D983" s="547"/>
      <c r="E983" s="547">
        <v>5</v>
      </c>
      <c r="F983" s="547"/>
      <c r="G983" s="547"/>
      <c r="H983" s="547"/>
      <c r="I983" s="547"/>
      <c r="J983" s="547"/>
      <c r="K983" s="547"/>
      <c r="L983" s="547"/>
      <c r="M983" s="547"/>
      <c r="N983" s="547"/>
      <c r="O983" s="547"/>
    </row>
    <row r="984" spans="2:15">
      <c r="B984" s="579"/>
      <c r="C984" s="547"/>
      <c r="D984" s="547"/>
      <c r="E984" s="547">
        <v>6</v>
      </c>
      <c r="F984" s="547"/>
      <c r="G984" s="547"/>
      <c r="H984" s="547"/>
      <c r="I984" s="547"/>
      <c r="J984" s="547"/>
      <c r="K984" s="547"/>
      <c r="L984" s="547"/>
      <c r="M984" s="547"/>
      <c r="N984" s="547"/>
      <c r="O984" s="547"/>
    </row>
    <row r="985" spans="2:15">
      <c r="B985" s="579"/>
      <c r="C985" s="547"/>
      <c r="D985" s="547"/>
      <c r="E985" s="547">
        <v>7</v>
      </c>
      <c r="F985" s="547"/>
      <c r="G985" s="547"/>
      <c r="H985" s="547"/>
      <c r="I985" s="547"/>
      <c r="J985" s="547"/>
      <c r="K985" s="547"/>
      <c r="L985" s="547"/>
      <c r="M985" s="547"/>
      <c r="N985" s="547"/>
      <c r="O985" s="547"/>
    </row>
    <row r="986" spans="2:15">
      <c r="B986" s="579"/>
      <c r="C986" s="547"/>
      <c r="D986" s="547"/>
      <c r="E986" s="547">
        <v>8</v>
      </c>
      <c r="F986" s="547"/>
      <c r="G986" s="547"/>
      <c r="H986" s="547"/>
      <c r="I986" s="547"/>
      <c r="J986" s="547"/>
      <c r="K986" s="547"/>
      <c r="L986" s="547"/>
      <c r="M986" s="547"/>
      <c r="N986" s="547"/>
      <c r="O986" s="547"/>
    </row>
    <row r="987" spans="2:15">
      <c r="B987" s="579"/>
      <c r="C987" s="547"/>
      <c r="D987" s="547"/>
      <c r="E987" s="547">
        <v>9</v>
      </c>
      <c r="F987" s="547"/>
      <c r="G987" s="547"/>
      <c r="H987" s="547"/>
      <c r="I987" s="547"/>
      <c r="J987" s="547"/>
      <c r="K987" s="547"/>
      <c r="L987" s="547"/>
      <c r="M987" s="547"/>
      <c r="N987" s="547"/>
      <c r="O987" s="547"/>
    </row>
    <row r="988" spans="2:15">
      <c r="B988" s="672"/>
      <c r="C988" s="569"/>
      <c r="D988" s="569"/>
      <c r="E988" s="569">
        <v>10</v>
      </c>
      <c r="F988" s="569"/>
      <c r="G988" s="569"/>
      <c r="H988" s="569"/>
      <c r="I988" s="569"/>
      <c r="J988" s="569"/>
      <c r="K988" s="569"/>
      <c r="L988" s="569"/>
      <c r="M988" s="569"/>
      <c r="N988" s="569"/>
      <c r="O988" s="569"/>
    </row>
    <row r="989" spans="2:15">
      <c r="B989" s="619" t="s">
        <v>4415</v>
      </c>
      <c r="C989" s="668"/>
      <c r="D989" s="602"/>
      <c r="E989" s="602"/>
      <c r="F989" s="669"/>
      <c r="G989" s="669"/>
      <c r="H989" s="669"/>
      <c r="I989" s="669"/>
      <c r="J989" s="669"/>
      <c r="K989" s="669"/>
      <c r="L989" s="669"/>
      <c r="M989" s="669"/>
      <c r="N989" s="602"/>
      <c r="O989" s="670"/>
    </row>
    <row r="990" spans="2:15">
      <c r="B990" s="575" t="s">
        <v>3232</v>
      </c>
      <c r="C990" s="557" t="s">
        <v>3233</v>
      </c>
      <c r="D990" s="557" t="s">
        <v>3234</v>
      </c>
      <c r="E990" s="557">
        <v>1</v>
      </c>
      <c r="F990" s="549"/>
      <c r="G990" s="549"/>
      <c r="H990" s="549"/>
      <c r="I990" s="549"/>
      <c r="J990" s="549"/>
      <c r="K990" s="549"/>
      <c r="L990" s="549"/>
      <c r="M990" s="549"/>
      <c r="N990" s="557"/>
      <c r="O990" s="557"/>
    </row>
    <row r="991" spans="2:15">
      <c r="B991" s="579"/>
      <c r="C991" s="547"/>
      <c r="D991" s="547"/>
      <c r="E991" s="547">
        <v>2</v>
      </c>
      <c r="F991" s="547"/>
      <c r="G991" s="547"/>
      <c r="H991" s="547"/>
      <c r="I991" s="547"/>
      <c r="J991" s="547"/>
      <c r="K991" s="547"/>
      <c r="L991" s="547"/>
      <c r="M991" s="547"/>
      <c r="N991" s="547"/>
      <c r="O991" s="547"/>
    </row>
    <row r="992" spans="2:15">
      <c r="B992" s="579"/>
      <c r="C992" s="547"/>
      <c r="D992" s="547"/>
      <c r="E992" s="547">
        <v>3</v>
      </c>
      <c r="F992" s="547"/>
      <c r="G992" s="547"/>
      <c r="H992" s="547"/>
      <c r="I992" s="547"/>
      <c r="J992" s="547"/>
      <c r="K992" s="547"/>
      <c r="L992" s="547"/>
      <c r="M992" s="547"/>
      <c r="N992" s="547"/>
      <c r="O992" s="547"/>
    </row>
    <row r="993" spans="2:15">
      <c r="B993" s="579"/>
      <c r="C993" s="547"/>
      <c r="D993" s="547"/>
      <c r="E993" s="547">
        <v>4</v>
      </c>
      <c r="F993" s="547"/>
      <c r="G993" s="547"/>
      <c r="H993" s="547"/>
      <c r="I993" s="547"/>
      <c r="J993" s="547"/>
      <c r="K993" s="547"/>
      <c r="L993" s="547"/>
      <c r="M993" s="547"/>
      <c r="N993" s="547"/>
      <c r="O993" s="547"/>
    </row>
    <row r="994" spans="2:15">
      <c r="B994" s="579"/>
      <c r="C994" s="547"/>
      <c r="D994" s="547"/>
      <c r="E994" s="547">
        <v>5</v>
      </c>
      <c r="F994" s="547"/>
      <c r="G994" s="547"/>
      <c r="H994" s="547"/>
      <c r="I994" s="547"/>
      <c r="J994" s="547"/>
      <c r="K994" s="547"/>
      <c r="L994" s="547"/>
      <c r="M994" s="547"/>
      <c r="N994" s="547"/>
      <c r="O994" s="547"/>
    </row>
    <row r="995" spans="2:15">
      <c r="B995" s="579"/>
      <c r="C995" s="547"/>
      <c r="D995" s="547"/>
      <c r="E995" s="547">
        <v>6</v>
      </c>
      <c r="F995" s="547"/>
      <c r="G995" s="547"/>
      <c r="H995" s="547"/>
      <c r="I995" s="547"/>
      <c r="J995" s="547"/>
      <c r="K995" s="547"/>
      <c r="L995" s="547"/>
      <c r="M995" s="547"/>
      <c r="N995" s="547"/>
      <c r="O995" s="547"/>
    </row>
    <row r="996" spans="2:15">
      <c r="B996" s="579"/>
      <c r="C996" s="547"/>
      <c r="D996" s="547"/>
      <c r="E996" s="547">
        <v>7</v>
      </c>
      <c r="F996" s="547"/>
      <c r="G996" s="547"/>
      <c r="H996" s="547"/>
      <c r="I996" s="547"/>
      <c r="J996" s="547"/>
      <c r="K996" s="547"/>
      <c r="L996" s="547"/>
      <c r="M996" s="547"/>
      <c r="N996" s="547"/>
      <c r="O996" s="547"/>
    </row>
    <row r="997" spans="2:15">
      <c r="B997" s="579"/>
      <c r="C997" s="547"/>
      <c r="D997" s="547"/>
      <c r="E997" s="547">
        <v>8</v>
      </c>
      <c r="F997" s="547"/>
      <c r="G997" s="547"/>
      <c r="H997" s="547"/>
      <c r="I997" s="547"/>
      <c r="J997" s="547"/>
      <c r="K997" s="547"/>
      <c r="L997" s="547"/>
      <c r="M997" s="547"/>
      <c r="N997" s="547"/>
      <c r="O997" s="547"/>
    </row>
    <row r="998" spans="2:15">
      <c r="B998" s="579"/>
      <c r="C998" s="547"/>
      <c r="D998" s="547"/>
      <c r="E998" s="547">
        <v>9</v>
      </c>
      <c r="F998" s="547"/>
      <c r="G998" s="547"/>
      <c r="H998" s="547"/>
      <c r="I998" s="547"/>
      <c r="J998" s="547"/>
      <c r="K998" s="547"/>
      <c r="L998" s="547"/>
      <c r="M998" s="547"/>
      <c r="N998" s="547"/>
      <c r="O998" s="547"/>
    </row>
    <row r="999" spans="2:15">
      <c r="B999" s="579"/>
      <c r="C999" s="569"/>
      <c r="D999" s="569"/>
      <c r="E999" s="569">
        <v>10</v>
      </c>
      <c r="F999" s="569"/>
      <c r="G999" s="569"/>
      <c r="H999" s="569"/>
      <c r="I999" s="569"/>
      <c r="J999" s="569"/>
      <c r="K999" s="569"/>
      <c r="L999" s="569"/>
      <c r="M999" s="569"/>
      <c r="N999" s="569"/>
      <c r="O999" s="569"/>
    </row>
    <row r="1000" spans="2:15">
      <c r="B1000" s="579"/>
      <c r="C1000" s="549" t="s">
        <v>3243</v>
      </c>
      <c r="D1000" s="549" t="s">
        <v>3244</v>
      </c>
      <c r="E1000" s="557">
        <v>1</v>
      </c>
      <c r="F1000" s="549"/>
      <c r="G1000" s="549"/>
      <c r="H1000" s="549"/>
      <c r="I1000" s="549"/>
      <c r="J1000" s="549"/>
      <c r="K1000" s="549"/>
      <c r="L1000" s="549"/>
      <c r="M1000" s="549"/>
      <c r="N1000" s="549"/>
      <c r="O1000" s="549"/>
    </row>
    <row r="1001" spans="2:15">
      <c r="B1001" s="579"/>
      <c r="C1001" s="547"/>
      <c r="D1001" s="547"/>
      <c r="E1001" s="547">
        <v>2</v>
      </c>
      <c r="F1001" s="547"/>
      <c r="G1001" s="547"/>
      <c r="H1001" s="547"/>
      <c r="I1001" s="547"/>
      <c r="J1001" s="547"/>
      <c r="K1001" s="547"/>
      <c r="L1001" s="547"/>
      <c r="M1001" s="547"/>
      <c r="N1001" s="547"/>
      <c r="O1001" s="547"/>
    </row>
    <row r="1002" spans="2:15">
      <c r="B1002" s="579"/>
      <c r="C1002" s="547"/>
      <c r="D1002" s="547"/>
      <c r="E1002" s="547">
        <v>3</v>
      </c>
      <c r="F1002" s="547"/>
      <c r="G1002" s="547"/>
      <c r="H1002" s="547"/>
      <c r="I1002" s="547"/>
      <c r="J1002" s="547"/>
      <c r="K1002" s="547"/>
      <c r="L1002" s="547"/>
      <c r="M1002" s="547"/>
      <c r="N1002" s="547"/>
      <c r="O1002" s="547"/>
    </row>
    <row r="1003" spans="2:15">
      <c r="B1003" s="579"/>
      <c r="C1003" s="547"/>
      <c r="D1003" s="547"/>
      <c r="E1003" s="547">
        <v>4</v>
      </c>
      <c r="F1003" s="547"/>
      <c r="G1003" s="547"/>
      <c r="H1003" s="547"/>
      <c r="I1003" s="547"/>
      <c r="J1003" s="547"/>
      <c r="K1003" s="547"/>
      <c r="L1003" s="547"/>
      <c r="M1003" s="547"/>
      <c r="N1003" s="547"/>
      <c r="O1003" s="547"/>
    </row>
    <row r="1004" spans="2:15">
      <c r="B1004" s="579"/>
      <c r="C1004" s="547"/>
      <c r="D1004" s="547"/>
      <c r="E1004" s="547">
        <v>5</v>
      </c>
      <c r="F1004" s="547"/>
      <c r="G1004" s="547"/>
      <c r="H1004" s="547"/>
      <c r="I1004" s="547"/>
      <c r="J1004" s="547"/>
      <c r="K1004" s="547"/>
      <c r="L1004" s="547"/>
      <c r="M1004" s="547"/>
      <c r="N1004" s="547"/>
      <c r="O1004" s="547"/>
    </row>
    <row r="1005" spans="2:15">
      <c r="B1005" s="579"/>
      <c r="C1005" s="547"/>
      <c r="D1005" s="547"/>
      <c r="E1005" s="547">
        <v>6</v>
      </c>
      <c r="F1005" s="547"/>
      <c r="G1005" s="547"/>
      <c r="H1005" s="547"/>
      <c r="I1005" s="547"/>
      <c r="J1005" s="547"/>
      <c r="K1005" s="547"/>
      <c r="L1005" s="547"/>
      <c r="M1005" s="547"/>
      <c r="N1005" s="547"/>
      <c r="O1005" s="547"/>
    </row>
    <row r="1006" spans="2:15">
      <c r="B1006" s="579"/>
      <c r="C1006" s="547"/>
      <c r="D1006" s="547"/>
      <c r="E1006" s="547">
        <v>7</v>
      </c>
      <c r="F1006" s="547"/>
      <c r="G1006" s="547"/>
      <c r="H1006" s="547"/>
      <c r="I1006" s="547"/>
      <c r="J1006" s="547"/>
      <c r="K1006" s="547"/>
      <c r="L1006" s="547"/>
      <c r="M1006" s="547"/>
      <c r="N1006" s="547"/>
      <c r="O1006" s="547"/>
    </row>
    <row r="1007" spans="2:15">
      <c r="B1007" s="579"/>
      <c r="C1007" s="547"/>
      <c r="D1007" s="547"/>
      <c r="E1007" s="547">
        <v>8</v>
      </c>
      <c r="F1007" s="547"/>
      <c r="G1007" s="547"/>
      <c r="H1007" s="547"/>
      <c r="I1007" s="547"/>
      <c r="J1007" s="547"/>
      <c r="K1007" s="547"/>
      <c r="L1007" s="547"/>
      <c r="M1007" s="547"/>
      <c r="N1007" s="547"/>
      <c r="O1007" s="547"/>
    </row>
    <row r="1008" spans="2:15">
      <c r="B1008" s="579"/>
      <c r="C1008" s="547"/>
      <c r="D1008" s="547"/>
      <c r="E1008" s="547">
        <v>9</v>
      </c>
      <c r="F1008" s="547"/>
      <c r="G1008" s="547"/>
      <c r="H1008" s="547"/>
      <c r="I1008" s="547"/>
      <c r="J1008" s="547"/>
      <c r="K1008" s="547"/>
      <c r="L1008" s="547"/>
      <c r="M1008" s="547"/>
      <c r="N1008" s="547"/>
      <c r="O1008" s="547"/>
    </row>
    <row r="1009" spans="2:15">
      <c r="B1009" s="579"/>
      <c r="C1009" s="569"/>
      <c r="D1009" s="569"/>
      <c r="E1009" s="569">
        <v>10</v>
      </c>
      <c r="F1009" s="569"/>
      <c r="G1009" s="569"/>
      <c r="H1009" s="569"/>
      <c r="I1009" s="569"/>
      <c r="J1009" s="569"/>
      <c r="K1009" s="569"/>
      <c r="L1009" s="569"/>
      <c r="M1009" s="569"/>
      <c r="N1009" s="569"/>
      <c r="O1009" s="569"/>
    </row>
    <row r="1010" spans="2:15">
      <c r="B1010" s="579"/>
      <c r="C1010" s="549" t="s">
        <v>3250</v>
      </c>
      <c r="D1010" s="549" t="s">
        <v>3251</v>
      </c>
      <c r="E1010" s="557">
        <v>1</v>
      </c>
      <c r="F1010" s="549"/>
      <c r="G1010" s="549"/>
      <c r="H1010" s="549"/>
      <c r="I1010" s="549"/>
      <c r="J1010" s="549"/>
      <c r="K1010" s="549"/>
      <c r="L1010" s="549"/>
      <c r="M1010" s="549"/>
      <c r="N1010" s="549"/>
      <c r="O1010" s="549"/>
    </row>
    <row r="1011" spans="2:15">
      <c r="B1011" s="579"/>
      <c r="C1011" s="547"/>
      <c r="D1011" s="547"/>
      <c r="E1011" s="547">
        <v>2</v>
      </c>
      <c r="F1011" s="547"/>
      <c r="G1011" s="547"/>
      <c r="H1011" s="547"/>
      <c r="I1011" s="547"/>
      <c r="J1011" s="547"/>
      <c r="K1011" s="547"/>
      <c r="L1011" s="547"/>
      <c r="M1011" s="547"/>
      <c r="N1011" s="547"/>
      <c r="O1011" s="547"/>
    </row>
    <row r="1012" spans="2:15">
      <c r="B1012" s="579"/>
      <c r="C1012" s="547"/>
      <c r="D1012" s="547"/>
      <c r="E1012" s="547">
        <v>3</v>
      </c>
      <c r="F1012" s="547"/>
      <c r="G1012" s="547"/>
      <c r="H1012" s="547"/>
      <c r="I1012" s="547"/>
      <c r="J1012" s="547"/>
      <c r="K1012" s="547"/>
      <c r="L1012" s="547"/>
      <c r="M1012" s="547"/>
      <c r="N1012" s="547"/>
      <c r="O1012" s="547"/>
    </row>
    <row r="1013" spans="2:15">
      <c r="B1013" s="579"/>
      <c r="C1013" s="547"/>
      <c r="D1013" s="547"/>
      <c r="E1013" s="547">
        <v>4</v>
      </c>
      <c r="F1013" s="547"/>
      <c r="G1013" s="547"/>
      <c r="H1013" s="547"/>
      <c r="I1013" s="547"/>
      <c r="J1013" s="547"/>
      <c r="K1013" s="547"/>
      <c r="L1013" s="547"/>
      <c r="M1013" s="547"/>
      <c r="N1013" s="547"/>
      <c r="O1013" s="547"/>
    </row>
    <row r="1014" spans="2:15">
      <c r="B1014" s="579"/>
      <c r="C1014" s="547"/>
      <c r="D1014" s="547"/>
      <c r="E1014" s="547">
        <v>5</v>
      </c>
      <c r="F1014" s="547"/>
      <c r="G1014" s="547"/>
      <c r="H1014" s="547"/>
      <c r="I1014" s="547"/>
      <c r="J1014" s="547"/>
      <c r="K1014" s="547"/>
      <c r="L1014" s="547"/>
      <c r="M1014" s="547"/>
      <c r="N1014" s="547"/>
      <c r="O1014" s="547"/>
    </row>
    <row r="1015" spans="2:15">
      <c r="B1015" s="579"/>
      <c r="C1015" s="547"/>
      <c r="D1015" s="547"/>
      <c r="E1015" s="547">
        <v>6</v>
      </c>
      <c r="F1015" s="547"/>
      <c r="G1015" s="547"/>
      <c r="H1015" s="547"/>
      <c r="I1015" s="547"/>
      <c r="J1015" s="547"/>
      <c r="K1015" s="547"/>
      <c r="L1015" s="547"/>
      <c r="M1015" s="547"/>
      <c r="N1015" s="547"/>
      <c r="O1015" s="547"/>
    </row>
    <row r="1016" spans="2:15">
      <c r="B1016" s="579"/>
      <c r="C1016" s="547"/>
      <c r="D1016" s="547"/>
      <c r="E1016" s="547">
        <v>7</v>
      </c>
      <c r="F1016" s="547"/>
      <c r="G1016" s="547"/>
      <c r="H1016" s="547"/>
      <c r="I1016" s="547"/>
      <c r="J1016" s="547"/>
      <c r="K1016" s="547"/>
      <c r="L1016" s="547"/>
      <c r="M1016" s="547"/>
      <c r="N1016" s="547"/>
      <c r="O1016" s="547"/>
    </row>
    <row r="1017" spans="2:15">
      <c r="B1017" s="579"/>
      <c r="C1017" s="547"/>
      <c r="D1017" s="547"/>
      <c r="E1017" s="547">
        <v>8</v>
      </c>
      <c r="F1017" s="547"/>
      <c r="G1017" s="547"/>
      <c r="H1017" s="547"/>
      <c r="I1017" s="547"/>
      <c r="J1017" s="547"/>
      <c r="K1017" s="547"/>
      <c r="L1017" s="547"/>
      <c r="M1017" s="547"/>
      <c r="N1017" s="547"/>
      <c r="O1017" s="547"/>
    </row>
    <row r="1018" spans="2:15">
      <c r="B1018" s="579"/>
      <c r="C1018" s="547"/>
      <c r="D1018" s="547"/>
      <c r="E1018" s="547">
        <v>9</v>
      </c>
      <c r="F1018" s="547"/>
      <c r="G1018" s="547"/>
      <c r="H1018" s="547"/>
      <c r="I1018" s="547"/>
      <c r="J1018" s="547"/>
      <c r="K1018" s="547"/>
      <c r="L1018" s="547"/>
      <c r="M1018" s="547"/>
      <c r="N1018" s="547"/>
      <c r="O1018" s="547"/>
    </row>
    <row r="1019" spans="2:15">
      <c r="B1019" s="672"/>
      <c r="C1019" s="569"/>
      <c r="D1019" s="569"/>
      <c r="E1019" s="569">
        <v>10</v>
      </c>
      <c r="F1019" s="569"/>
      <c r="G1019" s="569"/>
      <c r="H1019" s="569"/>
      <c r="I1019" s="569"/>
      <c r="J1019" s="569"/>
      <c r="K1019" s="569"/>
      <c r="L1019" s="569"/>
      <c r="M1019" s="569"/>
      <c r="N1019" s="569"/>
      <c r="O1019" s="569"/>
    </row>
    <row r="1020" spans="2:15">
      <c r="B1020" s="579" t="s">
        <v>3276</v>
      </c>
      <c r="C1020" s="549" t="s">
        <v>3277</v>
      </c>
      <c r="D1020" s="549" t="s">
        <v>3278</v>
      </c>
      <c r="E1020" s="557">
        <v>1</v>
      </c>
      <c r="F1020" s="549"/>
      <c r="G1020" s="549"/>
      <c r="H1020" s="549"/>
      <c r="I1020" s="549"/>
      <c r="J1020" s="549"/>
      <c r="K1020" s="549"/>
      <c r="L1020" s="549"/>
      <c r="M1020" s="549"/>
      <c r="N1020" s="549"/>
      <c r="O1020" s="549"/>
    </row>
    <row r="1021" spans="2:15">
      <c r="B1021" s="579"/>
      <c r="C1021" s="547"/>
      <c r="D1021" s="547"/>
      <c r="E1021" s="547">
        <v>2</v>
      </c>
      <c r="F1021" s="547"/>
      <c r="G1021" s="547"/>
      <c r="H1021" s="547"/>
      <c r="I1021" s="547"/>
      <c r="J1021" s="547"/>
      <c r="K1021" s="547"/>
      <c r="L1021" s="547"/>
      <c r="M1021" s="547"/>
      <c r="N1021" s="547"/>
      <c r="O1021" s="547"/>
    </row>
    <row r="1022" spans="2:15">
      <c r="B1022" s="579"/>
      <c r="C1022" s="547"/>
      <c r="D1022" s="547"/>
      <c r="E1022" s="547">
        <v>3</v>
      </c>
      <c r="F1022" s="547"/>
      <c r="G1022" s="547"/>
      <c r="H1022" s="547"/>
      <c r="I1022" s="547"/>
      <c r="J1022" s="547"/>
      <c r="K1022" s="547"/>
      <c r="L1022" s="547"/>
      <c r="M1022" s="547"/>
      <c r="N1022" s="547"/>
      <c r="O1022" s="547"/>
    </row>
    <row r="1023" spans="2:15">
      <c r="B1023" s="579"/>
      <c r="C1023" s="547"/>
      <c r="D1023" s="547"/>
      <c r="E1023" s="547">
        <v>4</v>
      </c>
      <c r="F1023" s="547"/>
      <c r="G1023" s="547"/>
      <c r="H1023" s="547"/>
      <c r="I1023" s="547"/>
      <c r="J1023" s="547"/>
      <c r="K1023" s="547"/>
      <c r="L1023" s="547"/>
      <c r="M1023" s="547"/>
      <c r="N1023" s="547"/>
      <c r="O1023" s="547"/>
    </row>
    <row r="1024" spans="2:15">
      <c r="B1024" s="579"/>
      <c r="C1024" s="547"/>
      <c r="D1024" s="547"/>
      <c r="E1024" s="547">
        <v>5</v>
      </c>
      <c r="F1024" s="547"/>
      <c r="G1024" s="547"/>
      <c r="H1024" s="547"/>
      <c r="I1024" s="547"/>
      <c r="J1024" s="547"/>
      <c r="K1024" s="547"/>
      <c r="L1024" s="547"/>
      <c r="M1024" s="547"/>
      <c r="N1024" s="547"/>
      <c r="O1024" s="547"/>
    </row>
    <row r="1025" spans="2:15">
      <c r="B1025" s="579"/>
      <c r="C1025" s="547"/>
      <c r="D1025" s="547"/>
      <c r="E1025" s="547">
        <v>6</v>
      </c>
      <c r="F1025" s="547"/>
      <c r="G1025" s="547"/>
      <c r="H1025" s="547"/>
      <c r="I1025" s="547"/>
      <c r="J1025" s="547"/>
      <c r="K1025" s="547"/>
      <c r="L1025" s="547"/>
      <c r="M1025" s="547"/>
      <c r="N1025" s="547"/>
      <c r="O1025" s="547"/>
    </row>
    <row r="1026" spans="2:15">
      <c r="B1026" s="579"/>
      <c r="C1026" s="547"/>
      <c r="D1026" s="547"/>
      <c r="E1026" s="547">
        <v>7</v>
      </c>
      <c r="F1026" s="547"/>
      <c r="G1026" s="547"/>
      <c r="H1026" s="547"/>
      <c r="I1026" s="547"/>
      <c r="J1026" s="547"/>
      <c r="K1026" s="547"/>
      <c r="L1026" s="547"/>
      <c r="M1026" s="547"/>
      <c r="N1026" s="547"/>
      <c r="O1026" s="547"/>
    </row>
    <row r="1027" spans="2:15">
      <c r="B1027" s="579"/>
      <c r="C1027" s="547"/>
      <c r="D1027" s="547"/>
      <c r="E1027" s="547">
        <v>8</v>
      </c>
      <c r="F1027" s="547"/>
      <c r="G1027" s="547"/>
      <c r="H1027" s="547"/>
      <c r="I1027" s="547"/>
      <c r="J1027" s="547"/>
      <c r="K1027" s="547"/>
      <c r="L1027" s="547"/>
      <c r="M1027" s="547"/>
      <c r="N1027" s="547"/>
      <c r="O1027" s="547"/>
    </row>
    <row r="1028" spans="2:15">
      <c r="B1028" s="579"/>
      <c r="C1028" s="547"/>
      <c r="D1028" s="547"/>
      <c r="E1028" s="547">
        <v>9</v>
      </c>
      <c r="F1028" s="547"/>
      <c r="G1028" s="547"/>
      <c r="H1028" s="547"/>
      <c r="I1028" s="547"/>
      <c r="J1028" s="547"/>
      <c r="K1028" s="547"/>
      <c r="L1028" s="547"/>
      <c r="M1028" s="547"/>
      <c r="N1028" s="547"/>
      <c r="O1028" s="547"/>
    </row>
    <row r="1029" spans="2:15">
      <c r="B1029" s="579"/>
      <c r="C1029" s="569"/>
      <c r="D1029" s="569"/>
      <c r="E1029" s="569">
        <v>10</v>
      </c>
      <c r="F1029" s="569"/>
      <c r="G1029" s="569"/>
      <c r="H1029" s="569"/>
      <c r="I1029" s="569"/>
      <c r="J1029" s="569"/>
      <c r="K1029" s="569"/>
      <c r="L1029" s="569"/>
      <c r="M1029" s="569"/>
      <c r="N1029" s="569"/>
      <c r="O1029" s="569"/>
    </row>
    <row r="1030" spans="2:15">
      <c r="B1030" s="579"/>
      <c r="C1030" s="549" t="s">
        <v>3291</v>
      </c>
      <c r="D1030" s="549" t="s">
        <v>3292</v>
      </c>
      <c r="E1030" s="557">
        <v>1</v>
      </c>
      <c r="F1030" s="549"/>
      <c r="G1030" s="549"/>
      <c r="H1030" s="549"/>
      <c r="I1030" s="549"/>
      <c r="J1030" s="549"/>
      <c r="K1030" s="549"/>
      <c r="L1030" s="549"/>
      <c r="M1030" s="549"/>
      <c r="N1030" s="549"/>
      <c r="O1030" s="549"/>
    </row>
    <row r="1031" spans="2:15">
      <c r="B1031" s="579"/>
      <c r="C1031" s="547"/>
      <c r="D1031" s="547"/>
      <c r="E1031" s="547">
        <v>2</v>
      </c>
      <c r="F1031" s="547"/>
      <c r="G1031" s="547"/>
      <c r="H1031" s="547"/>
      <c r="I1031" s="547"/>
      <c r="J1031" s="547"/>
      <c r="K1031" s="547"/>
      <c r="L1031" s="547"/>
      <c r="M1031" s="547"/>
      <c r="N1031" s="547"/>
      <c r="O1031" s="547"/>
    </row>
    <row r="1032" spans="2:15">
      <c r="B1032" s="579"/>
      <c r="C1032" s="547"/>
      <c r="D1032" s="547"/>
      <c r="E1032" s="547">
        <v>3</v>
      </c>
      <c r="F1032" s="547"/>
      <c r="G1032" s="547"/>
      <c r="H1032" s="547"/>
      <c r="I1032" s="547"/>
      <c r="J1032" s="547"/>
      <c r="K1032" s="547"/>
      <c r="L1032" s="547"/>
      <c r="M1032" s="547"/>
      <c r="N1032" s="547"/>
      <c r="O1032" s="547"/>
    </row>
    <row r="1033" spans="2:15">
      <c r="B1033" s="579"/>
      <c r="C1033" s="547"/>
      <c r="D1033" s="547"/>
      <c r="E1033" s="547">
        <v>4</v>
      </c>
      <c r="F1033" s="547"/>
      <c r="G1033" s="547"/>
      <c r="H1033" s="547"/>
      <c r="I1033" s="547"/>
      <c r="J1033" s="547"/>
      <c r="K1033" s="547"/>
      <c r="L1033" s="547"/>
      <c r="M1033" s="547"/>
      <c r="N1033" s="547"/>
      <c r="O1033" s="547"/>
    </row>
    <row r="1034" spans="2:15">
      <c r="B1034" s="579"/>
      <c r="C1034" s="547"/>
      <c r="D1034" s="547"/>
      <c r="E1034" s="547">
        <v>5</v>
      </c>
      <c r="F1034" s="547"/>
      <c r="G1034" s="547"/>
      <c r="H1034" s="547"/>
      <c r="I1034" s="547"/>
      <c r="J1034" s="547"/>
      <c r="K1034" s="547"/>
      <c r="L1034" s="547"/>
      <c r="M1034" s="547"/>
      <c r="N1034" s="547"/>
      <c r="O1034" s="547"/>
    </row>
    <row r="1035" spans="2:15">
      <c r="B1035" s="579"/>
      <c r="C1035" s="547"/>
      <c r="D1035" s="547"/>
      <c r="E1035" s="547">
        <v>6</v>
      </c>
      <c r="F1035" s="547"/>
      <c r="G1035" s="547"/>
      <c r="H1035" s="547"/>
      <c r="I1035" s="547"/>
      <c r="J1035" s="547"/>
      <c r="K1035" s="547"/>
      <c r="L1035" s="547"/>
      <c r="M1035" s="547"/>
      <c r="N1035" s="547"/>
      <c r="O1035" s="547"/>
    </row>
    <row r="1036" spans="2:15">
      <c r="B1036" s="579"/>
      <c r="C1036" s="547"/>
      <c r="D1036" s="547"/>
      <c r="E1036" s="547">
        <v>7</v>
      </c>
      <c r="F1036" s="547"/>
      <c r="G1036" s="547"/>
      <c r="H1036" s="547"/>
      <c r="I1036" s="547"/>
      <c r="J1036" s="547"/>
      <c r="K1036" s="547"/>
      <c r="L1036" s="547"/>
      <c r="M1036" s="547"/>
      <c r="N1036" s="547"/>
      <c r="O1036" s="547"/>
    </row>
    <row r="1037" spans="2:15">
      <c r="B1037" s="579"/>
      <c r="C1037" s="547"/>
      <c r="D1037" s="547"/>
      <c r="E1037" s="547">
        <v>8</v>
      </c>
      <c r="F1037" s="547"/>
      <c r="G1037" s="547"/>
      <c r="H1037" s="547"/>
      <c r="I1037" s="547"/>
      <c r="J1037" s="547"/>
      <c r="K1037" s="547"/>
      <c r="L1037" s="547"/>
      <c r="M1037" s="547"/>
      <c r="N1037" s="547"/>
      <c r="O1037" s="547"/>
    </row>
    <row r="1038" spans="2:15">
      <c r="B1038" s="579"/>
      <c r="C1038" s="547"/>
      <c r="D1038" s="547"/>
      <c r="E1038" s="547">
        <v>9</v>
      </c>
      <c r="F1038" s="547"/>
      <c r="G1038" s="547"/>
      <c r="H1038" s="547"/>
      <c r="I1038" s="547"/>
      <c r="J1038" s="547"/>
      <c r="K1038" s="547"/>
      <c r="L1038" s="547"/>
      <c r="M1038" s="547"/>
      <c r="N1038" s="547"/>
      <c r="O1038" s="547"/>
    </row>
    <row r="1039" spans="2:15">
      <c r="B1039" s="579"/>
      <c r="C1039" s="569"/>
      <c r="D1039" s="569"/>
      <c r="E1039" s="569">
        <v>10</v>
      </c>
      <c r="F1039" s="569"/>
      <c r="G1039" s="569"/>
      <c r="H1039" s="569"/>
      <c r="I1039" s="569"/>
      <c r="J1039" s="569"/>
      <c r="K1039" s="569"/>
      <c r="L1039" s="569"/>
      <c r="M1039" s="569"/>
      <c r="N1039" s="569"/>
      <c r="O1039" s="569"/>
    </row>
    <row r="1040" spans="2:15">
      <c r="B1040" s="579"/>
      <c r="C1040" s="549" t="s">
        <v>3293</v>
      </c>
      <c r="D1040" s="549" t="s">
        <v>3294</v>
      </c>
      <c r="E1040" s="549">
        <v>1</v>
      </c>
      <c r="F1040" s="549"/>
      <c r="G1040" s="549"/>
      <c r="H1040" s="549"/>
      <c r="I1040" s="549"/>
      <c r="J1040" s="549"/>
      <c r="K1040" s="549"/>
      <c r="L1040" s="549"/>
      <c r="M1040" s="549"/>
      <c r="N1040" s="549"/>
      <c r="O1040" s="549"/>
    </row>
    <row r="1041" spans="2:15">
      <c r="B1041" s="579"/>
      <c r="C1041" s="547"/>
      <c r="D1041" s="547"/>
      <c r="E1041" s="547">
        <v>2</v>
      </c>
      <c r="F1041" s="547"/>
      <c r="G1041" s="547"/>
      <c r="H1041" s="547"/>
      <c r="I1041" s="547"/>
      <c r="J1041" s="547"/>
      <c r="K1041" s="547"/>
      <c r="L1041" s="547"/>
      <c r="M1041" s="547"/>
      <c r="N1041" s="547"/>
      <c r="O1041" s="547"/>
    </row>
    <row r="1042" spans="2:15">
      <c r="B1042" s="579"/>
      <c r="C1042" s="547"/>
      <c r="D1042" s="547"/>
      <c r="E1042" s="547">
        <v>3</v>
      </c>
      <c r="F1042" s="547"/>
      <c r="G1042" s="547"/>
      <c r="H1042" s="547"/>
      <c r="I1042" s="547"/>
      <c r="J1042" s="547"/>
      <c r="K1042" s="547"/>
      <c r="L1042" s="547"/>
      <c r="M1042" s="547"/>
      <c r="N1042" s="547"/>
      <c r="O1042" s="547"/>
    </row>
    <row r="1043" spans="2:15">
      <c r="B1043" s="579"/>
      <c r="C1043" s="547"/>
      <c r="D1043" s="547"/>
      <c r="E1043" s="547">
        <v>4</v>
      </c>
      <c r="F1043" s="547"/>
      <c r="G1043" s="547"/>
      <c r="H1043" s="547"/>
      <c r="I1043" s="547"/>
      <c r="J1043" s="547"/>
      <c r="K1043" s="547"/>
      <c r="L1043" s="547"/>
      <c r="M1043" s="547"/>
      <c r="N1043" s="547"/>
      <c r="O1043" s="547"/>
    </row>
    <row r="1044" spans="2:15">
      <c r="B1044" s="579"/>
      <c r="C1044" s="547"/>
      <c r="D1044" s="547"/>
      <c r="E1044" s="547">
        <v>5</v>
      </c>
      <c r="F1044" s="547"/>
      <c r="G1044" s="547"/>
      <c r="H1044" s="547"/>
      <c r="I1044" s="547"/>
      <c r="J1044" s="547"/>
      <c r="K1044" s="547"/>
      <c r="L1044" s="547"/>
      <c r="M1044" s="547"/>
      <c r="N1044" s="547"/>
      <c r="O1044" s="547"/>
    </row>
    <row r="1045" spans="2:15">
      <c r="B1045" s="579"/>
      <c r="C1045" s="547"/>
      <c r="D1045" s="547"/>
      <c r="E1045" s="547">
        <v>6</v>
      </c>
      <c r="F1045" s="547"/>
      <c r="G1045" s="547"/>
      <c r="H1045" s="547"/>
      <c r="I1045" s="547"/>
      <c r="J1045" s="547"/>
      <c r="K1045" s="547"/>
      <c r="L1045" s="547"/>
      <c r="M1045" s="547"/>
      <c r="N1045" s="547"/>
      <c r="O1045" s="547"/>
    </row>
    <row r="1046" spans="2:15">
      <c r="B1046" s="579"/>
      <c r="C1046" s="547"/>
      <c r="D1046" s="547"/>
      <c r="E1046" s="547">
        <v>7</v>
      </c>
      <c r="F1046" s="547"/>
      <c r="G1046" s="547"/>
      <c r="H1046" s="547"/>
      <c r="I1046" s="547"/>
      <c r="J1046" s="547"/>
      <c r="K1046" s="547"/>
      <c r="L1046" s="547"/>
      <c r="M1046" s="547"/>
      <c r="N1046" s="547"/>
      <c r="O1046" s="547"/>
    </row>
    <row r="1047" spans="2:15">
      <c r="B1047" s="579"/>
      <c r="C1047" s="547"/>
      <c r="D1047" s="547"/>
      <c r="E1047" s="547">
        <v>8</v>
      </c>
      <c r="F1047" s="547"/>
      <c r="G1047" s="547"/>
      <c r="H1047" s="547"/>
      <c r="I1047" s="547"/>
      <c r="J1047" s="547"/>
      <c r="K1047" s="547"/>
      <c r="L1047" s="547"/>
      <c r="M1047" s="547"/>
      <c r="N1047" s="547"/>
      <c r="O1047" s="547"/>
    </row>
    <row r="1048" spans="2:15">
      <c r="B1048" s="579"/>
      <c r="C1048" s="547"/>
      <c r="D1048" s="547"/>
      <c r="E1048" s="547">
        <v>9</v>
      </c>
      <c r="F1048" s="547"/>
      <c r="G1048" s="547"/>
      <c r="H1048" s="547"/>
      <c r="I1048" s="547"/>
      <c r="J1048" s="547"/>
      <c r="K1048" s="547"/>
      <c r="L1048" s="547"/>
      <c r="M1048" s="547"/>
      <c r="N1048" s="547"/>
      <c r="O1048" s="547"/>
    </row>
    <row r="1049" spans="2:15">
      <c r="B1049" s="672"/>
      <c r="C1049" s="569"/>
      <c r="D1049" s="569"/>
      <c r="E1049" s="569">
        <v>10</v>
      </c>
      <c r="F1049" s="569"/>
      <c r="G1049" s="569"/>
      <c r="H1049" s="569"/>
      <c r="I1049" s="569"/>
      <c r="J1049" s="569"/>
      <c r="K1049" s="569"/>
      <c r="L1049" s="569"/>
      <c r="M1049" s="569"/>
      <c r="N1049" s="569"/>
      <c r="O1049" s="569"/>
    </row>
    <row r="1050" spans="2:15">
      <c r="B1050" s="579" t="s">
        <v>3300</v>
      </c>
      <c r="C1050" s="549" t="s">
        <v>3301</v>
      </c>
      <c r="D1050" s="549" t="s">
        <v>3302</v>
      </c>
      <c r="E1050" s="549">
        <v>1</v>
      </c>
      <c r="F1050" s="549"/>
      <c r="G1050" s="549"/>
      <c r="H1050" s="549"/>
      <c r="I1050" s="549"/>
      <c r="J1050" s="549"/>
      <c r="K1050" s="549"/>
      <c r="L1050" s="549"/>
      <c r="M1050" s="549"/>
      <c r="N1050" s="549"/>
      <c r="O1050" s="549"/>
    </row>
    <row r="1051" spans="2:15">
      <c r="B1051" s="579"/>
      <c r="C1051" s="547"/>
      <c r="D1051" s="547"/>
      <c r="E1051" s="547">
        <v>2</v>
      </c>
      <c r="F1051" s="687"/>
      <c r="G1051" s="547"/>
      <c r="H1051" s="547"/>
      <c r="I1051" s="547"/>
      <c r="J1051" s="547"/>
      <c r="K1051" s="547"/>
      <c r="L1051" s="547"/>
      <c r="M1051" s="547"/>
      <c r="N1051" s="547"/>
      <c r="O1051" s="547"/>
    </row>
    <row r="1052" spans="2:15">
      <c r="B1052" s="579"/>
      <c r="C1052" s="547"/>
      <c r="D1052" s="547"/>
      <c r="E1052" s="547">
        <v>3</v>
      </c>
      <c r="F1052" s="547"/>
      <c r="G1052" s="547"/>
      <c r="H1052" s="547"/>
      <c r="I1052" s="547"/>
      <c r="J1052" s="547"/>
      <c r="K1052" s="547"/>
      <c r="L1052" s="547"/>
      <c r="M1052" s="547"/>
      <c r="N1052" s="547"/>
      <c r="O1052" s="547"/>
    </row>
    <row r="1053" spans="2:15">
      <c r="B1053" s="579"/>
      <c r="C1053" s="547"/>
      <c r="D1053" s="547"/>
      <c r="E1053" s="547">
        <v>4</v>
      </c>
      <c r="F1053" s="547"/>
      <c r="G1053" s="547"/>
      <c r="H1053" s="547"/>
      <c r="I1053" s="547"/>
      <c r="J1053" s="547"/>
      <c r="K1053" s="547"/>
      <c r="L1053" s="547"/>
      <c r="M1053" s="547"/>
      <c r="N1053" s="547"/>
      <c r="O1053" s="547"/>
    </row>
    <row r="1054" spans="2:15">
      <c r="B1054" s="579"/>
      <c r="C1054" s="547"/>
      <c r="D1054" s="547"/>
      <c r="E1054" s="547">
        <v>5</v>
      </c>
      <c r="F1054" s="547"/>
      <c r="G1054" s="547"/>
      <c r="H1054" s="547"/>
      <c r="I1054" s="547"/>
      <c r="J1054" s="547"/>
      <c r="K1054" s="547"/>
      <c r="L1054" s="547"/>
      <c r="M1054" s="547"/>
      <c r="N1054" s="547"/>
      <c r="O1054" s="547"/>
    </row>
    <row r="1055" spans="2:15">
      <c r="B1055" s="579"/>
      <c r="C1055" s="547"/>
      <c r="D1055" s="547"/>
      <c r="E1055" s="547">
        <v>6</v>
      </c>
      <c r="F1055" s="547"/>
      <c r="G1055" s="547"/>
      <c r="H1055" s="547"/>
      <c r="I1055" s="547"/>
      <c r="J1055" s="547"/>
      <c r="K1055" s="547"/>
      <c r="L1055" s="547"/>
      <c r="M1055" s="547"/>
      <c r="N1055" s="547"/>
      <c r="O1055" s="547"/>
    </row>
    <row r="1056" spans="2:15">
      <c r="B1056" s="579"/>
      <c r="C1056" s="547"/>
      <c r="D1056" s="547"/>
      <c r="E1056" s="547">
        <v>7</v>
      </c>
      <c r="F1056" s="547"/>
      <c r="G1056" s="547"/>
      <c r="H1056" s="547"/>
      <c r="I1056" s="547"/>
      <c r="J1056" s="547"/>
      <c r="K1056" s="547"/>
      <c r="L1056" s="547"/>
      <c r="M1056" s="547"/>
      <c r="N1056" s="547"/>
      <c r="O1056" s="547"/>
    </row>
    <row r="1057" spans="2:15">
      <c r="B1057" s="579"/>
      <c r="C1057" s="547"/>
      <c r="D1057" s="547"/>
      <c r="E1057" s="547">
        <v>8</v>
      </c>
      <c r="F1057" s="547"/>
      <c r="G1057" s="547"/>
      <c r="H1057" s="547"/>
      <c r="I1057" s="547"/>
      <c r="J1057" s="547"/>
      <c r="K1057" s="547"/>
      <c r="L1057" s="547"/>
      <c r="M1057" s="547"/>
      <c r="N1057" s="547"/>
      <c r="O1057" s="547"/>
    </row>
    <row r="1058" spans="2:15">
      <c r="B1058" s="579"/>
      <c r="C1058" s="547"/>
      <c r="D1058" s="547"/>
      <c r="E1058" s="547">
        <v>9</v>
      </c>
      <c r="F1058" s="547"/>
      <c r="G1058" s="547"/>
      <c r="H1058" s="547"/>
      <c r="I1058" s="547"/>
      <c r="J1058" s="547"/>
      <c r="K1058" s="547"/>
      <c r="L1058" s="547"/>
      <c r="M1058" s="547"/>
      <c r="N1058" s="547"/>
      <c r="O1058" s="547"/>
    </row>
    <row r="1059" spans="2:15">
      <c r="B1059" s="579"/>
      <c r="C1059" s="569"/>
      <c r="D1059" s="569"/>
      <c r="E1059" s="569">
        <v>10</v>
      </c>
      <c r="F1059" s="569"/>
      <c r="G1059" s="569"/>
      <c r="H1059" s="569"/>
      <c r="I1059" s="569"/>
      <c r="J1059" s="569"/>
      <c r="K1059" s="569"/>
      <c r="L1059" s="569"/>
      <c r="M1059" s="569"/>
      <c r="N1059" s="569"/>
      <c r="O1059" s="569"/>
    </row>
    <row r="1060" spans="2:15">
      <c r="B1060" s="579"/>
      <c r="C1060" s="557" t="s">
        <v>3474</v>
      </c>
      <c r="D1060" s="557" t="s">
        <v>3315</v>
      </c>
      <c r="E1060" s="557">
        <v>1</v>
      </c>
      <c r="F1060" s="557"/>
      <c r="G1060" s="557"/>
      <c r="H1060" s="557"/>
      <c r="I1060" s="557"/>
      <c r="J1060" s="557"/>
      <c r="K1060" s="557"/>
      <c r="L1060" s="557"/>
      <c r="M1060" s="557"/>
      <c r="N1060" s="557"/>
      <c r="O1060" s="557"/>
    </row>
    <row r="1061" spans="2:15">
      <c r="B1061" s="579"/>
      <c r="C1061" s="547"/>
      <c r="D1061" s="547"/>
      <c r="E1061" s="547">
        <v>2</v>
      </c>
      <c r="F1061" s="547"/>
      <c r="G1061" s="547"/>
      <c r="H1061" s="547"/>
      <c r="I1061" s="547"/>
      <c r="J1061" s="547"/>
      <c r="K1061" s="547"/>
      <c r="L1061" s="547"/>
      <c r="M1061" s="547"/>
      <c r="N1061" s="547"/>
      <c r="O1061" s="547"/>
    </row>
    <row r="1062" spans="2:15">
      <c r="B1062" s="579"/>
      <c r="C1062" s="547"/>
      <c r="D1062" s="547"/>
      <c r="E1062" s="547">
        <v>3</v>
      </c>
      <c r="F1062" s="547"/>
      <c r="G1062" s="547"/>
      <c r="H1062" s="547"/>
      <c r="I1062" s="547"/>
      <c r="J1062" s="547"/>
      <c r="K1062" s="547"/>
      <c r="L1062" s="547"/>
      <c r="M1062" s="547"/>
      <c r="N1062" s="547"/>
      <c r="O1062" s="547"/>
    </row>
    <row r="1063" spans="2:15">
      <c r="B1063" s="579"/>
      <c r="C1063" s="547"/>
      <c r="D1063" s="547"/>
      <c r="E1063" s="547">
        <v>4</v>
      </c>
      <c r="F1063" s="547"/>
      <c r="G1063" s="547"/>
      <c r="H1063" s="547"/>
      <c r="I1063" s="547"/>
      <c r="J1063" s="547"/>
      <c r="K1063" s="547"/>
      <c r="L1063" s="547"/>
      <c r="M1063" s="547"/>
      <c r="N1063" s="547"/>
      <c r="O1063" s="547"/>
    </row>
    <row r="1064" spans="2:15">
      <c r="B1064" s="579"/>
      <c r="C1064" s="547"/>
      <c r="D1064" s="547"/>
      <c r="E1064" s="547">
        <v>5</v>
      </c>
      <c r="F1064" s="547"/>
      <c r="G1064" s="547"/>
      <c r="H1064" s="547"/>
      <c r="I1064" s="547"/>
      <c r="J1064" s="547"/>
      <c r="K1064" s="547"/>
      <c r="L1064" s="547"/>
      <c r="M1064" s="547"/>
      <c r="N1064" s="547"/>
      <c r="O1064" s="547"/>
    </row>
    <row r="1065" spans="2:15">
      <c r="B1065" s="579"/>
      <c r="C1065" s="547"/>
      <c r="D1065" s="547"/>
      <c r="E1065" s="547">
        <v>6</v>
      </c>
      <c r="F1065" s="547"/>
      <c r="G1065" s="547"/>
      <c r="H1065" s="547"/>
      <c r="I1065" s="547"/>
      <c r="J1065" s="547"/>
      <c r="K1065" s="547"/>
      <c r="L1065" s="547"/>
      <c r="M1065" s="547"/>
      <c r="N1065" s="547"/>
      <c r="O1065" s="547"/>
    </row>
    <row r="1066" spans="2:15">
      <c r="B1066" s="579"/>
      <c r="C1066" s="547"/>
      <c r="D1066" s="547"/>
      <c r="E1066" s="547">
        <v>7</v>
      </c>
      <c r="F1066" s="547"/>
      <c r="G1066" s="547"/>
      <c r="H1066" s="547"/>
      <c r="I1066" s="547"/>
      <c r="J1066" s="547"/>
      <c r="K1066" s="547"/>
      <c r="L1066" s="547"/>
      <c r="M1066" s="547"/>
      <c r="N1066" s="547"/>
      <c r="O1066" s="547"/>
    </row>
    <row r="1067" spans="2:15">
      <c r="B1067" s="579"/>
      <c r="C1067" s="547"/>
      <c r="D1067" s="547"/>
      <c r="E1067" s="547">
        <v>8</v>
      </c>
      <c r="F1067" s="547"/>
      <c r="G1067" s="547"/>
      <c r="H1067" s="547"/>
      <c r="I1067" s="547"/>
      <c r="J1067" s="547"/>
      <c r="K1067" s="547"/>
      <c r="L1067" s="547"/>
      <c r="M1067" s="547"/>
      <c r="N1067" s="547"/>
      <c r="O1067" s="547"/>
    </row>
    <row r="1068" spans="2:15">
      <c r="B1068" s="579"/>
      <c r="C1068" s="547"/>
      <c r="D1068" s="547"/>
      <c r="E1068" s="547">
        <v>9</v>
      </c>
      <c r="F1068" s="547"/>
      <c r="G1068" s="547"/>
      <c r="H1068" s="547"/>
      <c r="I1068" s="547"/>
      <c r="J1068" s="547"/>
      <c r="K1068" s="547"/>
      <c r="L1068" s="547"/>
      <c r="M1068" s="547"/>
      <c r="N1068" s="547"/>
      <c r="O1068" s="547"/>
    </row>
    <row r="1069" spans="2:15">
      <c r="B1069" s="672"/>
      <c r="C1069" s="569"/>
      <c r="D1069" s="569"/>
      <c r="E1069" s="569">
        <v>10</v>
      </c>
      <c r="F1069" s="569"/>
      <c r="G1069" s="569"/>
      <c r="H1069" s="569"/>
      <c r="I1069" s="569"/>
      <c r="J1069" s="569"/>
      <c r="K1069" s="569"/>
      <c r="L1069" s="569"/>
      <c r="M1069" s="569"/>
      <c r="N1069" s="569"/>
      <c r="O1069" s="569"/>
    </row>
    <row r="1070" spans="2:15">
      <c r="B1070" s="575" t="s">
        <v>3324</v>
      </c>
      <c r="C1070" s="557" t="s">
        <v>3325</v>
      </c>
      <c r="D1070" s="557" t="s">
        <v>3326</v>
      </c>
      <c r="E1070" s="557">
        <v>1</v>
      </c>
      <c r="F1070" s="557"/>
      <c r="G1070" s="557"/>
      <c r="H1070" s="557"/>
      <c r="I1070" s="557"/>
      <c r="J1070" s="557"/>
      <c r="K1070" s="557"/>
      <c r="L1070" s="557"/>
      <c r="M1070" s="557"/>
      <c r="N1070" s="557"/>
      <c r="O1070" s="557"/>
    </row>
    <row r="1071" spans="2:15">
      <c r="B1071" s="579"/>
      <c r="C1071" s="547"/>
      <c r="D1071" s="547"/>
      <c r="E1071" s="547">
        <v>2</v>
      </c>
      <c r="F1071" s="547"/>
      <c r="G1071" s="547"/>
      <c r="H1071" s="547"/>
      <c r="I1071" s="547"/>
      <c r="J1071" s="547"/>
      <c r="K1071" s="547"/>
      <c r="L1071" s="547"/>
      <c r="M1071" s="547"/>
      <c r="N1071" s="547"/>
      <c r="O1071" s="547"/>
    </row>
    <row r="1072" spans="2:15">
      <c r="B1072" s="579"/>
      <c r="C1072" s="547"/>
      <c r="D1072" s="547"/>
      <c r="E1072" s="547">
        <v>3</v>
      </c>
      <c r="F1072" s="547"/>
      <c r="G1072" s="547"/>
      <c r="H1072" s="547"/>
      <c r="I1072" s="547"/>
      <c r="J1072" s="547"/>
      <c r="K1072" s="547"/>
      <c r="L1072" s="547"/>
      <c r="M1072" s="547"/>
      <c r="N1072" s="547"/>
      <c r="O1072" s="547"/>
    </row>
    <row r="1073" spans="2:15">
      <c r="B1073" s="579"/>
      <c r="C1073" s="547"/>
      <c r="D1073" s="547"/>
      <c r="E1073" s="547">
        <v>4</v>
      </c>
      <c r="F1073" s="547"/>
      <c r="G1073" s="547"/>
      <c r="H1073" s="547"/>
      <c r="I1073" s="547"/>
      <c r="J1073" s="547"/>
      <c r="K1073" s="547"/>
      <c r="L1073" s="547"/>
      <c r="M1073" s="547"/>
      <c r="N1073" s="547"/>
      <c r="O1073" s="547"/>
    </row>
    <row r="1074" spans="2:15">
      <c r="B1074" s="579"/>
      <c r="C1074" s="547"/>
      <c r="D1074" s="547"/>
      <c r="E1074" s="547">
        <v>5</v>
      </c>
      <c r="F1074" s="547"/>
      <c r="G1074" s="547"/>
      <c r="H1074" s="547"/>
      <c r="I1074" s="547"/>
      <c r="J1074" s="547"/>
      <c r="K1074" s="547"/>
      <c r="L1074" s="547"/>
      <c r="M1074" s="547"/>
      <c r="N1074" s="547"/>
      <c r="O1074" s="547"/>
    </row>
    <row r="1075" spans="2:15">
      <c r="B1075" s="579"/>
      <c r="C1075" s="547"/>
      <c r="D1075" s="547"/>
      <c r="E1075" s="547">
        <v>6</v>
      </c>
      <c r="F1075" s="547"/>
      <c r="G1075" s="547"/>
      <c r="H1075" s="547"/>
      <c r="I1075" s="547"/>
      <c r="J1075" s="547"/>
      <c r="K1075" s="547"/>
      <c r="L1075" s="547"/>
      <c r="M1075" s="547"/>
      <c r="N1075" s="547"/>
      <c r="O1075" s="547"/>
    </row>
    <row r="1076" spans="2:15">
      <c r="B1076" s="579"/>
      <c r="C1076" s="547"/>
      <c r="D1076" s="547"/>
      <c r="E1076" s="547">
        <v>7</v>
      </c>
      <c r="F1076" s="547"/>
      <c r="G1076" s="547"/>
      <c r="H1076" s="547"/>
      <c r="I1076" s="547"/>
      <c r="J1076" s="547"/>
      <c r="K1076" s="547"/>
      <c r="L1076" s="547"/>
      <c r="M1076" s="547"/>
      <c r="N1076" s="547"/>
      <c r="O1076" s="547"/>
    </row>
    <row r="1077" spans="2:15">
      <c r="B1077" s="579"/>
      <c r="C1077" s="547"/>
      <c r="D1077" s="547"/>
      <c r="E1077" s="547">
        <v>8</v>
      </c>
      <c r="F1077" s="547"/>
      <c r="G1077" s="547"/>
      <c r="H1077" s="547"/>
      <c r="I1077" s="547"/>
      <c r="J1077" s="547"/>
      <c r="K1077" s="547"/>
      <c r="L1077" s="547"/>
      <c r="M1077" s="547"/>
      <c r="N1077" s="547"/>
      <c r="O1077" s="547"/>
    </row>
    <row r="1078" spans="2:15">
      <c r="B1078" s="579"/>
      <c r="C1078" s="547"/>
      <c r="D1078" s="547"/>
      <c r="E1078" s="547">
        <v>9</v>
      </c>
      <c r="F1078" s="547"/>
      <c r="G1078" s="547"/>
      <c r="H1078" s="547"/>
      <c r="I1078" s="547"/>
      <c r="J1078" s="547"/>
      <c r="K1078" s="547"/>
      <c r="L1078" s="547"/>
      <c r="M1078" s="547"/>
      <c r="N1078" s="547"/>
      <c r="O1078" s="547"/>
    </row>
    <row r="1079" spans="2:15">
      <c r="B1079" s="672"/>
      <c r="C1079" s="569"/>
      <c r="D1079" s="569"/>
      <c r="E1079" s="569">
        <v>10</v>
      </c>
      <c r="F1079" s="569"/>
      <c r="G1079" s="569"/>
      <c r="H1079" s="569"/>
      <c r="I1079" s="569"/>
      <c r="J1079" s="569"/>
      <c r="K1079" s="569"/>
      <c r="L1079" s="569"/>
      <c r="M1079" s="569"/>
      <c r="N1079" s="569"/>
      <c r="O1079" s="569"/>
    </row>
    <row r="1080" spans="2:15">
      <c r="B1080" s="579" t="s">
        <v>3349</v>
      </c>
      <c r="C1080" s="557" t="s">
        <v>3350</v>
      </c>
      <c r="D1080" s="557" t="s">
        <v>3351</v>
      </c>
      <c r="E1080" s="557">
        <v>1</v>
      </c>
      <c r="F1080" s="557"/>
      <c r="G1080" s="557"/>
      <c r="H1080" s="557"/>
      <c r="I1080" s="557"/>
      <c r="J1080" s="557"/>
      <c r="K1080" s="557"/>
      <c r="L1080" s="557"/>
      <c r="M1080" s="557"/>
      <c r="N1080" s="557"/>
      <c r="O1080" s="557"/>
    </row>
    <row r="1081" spans="2:15">
      <c r="B1081" s="579"/>
      <c r="C1081" s="547"/>
      <c r="D1081" s="547"/>
      <c r="E1081" s="547">
        <v>2</v>
      </c>
      <c r="F1081" s="547"/>
      <c r="G1081" s="547"/>
      <c r="H1081" s="547"/>
      <c r="I1081" s="547"/>
      <c r="J1081" s="547"/>
      <c r="K1081" s="547"/>
      <c r="L1081" s="547"/>
      <c r="M1081" s="547"/>
      <c r="N1081" s="547"/>
      <c r="O1081" s="547"/>
    </row>
    <row r="1082" spans="2:15">
      <c r="B1082" s="579"/>
      <c r="C1082" s="547"/>
      <c r="D1082" s="547"/>
      <c r="E1082" s="547">
        <v>3</v>
      </c>
      <c r="F1082" s="547"/>
      <c r="G1082" s="547"/>
      <c r="H1082" s="547"/>
      <c r="I1082" s="547"/>
      <c r="J1082" s="547"/>
      <c r="K1082" s="547"/>
      <c r="L1082" s="547"/>
      <c r="M1082" s="547"/>
      <c r="N1082" s="547"/>
      <c r="O1082" s="547"/>
    </row>
    <row r="1083" spans="2:15">
      <c r="B1083" s="579"/>
      <c r="C1083" s="547"/>
      <c r="D1083" s="547"/>
      <c r="E1083" s="547">
        <v>4</v>
      </c>
      <c r="F1083" s="547"/>
      <c r="G1083" s="547"/>
      <c r="H1083" s="547"/>
      <c r="I1083" s="547"/>
      <c r="J1083" s="547"/>
      <c r="K1083" s="547"/>
      <c r="L1083" s="547"/>
      <c r="M1083" s="547"/>
      <c r="N1083" s="547"/>
      <c r="O1083" s="547"/>
    </row>
    <row r="1084" spans="2:15">
      <c r="B1084" s="579"/>
      <c r="C1084" s="547"/>
      <c r="D1084" s="547"/>
      <c r="E1084" s="547">
        <v>5</v>
      </c>
      <c r="F1084" s="547"/>
      <c r="G1084" s="547"/>
      <c r="H1084" s="547"/>
      <c r="I1084" s="547"/>
      <c r="J1084" s="547"/>
      <c r="K1084" s="547"/>
      <c r="L1084" s="547"/>
      <c r="M1084" s="547"/>
      <c r="N1084" s="547"/>
      <c r="O1084" s="547"/>
    </row>
    <row r="1085" spans="2:15">
      <c r="B1085" s="579"/>
      <c r="C1085" s="547"/>
      <c r="D1085" s="547"/>
      <c r="E1085" s="547">
        <v>6</v>
      </c>
      <c r="F1085" s="547"/>
      <c r="G1085" s="547"/>
      <c r="H1085" s="547"/>
      <c r="I1085" s="547"/>
      <c r="J1085" s="547"/>
      <c r="K1085" s="547"/>
      <c r="L1085" s="547"/>
      <c r="M1085" s="547"/>
      <c r="N1085" s="547"/>
      <c r="O1085" s="547"/>
    </row>
    <row r="1086" spans="2:15">
      <c r="B1086" s="579"/>
      <c r="C1086" s="547"/>
      <c r="D1086" s="547"/>
      <c r="E1086" s="547">
        <v>7</v>
      </c>
      <c r="F1086" s="547"/>
      <c r="G1086" s="547"/>
      <c r="H1086" s="547"/>
      <c r="I1086" s="547"/>
      <c r="J1086" s="547"/>
      <c r="K1086" s="547"/>
      <c r="L1086" s="547"/>
      <c r="M1086" s="547"/>
      <c r="N1086" s="547"/>
      <c r="O1086" s="547"/>
    </row>
    <row r="1087" spans="2:15">
      <c r="B1087" s="579"/>
      <c r="C1087" s="547"/>
      <c r="D1087" s="547"/>
      <c r="E1087" s="547">
        <v>8</v>
      </c>
      <c r="F1087" s="547"/>
      <c r="G1087" s="547"/>
      <c r="H1087" s="547"/>
      <c r="I1087" s="547"/>
      <c r="J1087" s="547"/>
      <c r="K1087" s="547"/>
      <c r="L1087" s="547"/>
      <c r="M1087" s="547"/>
      <c r="N1087" s="547"/>
      <c r="O1087" s="547"/>
    </row>
    <row r="1088" spans="2:15">
      <c r="B1088" s="579"/>
      <c r="C1088" s="547"/>
      <c r="D1088" s="547"/>
      <c r="E1088" s="547">
        <v>9</v>
      </c>
      <c r="F1088" s="547"/>
      <c r="G1088" s="547"/>
      <c r="H1088" s="547"/>
      <c r="I1088" s="547"/>
      <c r="J1088" s="547"/>
      <c r="K1088" s="547"/>
      <c r="L1088" s="547"/>
      <c r="M1088" s="547"/>
      <c r="N1088" s="547"/>
      <c r="O1088" s="547"/>
    </row>
    <row r="1089" spans="2:15">
      <c r="B1089" s="579"/>
      <c r="C1089" s="569"/>
      <c r="D1089" s="569"/>
      <c r="E1089" s="569">
        <v>10</v>
      </c>
      <c r="F1089" s="569"/>
      <c r="G1089" s="569"/>
      <c r="H1089" s="569"/>
      <c r="I1089" s="569"/>
      <c r="J1089" s="569"/>
      <c r="K1089" s="569"/>
      <c r="L1089" s="569"/>
      <c r="M1089" s="569"/>
      <c r="N1089" s="569"/>
      <c r="O1089" s="569"/>
    </row>
    <row r="1090" spans="2:15">
      <c r="B1090" s="579"/>
      <c r="C1090" s="557" t="s">
        <v>3371</v>
      </c>
      <c r="D1090" s="557" t="s">
        <v>3294</v>
      </c>
      <c r="E1090" s="557">
        <v>1</v>
      </c>
      <c r="F1090" s="557"/>
      <c r="G1090" s="557"/>
      <c r="H1090" s="557"/>
      <c r="I1090" s="557"/>
      <c r="J1090" s="557"/>
      <c r="K1090" s="557"/>
      <c r="L1090" s="557"/>
      <c r="M1090" s="557"/>
      <c r="N1090" s="557"/>
      <c r="O1090" s="557"/>
    </row>
    <row r="1091" spans="2:15">
      <c r="B1091" s="579"/>
      <c r="C1091" s="547"/>
      <c r="D1091" s="547"/>
      <c r="E1091" s="547">
        <v>2</v>
      </c>
      <c r="F1091" s="547"/>
      <c r="G1091" s="547"/>
      <c r="H1091" s="547"/>
      <c r="I1091" s="547"/>
      <c r="J1091" s="547"/>
      <c r="K1091" s="547"/>
      <c r="L1091" s="547"/>
      <c r="M1091" s="547"/>
      <c r="N1091" s="547"/>
      <c r="O1091" s="547"/>
    </row>
    <row r="1092" spans="2:15">
      <c r="B1092" s="579"/>
      <c r="C1092" s="547"/>
      <c r="D1092" s="547"/>
      <c r="E1092" s="547">
        <v>3</v>
      </c>
      <c r="F1092" s="547"/>
      <c r="G1092" s="547"/>
      <c r="H1092" s="547"/>
      <c r="I1092" s="547"/>
      <c r="J1092" s="547"/>
      <c r="K1092" s="547"/>
      <c r="L1092" s="547"/>
      <c r="M1092" s="547"/>
      <c r="N1092" s="547"/>
      <c r="O1092" s="547"/>
    </row>
    <row r="1093" spans="2:15">
      <c r="B1093" s="579"/>
      <c r="C1093" s="547"/>
      <c r="D1093" s="547"/>
      <c r="E1093" s="547">
        <v>4</v>
      </c>
      <c r="F1093" s="547"/>
      <c r="G1093" s="547"/>
      <c r="H1093" s="547"/>
      <c r="I1093" s="547"/>
      <c r="J1093" s="547"/>
      <c r="K1093" s="547"/>
      <c r="L1093" s="547"/>
      <c r="M1093" s="547"/>
      <c r="N1093" s="547"/>
      <c r="O1093" s="547"/>
    </row>
    <row r="1094" spans="2:15">
      <c r="B1094" s="579"/>
      <c r="C1094" s="547"/>
      <c r="D1094" s="547"/>
      <c r="E1094" s="547">
        <v>5</v>
      </c>
      <c r="F1094" s="547"/>
      <c r="G1094" s="547"/>
      <c r="H1094" s="547"/>
      <c r="I1094" s="547"/>
      <c r="J1094" s="547"/>
      <c r="K1094" s="547"/>
      <c r="L1094" s="547"/>
      <c r="M1094" s="547"/>
      <c r="N1094" s="547"/>
      <c r="O1094" s="547"/>
    </row>
    <row r="1095" spans="2:15">
      <c r="B1095" s="579"/>
      <c r="C1095" s="547"/>
      <c r="D1095" s="547"/>
      <c r="E1095" s="547">
        <v>6</v>
      </c>
      <c r="F1095" s="547"/>
      <c r="G1095" s="547"/>
      <c r="H1095" s="547"/>
      <c r="I1095" s="547"/>
      <c r="J1095" s="547"/>
      <c r="K1095" s="547"/>
      <c r="L1095" s="547"/>
      <c r="M1095" s="547"/>
      <c r="N1095" s="547"/>
      <c r="O1095" s="547"/>
    </row>
    <row r="1096" spans="2:15">
      <c r="B1096" s="579"/>
      <c r="C1096" s="547"/>
      <c r="D1096" s="547"/>
      <c r="E1096" s="547">
        <v>7</v>
      </c>
      <c r="F1096" s="547"/>
      <c r="G1096" s="547"/>
      <c r="H1096" s="547"/>
      <c r="I1096" s="547"/>
      <c r="J1096" s="547"/>
      <c r="K1096" s="547"/>
      <c r="L1096" s="547"/>
      <c r="M1096" s="547"/>
      <c r="N1096" s="547"/>
      <c r="O1096" s="547"/>
    </row>
    <row r="1097" spans="2:15">
      <c r="B1097" s="579"/>
      <c r="C1097" s="547"/>
      <c r="D1097" s="547"/>
      <c r="E1097" s="547">
        <v>8</v>
      </c>
      <c r="F1097" s="547"/>
      <c r="G1097" s="547"/>
      <c r="H1097" s="547"/>
      <c r="I1097" s="547"/>
      <c r="J1097" s="547"/>
      <c r="K1097" s="547"/>
      <c r="L1097" s="547"/>
      <c r="M1097" s="547"/>
      <c r="N1097" s="547"/>
      <c r="O1097" s="547"/>
    </row>
    <row r="1098" spans="2:15">
      <c r="B1098" s="579"/>
      <c r="C1098" s="547"/>
      <c r="D1098" s="547"/>
      <c r="E1098" s="547">
        <v>9</v>
      </c>
      <c r="F1098" s="547"/>
      <c r="G1098" s="547"/>
      <c r="H1098" s="547"/>
      <c r="I1098" s="547"/>
      <c r="J1098" s="547"/>
      <c r="K1098" s="547"/>
      <c r="L1098" s="547"/>
      <c r="M1098" s="547"/>
      <c r="N1098" s="547"/>
      <c r="O1098" s="547"/>
    </row>
    <row r="1099" spans="2:15">
      <c r="B1099" s="579"/>
      <c r="C1099" s="569"/>
      <c r="D1099" s="569"/>
      <c r="E1099" s="569">
        <v>10</v>
      </c>
      <c r="F1099" s="569"/>
      <c r="G1099" s="569"/>
      <c r="H1099" s="569"/>
      <c r="I1099" s="569"/>
      <c r="J1099" s="569"/>
      <c r="K1099" s="569"/>
      <c r="L1099" s="569"/>
      <c r="M1099" s="569"/>
      <c r="N1099" s="569"/>
      <c r="O1099" s="569"/>
    </row>
    <row r="1100" spans="2:15">
      <c r="B1100" s="579"/>
      <c r="C1100" s="557" t="s">
        <v>3376</v>
      </c>
      <c r="D1100" s="557" t="s">
        <v>3377</v>
      </c>
      <c r="E1100" s="557">
        <v>1</v>
      </c>
      <c r="F1100" s="557"/>
      <c r="G1100" s="557"/>
      <c r="H1100" s="557"/>
      <c r="I1100" s="557"/>
      <c r="J1100" s="557"/>
      <c r="K1100" s="557"/>
      <c r="L1100" s="557"/>
      <c r="M1100" s="557"/>
      <c r="N1100" s="557"/>
      <c r="O1100" s="557"/>
    </row>
    <row r="1101" spans="2:15">
      <c r="B1101" s="579"/>
      <c r="C1101" s="547"/>
      <c r="D1101" s="547"/>
      <c r="E1101" s="547">
        <v>2</v>
      </c>
      <c r="F1101" s="547"/>
      <c r="G1101" s="547"/>
      <c r="H1101" s="547"/>
      <c r="I1101" s="547"/>
      <c r="J1101" s="547"/>
      <c r="K1101" s="547"/>
      <c r="L1101" s="547"/>
      <c r="M1101" s="547"/>
      <c r="N1101" s="547"/>
      <c r="O1101" s="547"/>
    </row>
    <row r="1102" spans="2:15">
      <c r="B1102" s="579"/>
      <c r="C1102" s="547"/>
      <c r="D1102" s="547"/>
      <c r="E1102" s="547">
        <v>3</v>
      </c>
      <c r="F1102" s="547"/>
      <c r="G1102" s="547"/>
      <c r="H1102" s="547"/>
      <c r="I1102" s="547"/>
      <c r="J1102" s="547"/>
      <c r="K1102" s="547"/>
      <c r="L1102" s="547"/>
      <c r="M1102" s="547"/>
      <c r="N1102" s="547"/>
      <c r="O1102" s="547"/>
    </row>
    <row r="1103" spans="2:15">
      <c r="B1103" s="579"/>
      <c r="C1103" s="547"/>
      <c r="D1103" s="547"/>
      <c r="E1103" s="547">
        <v>4</v>
      </c>
      <c r="F1103" s="547"/>
      <c r="G1103" s="547"/>
      <c r="H1103" s="547"/>
      <c r="I1103" s="547"/>
      <c r="J1103" s="547"/>
      <c r="K1103" s="547"/>
      <c r="L1103" s="547"/>
      <c r="M1103" s="547"/>
      <c r="N1103" s="547"/>
      <c r="O1103" s="547"/>
    </row>
    <row r="1104" spans="2:15">
      <c r="B1104" s="579"/>
      <c r="C1104" s="547"/>
      <c r="D1104" s="547"/>
      <c r="E1104" s="547">
        <v>5</v>
      </c>
      <c r="F1104" s="547"/>
      <c r="G1104" s="547"/>
      <c r="H1104" s="547"/>
      <c r="I1104" s="547"/>
      <c r="J1104" s="547"/>
      <c r="K1104" s="547"/>
      <c r="L1104" s="547"/>
      <c r="M1104" s="547"/>
      <c r="N1104" s="547"/>
      <c r="O1104" s="547"/>
    </row>
    <row r="1105" spans="2:15">
      <c r="B1105" s="579"/>
      <c r="C1105" s="547"/>
      <c r="D1105" s="547"/>
      <c r="E1105" s="547">
        <v>6</v>
      </c>
      <c r="F1105" s="547"/>
      <c r="G1105" s="547"/>
      <c r="H1105" s="547"/>
      <c r="I1105" s="547"/>
      <c r="J1105" s="547"/>
      <c r="K1105" s="547"/>
      <c r="L1105" s="547"/>
      <c r="M1105" s="547"/>
      <c r="N1105" s="547"/>
      <c r="O1105" s="547"/>
    </row>
    <row r="1106" spans="2:15">
      <c r="B1106" s="579"/>
      <c r="C1106" s="547"/>
      <c r="D1106" s="547"/>
      <c r="E1106" s="547">
        <v>7</v>
      </c>
      <c r="F1106" s="547"/>
      <c r="G1106" s="547"/>
      <c r="H1106" s="547"/>
      <c r="I1106" s="547"/>
      <c r="J1106" s="547"/>
      <c r="K1106" s="547"/>
      <c r="L1106" s="547"/>
      <c r="M1106" s="547"/>
      <c r="N1106" s="547"/>
      <c r="O1106" s="547"/>
    </row>
    <row r="1107" spans="2:15">
      <c r="B1107" s="579"/>
      <c r="C1107" s="547"/>
      <c r="D1107" s="547"/>
      <c r="E1107" s="547">
        <v>8</v>
      </c>
      <c r="F1107" s="547"/>
      <c r="G1107" s="547"/>
      <c r="H1107" s="547"/>
      <c r="I1107" s="547"/>
      <c r="J1107" s="547"/>
      <c r="K1107" s="547"/>
      <c r="L1107" s="547"/>
      <c r="M1107" s="547"/>
      <c r="N1107" s="547"/>
      <c r="O1107" s="547"/>
    </row>
    <row r="1108" spans="2:15">
      <c r="B1108" s="579"/>
      <c r="C1108" s="547"/>
      <c r="D1108" s="547"/>
      <c r="E1108" s="547">
        <v>9</v>
      </c>
      <c r="F1108" s="547"/>
      <c r="G1108" s="547"/>
      <c r="H1108" s="547"/>
      <c r="I1108" s="547"/>
      <c r="J1108" s="547"/>
      <c r="K1108" s="547"/>
      <c r="L1108" s="547"/>
      <c r="M1108" s="547"/>
      <c r="N1108" s="547"/>
      <c r="O1108" s="547"/>
    </row>
    <row r="1109" spans="2:15">
      <c r="B1109" s="579"/>
      <c r="C1109" s="569"/>
      <c r="D1109" s="569"/>
      <c r="E1109" s="569">
        <v>10</v>
      </c>
      <c r="F1109" s="569"/>
      <c r="G1109" s="569"/>
      <c r="H1109" s="569"/>
      <c r="I1109" s="569"/>
      <c r="J1109" s="569"/>
      <c r="K1109" s="569"/>
      <c r="L1109" s="569"/>
      <c r="M1109" s="569"/>
      <c r="N1109" s="569"/>
      <c r="O1109" s="569"/>
    </row>
    <row r="1110" spans="2:15">
      <c r="B1110" s="579"/>
      <c r="C1110" s="557" t="s">
        <v>3385</v>
      </c>
      <c r="D1110" s="557" t="s">
        <v>3386</v>
      </c>
      <c r="E1110" s="557">
        <v>1</v>
      </c>
      <c r="F1110" s="557"/>
      <c r="G1110" s="557"/>
      <c r="H1110" s="557"/>
      <c r="I1110" s="557"/>
      <c r="J1110" s="557"/>
      <c r="K1110" s="557"/>
      <c r="L1110" s="557"/>
      <c r="M1110" s="557"/>
      <c r="N1110" s="557"/>
      <c r="O1110" s="557"/>
    </row>
    <row r="1111" spans="2:15">
      <c r="B1111" s="579"/>
      <c r="C1111" s="547"/>
      <c r="D1111" s="547"/>
      <c r="E1111" s="547">
        <v>2</v>
      </c>
      <c r="F1111" s="547"/>
      <c r="G1111" s="547"/>
      <c r="H1111" s="547"/>
      <c r="I1111" s="547"/>
      <c r="J1111" s="547"/>
      <c r="K1111" s="547"/>
      <c r="L1111" s="547"/>
      <c r="M1111" s="547"/>
      <c r="N1111" s="547"/>
      <c r="O1111" s="547"/>
    </row>
    <row r="1112" spans="2:15">
      <c r="B1112" s="579"/>
      <c r="C1112" s="547"/>
      <c r="D1112" s="547"/>
      <c r="E1112" s="547">
        <v>3</v>
      </c>
      <c r="F1112" s="547"/>
      <c r="G1112" s="547"/>
      <c r="H1112" s="547"/>
      <c r="I1112" s="547"/>
      <c r="J1112" s="547"/>
      <c r="K1112" s="547"/>
      <c r="L1112" s="547"/>
      <c r="M1112" s="547"/>
      <c r="N1112" s="547"/>
      <c r="O1112" s="547"/>
    </row>
    <row r="1113" spans="2:15">
      <c r="B1113" s="579"/>
      <c r="C1113" s="547"/>
      <c r="D1113" s="547"/>
      <c r="E1113" s="547">
        <v>4</v>
      </c>
      <c r="F1113" s="547"/>
      <c r="G1113" s="547"/>
      <c r="H1113" s="547"/>
      <c r="I1113" s="547"/>
      <c r="J1113" s="547"/>
      <c r="K1113" s="547"/>
      <c r="L1113" s="547"/>
      <c r="M1113" s="547"/>
      <c r="N1113" s="547"/>
      <c r="O1113" s="547"/>
    </row>
    <row r="1114" spans="2:15">
      <c r="B1114" s="579"/>
      <c r="C1114" s="547"/>
      <c r="D1114" s="547"/>
      <c r="E1114" s="547">
        <v>5</v>
      </c>
      <c r="F1114" s="547"/>
      <c r="G1114" s="547"/>
      <c r="H1114" s="547"/>
      <c r="I1114" s="547"/>
      <c r="J1114" s="547"/>
      <c r="K1114" s="547"/>
      <c r="L1114" s="547"/>
      <c r="M1114" s="547"/>
      <c r="N1114" s="547"/>
      <c r="O1114" s="547"/>
    </row>
    <row r="1115" spans="2:15">
      <c r="B1115" s="579"/>
      <c r="C1115" s="547"/>
      <c r="D1115" s="547"/>
      <c r="E1115" s="547">
        <v>6</v>
      </c>
      <c r="F1115" s="547"/>
      <c r="G1115" s="547"/>
      <c r="H1115" s="547"/>
      <c r="I1115" s="547"/>
      <c r="J1115" s="547"/>
      <c r="K1115" s="547"/>
      <c r="L1115" s="547"/>
      <c r="M1115" s="547"/>
      <c r="N1115" s="547"/>
      <c r="O1115" s="547"/>
    </row>
    <row r="1116" spans="2:15">
      <c r="B1116" s="579"/>
      <c r="C1116" s="547"/>
      <c r="D1116" s="547"/>
      <c r="E1116" s="547">
        <v>7</v>
      </c>
      <c r="F1116" s="547"/>
      <c r="G1116" s="547"/>
      <c r="H1116" s="547"/>
      <c r="I1116" s="547"/>
      <c r="J1116" s="547"/>
      <c r="K1116" s="547"/>
      <c r="L1116" s="547"/>
      <c r="M1116" s="547"/>
      <c r="N1116" s="547"/>
      <c r="O1116" s="547"/>
    </row>
    <row r="1117" spans="2:15">
      <c r="B1117" s="579"/>
      <c r="C1117" s="547"/>
      <c r="D1117" s="547"/>
      <c r="E1117" s="547">
        <v>8</v>
      </c>
      <c r="F1117" s="547"/>
      <c r="G1117" s="547"/>
      <c r="H1117" s="547"/>
      <c r="I1117" s="547"/>
      <c r="J1117" s="547"/>
      <c r="K1117" s="547"/>
      <c r="L1117" s="547"/>
      <c r="M1117" s="547"/>
      <c r="N1117" s="547"/>
      <c r="O1117" s="547"/>
    </row>
    <row r="1118" spans="2:15">
      <c r="B1118" s="579"/>
      <c r="C1118" s="547"/>
      <c r="D1118" s="547"/>
      <c r="E1118" s="547">
        <v>9</v>
      </c>
      <c r="F1118" s="547"/>
      <c r="G1118" s="547"/>
      <c r="H1118" s="547"/>
      <c r="I1118" s="547"/>
      <c r="J1118" s="547"/>
      <c r="K1118" s="547"/>
      <c r="L1118" s="547"/>
      <c r="M1118" s="547"/>
      <c r="N1118" s="547"/>
      <c r="O1118" s="547"/>
    </row>
    <row r="1119" spans="2:15">
      <c r="B1119" s="579"/>
      <c r="C1119" s="569"/>
      <c r="D1119" s="569"/>
      <c r="E1119" s="569">
        <v>10</v>
      </c>
      <c r="F1119" s="569"/>
      <c r="G1119" s="569"/>
      <c r="H1119" s="569"/>
      <c r="I1119" s="569"/>
      <c r="J1119" s="569"/>
      <c r="K1119" s="569"/>
      <c r="L1119" s="569"/>
      <c r="M1119" s="569"/>
      <c r="N1119" s="569"/>
      <c r="O1119" s="569"/>
    </row>
    <row r="1120" spans="2:15">
      <c r="B1120" s="579"/>
      <c r="C1120" s="557" t="s">
        <v>3399</v>
      </c>
      <c r="D1120" s="557" t="s">
        <v>3400</v>
      </c>
      <c r="E1120" s="557">
        <v>1</v>
      </c>
      <c r="F1120" s="557"/>
      <c r="G1120" s="557"/>
      <c r="H1120" s="557"/>
      <c r="I1120" s="557"/>
      <c r="J1120" s="557"/>
      <c r="K1120" s="557"/>
      <c r="L1120" s="557"/>
      <c r="M1120" s="557"/>
      <c r="N1120" s="557"/>
      <c r="O1120" s="557"/>
    </row>
    <row r="1121" spans="2:15">
      <c r="B1121" s="579"/>
      <c r="C1121" s="547"/>
      <c r="D1121" s="547"/>
      <c r="E1121" s="547">
        <v>2</v>
      </c>
      <c r="F1121" s="547"/>
      <c r="G1121" s="547"/>
      <c r="H1121" s="547"/>
      <c r="I1121" s="547"/>
      <c r="J1121" s="547"/>
      <c r="K1121" s="547"/>
      <c r="L1121" s="547"/>
      <c r="M1121" s="547"/>
      <c r="N1121" s="547"/>
      <c r="O1121" s="547"/>
    </row>
    <row r="1122" spans="2:15">
      <c r="B1122" s="579"/>
      <c r="C1122" s="547"/>
      <c r="D1122" s="547"/>
      <c r="E1122" s="547">
        <v>3</v>
      </c>
      <c r="F1122" s="547"/>
      <c r="G1122" s="547"/>
      <c r="H1122" s="547"/>
      <c r="I1122" s="547"/>
      <c r="J1122" s="547"/>
      <c r="K1122" s="547"/>
      <c r="L1122" s="547"/>
      <c r="M1122" s="547"/>
      <c r="N1122" s="547"/>
      <c r="O1122" s="547"/>
    </row>
    <row r="1123" spans="2:15">
      <c r="B1123" s="579"/>
      <c r="C1123" s="547"/>
      <c r="D1123" s="547"/>
      <c r="E1123" s="547">
        <v>4</v>
      </c>
      <c r="F1123" s="547"/>
      <c r="G1123" s="547"/>
      <c r="H1123" s="547"/>
      <c r="I1123" s="547"/>
      <c r="J1123" s="547"/>
      <c r="K1123" s="547"/>
      <c r="L1123" s="547"/>
      <c r="M1123" s="547"/>
      <c r="N1123" s="547"/>
      <c r="O1123" s="547"/>
    </row>
    <row r="1124" spans="2:15">
      <c r="B1124" s="579"/>
      <c r="C1124" s="547"/>
      <c r="D1124" s="547"/>
      <c r="E1124" s="547">
        <v>5</v>
      </c>
      <c r="F1124" s="547"/>
      <c r="G1124" s="547"/>
      <c r="H1124" s="547"/>
      <c r="I1124" s="547"/>
      <c r="J1124" s="547"/>
      <c r="K1124" s="547"/>
      <c r="L1124" s="547"/>
      <c r="M1124" s="547"/>
      <c r="N1124" s="547"/>
      <c r="O1124" s="547"/>
    </row>
    <row r="1125" spans="2:15">
      <c r="B1125" s="579"/>
      <c r="C1125" s="547"/>
      <c r="D1125" s="547"/>
      <c r="E1125" s="547">
        <v>6</v>
      </c>
      <c r="F1125" s="547"/>
      <c r="G1125" s="547"/>
      <c r="H1125" s="547"/>
      <c r="I1125" s="547"/>
      <c r="J1125" s="547"/>
      <c r="K1125" s="547"/>
      <c r="L1125" s="547"/>
      <c r="M1125" s="547"/>
      <c r="N1125" s="547"/>
      <c r="O1125" s="547"/>
    </row>
    <row r="1126" spans="2:15">
      <c r="B1126" s="579"/>
      <c r="C1126" s="547"/>
      <c r="D1126" s="547"/>
      <c r="E1126" s="547">
        <v>7</v>
      </c>
      <c r="F1126" s="547"/>
      <c r="G1126" s="547"/>
      <c r="H1126" s="547"/>
      <c r="I1126" s="547"/>
      <c r="J1126" s="547"/>
      <c r="K1126" s="547"/>
      <c r="L1126" s="547"/>
      <c r="M1126" s="547"/>
      <c r="N1126" s="547"/>
      <c r="O1126" s="547"/>
    </row>
    <row r="1127" spans="2:15">
      <c r="B1127" s="579"/>
      <c r="C1127" s="547"/>
      <c r="D1127" s="547"/>
      <c r="E1127" s="547">
        <v>8</v>
      </c>
      <c r="F1127" s="547"/>
      <c r="G1127" s="547"/>
      <c r="H1127" s="547"/>
      <c r="I1127" s="547"/>
      <c r="J1127" s="547"/>
      <c r="K1127" s="547"/>
      <c r="L1127" s="547"/>
      <c r="M1127" s="547"/>
      <c r="N1127" s="547"/>
      <c r="O1127" s="547"/>
    </row>
    <row r="1128" spans="2:15">
      <c r="B1128" s="579"/>
      <c r="C1128" s="547"/>
      <c r="D1128" s="547"/>
      <c r="E1128" s="547">
        <v>9</v>
      </c>
      <c r="F1128" s="547"/>
      <c r="G1128" s="547"/>
      <c r="H1128" s="547"/>
      <c r="I1128" s="547"/>
      <c r="J1128" s="547"/>
      <c r="K1128" s="547"/>
      <c r="L1128" s="547"/>
      <c r="M1128" s="547"/>
      <c r="N1128" s="547"/>
      <c r="O1128" s="547"/>
    </row>
    <row r="1129" spans="2:15">
      <c r="B1129" s="672"/>
      <c r="C1129" s="569"/>
      <c r="D1129" s="569"/>
      <c r="E1129" s="569">
        <v>10</v>
      </c>
      <c r="F1129" s="569"/>
      <c r="G1129" s="569"/>
      <c r="H1129" s="569"/>
      <c r="I1129" s="569"/>
      <c r="J1129" s="569"/>
      <c r="K1129" s="569"/>
      <c r="L1129" s="569"/>
      <c r="M1129" s="569"/>
      <c r="N1129" s="569"/>
      <c r="O1129" s="569"/>
    </row>
    <row r="1130" spans="2:15">
      <c r="B1130" s="619" t="s">
        <v>4416</v>
      </c>
      <c r="C1130" s="668"/>
      <c r="D1130" s="602"/>
      <c r="E1130" s="602"/>
      <c r="F1130" s="669"/>
      <c r="G1130" s="669"/>
      <c r="H1130" s="669"/>
      <c r="I1130" s="669"/>
      <c r="J1130" s="669"/>
      <c r="K1130" s="669"/>
      <c r="L1130" s="669"/>
      <c r="M1130" s="669"/>
      <c r="N1130" s="602"/>
      <c r="O1130" s="670"/>
    </row>
    <row r="1131" spans="2:15">
      <c r="B1131" s="575" t="s">
        <v>3232</v>
      </c>
      <c r="C1131" s="557" t="s">
        <v>3233</v>
      </c>
      <c r="D1131" s="557" t="s">
        <v>3234</v>
      </c>
      <c r="E1131" s="557">
        <v>1</v>
      </c>
      <c r="F1131" s="549"/>
      <c r="G1131" s="549"/>
      <c r="H1131" s="549"/>
      <c r="I1131" s="549"/>
      <c r="J1131" s="549"/>
      <c r="K1131" s="549"/>
      <c r="L1131" s="549"/>
      <c r="M1131" s="549"/>
      <c r="N1131" s="557"/>
      <c r="O1131" s="557"/>
    </row>
    <row r="1132" spans="2:15">
      <c r="B1132" s="579"/>
      <c r="C1132" s="547"/>
      <c r="D1132" s="547"/>
      <c r="E1132" s="547">
        <v>2</v>
      </c>
      <c r="F1132" s="547"/>
      <c r="G1132" s="547"/>
      <c r="H1132" s="547"/>
      <c r="I1132" s="547"/>
      <c r="J1132" s="547"/>
      <c r="K1132" s="547"/>
      <c r="L1132" s="547"/>
      <c r="M1132" s="547"/>
      <c r="N1132" s="547"/>
      <c r="O1132" s="547"/>
    </row>
    <row r="1133" spans="2:15">
      <c r="B1133" s="579"/>
      <c r="C1133" s="547"/>
      <c r="D1133" s="547"/>
      <c r="E1133" s="547">
        <v>3</v>
      </c>
      <c r="F1133" s="547"/>
      <c r="G1133" s="547"/>
      <c r="H1133" s="547"/>
      <c r="I1133" s="547"/>
      <c r="J1133" s="547"/>
      <c r="K1133" s="547"/>
      <c r="L1133" s="547"/>
      <c r="M1133" s="547"/>
      <c r="N1133" s="547"/>
      <c r="O1133" s="547"/>
    </row>
    <row r="1134" spans="2:15">
      <c r="B1134" s="579"/>
      <c r="C1134" s="547"/>
      <c r="D1134" s="547"/>
      <c r="E1134" s="547">
        <v>4</v>
      </c>
      <c r="F1134" s="547"/>
      <c r="G1134" s="547"/>
      <c r="H1134" s="547"/>
      <c r="I1134" s="547"/>
      <c r="J1134" s="547"/>
      <c r="K1134" s="547"/>
      <c r="L1134" s="547"/>
      <c r="M1134" s="547"/>
      <c r="N1134" s="547"/>
      <c r="O1134" s="547"/>
    </row>
    <row r="1135" spans="2:15">
      <c r="B1135" s="579"/>
      <c r="C1135" s="547"/>
      <c r="D1135" s="547"/>
      <c r="E1135" s="547">
        <v>5</v>
      </c>
      <c r="F1135" s="547"/>
      <c r="G1135" s="547"/>
      <c r="H1135" s="547"/>
      <c r="I1135" s="547"/>
      <c r="J1135" s="547"/>
      <c r="K1135" s="547"/>
      <c r="L1135" s="547"/>
      <c r="M1135" s="547"/>
      <c r="N1135" s="547"/>
      <c r="O1135" s="547"/>
    </row>
    <row r="1136" spans="2:15">
      <c r="B1136" s="579"/>
      <c r="C1136" s="547"/>
      <c r="D1136" s="547"/>
      <c r="E1136" s="547">
        <v>6</v>
      </c>
      <c r="F1136" s="547"/>
      <c r="G1136" s="547"/>
      <c r="H1136" s="547"/>
      <c r="I1136" s="547"/>
      <c r="J1136" s="547"/>
      <c r="K1136" s="547"/>
      <c r="L1136" s="547"/>
      <c r="M1136" s="547"/>
      <c r="N1136" s="547"/>
      <c r="O1136" s="547"/>
    </row>
    <row r="1137" spans="2:15">
      <c r="B1137" s="579"/>
      <c r="C1137" s="547"/>
      <c r="D1137" s="547"/>
      <c r="E1137" s="547">
        <v>7</v>
      </c>
      <c r="F1137" s="547"/>
      <c r="G1137" s="547"/>
      <c r="H1137" s="547"/>
      <c r="I1137" s="547"/>
      <c r="J1137" s="547"/>
      <c r="K1137" s="547"/>
      <c r="L1137" s="547"/>
      <c r="M1137" s="547"/>
      <c r="N1137" s="547"/>
      <c r="O1137" s="547"/>
    </row>
    <row r="1138" spans="2:15">
      <c r="B1138" s="579"/>
      <c r="C1138" s="547"/>
      <c r="D1138" s="547"/>
      <c r="E1138" s="547">
        <v>8</v>
      </c>
      <c r="F1138" s="547"/>
      <c r="G1138" s="547"/>
      <c r="H1138" s="547"/>
      <c r="I1138" s="547"/>
      <c r="J1138" s="547"/>
      <c r="K1138" s="547"/>
      <c r="L1138" s="547"/>
      <c r="M1138" s="547"/>
      <c r="N1138" s="547"/>
      <c r="O1138" s="547"/>
    </row>
    <row r="1139" spans="2:15">
      <c r="B1139" s="579"/>
      <c r="C1139" s="547"/>
      <c r="D1139" s="547"/>
      <c r="E1139" s="547">
        <v>9</v>
      </c>
      <c r="F1139" s="547"/>
      <c r="G1139" s="547"/>
      <c r="H1139" s="547"/>
      <c r="I1139" s="547"/>
      <c r="J1139" s="547"/>
      <c r="K1139" s="547"/>
      <c r="L1139" s="547"/>
      <c r="M1139" s="547"/>
      <c r="N1139" s="547"/>
      <c r="O1139" s="547"/>
    </row>
    <row r="1140" spans="2:15">
      <c r="B1140" s="579"/>
      <c r="C1140" s="569"/>
      <c r="D1140" s="569"/>
      <c r="E1140" s="569">
        <v>10</v>
      </c>
      <c r="F1140" s="569"/>
      <c r="G1140" s="569"/>
      <c r="H1140" s="569"/>
      <c r="I1140" s="569"/>
      <c r="J1140" s="569"/>
      <c r="K1140" s="569"/>
      <c r="L1140" s="569"/>
      <c r="M1140" s="569"/>
      <c r="N1140" s="569"/>
      <c r="O1140" s="569"/>
    </row>
    <row r="1141" spans="2:15">
      <c r="B1141" s="579"/>
      <c r="C1141" s="549" t="s">
        <v>3243</v>
      </c>
      <c r="D1141" s="549" t="s">
        <v>3244</v>
      </c>
      <c r="E1141" s="557">
        <v>1</v>
      </c>
      <c r="F1141" s="549"/>
      <c r="G1141" s="549"/>
      <c r="H1141" s="549"/>
      <c r="I1141" s="549"/>
      <c r="J1141" s="549"/>
      <c r="K1141" s="549"/>
      <c r="L1141" s="549"/>
      <c r="M1141" s="549"/>
      <c r="N1141" s="549"/>
      <c r="O1141" s="549"/>
    </row>
    <row r="1142" spans="2:15">
      <c r="B1142" s="579"/>
      <c r="C1142" s="547"/>
      <c r="D1142" s="547"/>
      <c r="E1142" s="547">
        <v>2</v>
      </c>
      <c r="F1142" s="547"/>
      <c r="G1142" s="547"/>
      <c r="H1142" s="547"/>
      <c r="I1142" s="547"/>
      <c r="J1142" s="547"/>
      <c r="K1142" s="547"/>
      <c r="L1142" s="547"/>
      <c r="M1142" s="547"/>
      <c r="N1142" s="547"/>
      <c r="O1142" s="547"/>
    </row>
    <row r="1143" spans="2:15">
      <c r="B1143" s="579"/>
      <c r="C1143" s="547"/>
      <c r="D1143" s="547"/>
      <c r="E1143" s="547">
        <v>3</v>
      </c>
      <c r="F1143" s="547"/>
      <c r="G1143" s="547"/>
      <c r="H1143" s="547"/>
      <c r="I1143" s="547"/>
      <c r="J1143" s="547"/>
      <c r="K1143" s="547"/>
      <c r="L1143" s="547"/>
      <c r="M1143" s="547"/>
      <c r="N1143" s="547"/>
      <c r="O1143" s="547"/>
    </row>
    <row r="1144" spans="2:15">
      <c r="B1144" s="579"/>
      <c r="C1144" s="547"/>
      <c r="D1144" s="547"/>
      <c r="E1144" s="547">
        <v>4</v>
      </c>
      <c r="F1144" s="547"/>
      <c r="G1144" s="547"/>
      <c r="H1144" s="547"/>
      <c r="I1144" s="547"/>
      <c r="J1144" s="547"/>
      <c r="K1144" s="547"/>
      <c r="L1144" s="547"/>
      <c r="M1144" s="547"/>
      <c r="N1144" s="547"/>
      <c r="O1144" s="547"/>
    </row>
    <row r="1145" spans="2:15">
      <c r="B1145" s="579"/>
      <c r="C1145" s="547"/>
      <c r="D1145" s="547"/>
      <c r="E1145" s="547">
        <v>5</v>
      </c>
      <c r="F1145" s="547"/>
      <c r="G1145" s="547"/>
      <c r="H1145" s="547"/>
      <c r="I1145" s="547"/>
      <c r="J1145" s="547"/>
      <c r="K1145" s="547"/>
      <c r="L1145" s="547"/>
      <c r="M1145" s="547"/>
      <c r="N1145" s="547"/>
      <c r="O1145" s="547"/>
    </row>
    <row r="1146" spans="2:15">
      <c r="B1146" s="579"/>
      <c r="C1146" s="547"/>
      <c r="D1146" s="547"/>
      <c r="E1146" s="547">
        <v>6</v>
      </c>
      <c r="F1146" s="547"/>
      <c r="G1146" s="547"/>
      <c r="H1146" s="547"/>
      <c r="I1146" s="547"/>
      <c r="J1146" s="547"/>
      <c r="K1146" s="547"/>
      <c r="L1146" s="547"/>
      <c r="M1146" s="547"/>
      <c r="N1146" s="547"/>
      <c r="O1146" s="547"/>
    </row>
    <row r="1147" spans="2:15">
      <c r="B1147" s="579"/>
      <c r="C1147" s="547"/>
      <c r="D1147" s="547"/>
      <c r="E1147" s="547">
        <v>7</v>
      </c>
      <c r="F1147" s="547"/>
      <c r="G1147" s="547"/>
      <c r="H1147" s="547"/>
      <c r="I1147" s="547"/>
      <c r="J1147" s="547"/>
      <c r="K1147" s="547"/>
      <c r="L1147" s="547"/>
      <c r="M1147" s="547"/>
      <c r="N1147" s="547"/>
      <c r="O1147" s="547"/>
    </row>
    <row r="1148" spans="2:15">
      <c r="B1148" s="579"/>
      <c r="C1148" s="547"/>
      <c r="D1148" s="547"/>
      <c r="E1148" s="547">
        <v>8</v>
      </c>
      <c r="F1148" s="547"/>
      <c r="G1148" s="547"/>
      <c r="H1148" s="547"/>
      <c r="I1148" s="547"/>
      <c r="J1148" s="547"/>
      <c r="K1148" s="547"/>
      <c r="L1148" s="547"/>
      <c r="M1148" s="547"/>
      <c r="N1148" s="547"/>
      <c r="O1148" s="547"/>
    </row>
    <row r="1149" spans="2:15">
      <c r="B1149" s="579"/>
      <c r="C1149" s="547"/>
      <c r="D1149" s="547"/>
      <c r="E1149" s="547">
        <v>9</v>
      </c>
      <c r="F1149" s="547"/>
      <c r="G1149" s="547"/>
      <c r="H1149" s="547"/>
      <c r="I1149" s="547"/>
      <c r="J1149" s="547"/>
      <c r="K1149" s="547"/>
      <c r="L1149" s="547"/>
      <c r="M1149" s="547"/>
      <c r="N1149" s="547"/>
      <c r="O1149" s="547"/>
    </row>
    <row r="1150" spans="2:15">
      <c r="B1150" s="579"/>
      <c r="C1150" s="569"/>
      <c r="D1150" s="569"/>
      <c r="E1150" s="569">
        <v>10</v>
      </c>
      <c r="F1150" s="569"/>
      <c r="G1150" s="569"/>
      <c r="H1150" s="569"/>
      <c r="I1150" s="569"/>
      <c r="J1150" s="569"/>
      <c r="K1150" s="569"/>
      <c r="L1150" s="569"/>
      <c r="M1150" s="569"/>
      <c r="N1150" s="569"/>
      <c r="O1150" s="569"/>
    </row>
    <row r="1151" spans="2:15">
      <c r="B1151" s="579"/>
      <c r="C1151" s="549" t="s">
        <v>3250</v>
      </c>
      <c r="D1151" s="549" t="s">
        <v>3251</v>
      </c>
      <c r="E1151" s="557">
        <v>1</v>
      </c>
      <c r="F1151" s="549"/>
      <c r="G1151" s="549"/>
      <c r="H1151" s="549"/>
      <c r="I1151" s="549"/>
      <c r="J1151" s="549"/>
      <c r="K1151" s="549"/>
      <c r="L1151" s="549"/>
      <c r="M1151" s="549"/>
      <c r="N1151" s="549"/>
      <c r="O1151" s="549"/>
    </row>
    <row r="1152" spans="2:15">
      <c r="B1152" s="579"/>
      <c r="C1152" s="547"/>
      <c r="D1152" s="547"/>
      <c r="E1152" s="547">
        <v>2</v>
      </c>
      <c r="F1152" s="547"/>
      <c r="G1152" s="547"/>
      <c r="H1152" s="547"/>
      <c r="I1152" s="547"/>
      <c r="J1152" s="547"/>
      <c r="K1152" s="547"/>
      <c r="L1152" s="547"/>
      <c r="M1152" s="547"/>
      <c r="N1152" s="547"/>
      <c r="O1152" s="547"/>
    </row>
    <row r="1153" spans="2:15">
      <c r="B1153" s="579"/>
      <c r="C1153" s="547"/>
      <c r="D1153" s="547"/>
      <c r="E1153" s="547">
        <v>3</v>
      </c>
      <c r="F1153" s="547"/>
      <c r="G1153" s="547"/>
      <c r="H1153" s="547"/>
      <c r="I1153" s="547"/>
      <c r="J1153" s="547"/>
      <c r="K1153" s="547"/>
      <c r="L1153" s="547"/>
      <c r="M1153" s="547"/>
      <c r="N1153" s="547"/>
      <c r="O1153" s="547"/>
    </row>
    <row r="1154" spans="2:15">
      <c r="B1154" s="579"/>
      <c r="C1154" s="547"/>
      <c r="D1154" s="547"/>
      <c r="E1154" s="547">
        <v>4</v>
      </c>
      <c r="F1154" s="547"/>
      <c r="G1154" s="547"/>
      <c r="H1154" s="547"/>
      <c r="I1154" s="547"/>
      <c r="J1154" s="547"/>
      <c r="K1154" s="547"/>
      <c r="L1154" s="547"/>
      <c r="M1154" s="547"/>
      <c r="N1154" s="547"/>
      <c r="O1154" s="547"/>
    </row>
    <row r="1155" spans="2:15">
      <c r="B1155" s="579"/>
      <c r="C1155" s="547"/>
      <c r="D1155" s="547"/>
      <c r="E1155" s="547">
        <v>5</v>
      </c>
      <c r="F1155" s="547"/>
      <c r="G1155" s="547"/>
      <c r="H1155" s="547"/>
      <c r="I1155" s="547"/>
      <c r="J1155" s="547"/>
      <c r="K1155" s="547"/>
      <c r="L1155" s="547"/>
      <c r="M1155" s="547"/>
      <c r="N1155" s="547"/>
      <c r="O1155" s="547"/>
    </row>
    <row r="1156" spans="2:15">
      <c r="B1156" s="579"/>
      <c r="C1156" s="547"/>
      <c r="D1156" s="547"/>
      <c r="E1156" s="547">
        <v>6</v>
      </c>
      <c r="F1156" s="547"/>
      <c r="G1156" s="547"/>
      <c r="H1156" s="547"/>
      <c r="I1156" s="547"/>
      <c r="J1156" s="547"/>
      <c r="K1156" s="547"/>
      <c r="L1156" s="547"/>
      <c r="M1156" s="547"/>
      <c r="N1156" s="547"/>
      <c r="O1156" s="547"/>
    </row>
    <row r="1157" spans="2:15">
      <c r="B1157" s="579"/>
      <c r="C1157" s="547"/>
      <c r="D1157" s="547"/>
      <c r="E1157" s="547">
        <v>7</v>
      </c>
      <c r="F1157" s="547"/>
      <c r="G1157" s="547"/>
      <c r="H1157" s="547"/>
      <c r="I1157" s="547"/>
      <c r="J1157" s="547"/>
      <c r="K1157" s="547"/>
      <c r="L1157" s="547"/>
      <c r="M1157" s="547"/>
      <c r="N1157" s="547"/>
      <c r="O1157" s="547"/>
    </row>
    <row r="1158" spans="2:15">
      <c r="B1158" s="579"/>
      <c r="C1158" s="547"/>
      <c r="D1158" s="547"/>
      <c r="E1158" s="547">
        <v>8</v>
      </c>
      <c r="F1158" s="547"/>
      <c r="G1158" s="547"/>
      <c r="H1158" s="547"/>
      <c r="I1158" s="547"/>
      <c r="J1158" s="547"/>
      <c r="K1158" s="547"/>
      <c r="L1158" s="547"/>
      <c r="M1158" s="547"/>
      <c r="N1158" s="547"/>
      <c r="O1158" s="547"/>
    </row>
    <row r="1159" spans="2:15">
      <c r="B1159" s="579"/>
      <c r="C1159" s="547"/>
      <c r="D1159" s="547"/>
      <c r="E1159" s="547">
        <v>9</v>
      </c>
      <c r="F1159" s="547"/>
      <c r="G1159" s="547"/>
      <c r="H1159" s="547"/>
      <c r="I1159" s="547"/>
      <c r="J1159" s="547"/>
      <c r="K1159" s="547"/>
      <c r="L1159" s="547"/>
      <c r="M1159" s="547"/>
      <c r="N1159" s="547"/>
      <c r="O1159" s="547"/>
    </row>
    <row r="1160" spans="2:15">
      <c r="B1160" s="672"/>
      <c r="C1160" s="569"/>
      <c r="D1160" s="569"/>
      <c r="E1160" s="569">
        <v>10</v>
      </c>
      <c r="F1160" s="569"/>
      <c r="G1160" s="569"/>
      <c r="H1160" s="569"/>
      <c r="I1160" s="569"/>
      <c r="J1160" s="569"/>
      <c r="K1160" s="569"/>
      <c r="L1160" s="569"/>
      <c r="M1160" s="569"/>
      <c r="N1160" s="569"/>
      <c r="O1160" s="569"/>
    </row>
    <row r="1161" spans="2:15">
      <c r="B1161" s="579" t="s">
        <v>3276</v>
      </c>
      <c r="C1161" s="549" t="s">
        <v>3277</v>
      </c>
      <c r="D1161" s="549" t="s">
        <v>3278</v>
      </c>
      <c r="E1161" s="557">
        <v>1</v>
      </c>
      <c r="F1161" s="549"/>
      <c r="G1161" s="549"/>
      <c r="H1161" s="549"/>
      <c r="I1161" s="549"/>
      <c r="J1161" s="549"/>
      <c r="K1161" s="549"/>
      <c r="L1161" s="549"/>
      <c r="M1161" s="549"/>
      <c r="N1161" s="549"/>
      <c r="O1161" s="549"/>
    </row>
    <row r="1162" spans="2:15">
      <c r="B1162" s="579"/>
      <c r="C1162" s="547"/>
      <c r="D1162" s="547"/>
      <c r="E1162" s="547">
        <v>2</v>
      </c>
      <c r="F1162" s="547"/>
      <c r="G1162" s="547"/>
      <c r="H1162" s="547"/>
      <c r="I1162" s="547"/>
      <c r="J1162" s="547"/>
      <c r="K1162" s="547"/>
      <c r="L1162" s="547"/>
      <c r="M1162" s="547"/>
      <c r="N1162" s="547"/>
      <c r="O1162" s="547"/>
    </row>
    <row r="1163" spans="2:15">
      <c r="B1163" s="579"/>
      <c r="C1163" s="547"/>
      <c r="D1163" s="547"/>
      <c r="E1163" s="547">
        <v>3</v>
      </c>
      <c r="F1163" s="547"/>
      <c r="G1163" s="547"/>
      <c r="H1163" s="547"/>
      <c r="I1163" s="547"/>
      <c r="J1163" s="547"/>
      <c r="K1163" s="547"/>
      <c r="L1163" s="547"/>
      <c r="M1163" s="547"/>
      <c r="N1163" s="547"/>
      <c r="O1163" s="547"/>
    </row>
    <row r="1164" spans="2:15">
      <c r="B1164" s="579"/>
      <c r="C1164" s="547"/>
      <c r="D1164" s="547"/>
      <c r="E1164" s="547">
        <v>4</v>
      </c>
      <c r="F1164" s="547"/>
      <c r="G1164" s="547"/>
      <c r="H1164" s="547"/>
      <c r="I1164" s="547"/>
      <c r="J1164" s="547"/>
      <c r="K1164" s="547"/>
      <c r="L1164" s="547"/>
      <c r="M1164" s="547"/>
      <c r="N1164" s="547"/>
      <c r="O1164" s="547"/>
    </row>
    <row r="1165" spans="2:15">
      <c r="B1165" s="579"/>
      <c r="C1165" s="547"/>
      <c r="D1165" s="547"/>
      <c r="E1165" s="547">
        <v>5</v>
      </c>
      <c r="F1165" s="547"/>
      <c r="G1165" s="547"/>
      <c r="H1165" s="547"/>
      <c r="I1165" s="547"/>
      <c r="J1165" s="547"/>
      <c r="K1165" s="547"/>
      <c r="L1165" s="547"/>
      <c r="M1165" s="547"/>
      <c r="N1165" s="547"/>
      <c r="O1165" s="547"/>
    </row>
    <row r="1166" spans="2:15">
      <c r="B1166" s="579"/>
      <c r="C1166" s="547"/>
      <c r="D1166" s="547"/>
      <c r="E1166" s="547">
        <v>6</v>
      </c>
      <c r="F1166" s="547"/>
      <c r="G1166" s="547"/>
      <c r="H1166" s="547"/>
      <c r="I1166" s="547"/>
      <c r="J1166" s="547"/>
      <c r="K1166" s="547"/>
      <c r="L1166" s="547"/>
      <c r="M1166" s="547"/>
      <c r="N1166" s="547"/>
      <c r="O1166" s="547"/>
    </row>
    <row r="1167" spans="2:15">
      <c r="B1167" s="579"/>
      <c r="C1167" s="547"/>
      <c r="D1167" s="547"/>
      <c r="E1167" s="547">
        <v>7</v>
      </c>
      <c r="F1167" s="547"/>
      <c r="G1167" s="547"/>
      <c r="H1167" s="547"/>
      <c r="I1167" s="547"/>
      <c r="J1167" s="547"/>
      <c r="K1167" s="547"/>
      <c r="L1167" s="547"/>
      <c r="M1167" s="547"/>
      <c r="N1167" s="547"/>
      <c r="O1167" s="547"/>
    </row>
    <row r="1168" spans="2:15">
      <c r="B1168" s="579"/>
      <c r="C1168" s="547"/>
      <c r="D1168" s="547"/>
      <c r="E1168" s="547">
        <v>8</v>
      </c>
      <c r="F1168" s="547"/>
      <c r="G1168" s="547"/>
      <c r="H1168" s="547"/>
      <c r="I1168" s="547"/>
      <c r="J1168" s="547"/>
      <c r="K1168" s="547"/>
      <c r="L1168" s="547"/>
      <c r="M1168" s="547"/>
      <c r="N1168" s="547"/>
      <c r="O1168" s="547"/>
    </row>
    <row r="1169" spans="2:15">
      <c r="B1169" s="579"/>
      <c r="C1169" s="547"/>
      <c r="D1169" s="547"/>
      <c r="E1169" s="547">
        <v>9</v>
      </c>
      <c r="F1169" s="547"/>
      <c r="G1169" s="547"/>
      <c r="H1169" s="547"/>
      <c r="I1169" s="547"/>
      <c r="J1169" s="547"/>
      <c r="K1169" s="547"/>
      <c r="L1169" s="547"/>
      <c r="M1169" s="547"/>
      <c r="N1169" s="547"/>
      <c r="O1169" s="547"/>
    </row>
    <row r="1170" spans="2:15">
      <c r="B1170" s="579"/>
      <c r="C1170" s="569"/>
      <c r="D1170" s="569"/>
      <c r="E1170" s="569">
        <v>10</v>
      </c>
      <c r="F1170" s="569"/>
      <c r="G1170" s="569"/>
      <c r="H1170" s="569"/>
      <c r="I1170" s="569"/>
      <c r="J1170" s="569"/>
      <c r="K1170" s="569"/>
      <c r="L1170" s="569"/>
      <c r="M1170" s="569"/>
      <c r="N1170" s="569"/>
      <c r="O1170" s="569"/>
    </row>
    <row r="1171" spans="2:15">
      <c r="B1171" s="579"/>
      <c r="C1171" s="549" t="s">
        <v>3291</v>
      </c>
      <c r="D1171" s="549" t="s">
        <v>3292</v>
      </c>
      <c r="E1171" s="557">
        <v>1</v>
      </c>
      <c r="F1171" s="549"/>
      <c r="G1171" s="549"/>
      <c r="H1171" s="549"/>
      <c r="I1171" s="549"/>
      <c r="J1171" s="549"/>
      <c r="K1171" s="549"/>
      <c r="L1171" s="549"/>
      <c r="M1171" s="549"/>
      <c r="N1171" s="549"/>
      <c r="O1171" s="549"/>
    </row>
    <row r="1172" spans="2:15">
      <c r="B1172" s="579"/>
      <c r="C1172" s="547"/>
      <c r="D1172" s="547"/>
      <c r="E1172" s="547">
        <v>2</v>
      </c>
      <c r="F1172" s="547"/>
      <c r="G1172" s="547"/>
      <c r="H1172" s="547"/>
      <c r="I1172" s="547"/>
      <c r="J1172" s="547"/>
      <c r="K1172" s="547"/>
      <c r="L1172" s="547"/>
      <c r="M1172" s="547"/>
      <c r="N1172" s="547"/>
      <c r="O1172" s="547"/>
    </row>
    <row r="1173" spans="2:15">
      <c r="B1173" s="579"/>
      <c r="C1173" s="547"/>
      <c r="D1173" s="547"/>
      <c r="E1173" s="547">
        <v>3</v>
      </c>
      <c r="F1173" s="547"/>
      <c r="G1173" s="547"/>
      <c r="H1173" s="547"/>
      <c r="I1173" s="547"/>
      <c r="J1173" s="547"/>
      <c r="K1173" s="547"/>
      <c r="L1173" s="547"/>
      <c r="M1173" s="547"/>
      <c r="N1173" s="547"/>
      <c r="O1173" s="547"/>
    </row>
    <row r="1174" spans="2:15">
      <c r="B1174" s="579"/>
      <c r="C1174" s="547"/>
      <c r="D1174" s="547"/>
      <c r="E1174" s="547">
        <v>4</v>
      </c>
      <c r="F1174" s="547"/>
      <c r="G1174" s="547"/>
      <c r="H1174" s="547"/>
      <c r="I1174" s="547"/>
      <c r="J1174" s="547"/>
      <c r="K1174" s="547"/>
      <c r="L1174" s="547"/>
      <c r="M1174" s="547"/>
      <c r="N1174" s="547"/>
      <c r="O1174" s="547"/>
    </row>
    <row r="1175" spans="2:15">
      <c r="B1175" s="579"/>
      <c r="C1175" s="547"/>
      <c r="D1175" s="547"/>
      <c r="E1175" s="547">
        <v>5</v>
      </c>
      <c r="F1175" s="547"/>
      <c r="G1175" s="547"/>
      <c r="H1175" s="547"/>
      <c r="I1175" s="547"/>
      <c r="J1175" s="547"/>
      <c r="K1175" s="547"/>
      <c r="L1175" s="547"/>
      <c r="M1175" s="547"/>
      <c r="N1175" s="547"/>
      <c r="O1175" s="547"/>
    </row>
    <row r="1176" spans="2:15">
      <c r="B1176" s="579"/>
      <c r="C1176" s="547"/>
      <c r="D1176" s="547"/>
      <c r="E1176" s="547">
        <v>6</v>
      </c>
      <c r="F1176" s="547"/>
      <c r="G1176" s="547"/>
      <c r="H1176" s="547"/>
      <c r="I1176" s="547"/>
      <c r="J1176" s="547"/>
      <c r="K1176" s="547"/>
      <c r="L1176" s="547"/>
      <c r="M1176" s="547"/>
      <c r="N1176" s="547"/>
      <c r="O1176" s="547"/>
    </row>
    <row r="1177" spans="2:15">
      <c r="B1177" s="579"/>
      <c r="C1177" s="547"/>
      <c r="D1177" s="547"/>
      <c r="E1177" s="547">
        <v>7</v>
      </c>
      <c r="F1177" s="547"/>
      <c r="G1177" s="547"/>
      <c r="H1177" s="547"/>
      <c r="I1177" s="547"/>
      <c r="J1177" s="547"/>
      <c r="K1177" s="547"/>
      <c r="L1177" s="547"/>
      <c r="M1177" s="547"/>
      <c r="N1177" s="547"/>
      <c r="O1177" s="547"/>
    </row>
    <row r="1178" spans="2:15">
      <c r="B1178" s="579"/>
      <c r="C1178" s="547"/>
      <c r="D1178" s="547"/>
      <c r="E1178" s="547">
        <v>8</v>
      </c>
      <c r="F1178" s="547"/>
      <c r="G1178" s="547"/>
      <c r="H1178" s="547"/>
      <c r="I1178" s="547"/>
      <c r="J1178" s="547"/>
      <c r="K1178" s="547"/>
      <c r="L1178" s="547"/>
      <c r="M1178" s="547"/>
      <c r="N1178" s="547"/>
      <c r="O1178" s="547"/>
    </row>
    <row r="1179" spans="2:15">
      <c r="B1179" s="579"/>
      <c r="C1179" s="547"/>
      <c r="D1179" s="547"/>
      <c r="E1179" s="547">
        <v>9</v>
      </c>
      <c r="F1179" s="547"/>
      <c r="G1179" s="547"/>
      <c r="H1179" s="547"/>
      <c r="I1179" s="547"/>
      <c r="J1179" s="547"/>
      <c r="K1179" s="547"/>
      <c r="L1179" s="547"/>
      <c r="M1179" s="547"/>
      <c r="N1179" s="547"/>
      <c r="O1179" s="547"/>
    </row>
    <row r="1180" spans="2:15">
      <c r="B1180" s="579"/>
      <c r="C1180" s="569"/>
      <c r="D1180" s="569"/>
      <c r="E1180" s="569">
        <v>10</v>
      </c>
      <c r="F1180" s="569"/>
      <c r="G1180" s="569"/>
      <c r="H1180" s="569"/>
      <c r="I1180" s="569"/>
      <c r="J1180" s="569"/>
      <c r="K1180" s="569"/>
      <c r="L1180" s="569"/>
      <c r="M1180" s="569"/>
      <c r="N1180" s="569"/>
      <c r="O1180" s="569"/>
    </row>
    <row r="1181" spans="2:15">
      <c r="B1181" s="579"/>
      <c r="C1181" s="549" t="s">
        <v>3293</v>
      </c>
      <c r="D1181" s="549" t="s">
        <v>3294</v>
      </c>
      <c r="E1181" s="549">
        <v>1</v>
      </c>
      <c r="F1181" s="549"/>
      <c r="G1181" s="549"/>
      <c r="H1181" s="549"/>
      <c r="I1181" s="549"/>
      <c r="J1181" s="549"/>
      <c r="K1181" s="549"/>
      <c r="L1181" s="549"/>
      <c r="M1181" s="549"/>
      <c r="N1181" s="549"/>
      <c r="O1181" s="549"/>
    </row>
    <row r="1182" spans="2:15">
      <c r="B1182" s="579"/>
      <c r="C1182" s="547"/>
      <c r="D1182" s="547"/>
      <c r="E1182" s="547">
        <v>2</v>
      </c>
      <c r="F1182" s="547"/>
      <c r="G1182" s="547"/>
      <c r="H1182" s="547"/>
      <c r="I1182" s="547"/>
      <c r="J1182" s="547"/>
      <c r="K1182" s="547"/>
      <c r="L1182" s="547"/>
      <c r="M1182" s="547"/>
      <c r="N1182" s="547"/>
      <c r="O1182" s="547"/>
    </row>
    <row r="1183" spans="2:15">
      <c r="B1183" s="579"/>
      <c r="C1183" s="547"/>
      <c r="D1183" s="547"/>
      <c r="E1183" s="547">
        <v>3</v>
      </c>
      <c r="F1183" s="547"/>
      <c r="G1183" s="547"/>
      <c r="H1183" s="547"/>
      <c r="I1183" s="547"/>
      <c r="J1183" s="547"/>
      <c r="K1183" s="547"/>
      <c r="L1183" s="547"/>
      <c r="M1183" s="547"/>
      <c r="N1183" s="547"/>
      <c r="O1183" s="547"/>
    </row>
    <row r="1184" spans="2:15">
      <c r="B1184" s="579"/>
      <c r="C1184" s="547"/>
      <c r="D1184" s="547"/>
      <c r="E1184" s="547">
        <v>4</v>
      </c>
      <c r="F1184" s="547"/>
      <c r="G1184" s="547"/>
      <c r="H1184" s="547"/>
      <c r="I1184" s="547"/>
      <c r="J1184" s="547"/>
      <c r="K1184" s="547"/>
      <c r="L1184" s="547"/>
      <c r="M1184" s="547"/>
      <c r="N1184" s="547"/>
      <c r="O1184" s="547"/>
    </row>
    <row r="1185" spans="2:15">
      <c r="B1185" s="579"/>
      <c r="C1185" s="547"/>
      <c r="D1185" s="547"/>
      <c r="E1185" s="547">
        <v>5</v>
      </c>
      <c r="F1185" s="547"/>
      <c r="G1185" s="547"/>
      <c r="H1185" s="547"/>
      <c r="I1185" s="547"/>
      <c r="J1185" s="547"/>
      <c r="K1185" s="547"/>
      <c r="L1185" s="547"/>
      <c r="M1185" s="547"/>
      <c r="N1185" s="547"/>
      <c r="O1185" s="547"/>
    </row>
    <row r="1186" spans="2:15">
      <c r="B1186" s="579"/>
      <c r="C1186" s="547"/>
      <c r="D1186" s="547"/>
      <c r="E1186" s="547">
        <v>6</v>
      </c>
      <c r="F1186" s="547"/>
      <c r="G1186" s="547"/>
      <c r="H1186" s="547"/>
      <c r="I1186" s="547"/>
      <c r="J1186" s="547"/>
      <c r="K1186" s="547"/>
      <c r="L1186" s="547"/>
      <c r="M1186" s="547"/>
      <c r="N1186" s="547"/>
      <c r="O1186" s="547"/>
    </row>
    <row r="1187" spans="2:15">
      <c r="B1187" s="579"/>
      <c r="C1187" s="547"/>
      <c r="D1187" s="547"/>
      <c r="E1187" s="547">
        <v>7</v>
      </c>
      <c r="F1187" s="547"/>
      <c r="G1187" s="547"/>
      <c r="H1187" s="547"/>
      <c r="I1187" s="547"/>
      <c r="J1187" s="547"/>
      <c r="K1187" s="547"/>
      <c r="L1187" s="547"/>
      <c r="M1187" s="547"/>
      <c r="N1187" s="547"/>
      <c r="O1187" s="547"/>
    </row>
    <row r="1188" spans="2:15">
      <c r="B1188" s="579"/>
      <c r="C1188" s="547"/>
      <c r="D1188" s="547"/>
      <c r="E1188" s="547">
        <v>8</v>
      </c>
      <c r="F1188" s="547"/>
      <c r="G1188" s="547"/>
      <c r="H1188" s="547"/>
      <c r="I1188" s="547"/>
      <c r="J1188" s="547"/>
      <c r="K1188" s="547"/>
      <c r="L1188" s="547"/>
      <c r="M1188" s="547"/>
      <c r="N1188" s="547"/>
      <c r="O1188" s="547"/>
    </row>
    <row r="1189" spans="2:15">
      <c r="B1189" s="579"/>
      <c r="C1189" s="547"/>
      <c r="D1189" s="547"/>
      <c r="E1189" s="547">
        <v>9</v>
      </c>
      <c r="F1189" s="547"/>
      <c r="G1189" s="547"/>
      <c r="H1189" s="547"/>
      <c r="I1189" s="547"/>
      <c r="J1189" s="547"/>
      <c r="K1189" s="547"/>
      <c r="L1189" s="547"/>
      <c r="M1189" s="547"/>
      <c r="N1189" s="547"/>
      <c r="O1189" s="547"/>
    </row>
    <row r="1190" spans="2:15">
      <c r="B1190" s="672"/>
      <c r="C1190" s="569"/>
      <c r="D1190" s="569"/>
      <c r="E1190" s="569">
        <v>10</v>
      </c>
      <c r="F1190" s="569"/>
      <c r="G1190" s="569"/>
      <c r="H1190" s="569"/>
      <c r="I1190" s="569"/>
      <c r="J1190" s="569"/>
      <c r="K1190" s="569"/>
      <c r="L1190" s="569"/>
      <c r="M1190" s="569"/>
      <c r="N1190" s="569"/>
      <c r="O1190" s="569"/>
    </row>
    <row r="1191" spans="2:15">
      <c r="B1191" s="579" t="s">
        <v>3300</v>
      </c>
      <c r="C1191" s="549" t="s">
        <v>3301</v>
      </c>
      <c r="D1191" s="549" t="s">
        <v>3302</v>
      </c>
      <c r="E1191" s="549">
        <v>1</v>
      </c>
      <c r="F1191" s="549"/>
      <c r="G1191" s="549"/>
      <c r="H1191" s="549"/>
      <c r="I1191" s="549"/>
      <c r="J1191" s="549"/>
      <c r="K1191" s="549"/>
      <c r="L1191" s="549"/>
      <c r="M1191" s="549"/>
      <c r="N1191" s="549"/>
      <c r="O1191" s="549"/>
    </row>
    <row r="1192" spans="2:15">
      <c r="B1192" s="579"/>
      <c r="C1192" s="547"/>
      <c r="D1192" s="547"/>
      <c r="E1192" s="547">
        <v>2</v>
      </c>
      <c r="F1192" s="687"/>
      <c r="G1192" s="547"/>
      <c r="H1192" s="547"/>
      <c r="I1192" s="547"/>
      <c r="J1192" s="547"/>
      <c r="K1192" s="547"/>
      <c r="L1192" s="547"/>
      <c r="M1192" s="547"/>
      <c r="N1192" s="547"/>
      <c r="O1192" s="547"/>
    </row>
    <row r="1193" spans="2:15">
      <c r="B1193" s="579"/>
      <c r="C1193" s="547"/>
      <c r="D1193" s="547"/>
      <c r="E1193" s="547">
        <v>3</v>
      </c>
      <c r="F1193" s="547"/>
      <c r="G1193" s="547"/>
      <c r="H1193" s="547"/>
      <c r="I1193" s="547"/>
      <c r="J1193" s="547"/>
      <c r="K1193" s="547"/>
      <c r="L1193" s="547"/>
      <c r="M1193" s="547"/>
      <c r="N1193" s="547"/>
      <c r="O1193" s="547"/>
    </row>
    <row r="1194" spans="2:15">
      <c r="B1194" s="579"/>
      <c r="C1194" s="547"/>
      <c r="D1194" s="547"/>
      <c r="E1194" s="547">
        <v>4</v>
      </c>
      <c r="F1194" s="547"/>
      <c r="G1194" s="547"/>
      <c r="H1194" s="547"/>
      <c r="I1194" s="547"/>
      <c r="J1194" s="547"/>
      <c r="K1194" s="547"/>
      <c r="L1194" s="547"/>
      <c r="M1194" s="547"/>
      <c r="N1194" s="547"/>
      <c r="O1194" s="547"/>
    </row>
    <row r="1195" spans="2:15">
      <c r="B1195" s="579"/>
      <c r="C1195" s="547"/>
      <c r="D1195" s="547"/>
      <c r="E1195" s="547">
        <v>5</v>
      </c>
      <c r="F1195" s="547"/>
      <c r="G1195" s="547"/>
      <c r="H1195" s="547"/>
      <c r="I1195" s="547"/>
      <c r="J1195" s="547"/>
      <c r="K1195" s="547"/>
      <c r="L1195" s="547"/>
      <c r="M1195" s="547"/>
      <c r="N1195" s="547"/>
      <c r="O1195" s="547"/>
    </row>
    <row r="1196" spans="2:15">
      <c r="B1196" s="579"/>
      <c r="C1196" s="547"/>
      <c r="D1196" s="547"/>
      <c r="E1196" s="547">
        <v>6</v>
      </c>
      <c r="F1196" s="547"/>
      <c r="G1196" s="547"/>
      <c r="H1196" s="547"/>
      <c r="I1196" s="547"/>
      <c r="J1196" s="547"/>
      <c r="K1196" s="547"/>
      <c r="L1196" s="547"/>
      <c r="M1196" s="547"/>
      <c r="N1196" s="547"/>
      <c r="O1196" s="547"/>
    </row>
    <row r="1197" spans="2:15">
      <c r="B1197" s="579"/>
      <c r="C1197" s="547"/>
      <c r="D1197" s="547"/>
      <c r="E1197" s="547">
        <v>7</v>
      </c>
      <c r="F1197" s="547"/>
      <c r="G1197" s="547"/>
      <c r="H1197" s="547"/>
      <c r="I1197" s="547"/>
      <c r="J1197" s="547"/>
      <c r="K1197" s="547"/>
      <c r="L1197" s="547"/>
      <c r="M1197" s="547"/>
      <c r="N1197" s="547"/>
      <c r="O1197" s="547"/>
    </row>
    <row r="1198" spans="2:15">
      <c r="B1198" s="579"/>
      <c r="C1198" s="547"/>
      <c r="D1198" s="547"/>
      <c r="E1198" s="547">
        <v>8</v>
      </c>
      <c r="F1198" s="547"/>
      <c r="G1198" s="547"/>
      <c r="H1198" s="547"/>
      <c r="I1198" s="547"/>
      <c r="J1198" s="547"/>
      <c r="K1198" s="547"/>
      <c r="L1198" s="547"/>
      <c r="M1198" s="547"/>
      <c r="N1198" s="547"/>
      <c r="O1198" s="547"/>
    </row>
    <row r="1199" spans="2:15">
      <c r="B1199" s="579"/>
      <c r="C1199" s="547"/>
      <c r="D1199" s="547"/>
      <c r="E1199" s="547">
        <v>9</v>
      </c>
      <c r="F1199" s="547"/>
      <c r="G1199" s="547"/>
      <c r="H1199" s="547"/>
      <c r="I1199" s="547"/>
      <c r="J1199" s="547"/>
      <c r="K1199" s="547"/>
      <c r="L1199" s="547"/>
      <c r="M1199" s="547"/>
      <c r="N1199" s="547"/>
      <c r="O1199" s="547"/>
    </row>
    <row r="1200" spans="2:15">
      <c r="B1200" s="579"/>
      <c r="C1200" s="569"/>
      <c r="D1200" s="569"/>
      <c r="E1200" s="569">
        <v>10</v>
      </c>
      <c r="F1200" s="569"/>
      <c r="G1200" s="569"/>
      <c r="H1200" s="569"/>
      <c r="I1200" s="569"/>
      <c r="J1200" s="569"/>
      <c r="K1200" s="569"/>
      <c r="L1200" s="569"/>
      <c r="M1200" s="569"/>
      <c r="N1200" s="569"/>
      <c r="O1200" s="569"/>
    </row>
    <row r="1201" spans="2:15">
      <c r="B1201" s="579"/>
      <c r="C1201" s="557" t="s">
        <v>3474</v>
      </c>
      <c r="D1201" s="557" t="s">
        <v>3315</v>
      </c>
      <c r="E1201" s="557">
        <v>1</v>
      </c>
      <c r="F1201" s="557"/>
      <c r="G1201" s="557"/>
      <c r="H1201" s="557"/>
      <c r="I1201" s="557"/>
      <c r="J1201" s="557"/>
      <c r="K1201" s="557"/>
      <c r="L1201" s="557"/>
      <c r="M1201" s="557"/>
      <c r="N1201" s="557"/>
      <c r="O1201" s="557"/>
    </row>
    <row r="1202" spans="2:15">
      <c r="B1202" s="579"/>
      <c r="C1202" s="547"/>
      <c r="D1202" s="547"/>
      <c r="E1202" s="547">
        <v>2</v>
      </c>
      <c r="F1202" s="547"/>
      <c r="G1202" s="547"/>
      <c r="H1202" s="547"/>
      <c r="I1202" s="547"/>
      <c r="J1202" s="547"/>
      <c r="K1202" s="547"/>
      <c r="L1202" s="547"/>
      <c r="M1202" s="547"/>
      <c r="N1202" s="547"/>
      <c r="O1202" s="547"/>
    </row>
    <row r="1203" spans="2:15">
      <c r="B1203" s="579"/>
      <c r="C1203" s="547"/>
      <c r="D1203" s="547"/>
      <c r="E1203" s="547">
        <v>3</v>
      </c>
      <c r="F1203" s="547"/>
      <c r="G1203" s="547"/>
      <c r="H1203" s="547"/>
      <c r="I1203" s="547"/>
      <c r="J1203" s="547"/>
      <c r="K1203" s="547"/>
      <c r="L1203" s="547"/>
      <c r="M1203" s="547"/>
      <c r="N1203" s="547"/>
      <c r="O1203" s="547"/>
    </row>
    <row r="1204" spans="2:15">
      <c r="B1204" s="579"/>
      <c r="C1204" s="547"/>
      <c r="D1204" s="547"/>
      <c r="E1204" s="547">
        <v>4</v>
      </c>
      <c r="F1204" s="547"/>
      <c r="G1204" s="547"/>
      <c r="H1204" s="547"/>
      <c r="I1204" s="547"/>
      <c r="J1204" s="547"/>
      <c r="K1204" s="547"/>
      <c r="L1204" s="547"/>
      <c r="M1204" s="547"/>
      <c r="N1204" s="547"/>
      <c r="O1204" s="547"/>
    </row>
    <row r="1205" spans="2:15">
      <c r="B1205" s="579"/>
      <c r="C1205" s="547"/>
      <c r="D1205" s="547"/>
      <c r="E1205" s="547">
        <v>5</v>
      </c>
      <c r="F1205" s="547"/>
      <c r="G1205" s="547"/>
      <c r="H1205" s="547"/>
      <c r="I1205" s="547"/>
      <c r="J1205" s="547"/>
      <c r="K1205" s="547"/>
      <c r="L1205" s="547"/>
      <c r="M1205" s="547"/>
      <c r="N1205" s="547"/>
      <c r="O1205" s="547"/>
    </row>
    <row r="1206" spans="2:15">
      <c r="B1206" s="579"/>
      <c r="C1206" s="547"/>
      <c r="D1206" s="547"/>
      <c r="E1206" s="547">
        <v>6</v>
      </c>
      <c r="F1206" s="547"/>
      <c r="G1206" s="547"/>
      <c r="H1206" s="547"/>
      <c r="I1206" s="547"/>
      <c r="J1206" s="547"/>
      <c r="K1206" s="547"/>
      <c r="L1206" s="547"/>
      <c r="M1206" s="547"/>
      <c r="N1206" s="547"/>
      <c r="O1206" s="547"/>
    </row>
    <row r="1207" spans="2:15">
      <c r="B1207" s="579"/>
      <c r="C1207" s="547"/>
      <c r="D1207" s="547"/>
      <c r="E1207" s="547">
        <v>7</v>
      </c>
      <c r="F1207" s="547"/>
      <c r="G1207" s="547"/>
      <c r="H1207" s="547"/>
      <c r="I1207" s="547"/>
      <c r="J1207" s="547"/>
      <c r="K1207" s="547"/>
      <c r="L1207" s="547"/>
      <c r="M1207" s="547"/>
      <c r="N1207" s="547"/>
      <c r="O1207" s="547"/>
    </row>
    <row r="1208" spans="2:15">
      <c r="B1208" s="579"/>
      <c r="C1208" s="547"/>
      <c r="D1208" s="547"/>
      <c r="E1208" s="547">
        <v>8</v>
      </c>
      <c r="F1208" s="547"/>
      <c r="G1208" s="547"/>
      <c r="H1208" s="547"/>
      <c r="I1208" s="547"/>
      <c r="J1208" s="547"/>
      <c r="K1208" s="547"/>
      <c r="L1208" s="547"/>
      <c r="M1208" s="547"/>
      <c r="N1208" s="547"/>
      <c r="O1208" s="547"/>
    </row>
    <row r="1209" spans="2:15">
      <c r="B1209" s="579"/>
      <c r="C1209" s="547"/>
      <c r="D1209" s="547"/>
      <c r="E1209" s="547">
        <v>9</v>
      </c>
      <c r="F1209" s="547"/>
      <c r="G1209" s="547"/>
      <c r="H1209" s="547"/>
      <c r="I1209" s="547"/>
      <c r="J1209" s="547"/>
      <c r="K1209" s="547"/>
      <c r="L1209" s="547"/>
      <c r="M1209" s="547"/>
      <c r="N1209" s="547"/>
      <c r="O1209" s="547"/>
    </row>
    <row r="1210" spans="2:15">
      <c r="B1210" s="672"/>
      <c r="C1210" s="569"/>
      <c r="D1210" s="569"/>
      <c r="E1210" s="569">
        <v>10</v>
      </c>
      <c r="F1210" s="569"/>
      <c r="G1210" s="569"/>
      <c r="H1210" s="569"/>
      <c r="I1210" s="569"/>
      <c r="J1210" s="569"/>
      <c r="K1210" s="569"/>
      <c r="L1210" s="569"/>
      <c r="M1210" s="569"/>
      <c r="N1210" s="569"/>
      <c r="O1210" s="569"/>
    </row>
    <row r="1211" spans="2:15">
      <c r="B1211" s="575" t="s">
        <v>3324</v>
      </c>
      <c r="C1211" s="557" t="s">
        <v>3325</v>
      </c>
      <c r="D1211" s="557" t="s">
        <v>3326</v>
      </c>
      <c r="E1211" s="557">
        <v>1</v>
      </c>
      <c r="F1211" s="557"/>
      <c r="G1211" s="557"/>
      <c r="H1211" s="557"/>
      <c r="I1211" s="557"/>
      <c r="J1211" s="557"/>
      <c r="K1211" s="557"/>
      <c r="L1211" s="557"/>
      <c r="M1211" s="557"/>
      <c r="N1211" s="557"/>
      <c r="O1211" s="557"/>
    </row>
    <row r="1212" spans="2:15">
      <c r="B1212" s="579"/>
      <c r="C1212" s="547"/>
      <c r="D1212" s="547"/>
      <c r="E1212" s="547">
        <v>2</v>
      </c>
      <c r="F1212" s="547"/>
      <c r="G1212" s="547"/>
      <c r="H1212" s="547"/>
      <c r="I1212" s="547"/>
      <c r="J1212" s="547"/>
      <c r="K1212" s="547"/>
      <c r="L1212" s="547"/>
      <c r="M1212" s="547"/>
      <c r="N1212" s="547"/>
      <c r="O1212" s="547"/>
    </row>
    <row r="1213" spans="2:15">
      <c r="B1213" s="579"/>
      <c r="C1213" s="547"/>
      <c r="D1213" s="547"/>
      <c r="E1213" s="547">
        <v>3</v>
      </c>
      <c r="F1213" s="547"/>
      <c r="G1213" s="547"/>
      <c r="H1213" s="547"/>
      <c r="I1213" s="547"/>
      <c r="J1213" s="547"/>
      <c r="K1213" s="547"/>
      <c r="L1213" s="547"/>
      <c r="M1213" s="547"/>
      <c r="N1213" s="547"/>
      <c r="O1213" s="547"/>
    </row>
    <row r="1214" spans="2:15">
      <c r="B1214" s="579"/>
      <c r="C1214" s="547"/>
      <c r="D1214" s="547"/>
      <c r="E1214" s="547">
        <v>4</v>
      </c>
      <c r="F1214" s="547"/>
      <c r="G1214" s="547"/>
      <c r="H1214" s="547"/>
      <c r="I1214" s="547"/>
      <c r="J1214" s="547"/>
      <c r="K1214" s="547"/>
      <c r="L1214" s="547"/>
      <c r="M1214" s="547"/>
      <c r="N1214" s="547"/>
      <c r="O1214" s="547"/>
    </row>
    <row r="1215" spans="2:15">
      <c r="B1215" s="579"/>
      <c r="C1215" s="547"/>
      <c r="D1215" s="547"/>
      <c r="E1215" s="547">
        <v>5</v>
      </c>
      <c r="F1215" s="547"/>
      <c r="G1215" s="547"/>
      <c r="H1215" s="547"/>
      <c r="I1215" s="547"/>
      <c r="J1215" s="547"/>
      <c r="K1215" s="547"/>
      <c r="L1215" s="547"/>
      <c r="M1215" s="547"/>
      <c r="N1215" s="547"/>
      <c r="O1215" s="547"/>
    </row>
    <row r="1216" spans="2:15">
      <c r="B1216" s="579"/>
      <c r="C1216" s="547"/>
      <c r="D1216" s="547"/>
      <c r="E1216" s="547">
        <v>6</v>
      </c>
      <c r="F1216" s="547"/>
      <c r="G1216" s="547"/>
      <c r="H1216" s="547"/>
      <c r="I1216" s="547"/>
      <c r="J1216" s="547"/>
      <c r="K1216" s="547"/>
      <c r="L1216" s="547"/>
      <c r="M1216" s="547"/>
      <c r="N1216" s="547"/>
      <c r="O1216" s="547"/>
    </row>
    <row r="1217" spans="2:15">
      <c r="B1217" s="579"/>
      <c r="C1217" s="547"/>
      <c r="D1217" s="547"/>
      <c r="E1217" s="547">
        <v>7</v>
      </c>
      <c r="F1217" s="547"/>
      <c r="G1217" s="547"/>
      <c r="H1217" s="547"/>
      <c r="I1217" s="547"/>
      <c r="J1217" s="547"/>
      <c r="K1217" s="547"/>
      <c r="L1217" s="547"/>
      <c r="M1217" s="547"/>
      <c r="N1217" s="547"/>
      <c r="O1217" s="547"/>
    </row>
    <row r="1218" spans="2:15">
      <c r="B1218" s="579"/>
      <c r="C1218" s="547"/>
      <c r="D1218" s="547"/>
      <c r="E1218" s="547">
        <v>8</v>
      </c>
      <c r="F1218" s="547"/>
      <c r="G1218" s="547"/>
      <c r="H1218" s="547"/>
      <c r="I1218" s="547"/>
      <c r="J1218" s="547"/>
      <c r="K1218" s="547"/>
      <c r="L1218" s="547"/>
      <c r="M1218" s="547"/>
      <c r="N1218" s="547"/>
      <c r="O1218" s="547"/>
    </row>
    <row r="1219" spans="2:15">
      <c r="B1219" s="579"/>
      <c r="C1219" s="547"/>
      <c r="D1219" s="547"/>
      <c r="E1219" s="547">
        <v>9</v>
      </c>
      <c r="F1219" s="547"/>
      <c r="G1219" s="547"/>
      <c r="H1219" s="547"/>
      <c r="I1219" s="547"/>
      <c r="J1219" s="547"/>
      <c r="K1219" s="547"/>
      <c r="L1219" s="547"/>
      <c r="M1219" s="547"/>
      <c r="N1219" s="547"/>
      <c r="O1219" s="547"/>
    </row>
    <row r="1220" spans="2:15">
      <c r="B1220" s="672"/>
      <c r="C1220" s="569"/>
      <c r="D1220" s="569"/>
      <c r="E1220" s="569">
        <v>10</v>
      </c>
      <c r="F1220" s="569"/>
      <c r="G1220" s="569"/>
      <c r="H1220" s="569"/>
      <c r="I1220" s="569"/>
      <c r="J1220" s="569"/>
      <c r="K1220" s="569"/>
      <c r="L1220" s="569"/>
      <c r="M1220" s="569"/>
      <c r="N1220" s="569"/>
      <c r="O1220" s="569"/>
    </row>
    <row r="1221" spans="2:15">
      <c r="B1221" s="579" t="s">
        <v>3349</v>
      </c>
      <c r="C1221" s="557" t="s">
        <v>3350</v>
      </c>
      <c r="D1221" s="557" t="s">
        <v>3351</v>
      </c>
      <c r="E1221" s="557">
        <v>1</v>
      </c>
      <c r="F1221" s="557"/>
      <c r="G1221" s="557"/>
      <c r="H1221" s="557"/>
      <c r="I1221" s="557"/>
      <c r="J1221" s="557"/>
      <c r="K1221" s="557"/>
      <c r="L1221" s="557"/>
      <c r="M1221" s="557"/>
      <c r="N1221" s="557"/>
      <c r="O1221" s="557"/>
    </row>
    <row r="1222" spans="2:15">
      <c r="B1222" s="579"/>
      <c r="C1222" s="547"/>
      <c r="D1222" s="547"/>
      <c r="E1222" s="547">
        <v>2</v>
      </c>
      <c r="F1222" s="547"/>
      <c r="G1222" s="547"/>
      <c r="H1222" s="547"/>
      <c r="I1222" s="547"/>
      <c r="J1222" s="547"/>
      <c r="K1222" s="547"/>
      <c r="L1222" s="547"/>
      <c r="M1222" s="547"/>
      <c r="N1222" s="547"/>
      <c r="O1222" s="547"/>
    </row>
    <row r="1223" spans="2:15">
      <c r="B1223" s="579"/>
      <c r="C1223" s="547"/>
      <c r="D1223" s="547"/>
      <c r="E1223" s="547">
        <v>3</v>
      </c>
      <c r="F1223" s="547"/>
      <c r="G1223" s="547"/>
      <c r="H1223" s="547"/>
      <c r="I1223" s="547"/>
      <c r="J1223" s="547"/>
      <c r="K1223" s="547"/>
      <c r="L1223" s="547"/>
      <c r="M1223" s="547"/>
      <c r="N1223" s="547"/>
      <c r="O1223" s="547"/>
    </row>
    <row r="1224" spans="2:15">
      <c r="B1224" s="579"/>
      <c r="C1224" s="547"/>
      <c r="D1224" s="547"/>
      <c r="E1224" s="547">
        <v>4</v>
      </c>
      <c r="F1224" s="547"/>
      <c r="G1224" s="547"/>
      <c r="H1224" s="547"/>
      <c r="I1224" s="547"/>
      <c r="J1224" s="547"/>
      <c r="K1224" s="547"/>
      <c r="L1224" s="547"/>
      <c r="M1224" s="547"/>
      <c r="N1224" s="547"/>
      <c r="O1224" s="547"/>
    </row>
    <row r="1225" spans="2:15">
      <c r="B1225" s="579"/>
      <c r="C1225" s="547"/>
      <c r="D1225" s="547"/>
      <c r="E1225" s="547">
        <v>5</v>
      </c>
      <c r="F1225" s="547"/>
      <c r="G1225" s="547"/>
      <c r="H1225" s="547"/>
      <c r="I1225" s="547"/>
      <c r="J1225" s="547"/>
      <c r="K1225" s="547"/>
      <c r="L1225" s="547"/>
      <c r="M1225" s="547"/>
      <c r="N1225" s="547"/>
      <c r="O1225" s="547"/>
    </row>
    <row r="1226" spans="2:15">
      <c r="B1226" s="579"/>
      <c r="C1226" s="547"/>
      <c r="D1226" s="547"/>
      <c r="E1226" s="547">
        <v>6</v>
      </c>
      <c r="F1226" s="547"/>
      <c r="G1226" s="547"/>
      <c r="H1226" s="547"/>
      <c r="I1226" s="547"/>
      <c r="J1226" s="547"/>
      <c r="K1226" s="547"/>
      <c r="L1226" s="547"/>
      <c r="M1226" s="547"/>
      <c r="N1226" s="547"/>
      <c r="O1226" s="547"/>
    </row>
    <row r="1227" spans="2:15">
      <c r="B1227" s="579"/>
      <c r="C1227" s="547"/>
      <c r="D1227" s="547"/>
      <c r="E1227" s="547">
        <v>7</v>
      </c>
      <c r="F1227" s="547"/>
      <c r="G1227" s="547"/>
      <c r="H1227" s="547"/>
      <c r="I1227" s="547"/>
      <c r="J1227" s="547"/>
      <c r="K1227" s="547"/>
      <c r="L1227" s="547"/>
      <c r="M1227" s="547"/>
      <c r="N1227" s="547"/>
      <c r="O1227" s="547"/>
    </row>
    <row r="1228" spans="2:15">
      <c r="B1228" s="579"/>
      <c r="C1228" s="547"/>
      <c r="D1228" s="547"/>
      <c r="E1228" s="547">
        <v>8</v>
      </c>
      <c r="F1228" s="547"/>
      <c r="G1228" s="547"/>
      <c r="H1228" s="547"/>
      <c r="I1228" s="547"/>
      <c r="J1228" s="547"/>
      <c r="K1228" s="547"/>
      <c r="L1228" s="547"/>
      <c r="M1228" s="547"/>
      <c r="N1228" s="547"/>
      <c r="O1228" s="547"/>
    </row>
    <row r="1229" spans="2:15">
      <c r="B1229" s="579"/>
      <c r="C1229" s="547"/>
      <c r="D1229" s="547"/>
      <c r="E1229" s="547">
        <v>9</v>
      </c>
      <c r="F1229" s="547"/>
      <c r="G1229" s="547"/>
      <c r="H1229" s="547"/>
      <c r="I1229" s="547"/>
      <c r="J1229" s="547"/>
      <c r="K1229" s="547"/>
      <c r="L1229" s="547"/>
      <c r="M1229" s="547"/>
      <c r="N1229" s="547"/>
      <c r="O1229" s="547"/>
    </row>
    <row r="1230" spans="2:15">
      <c r="B1230" s="579"/>
      <c r="C1230" s="569"/>
      <c r="D1230" s="569"/>
      <c r="E1230" s="569">
        <v>10</v>
      </c>
      <c r="F1230" s="569"/>
      <c r="G1230" s="569"/>
      <c r="H1230" s="569"/>
      <c r="I1230" s="569"/>
      <c r="J1230" s="569"/>
      <c r="K1230" s="569"/>
      <c r="L1230" s="569"/>
      <c r="M1230" s="569"/>
      <c r="N1230" s="569"/>
      <c r="O1230" s="569"/>
    </row>
    <row r="1231" spans="2:15">
      <c r="B1231" s="579"/>
      <c r="C1231" s="557" t="s">
        <v>3371</v>
      </c>
      <c r="D1231" s="557" t="s">
        <v>3294</v>
      </c>
      <c r="E1231" s="557">
        <v>1</v>
      </c>
      <c r="F1231" s="557"/>
      <c r="G1231" s="557"/>
      <c r="H1231" s="557"/>
      <c r="I1231" s="557"/>
      <c r="J1231" s="557"/>
      <c r="K1231" s="557"/>
      <c r="L1231" s="557"/>
      <c r="M1231" s="557"/>
      <c r="N1231" s="557"/>
      <c r="O1231" s="557"/>
    </row>
    <row r="1232" spans="2:15">
      <c r="B1232" s="579"/>
      <c r="C1232" s="547"/>
      <c r="D1232" s="547"/>
      <c r="E1232" s="547">
        <v>2</v>
      </c>
      <c r="F1232" s="547"/>
      <c r="G1232" s="547"/>
      <c r="H1232" s="547"/>
      <c r="I1232" s="547"/>
      <c r="J1232" s="547"/>
      <c r="K1232" s="547"/>
      <c r="L1232" s="547"/>
      <c r="M1232" s="547"/>
      <c r="N1232" s="547"/>
      <c r="O1232" s="547"/>
    </row>
    <row r="1233" spans="2:15">
      <c r="B1233" s="579"/>
      <c r="C1233" s="547"/>
      <c r="D1233" s="547"/>
      <c r="E1233" s="547">
        <v>3</v>
      </c>
      <c r="F1233" s="547"/>
      <c r="G1233" s="547"/>
      <c r="H1233" s="547"/>
      <c r="I1233" s="547"/>
      <c r="J1233" s="547"/>
      <c r="K1233" s="547"/>
      <c r="L1233" s="547"/>
      <c r="M1233" s="547"/>
      <c r="N1233" s="547"/>
      <c r="O1233" s="547"/>
    </row>
    <row r="1234" spans="2:15">
      <c r="B1234" s="579"/>
      <c r="C1234" s="547"/>
      <c r="D1234" s="547"/>
      <c r="E1234" s="547">
        <v>4</v>
      </c>
      <c r="F1234" s="547"/>
      <c r="G1234" s="547"/>
      <c r="H1234" s="547"/>
      <c r="I1234" s="547"/>
      <c r="J1234" s="547"/>
      <c r="K1234" s="547"/>
      <c r="L1234" s="547"/>
      <c r="M1234" s="547"/>
      <c r="N1234" s="547"/>
      <c r="O1234" s="547"/>
    </row>
    <row r="1235" spans="2:15">
      <c r="B1235" s="579"/>
      <c r="C1235" s="547"/>
      <c r="D1235" s="547"/>
      <c r="E1235" s="547">
        <v>5</v>
      </c>
      <c r="F1235" s="547"/>
      <c r="G1235" s="547"/>
      <c r="H1235" s="547"/>
      <c r="I1235" s="547"/>
      <c r="J1235" s="547"/>
      <c r="K1235" s="547"/>
      <c r="L1235" s="547"/>
      <c r="M1235" s="547"/>
      <c r="N1235" s="547"/>
      <c r="O1235" s="547"/>
    </row>
    <row r="1236" spans="2:15">
      <c r="B1236" s="579"/>
      <c r="C1236" s="547"/>
      <c r="D1236" s="547"/>
      <c r="E1236" s="547">
        <v>6</v>
      </c>
      <c r="F1236" s="547"/>
      <c r="G1236" s="547"/>
      <c r="H1236" s="547"/>
      <c r="I1236" s="547"/>
      <c r="J1236" s="547"/>
      <c r="K1236" s="547"/>
      <c r="L1236" s="547"/>
      <c r="M1236" s="547"/>
      <c r="N1236" s="547"/>
      <c r="O1236" s="547"/>
    </row>
    <row r="1237" spans="2:15">
      <c r="B1237" s="579"/>
      <c r="C1237" s="547"/>
      <c r="D1237" s="547"/>
      <c r="E1237" s="547">
        <v>7</v>
      </c>
      <c r="F1237" s="547"/>
      <c r="G1237" s="547"/>
      <c r="H1237" s="547"/>
      <c r="I1237" s="547"/>
      <c r="J1237" s="547"/>
      <c r="K1237" s="547"/>
      <c r="L1237" s="547"/>
      <c r="M1237" s="547"/>
      <c r="N1237" s="547"/>
      <c r="O1237" s="547"/>
    </row>
    <row r="1238" spans="2:15">
      <c r="B1238" s="579"/>
      <c r="C1238" s="547"/>
      <c r="D1238" s="547"/>
      <c r="E1238" s="547">
        <v>8</v>
      </c>
      <c r="F1238" s="547"/>
      <c r="G1238" s="547"/>
      <c r="H1238" s="547"/>
      <c r="I1238" s="547"/>
      <c r="J1238" s="547"/>
      <c r="K1238" s="547"/>
      <c r="L1238" s="547"/>
      <c r="M1238" s="547"/>
      <c r="N1238" s="547"/>
      <c r="O1238" s="547"/>
    </row>
    <row r="1239" spans="2:15">
      <c r="B1239" s="579"/>
      <c r="C1239" s="547"/>
      <c r="D1239" s="547"/>
      <c r="E1239" s="547">
        <v>9</v>
      </c>
      <c r="F1239" s="547"/>
      <c r="G1239" s="547"/>
      <c r="H1239" s="547"/>
      <c r="I1239" s="547"/>
      <c r="J1239" s="547"/>
      <c r="K1239" s="547"/>
      <c r="L1239" s="547"/>
      <c r="M1239" s="547"/>
      <c r="N1239" s="547"/>
      <c r="O1239" s="547"/>
    </row>
    <row r="1240" spans="2:15">
      <c r="B1240" s="579"/>
      <c r="C1240" s="569"/>
      <c r="D1240" s="569"/>
      <c r="E1240" s="569">
        <v>10</v>
      </c>
      <c r="F1240" s="569"/>
      <c r="G1240" s="569"/>
      <c r="H1240" s="569"/>
      <c r="I1240" s="569"/>
      <c r="J1240" s="569"/>
      <c r="K1240" s="569"/>
      <c r="L1240" s="569"/>
      <c r="M1240" s="569"/>
      <c r="N1240" s="569"/>
      <c r="O1240" s="569"/>
    </row>
    <row r="1241" spans="2:15">
      <c r="B1241" s="579"/>
      <c r="C1241" s="557" t="s">
        <v>3376</v>
      </c>
      <c r="D1241" s="557" t="s">
        <v>3377</v>
      </c>
      <c r="E1241" s="557">
        <v>1</v>
      </c>
      <c r="F1241" s="557"/>
      <c r="G1241" s="557"/>
      <c r="H1241" s="557"/>
      <c r="I1241" s="557"/>
      <c r="J1241" s="557"/>
      <c r="K1241" s="557"/>
      <c r="L1241" s="557"/>
      <c r="M1241" s="557"/>
      <c r="N1241" s="557"/>
      <c r="O1241" s="557"/>
    </row>
    <row r="1242" spans="2:15">
      <c r="B1242" s="579"/>
      <c r="C1242" s="547"/>
      <c r="D1242" s="547"/>
      <c r="E1242" s="547">
        <v>2</v>
      </c>
      <c r="F1242" s="547"/>
      <c r="G1242" s="547"/>
      <c r="H1242" s="547"/>
      <c r="I1242" s="547"/>
      <c r="J1242" s="547"/>
      <c r="K1242" s="547"/>
      <c r="L1242" s="547"/>
      <c r="M1242" s="547"/>
      <c r="N1242" s="547"/>
      <c r="O1242" s="547"/>
    </row>
    <row r="1243" spans="2:15">
      <c r="B1243" s="579"/>
      <c r="C1243" s="547"/>
      <c r="D1243" s="547"/>
      <c r="E1243" s="547">
        <v>3</v>
      </c>
      <c r="F1243" s="547"/>
      <c r="G1243" s="547"/>
      <c r="H1243" s="547"/>
      <c r="I1243" s="547"/>
      <c r="J1243" s="547"/>
      <c r="K1243" s="547"/>
      <c r="L1243" s="547"/>
      <c r="M1243" s="547"/>
      <c r="N1243" s="547"/>
      <c r="O1243" s="547"/>
    </row>
    <row r="1244" spans="2:15">
      <c r="B1244" s="579"/>
      <c r="C1244" s="547"/>
      <c r="D1244" s="547"/>
      <c r="E1244" s="547">
        <v>4</v>
      </c>
      <c r="F1244" s="547"/>
      <c r="G1244" s="547"/>
      <c r="H1244" s="547"/>
      <c r="I1244" s="547"/>
      <c r="J1244" s="547"/>
      <c r="K1244" s="547"/>
      <c r="L1244" s="547"/>
      <c r="M1244" s="547"/>
      <c r="N1244" s="547"/>
      <c r="O1244" s="547"/>
    </row>
    <row r="1245" spans="2:15">
      <c r="B1245" s="579"/>
      <c r="C1245" s="547"/>
      <c r="D1245" s="547"/>
      <c r="E1245" s="547">
        <v>5</v>
      </c>
      <c r="F1245" s="547"/>
      <c r="G1245" s="547"/>
      <c r="H1245" s="547"/>
      <c r="I1245" s="547"/>
      <c r="J1245" s="547"/>
      <c r="K1245" s="547"/>
      <c r="L1245" s="547"/>
      <c r="M1245" s="547"/>
      <c r="N1245" s="547"/>
      <c r="O1245" s="547"/>
    </row>
    <row r="1246" spans="2:15">
      <c r="B1246" s="579"/>
      <c r="C1246" s="547"/>
      <c r="D1246" s="547"/>
      <c r="E1246" s="547">
        <v>6</v>
      </c>
      <c r="F1246" s="547"/>
      <c r="G1246" s="547"/>
      <c r="H1246" s="547"/>
      <c r="I1246" s="547"/>
      <c r="J1246" s="547"/>
      <c r="K1246" s="547"/>
      <c r="L1246" s="547"/>
      <c r="M1246" s="547"/>
      <c r="N1246" s="547"/>
      <c r="O1246" s="547"/>
    </row>
    <row r="1247" spans="2:15">
      <c r="B1247" s="579"/>
      <c r="C1247" s="547"/>
      <c r="D1247" s="547"/>
      <c r="E1247" s="547">
        <v>7</v>
      </c>
      <c r="F1247" s="547"/>
      <c r="G1247" s="547"/>
      <c r="H1247" s="547"/>
      <c r="I1247" s="547"/>
      <c r="J1247" s="547"/>
      <c r="K1247" s="547"/>
      <c r="L1247" s="547"/>
      <c r="M1247" s="547"/>
      <c r="N1247" s="547"/>
      <c r="O1247" s="547"/>
    </row>
    <row r="1248" spans="2:15">
      <c r="B1248" s="579"/>
      <c r="C1248" s="547"/>
      <c r="D1248" s="547"/>
      <c r="E1248" s="547">
        <v>8</v>
      </c>
      <c r="F1248" s="547"/>
      <c r="G1248" s="547"/>
      <c r="H1248" s="547"/>
      <c r="I1248" s="547"/>
      <c r="J1248" s="547"/>
      <c r="K1248" s="547"/>
      <c r="L1248" s="547"/>
      <c r="M1248" s="547"/>
      <c r="N1248" s="547"/>
      <c r="O1248" s="547"/>
    </row>
    <row r="1249" spans="2:15">
      <c r="B1249" s="579"/>
      <c r="C1249" s="547"/>
      <c r="D1249" s="547"/>
      <c r="E1249" s="547">
        <v>9</v>
      </c>
      <c r="F1249" s="547"/>
      <c r="G1249" s="547"/>
      <c r="H1249" s="547"/>
      <c r="I1249" s="547"/>
      <c r="J1249" s="547"/>
      <c r="K1249" s="547"/>
      <c r="L1249" s="547"/>
      <c r="M1249" s="547"/>
      <c r="N1249" s="547"/>
      <c r="O1249" s="547"/>
    </row>
    <row r="1250" spans="2:15">
      <c r="B1250" s="579"/>
      <c r="C1250" s="569"/>
      <c r="D1250" s="569"/>
      <c r="E1250" s="569">
        <v>10</v>
      </c>
      <c r="F1250" s="569"/>
      <c r="G1250" s="569"/>
      <c r="H1250" s="569"/>
      <c r="I1250" s="569"/>
      <c r="J1250" s="569"/>
      <c r="K1250" s="569"/>
      <c r="L1250" s="569"/>
      <c r="M1250" s="569"/>
      <c r="N1250" s="569"/>
      <c r="O1250" s="569"/>
    </row>
    <row r="1251" spans="2:15">
      <c r="B1251" s="579"/>
      <c r="C1251" s="557" t="s">
        <v>3385</v>
      </c>
      <c r="D1251" s="557" t="s">
        <v>3386</v>
      </c>
      <c r="E1251" s="557">
        <v>1</v>
      </c>
      <c r="F1251" s="557"/>
      <c r="G1251" s="557"/>
      <c r="H1251" s="557"/>
      <c r="I1251" s="557"/>
      <c r="J1251" s="557"/>
      <c r="K1251" s="557"/>
      <c r="L1251" s="557"/>
      <c r="M1251" s="557"/>
      <c r="N1251" s="557"/>
      <c r="O1251" s="557"/>
    </row>
    <row r="1252" spans="2:15">
      <c r="B1252" s="579"/>
      <c r="C1252" s="547"/>
      <c r="D1252" s="547"/>
      <c r="E1252" s="547">
        <v>2</v>
      </c>
      <c r="F1252" s="547"/>
      <c r="G1252" s="547"/>
      <c r="H1252" s="547"/>
      <c r="I1252" s="547"/>
      <c r="J1252" s="547"/>
      <c r="K1252" s="547"/>
      <c r="L1252" s="547"/>
      <c r="M1252" s="547"/>
      <c r="N1252" s="547"/>
      <c r="O1252" s="547"/>
    </row>
    <row r="1253" spans="2:15">
      <c r="B1253" s="579"/>
      <c r="C1253" s="547"/>
      <c r="D1253" s="547"/>
      <c r="E1253" s="547">
        <v>3</v>
      </c>
      <c r="F1253" s="547"/>
      <c r="G1253" s="547"/>
      <c r="H1253" s="547"/>
      <c r="I1253" s="547"/>
      <c r="J1253" s="547"/>
      <c r="K1253" s="547"/>
      <c r="L1253" s="547"/>
      <c r="M1253" s="547"/>
      <c r="N1253" s="547"/>
      <c r="O1253" s="547"/>
    </row>
    <row r="1254" spans="2:15">
      <c r="B1254" s="579"/>
      <c r="C1254" s="547"/>
      <c r="D1254" s="547"/>
      <c r="E1254" s="547">
        <v>4</v>
      </c>
      <c r="F1254" s="547"/>
      <c r="G1254" s="547"/>
      <c r="H1254" s="547"/>
      <c r="I1254" s="547"/>
      <c r="J1254" s="547"/>
      <c r="K1254" s="547"/>
      <c r="L1254" s="547"/>
      <c r="M1254" s="547"/>
      <c r="N1254" s="547"/>
      <c r="O1254" s="547"/>
    </row>
    <row r="1255" spans="2:15">
      <c r="B1255" s="579"/>
      <c r="C1255" s="547"/>
      <c r="D1255" s="547"/>
      <c r="E1255" s="547">
        <v>5</v>
      </c>
      <c r="F1255" s="547"/>
      <c r="G1255" s="547"/>
      <c r="H1255" s="547"/>
      <c r="I1255" s="547"/>
      <c r="J1255" s="547"/>
      <c r="K1255" s="547"/>
      <c r="L1255" s="547"/>
      <c r="M1255" s="547"/>
      <c r="N1255" s="547"/>
      <c r="O1255" s="547"/>
    </row>
    <row r="1256" spans="2:15">
      <c r="B1256" s="579"/>
      <c r="C1256" s="547"/>
      <c r="D1256" s="547"/>
      <c r="E1256" s="547">
        <v>6</v>
      </c>
      <c r="F1256" s="547"/>
      <c r="G1256" s="547"/>
      <c r="H1256" s="547"/>
      <c r="I1256" s="547"/>
      <c r="J1256" s="547"/>
      <c r="K1256" s="547"/>
      <c r="L1256" s="547"/>
      <c r="M1256" s="547"/>
      <c r="N1256" s="547"/>
      <c r="O1256" s="547"/>
    </row>
    <row r="1257" spans="2:15">
      <c r="B1257" s="579"/>
      <c r="C1257" s="547"/>
      <c r="D1257" s="547"/>
      <c r="E1257" s="547">
        <v>7</v>
      </c>
      <c r="F1257" s="547"/>
      <c r="G1257" s="547"/>
      <c r="H1257" s="547"/>
      <c r="I1257" s="547"/>
      <c r="J1257" s="547"/>
      <c r="K1257" s="547"/>
      <c r="L1257" s="547"/>
      <c r="M1257" s="547"/>
      <c r="N1257" s="547"/>
      <c r="O1257" s="547"/>
    </row>
    <row r="1258" spans="2:15">
      <c r="B1258" s="579"/>
      <c r="C1258" s="547"/>
      <c r="D1258" s="547"/>
      <c r="E1258" s="547">
        <v>8</v>
      </c>
      <c r="F1258" s="547"/>
      <c r="G1258" s="547"/>
      <c r="H1258" s="547"/>
      <c r="I1258" s="547"/>
      <c r="J1258" s="547"/>
      <c r="K1258" s="547"/>
      <c r="L1258" s="547"/>
      <c r="M1258" s="547"/>
      <c r="N1258" s="547"/>
      <c r="O1258" s="547"/>
    </row>
    <row r="1259" spans="2:15">
      <c r="B1259" s="579"/>
      <c r="C1259" s="547"/>
      <c r="D1259" s="547"/>
      <c r="E1259" s="547">
        <v>9</v>
      </c>
      <c r="F1259" s="547"/>
      <c r="G1259" s="547"/>
      <c r="H1259" s="547"/>
      <c r="I1259" s="547"/>
      <c r="J1259" s="547"/>
      <c r="K1259" s="547"/>
      <c r="L1259" s="547"/>
      <c r="M1259" s="547"/>
      <c r="N1259" s="547"/>
      <c r="O1259" s="547"/>
    </row>
    <row r="1260" spans="2:15">
      <c r="B1260" s="579"/>
      <c r="C1260" s="569"/>
      <c r="D1260" s="569"/>
      <c r="E1260" s="569">
        <v>10</v>
      </c>
      <c r="F1260" s="569"/>
      <c r="G1260" s="569"/>
      <c r="H1260" s="569"/>
      <c r="I1260" s="569"/>
      <c r="J1260" s="569"/>
      <c r="K1260" s="569"/>
      <c r="L1260" s="569"/>
      <c r="M1260" s="569"/>
      <c r="N1260" s="569"/>
      <c r="O1260" s="569"/>
    </row>
    <row r="1261" spans="2:15">
      <c r="B1261" s="579"/>
      <c r="C1261" s="557" t="s">
        <v>3399</v>
      </c>
      <c r="D1261" s="557" t="s">
        <v>3400</v>
      </c>
      <c r="E1261" s="557">
        <v>1</v>
      </c>
      <c r="F1261" s="557"/>
      <c r="G1261" s="557"/>
      <c r="H1261" s="557"/>
      <c r="I1261" s="557"/>
      <c r="J1261" s="557"/>
      <c r="K1261" s="557"/>
      <c r="L1261" s="557"/>
      <c r="M1261" s="557"/>
      <c r="N1261" s="557"/>
      <c r="O1261" s="557"/>
    </row>
    <row r="1262" spans="2:15">
      <c r="B1262" s="579"/>
      <c r="C1262" s="547"/>
      <c r="D1262" s="547"/>
      <c r="E1262" s="547">
        <v>2</v>
      </c>
      <c r="F1262" s="547"/>
      <c r="G1262" s="547"/>
      <c r="H1262" s="547"/>
      <c r="I1262" s="547"/>
      <c r="J1262" s="547"/>
      <c r="K1262" s="547"/>
      <c r="L1262" s="547"/>
      <c r="M1262" s="547"/>
      <c r="N1262" s="547"/>
      <c r="O1262" s="547"/>
    </row>
    <row r="1263" spans="2:15">
      <c r="B1263" s="579"/>
      <c r="C1263" s="547"/>
      <c r="D1263" s="547"/>
      <c r="E1263" s="547">
        <v>3</v>
      </c>
      <c r="F1263" s="547"/>
      <c r="G1263" s="547"/>
      <c r="H1263" s="547"/>
      <c r="I1263" s="547"/>
      <c r="J1263" s="547"/>
      <c r="K1263" s="547"/>
      <c r="L1263" s="547"/>
      <c r="M1263" s="547"/>
      <c r="N1263" s="547"/>
      <c r="O1263" s="547"/>
    </row>
    <row r="1264" spans="2:15">
      <c r="B1264" s="579"/>
      <c r="C1264" s="547"/>
      <c r="D1264" s="547"/>
      <c r="E1264" s="547">
        <v>4</v>
      </c>
      <c r="F1264" s="547"/>
      <c r="G1264" s="547"/>
      <c r="H1264" s="547"/>
      <c r="I1264" s="547"/>
      <c r="J1264" s="547"/>
      <c r="K1264" s="547"/>
      <c r="L1264" s="547"/>
      <c r="M1264" s="547"/>
      <c r="N1264" s="547"/>
      <c r="O1264" s="547"/>
    </row>
    <row r="1265" spans="2:15">
      <c r="B1265" s="579"/>
      <c r="C1265" s="547"/>
      <c r="D1265" s="547"/>
      <c r="E1265" s="547">
        <v>5</v>
      </c>
      <c r="F1265" s="547"/>
      <c r="G1265" s="547"/>
      <c r="H1265" s="547"/>
      <c r="I1265" s="547"/>
      <c r="J1265" s="547"/>
      <c r="K1265" s="547"/>
      <c r="L1265" s="547"/>
      <c r="M1265" s="547"/>
      <c r="N1265" s="547"/>
      <c r="O1265" s="547"/>
    </row>
    <row r="1266" spans="2:15">
      <c r="B1266" s="579"/>
      <c r="C1266" s="547"/>
      <c r="D1266" s="547"/>
      <c r="E1266" s="547">
        <v>6</v>
      </c>
      <c r="F1266" s="547"/>
      <c r="G1266" s="547"/>
      <c r="H1266" s="547"/>
      <c r="I1266" s="547"/>
      <c r="J1266" s="547"/>
      <c r="K1266" s="547"/>
      <c r="L1266" s="547"/>
      <c r="M1266" s="547"/>
      <c r="N1266" s="547"/>
      <c r="O1266" s="547"/>
    </row>
    <row r="1267" spans="2:15">
      <c r="B1267" s="579"/>
      <c r="C1267" s="547"/>
      <c r="D1267" s="547"/>
      <c r="E1267" s="547">
        <v>7</v>
      </c>
      <c r="F1267" s="547"/>
      <c r="G1267" s="547"/>
      <c r="H1267" s="547"/>
      <c r="I1267" s="547"/>
      <c r="J1267" s="547"/>
      <c r="K1267" s="547"/>
      <c r="L1267" s="547"/>
      <c r="M1267" s="547"/>
      <c r="N1267" s="547"/>
      <c r="O1267" s="547"/>
    </row>
    <row r="1268" spans="2:15">
      <c r="B1268" s="579"/>
      <c r="C1268" s="547"/>
      <c r="D1268" s="547"/>
      <c r="E1268" s="547">
        <v>8</v>
      </c>
      <c r="F1268" s="547"/>
      <c r="G1268" s="547"/>
      <c r="H1268" s="547"/>
      <c r="I1268" s="547"/>
      <c r="J1268" s="547"/>
      <c r="K1268" s="547"/>
      <c r="L1268" s="547"/>
      <c r="M1268" s="547"/>
      <c r="N1268" s="547"/>
      <c r="O1268" s="547"/>
    </row>
    <row r="1269" spans="2:15">
      <c r="B1269" s="579"/>
      <c r="C1269" s="547"/>
      <c r="D1269" s="547"/>
      <c r="E1269" s="547">
        <v>9</v>
      </c>
      <c r="F1269" s="547"/>
      <c r="G1269" s="547"/>
      <c r="H1269" s="547"/>
      <c r="I1269" s="547"/>
      <c r="J1269" s="547"/>
      <c r="K1269" s="547"/>
      <c r="L1269" s="547"/>
      <c r="M1269" s="547"/>
      <c r="N1269" s="547"/>
      <c r="O1269" s="547"/>
    </row>
    <row r="1270" spans="2:15">
      <c r="B1270" s="672"/>
      <c r="C1270" s="569"/>
      <c r="D1270" s="569"/>
      <c r="E1270" s="569">
        <v>10</v>
      </c>
      <c r="F1270" s="569"/>
      <c r="G1270" s="569"/>
      <c r="H1270" s="569"/>
      <c r="I1270" s="569"/>
      <c r="J1270" s="569"/>
      <c r="K1270" s="569"/>
      <c r="L1270" s="569"/>
      <c r="M1270" s="569"/>
      <c r="N1270" s="569"/>
      <c r="O1270" s="569"/>
    </row>
    <row r="1271" spans="2:15">
      <c r="B1271" s="619" t="s">
        <v>4417</v>
      </c>
      <c r="C1271" s="668"/>
      <c r="D1271" s="602"/>
      <c r="E1271" s="602"/>
      <c r="F1271" s="669"/>
      <c r="G1271" s="669"/>
      <c r="H1271" s="669"/>
      <c r="I1271" s="669"/>
      <c r="J1271" s="669"/>
      <c r="K1271" s="669"/>
      <c r="L1271" s="669"/>
      <c r="M1271" s="669"/>
      <c r="N1271" s="602"/>
      <c r="O1271" s="670"/>
    </row>
    <row r="1272" spans="2:15">
      <c r="B1272" s="575" t="s">
        <v>3232</v>
      </c>
      <c r="C1272" s="557" t="s">
        <v>3233</v>
      </c>
      <c r="D1272" s="557" t="s">
        <v>3234</v>
      </c>
      <c r="E1272" s="557">
        <v>1</v>
      </c>
      <c r="F1272" s="549"/>
      <c r="G1272" s="549"/>
      <c r="H1272" s="549"/>
      <c r="I1272" s="549"/>
      <c r="J1272" s="549"/>
      <c r="K1272" s="549"/>
      <c r="L1272" s="549"/>
      <c r="M1272" s="549"/>
      <c r="N1272" s="557"/>
      <c r="O1272" s="557"/>
    </row>
    <row r="1273" spans="2:15">
      <c r="B1273" s="579"/>
      <c r="C1273" s="547"/>
      <c r="D1273" s="547"/>
      <c r="E1273" s="547">
        <v>2</v>
      </c>
      <c r="F1273" s="547"/>
      <c r="G1273" s="547"/>
      <c r="H1273" s="547"/>
      <c r="I1273" s="547"/>
      <c r="J1273" s="547"/>
      <c r="K1273" s="547"/>
      <c r="L1273" s="547"/>
      <c r="M1273" s="547"/>
      <c r="N1273" s="547"/>
      <c r="O1273" s="547"/>
    </row>
    <row r="1274" spans="2:15">
      <c r="B1274" s="579"/>
      <c r="C1274" s="547"/>
      <c r="D1274" s="547"/>
      <c r="E1274" s="547">
        <v>3</v>
      </c>
      <c r="F1274" s="547"/>
      <c r="G1274" s="547"/>
      <c r="H1274" s="547"/>
      <c r="I1274" s="547"/>
      <c r="J1274" s="547"/>
      <c r="K1274" s="547"/>
      <c r="L1274" s="547"/>
      <c r="M1274" s="547"/>
      <c r="N1274" s="547"/>
      <c r="O1274" s="547"/>
    </row>
    <row r="1275" spans="2:15">
      <c r="B1275" s="579"/>
      <c r="C1275" s="547"/>
      <c r="D1275" s="547"/>
      <c r="E1275" s="547">
        <v>4</v>
      </c>
      <c r="F1275" s="547"/>
      <c r="G1275" s="547"/>
      <c r="H1275" s="547"/>
      <c r="I1275" s="547"/>
      <c r="J1275" s="547"/>
      <c r="K1275" s="547"/>
      <c r="L1275" s="547"/>
      <c r="M1275" s="547"/>
      <c r="N1275" s="547"/>
      <c r="O1275" s="547"/>
    </row>
    <row r="1276" spans="2:15">
      <c r="B1276" s="579"/>
      <c r="C1276" s="547"/>
      <c r="D1276" s="547"/>
      <c r="E1276" s="547">
        <v>5</v>
      </c>
      <c r="F1276" s="547"/>
      <c r="G1276" s="547"/>
      <c r="H1276" s="547"/>
      <c r="I1276" s="547"/>
      <c r="J1276" s="547"/>
      <c r="K1276" s="547"/>
      <c r="L1276" s="547"/>
      <c r="M1276" s="547"/>
      <c r="N1276" s="547"/>
      <c r="O1276" s="547"/>
    </row>
    <row r="1277" spans="2:15">
      <c r="B1277" s="579"/>
      <c r="C1277" s="547"/>
      <c r="D1277" s="547"/>
      <c r="E1277" s="547">
        <v>6</v>
      </c>
      <c r="F1277" s="547"/>
      <c r="G1277" s="547"/>
      <c r="H1277" s="547"/>
      <c r="I1277" s="547"/>
      <c r="J1277" s="547"/>
      <c r="K1277" s="547"/>
      <c r="L1277" s="547"/>
      <c r="M1277" s="547"/>
      <c r="N1277" s="547"/>
      <c r="O1277" s="547"/>
    </row>
    <row r="1278" spans="2:15">
      <c r="B1278" s="579"/>
      <c r="C1278" s="547"/>
      <c r="D1278" s="547"/>
      <c r="E1278" s="547">
        <v>7</v>
      </c>
      <c r="F1278" s="547"/>
      <c r="G1278" s="547"/>
      <c r="H1278" s="547"/>
      <c r="I1278" s="547"/>
      <c r="J1278" s="547"/>
      <c r="K1278" s="547"/>
      <c r="L1278" s="547"/>
      <c r="M1278" s="547"/>
      <c r="N1278" s="547"/>
      <c r="O1278" s="547"/>
    </row>
    <row r="1279" spans="2:15">
      <c r="B1279" s="579"/>
      <c r="C1279" s="547"/>
      <c r="D1279" s="547"/>
      <c r="E1279" s="547">
        <v>8</v>
      </c>
      <c r="F1279" s="547"/>
      <c r="G1279" s="547"/>
      <c r="H1279" s="547"/>
      <c r="I1279" s="547"/>
      <c r="J1279" s="547"/>
      <c r="K1279" s="547"/>
      <c r="L1279" s="547"/>
      <c r="M1279" s="547"/>
      <c r="N1279" s="547"/>
      <c r="O1279" s="547"/>
    </row>
    <row r="1280" spans="2:15">
      <c r="B1280" s="579"/>
      <c r="C1280" s="547"/>
      <c r="D1280" s="547"/>
      <c r="E1280" s="547">
        <v>9</v>
      </c>
      <c r="F1280" s="547"/>
      <c r="G1280" s="547"/>
      <c r="H1280" s="547"/>
      <c r="I1280" s="547"/>
      <c r="J1280" s="547"/>
      <c r="K1280" s="547"/>
      <c r="L1280" s="547"/>
      <c r="M1280" s="547"/>
      <c r="N1280" s="547"/>
      <c r="O1280" s="547"/>
    </row>
    <row r="1281" spans="2:15">
      <c r="B1281" s="579"/>
      <c r="C1281" s="569"/>
      <c r="D1281" s="569"/>
      <c r="E1281" s="569">
        <v>10</v>
      </c>
      <c r="F1281" s="569"/>
      <c r="G1281" s="569"/>
      <c r="H1281" s="569"/>
      <c r="I1281" s="569"/>
      <c r="J1281" s="569"/>
      <c r="K1281" s="569"/>
      <c r="L1281" s="569"/>
      <c r="M1281" s="569"/>
      <c r="N1281" s="569"/>
      <c r="O1281" s="569"/>
    </row>
    <row r="1282" spans="2:15">
      <c r="B1282" s="579"/>
      <c r="C1282" s="549" t="s">
        <v>3243</v>
      </c>
      <c r="D1282" s="549" t="s">
        <v>3244</v>
      </c>
      <c r="E1282" s="557">
        <v>1</v>
      </c>
      <c r="F1282" s="549"/>
      <c r="G1282" s="549"/>
      <c r="H1282" s="549"/>
      <c r="I1282" s="549"/>
      <c r="J1282" s="549"/>
      <c r="K1282" s="549"/>
      <c r="L1282" s="549"/>
      <c r="M1282" s="549"/>
      <c r="N1282" s="549"/>
      <c r="O1282" s="549"/>
    </row>
    <row r="1283" spans="2:15">
      <c r="B1283" s="579"/>
      <c r="C1283" s="547"/>
      <c r="D1283" s="547"/>
      <c r="E1283" s="547">
        <v>2</v>
      </c>
      <c r="F1283" s="547"/>
      <c r="G1283" s="547"/>
      <c r="H1283" s="547"/>
      <c r="I1283" s="547"/>
      <c r="J1283" s="547"/>
      <c r="K1283" s="547"/>
      <c r="L1283" s="547"/>
      <c r="M1283" s="547"/>
      <c r="N1283" s="547"/>
      <c r="O1283" s="547"/>
    </row>
    <row r="1284" spans="2:15">
      <c r="B1284" s="579"/>
      <c r="C1284" s="547"/>
      <c r="D1284" s="547"/>
      <c r="E1284" s="547">
        <v>3</v>
      </c>
      <c r="F1284" s="547"/>
      <c r="G1284" s="547"/>
      <c r="H1284" s="547"/>
      <c r="I1284" s="547"/>
      <c r="J1284" s="547"/>
      <c r="K1284" s="547"/>
      <c r="L1284" s="547"/>
      <c r="M1284" s="547"/>
      <c r="N1284" s="547"/>
      <c r="O1284" s="547"/>
    </row>
    <row r="1285" spans="2:15">
      <c r="B1285" s="579"/>
      <c r="C1285" s="547"/>
      <c r="D1285" s="547"/>
      <c r="E1285" s="547">
        <v>4</v>
      </c>
      <c r="F1285" s="547"/>
      <c r="G1285" s="547"/>
      <c r="H1285" s="547"/>
      <c r="I1285" s="547"/>
      <c r="J1285" s="547"/>
      <c r="K1285" s="547"/>
      <c r="L1285" s="547"/>
      <c r="M1285" s="547"/>
      <c r="N1285" s="547"/>
      <c r="O1285" s="547"/>
    </row>
    <row r="1286" spans="2:15">
      <c r="B1286" s="579"/>
      <c r="C1286" s="547"/>
      <c r="D1286" s="547"/>
      <c r="E1286" s="547">
        <v>5</v>
      </c>
      <c r="F1286" s="547"/>
      <c r="G1286" s="547"/>
      <c r="H1286" s="547"/>
      <c r="I1286" s="547"/>
      <c r="J1286" s="547"/>
      <c r="K1286" s="547"/>
      <c r="L1286" s="547"/>
      <c r="M1286" s="547"/>
      <c r="N1286" s="547"/>
      <c r="O1286" s="547"/>
    </row>
    <row r="1287" spans="2:15">
      <c r="B1287" s="579"/>
      <c r="C1287" s="547"/>
      <c r="D1287" s="547"/>
      <c r="E1287" s="547">
        <v>6</v>
      </c>
      <c r="F1287" s="547"/>
      <c r="G1287" s="547"/>
      <c r="H1287" s="547"/>
      <c r="I1287" s="547"/>
      <c r="J1287" s="547"/>
      <c r="K1287" s="547"/>
      <c r="L1287" s="547"/>
      <c r="M1287" s="547"/>
      <c r="N1287" s="547"/>
      <c r="O1287" s="547"/>
    </row>
    <row r="1288" spans="2:15">
      <c r="B1288" s="579"/>
      <c r="C1288" s="547"/>
      <c r="D1288" s="547"/>
      <c r="E1288" s="547">
        <v>7</v>
      </c>
      <c r="F1288" s="547"/>
      <c r="G1288" s="547"/>
      <c r="H1288" s="547"/>
      <c r="I1288" s="547"/>
      <c r="J1288" s="547"/>
      <c r="K1288" s="547"/>
      <c r="L1288" s="547"/>
      <c r="M1288" s="547"/>
      <c r="N1288" s="547"/>
      <c r="O1288" s="547"/>
    </row>
    <row r="1289" spans="2:15">
      <c r="B1289" s="579"/>
      <c r="C1289" s="547"/>
      <c r="D1289" s="547"/>
      <c r="E1289" s="547">
        <v>8</v>
      </c>
      <c r="F1289" s="547"/>
      <c r="G1289" s="547"/>
      <c r="H1289" s="547"/>
      <c r="I1289" s="547"/>
      <c r="J1289" s="547"/>
      <c r="K1289" s="547"/>
      <c r="L1289" s="547"/>
      <c r="M1289" s="547"/>
      <c r="N1289" s="547"/>
      <c r="O1289" s="547"/>
    </row>
    <row r="1290" spans="2:15">
      <c r="B1290" s="579"/>
      <c r="C1290" s="547"/>
      <c r="D1290" s="547"/>
      <c r="E1290" s="547">
        <v>9</v>
      </c>
      <c r="F1290" s="547"/>
      <c r="G1290" s="547"/>
      <c r="H1290" s="547"/>
      <c r="I1290" s="547"/>
      <c r="J1290" s="547"/>
      <c r="K1290" s="547"/>
      <c r="L1290" s="547"/>
      <c r="M1290" s="547"/>
      <c r="N1290" s="547"/>
      <c r="O1290" s="547"/>
    </row>
    <row r="1291" spans="2:15">
      <c r="B1291" s="579"/>
      <c r="C1291" s="569"/>
      <c r="D1291" s="569"/>
      <c r="E1291" s="569">
        <v>10</v>
      </c>
      <c r="F1291" s="569"/>
      <c r="G1291" s="569"/>
      <c r="H1291" s="569"/>
      <c r="I1291" s="569"/>
      <c r="J1291" s="569"/>
      <c r="K1291" s="569"/>
      <c r="L1291" s="569"/>
      <c r="M1291" s="569"/>
      <c r="N1291" s="569"/>
      <c r="O1291" s="569"/>
    </row>
    <row r="1292" spans="2:15">
      <c r="B1292" s="579"/>
      <c r="C1292" s="549" t="s">
        <v>3250</v>
      </c>
      <c r="D1292" s="549" t="s">
        <v>3251</v>
      </c>
      <c r="E1292" s="557">
        <v>1</v>
      </c>
      <c r="F1292" s="549"/>
      <c r="G1292" s="549"/>
      <c r="H1292" s="549"/>
      <c r="I1292" s="549"/>
      <c r="J1292" s="549"/>
      <c r="K1292" s="549"/>
      <c r="L1292" s="549"/>
      <c r="M1292" s="549"/>
      <c r="N1292" s="549"/>
      <c r="O1292" s="549"/>
    </row>
    <row r="1293" spans="2:15">
      <c r="B1293" s="579"/>
      <c r="C1293" s="547"/>
      <c r="D1293" s="547"/>
      <c r="E1293" s="547">
        <v>2</v>
      </c>
      <c r="F1293" s="547"/>
      <c r="G1293" s="547"/>
      <c r="H1293" s="547"/>
      <c r="I1293" s="547"/>
      <c r="J1293" s="547"/>
      <c r="K1293" s="547"/>
      <c r="L1293" s="547"/>
      <c r="M1293" s="547"/>
      <c r="N1293" s="547"/>
      <c r="O1293" s="547"/>
    </row>
    <row r="1294" spans="2:15">
      <c r="B1294" s="579"/>
      <c r="C1294" s="547"/>
      <c r="D1294" s="547"/>
      <c r="E1294" s="547">
        <v>3</v>
      </c>
      <c r="F1294" s="547"/>
      <c r="G1294" s="547"/>
      <c r="H1294" s="547"/>
      <c r="I1294" s="547"/>
      <c r="J1294" s="547"/>
      <c r="K1294" s="547"/>
      <c r="L1294" s="547"/>
      <c r="M1294" s="547"/>
      <c r="N1294" s="547"/>
      <c r="O1294" s="547"/>
    </row>
    <row r="1295" spans="2:15">
      <c r="B1295" s="579"/>
      <c r="C1295" s="547"/>
      <c r="D1295" s="547"/>
      <c r="E1295" s="547">
        <v>4</v>
      </c>
      <c r="F1295" s="547"/>
      <c r="G1295" s="547"/>
      <c r="H1295" s="547"/>
      <c r="I1295" s="547"/>
      <c r="J1295" s="547"/>
      <c r="K1295" s="547"/>
      <c r="L1295" s="547"/>
      <c r="M1295" s="547"/>
      <c r="N1295" s="547"/>
      <c r="O1295" s="547"/>
    </row>
    <row r="1296" spans="2:15">
      <c r="B1296" s="579"/>
      <c r="C1296" s="547"/>
      <c r="D1296" s="547"/>
      <c r="E1296" s="547">
        <v>5</v>
      </c>
      <c r="F1296" s="547"/>
      <c r="G1296" s="547"/>
      <c r="H1296" s="547"/>
      <c r="I1296" s="547"/>
      <c r="J1296" s="547"/>
      <c r="K1296" s="547"/>
      <c r="L1296" s="547"/>
      <c r="M1296" s="547"/>
      <c r="N1296" s="547"/>
      <c r="O1296" s="547"/>
    </row>
    <row r="1297" spans="2:15">
      <c r="B1297" s="579"/>
      <c r="C1297" s="547"/>
      <c r="D1297" s="547"/>
      <c r="E1297" s="547">
        <v>6</v>
      </c>
      <c r="F1297" s="547"/>
      <c r="G1297" s="547"/>
      <c r="H1297" s="547"/>
      <c r="I1297" s="547"/>
      <c r="J1297" s="547"/>
      <c r="K1297" s="547"/>
      <c r="L1297" s="547"/>
      <c r="M1297" s="547"/>
      <c r="N1297" s="547"/>
      <c r="O1297" s="547"/>
    </row>
    <row r="1298" spans="2:15">
      <c r="B1298" s="579"/>
      <c r="C1298" s="547"/>
      <c r="D1298" s="547"/>
      <c r="E1298" s="547">
        <v>7</v>
      </c>
      <c r="F1298" s="547"/>
      <c r="G1298" s="547"/>
      <c r="H1298" s="547"/>
      <c r="I1298" s="547"/>
      <c r="J1298" s="547"/>
      <c r="K1298" s="547"/>
      <c r="L1298" s="547"/>
      <c r="M1298" s="547"/>
      <c r="N1298" s="547"/>
      <c r="O1298" s="547"/>
    </row>
    <row r="1299" spans="2:15">
      <c r="B1299" s="579"/>
      <c r="C1299" s="547"/>
      <c r="D1299" s="547"/>
      <c r="E1299" s="547">
        <v>8</v>
      </c>
      <c r="F1299" s="547"/>
      <c r="G1299" s="547"/>
      <c r="H1299" s="547"/>
      <c r="I1299" s="547"/>
      <c r="J1299" s="547"/>
      <c r="K1299" s="547"/>
      <c r="L1299" s="547"/>
      <c r="M1299" s="547"/>
      <c r="N1299" s="547"/>
      <c r="O1299" s="547"/>
    </row>
    <row r="1300" spans="2:15">
      <c r="B1300" s="579"/>
      <c r="C1300" s="547"/>
      <c r="D1300" s="547"/>
      <c r="E1300" s="547">
        <v>9</v>
      </c>
      <c r="F1300" s="547"/>
      <c r="G1300" s="547"/>
      <c r="H1300" s="547"/>
      <c r="I1300" s="547"/>
      <c r="J1300" s="547"/>
      <c r="K1300" s="547"/>
      <c r="L1300" s="547"/>
      <c r="M1300" s="547"/>
      <c r="N1300" s="547"/>
      <c r="O1300" s="547"/>
    </row>
    <row r="1301" spans="2:15">
      <c r="B1301" s="672"/>
      <c r="C1301" s="569"/>
      <c r="D1301" s="569"/>
      <c r="E1301" s="569">
        <v>10</v>
      </c>
      <c r="F1301" s="569"/>
      <c r="G1301" s="569"/>
      <c r="H1301" s="569"/>
      <c r="I1301" s="569"/>
      <c r="J1301" s="569"/>
      <c r="K1301" s="569"/>
      <c r="L1301" s="569"/>
      <c r="M1301" s="569"/>
      <c r="N1301" s="569"/>
      <c r="O1301" s="569"/>
    </row>
    <row r="1302" spans="2:15">
      <c r="B1302" s="579" t="s">
        <v>3276</v>
      </c>
      <c r="C1302" s="549" t="s">
        <v>3277</v>
      </c>
      <c r="D1302" s="549" t="s">
        <v>3278</v>
      </c>
      <c r="E1302" s="557">
        <v>1</v>
      </c>
      <c r="F1302" s="549"/>
      <c r="G1302" s="549"/>
      <c r="H1302" s="549"/>
      <c r="I1302" s="549"/>
      <c r="J1302" s="549"/>
      <c r="K1302" s="549"/>
      <c r="L1302" s="549"/>
      <c r="M1302" s="549"/>
      <c r="N1302" s="549"/>
      <c r="O1302" s="549"/>
    </row>
    <row r="1303" spans="2:15">
      <c r="B1303" s="579"/>
      <c r="C1303" s="547"/>
      <c r="D1303" s="547"/>
      <c r="E1303" s="547">
        <v>2</v>
      </c>
      <c r="F1303" s="547"/>
      <c r="G1303" s="547"/>
      <c r="H1303" s="547"/>
      <c r="I1303" s="547"/>
      <c r="J1303" s="547"/>
      <c r="K1303" s="547"/>
      <c r="L1303" s="547"/>
      <c r="M1303" s="547"/>
      <c r="N1303" s="547"/>
      <c r="O1303" s="547"/>
    </row>
    <row r="1304" spans="2:15">
      <c r="B1304" s="579"/>
      <c r="C1304" s="547"/>
      <c r="D1304" s="547"/>
      <c r="E1304" s="547">
        <v>3</v>
      </c>
      <c r="F1304" s="547"/>
      <c r="G1304" s="547"/>
      <c r="H1304" s="547"/>
      <c r="I1304" s="547"/>
      <c r="J1304" s="547"/>
      <c r="K1304" s="547"/>
      <c r="L1304" s="547"/>
      <c r="M1304" s="547"/>
      <c r="N1304" s="547"/>
      <c r="O1304" s="547"/>
    </row>
    <row r="1305" spans="2:15">
      <c r="B1305" s="579"/>
      <c r="C1305" s="547"/>
      <c r="D1305" s="547"/>
      <c r="E1305" s="547">
        <v>4</v>
      </c>
      <c r="F1305" s="547"/>
      <c r="G1305" s="547"/>
      <c r="H1305" s="547"/>
      <c r="I1305" s="547"/>
      <c r="J1305" s="547"/>
      <c r="K1305" s="547"/>
      <c r="L1305" s="547"/>
      <c r="M1305" s="547"/>
      <c r="N1305" s="547"/>
      <c r="O1305" s="547"/>
    </row>
    <row r="1306" spans="2:15">
      <c r="B1306" s="579"/>
      <c r="C1306" s="547"/>
      <c r="D1306" s="547"/>
      <c r="E1306" s="547">
        <v>5</v>
      </c>
      <c r="F1306" s="547"/>
      <c r="G1306" s="547"/>
      <c r="H1306" s="547"/>
      <c r="I1306" s="547"/>
      <c r="J1306" s="547"/>
      <c r="K1306" s="547"/>
      <c r="L1306" s="547"/>
      <c r="M1306" s="547"/>
      <c r="N1306" s="547"/>
      <c r="O1306" s="547"/>
    </row>
    <row r="1307" spans="2:15">
      <c r="B1307" s="579"/>
      <c r="C1307" s="547"/>
      <c r="D1307" s="547"/>
      <c r="E1307" s="547">
        <v>6</v>
      </c>
      <c r="F1307" s="547"/>
      <c r="G1307" s="547"/>
      <c r="H1307" s="547"/>
      <c r="I1307" s="547"/>
      <c r="J1307" s="547"/>
      <c r="K1307" s="547"/>
      <c r="L1307" s="547"/>
      <c r="M1307" s="547"/>
      <c r="N1307" s="547"/>
      <c r="O1307" s="547"/>
    </row>
    <row r="1308" spans="2:15">
      <c r="B1308" s="579"/>
      <c r="C1308" s="547"/>
      <c r="D1308" s="547"/>
      <c r="E1308" s="547">
        <v>7</v>
      </c>
      <c r="F1308" s="547"/>
      <c r="G1308" s="547"/>
      <c r="H1308" s="547"/>
      <c r="I1308" s="547"/>
      <c r="J1308" s="547"/>
      <c r="K1308" s="547"/>
      <c r="L1308" s="547"/>
      <c r="M1308" s="547"/>
      <c r="N1308" s="547"/>
      <c r="O1308" s="547"/>
    </row>
    <row r="1309" spans="2:15">
      <c r="B1309" s="579"/>
      <c r="C1309" s="547"/>
      <c r="D1309" s="547"/>
      <c r="E1309" s="547">
        <v>8</v>
      </c>
      <c r="F1309" s="547"/>
      <c r="G1309" s="547"/>
      <c r="H1309" s="547"/>
      <c r="I1309" s="547"/>
      <c r="J1309" s="547"/>
      <c r="K1309" s="547"/>
      <c r="L1309" s="547"/>
      <c r="M1309" s="547"/>
      <c r="N1309" s="547"/>
      <c r="O1309" s="547"/>
    </row>
    <row r="1310" spans="2:15">
      <c r="B1310" s="579"/>
      <c r="C1310" s="547"/>
      <c r="D1310" s="547"/>
      <c r="E1310" s="547">
        <v>9</v>
      </c>
      <c r="F1310" s="547"/>
      <c r="G1310" s="547"/>
      <c r="H1310" s="547"/>
      <c r="I1310" s="547"/>
      <c r="J1310" s="547"/>
      <c r="K1310" s="547"/>
      <c r="L1310" s="547"/>
      <c r="M1310" s="547"/>
      <c r="N1310" s="547"/>
      <c r="O1310" s="547"/>
    </row>
    <row r="1311" spans="2:15">
      <c r="B1311" s="579"/>
      <c r="C1311" s="569"/>
      <c r="D1311" s="569"/>
      <c r="E1311" s="569">
        <v>10</v>
      </c>
      <c r="F1311" s="569"/>
      <c r="G1311" s="569"/>
      <c r="H1311" s="569"/>
      <c r="I1311" s="569"/>
      <c r="J1311" s="569"/>
      <c r="K1311" s="569"/>
      <c r="L1311" s="569"/>
      <c r="M1311" s="569"/>
      <c r="N1311" s="569"/>
      <c r="O1311" s="569"/>
    </row>
    <row r="1312" spans="2:15">
      <c r="B1312" s="579"/>
      <c r="C1312" s="549" t="s">
        <v>3291</v>
      </c>
      <c r="D1312" s="549" t="s">
        <v>3292</v>
      </c>
      <c r="E1312" s="557">
        <v>1</v>
      </c>
      <c r="F1312" s="549"/>
      <c r="G1312" s="549"/>
      <c r="H1312" s="549"/>
      <c r="I1312" s="549"/>
      <c r="J1312" s="549"/>
      <c r="K1312" s="549"/>
      <c r="L1312" s="549"/>
      <c r="M1312" s="549"/>
      <c r="N1312" s="549"/>
      <c r="O1312" s="549"/>
    </row>
    <row r="1313" spans="2:15">
      <c r="B1313" s="579"/>
      <c r="C1313" s="547"/>
      <c r="D1313" s="547"/>
      <c r="E1313" s="547">
        <v>2</v>
      </c>
      <c r="F1313" s="547"/>
      <c r="G1313" s="547"/>
      <c r="H1313" s="547"/>
      <c r="I1313" s="547"/>
      <c r="J1313" s="547"/>
      <c r="K1313" s="547"/>
      <c r="L1313" s="547"/>
      <c r="M1313" s="547"/>
      <c r="N1313" s="547"/>
      <c r="O1313" s="547"/>
    </row>
    <row r="1314" spans="2:15">
      <c r="B1314" s="579"/>
      <c r="C1314" s="547"/>
      <c r="D1314" s="547"/>
      <c r="E1314" s="547">
        <v>3</v>
      </c>
      <c r="F1314" s="547"/>
      <c r="G1314" s="547"/>
      <c r="H1314" s="547"/>
      <c r="I1314" s="547"/>
      <c r="J1314" s="547"/>
      <c r="K1314" s="547"/>
      <c r="L1314" s="547"/>
      <c r="M1314" s="547"/>
      <c r="N1314" s="547"/>
      <c r="O1314" s="547"/>
    </row>
    <row r="1315" spans="2:15">
      <c r="B1315" s="579"/>
      <c r="C1315" s="547"/>
      <c r="D1315" s="547"/>
      <c r="E1315" s="547">
        <v>4</v>
      </c>
      <c r="F1315" s="547"/>
      <c r="G1315" s="547"/>
      <c r="H1315" s="547"/>
      <c r="I1315" s="547"/>
      <c r="J1315" s="547"/>
      <c r="K1315" s="547"/>
      <c r="L1315" s="547"/>
      <c r="M1315" s="547"/>
      <c r="N1315" s="547"/>
      <c r="O1315" s="547"/>
    </row>
    <row r="1316" spans="2:15">
      <c r="B1316" s="579"/>
      <c r="C1316" s="547"/>
      <c r="D1316" s="547"/>
      <c r="E1316" s="547">
        <v>5</v>
      </c>
      <c r="F1316" s="547"/>
      <c r="G1316" s="547"/>
      <c r="H1316" s="547"/>
      <c r="I1316" s="547"/>
      <c r="J1316" s="547"/>
      <c r="K1316" s="547"/>
      <c r="L1316" s="547"/>
      <c r="M1316" s="547"/>
      <c r="N1316" s="547"/>
      <c r="O1316" s="547"/>
    </row>
    <row r="1317" spans="2:15">
      <c r="B1317" s="579"/>
      <c r="C1317" s="547"/>
      <c r="D1317" s="547"/>
      <c r="E1317" s="547">
        <v>6</v>
      </c>
      <c r="F1317" s="547"/>
      <c r="G1317" s="547"/>
      <c r="H1317" s="547"/>
      <c r="I1317" s="547"/>
      <c r="J1317" s="547"/>
      <c r="K1317" s="547"/>
      <c r="L1317" s="547"/>
      <c r="M1317" s="547"/>
      <c r="N1317" s="547"/>
      <c r="O1317" s="547"/>
    </row>
    <row r="1318" spans="2:15">
      <c r="B1318" s="579"/>
      <c r="C1318" s="547"/>
      <c r="D1318" s="547"/>
      <c r="E1318" s="547">
        <v>7</v>
      </c>
      <c r="F1318" s="547"/>
      <c r="G1318" s="547"/>
      <c r="H1318" s="547"/>
      <c r="I1318" s="547"/>
      <c r="J1318" s="547"/>
      <c r="K1318" s="547"/>
      <c r="L1318" s="547"/>
      <c r="M1318" s="547"/>
      <c r="N1318" s="547"/>
      <c r="O1318" s="547"/>
    </row>
    <row r="1319" spans="2:15">
      <c r="B1319" s="579"/>
      <c r="C1319" s="547"/>
      <c r="D1319" s="547"/>
      <c r="E1319" s="547">
        <v>8</v>
      </c>
      <c r="F1319" s="547"/>
      <c r="G1319" s="547"/>
      <c r="H1319" s="547"/>
      <c r="I1319" s="547"/>
      <c r="J1319" s="547"/>
      <c r="K1319" s="547"/>
      <c r="L1319" s="547"/>
      <c r="M1319" s="547"/>
      <c r="N1319" s="547"/>
      <c r="O1319" s="547"/>
    </row>
    <row r="1320" spans="2:15">
      <c r="B1320" s="579"/>
      <c r="C1320" s="547"/>
      <c r="D1320" s="547"/>
      <c r="E1320" s="547">
        <v>9</v>
      </c>
      <c r="F1320" s="547"/>
      <c r="G1320" s="547"/>
      <c r="H1320" s="547"/>
      <c r="I1320" s="547"/>
      <c r="J1320" s="547"/>
      <c r="K1320" s="547"/>
      <c r="L1320" s="547"/>
      <c r="M1320" s="547"/>
      <c r="N1320" s="547"/>
      <c r="O1320" s="547"/>
    </row>
    <row r="1321" spans="2:15">
      <c r="B1321" s="579"/>
      <c r="C1321" s="569"/>
      <c r="D1321" s="569"/>
      <c r="E1321" s="569">
        <v>10</v>
      </c>
      <c r="F1321" s="569"/>
      <c r="G1321" s="569"/>
      <c r="H1321" s="569"/>
      <c r="I1321" s="569"/>
      <c r="J1321" s="569"/>
      <c r="K1321" s="569"/>
      <c r="L1321" s="569"/>
      <c r="M1321" s="569"/>
      <c r="N1321" s="569"/>
      <c r="O1321" s="569"/>
    </row>
    <row r="1322" spans="2:15">
      <c r="B1322" s="579"/>
      <c r="C1322" s="549" t="s">
        <v>3293</v>
      </c>
      <c r="D1322" s="549" t="s">
        <v>3294</v>
      </c>
      <c r="E1322" s="549">
        <v>1</v>
      </c>
      <c r="F1322" s="549"/>
      <c r="G1322" s="549"/>
      <c r="H1322" s="549"/>
      <c r="I1322" s="549"/>
      <c r="J1322" s="549"/>
      <c r="K1322" s="549"/>
      <c r="L1322" s="549"/>
      <c r="M1322" s="549"/>
      <c r="N1322" s="549"/>
      <c r="O1322" s="549"/>
    </row>
    <row r="1323" spans="2:15">
      <c r="B1323" s="579"/>
      <c r="C1323" s="547"/>
      <c r="D1323" s="547"/>
      <c r="E1323" s="547">
        <v>2</v>
      </c>
      <c r="F1323" s="547"/>
      <c r="G1323" s="547"/>
      <c r="H1323" s="547"/>
      <c r="I1323" s="547"/>
      <c r="J1323" s="547"/>
      <c r="K1323" s="547"/>
      <c r="L1323" s="547"/>
      <c r="M1323" s="547"/>
      <c r="N1323" s="547"/>
      <c r="O1323" s="547"/>
    </row>
    <row r="1324" spans="2:15">
      <c r="B1324" s="579"/>
      <c r="C1324" s="547"/>
      <c r="D1324" s="547"/>
      <c r="E1324" s="547">
        <v>3</v>
      </c>
      <c r="F1324" s="547"/>
      <c r="G1324" s="547"/>
      <c r="H1324" s="547"/>
      <c r="I1324" s="547"/>
      <c r="J1324" s="547"/>
      <c r="K1324" s="547"/>
      <c r="L1324" s="547"/>
      <c r="M1324" s="547"/>
      <c r="N1324" s="547"/>
      <c r="O1324" s="547"/>
    </row>
    <row r="1325" spans="2:15">
      <c r="B1325" s="579"/>
      <c r="C1325" s="547"/>
      <c r="D1325" s="547"/>
      <c r="E1325" s="547">
        <v>4</v>
      </c>
      <c r="F1325" s="547"/>
      <c r="G1325" s="547"/>
      <c r="H1325" s="547"/>
      <c r="I1325" s="547"/>
      <c r="J1325" s="547"/>
      <c r="K1325" s="547"/>
      <c r="L1325" s="547"/>
      <c r="M1325" s="547"/>
      <c r="N1325" s="547"/>
      <c r="O1325" s="547"/>
    </row>
    <row r="1326" spans="2:15">
      <c r="B1326" s="579"/>
      <c r="C1326" s="547"/>
      <c r="D1326" s="547"/>
      <c r="E1326" s="547">
        <v>5</v>
      </c>
      <c r="F1326" s="547"/>
      <c r="G1326" s="547"/>
      <c r="H1326" s="547"/>
      <c r="I1326" s="547"/>
      <c r="J1326" s="547"/>
      <c r="K1326" s="547"/>
      <c r="L1326" s="547"/>
      <c r="M1326" s="547"/>
      <c r="N1326" s="547"/>
      <c r="O1326" s="547"/>
    </row>
    <row r="1327" spans="2:15">
      <c r="B1327" s="579"/>
      <c r="C1327" s="547"/>
      <c r="D1327" s="547"/>
      <c r="E1327" s="547">
        <v>6</v>
      </c>
      <c r="F1327" s="547"/>
      <c r="G1327" s="547"/>
      <c r="H1327" s="547"/>
      <c r="I1327" s="547"/>
      <c r="J1327" s="547"/>
      <c r="K1327" s="547"/>
      <c r="L1327" s="547"/>
      <c r="M1327" s="547"/>
      <c r="N1327" s="547"/>
      <c r="O1327" s="547"/>
    </row>
    <row r="1328" spans="2:15">
      <c r="B1328" s="579"/>
      <c r="C1328" s="547"/>
      <c r="D1328" s="547"/>
      <c r="E1328" s="547">
        <v>7</v>
      </c>
      <c r="F1328" s="547"/>
      <c r="G1328" s="547"/>
      <c r="H1328" s="547"/>
      <c r="I1328" s="547"/>
      <c r="J1328" s="547"/>
      <c r="K1328" s="547"/>
      <c r="L1328" s="547"/>
      <c r="M1328" s="547"/>
      <c r="N1328" s="547"/>
      <c r="O1328" s="547"/>
    </row>
    <row r="1329" spans="2:15">
      <c r="B1329" s="579"/>
      <c r="C1329" s="547"/>
      <c r="D1329" s="547"/>
      <c r="E1329" s="547">
        <v>8</v>
      </c>
      <c r="F1329" s="547"/>
      <c r="G1329" s="547"/>
      <c r="H1329" s="547"/>
      <c r="I1329" s="547"/>
      <c r="J1329" s="547"/>
      <c r="K1329" s="547"/>
      <c r="L1329" s="547"/>
      <c r="M1329" s="547"/>
      <c r="N1329" s="547"/>
      <c r="O1329" s="547"/>
    </row>
    <row r="1330" spans="2:15">
      <c r="B1330" s="579"/>
      <c r="C1330" s="547"/>
      <c r="D1330" s="547"/>
      <c r="E1330" s="547">
        <v>9</v>
      </c>
      <c r="F1330" s="547"/>
      <c r="G1330" s="547"/>
      <c r="H1330" s="547"/>
      <c r="I1330" s="547"/>
      <c r="J1330" s="547"/>
      <c r="K1330" s="547"/>
      <c r="L1330" s="547"/>
      <c r="M1330" s="547"/>
      <c r="N1330" s="547"/>
      <c r="O1330" s="547"/>
    </row>
    <row r="1331" spans="2:15">
      <c r="B1331" s="672"/>
      <c r="C1331" s="569"/>
      <c r="D1331" s="569"/>
      <c r="E1331" s="569">
        <v>10</v>
      </c>
      <c r="F1331" s="569"/>
      <c r="G1331" s="569"/>
      <c r="H1331" s="569"/>
      <c r="I1331" s="569"/>
      <c r="J1331" s="569"/>
      <c r="K1331" s="569"/>
      <c r="L1331" s="569"/>
      <c r="M1331" s="569"/>
      <c r="N1331" s="569"/>
      <c r="O1331" s="569"/>
    </row>
    <row r="1332" spans="2:15">
      <c r="B1332" s="579" t="s">
        <v>3300</v>
      </c>
      <c r="C1332" s="549" t="s">
        <v>3301</v>
      </c>
      <c r="D1332" s="549" t="s">
        <v>3302</v>
      </c>
      <c r="E1332" s="549">
        <v>1</v>
      </c>
      <c r="F1332" s="549"/>
      <c r="G1332" s="549"/>
      <c r="H1332" s="549"/>
      <c r="I1332" s="549"/>
      <c r="J1332" s="549"/>
      <c r="K1332" s="549"/>
      <c r="L1332" s="549"/>
      <c r="M1332" s="549"/>
      <c r="N1332" s="549"/>
      <c r="O1332" s="549"/>
    </row>
    <row r="1333" spans="2:15">
      <c r="B1333" s="579"/>
      <c r="C1333" s="547"/>
      <c r="D1333" s="547"/>
      <c r="E1333" s="547">
        <v>2</v>
      </c>
      <c r="F1333" s="687"/>
      <c r="G1333" s="547"/>
      <c r="H1333" s="547"/>
      <c r="I1333" s="547"/>
      <c r="J1333" s="547"/>
      <c r="K1333" s="547"/>
      <c r="L1333" s="547"/>
      <c r="M1333" s="547"/>
      <c r="N1333" s="547"/>
      <c r="O1333" s="547"/>
    </row>
    <row r="1334" spans="2:15">
      <c r="B1334" s="579"/>
      <c r="C1334" s="547"/>
      <c r="D1334" s="547"/>
      <c r="E1334" s="547">
        <v>3</v>
      </c>
      <c r="F1334" s="547"/>
      <c r="G1334" s="547"/>
      <c r="H1334" s="547"/>
      <c r="I1334" s="547"/>
      <c r="J1334" s="547"/>
      <c r="K1334" s="547"/>
      <c r="L1334" s="547"/>
      <c r="M1334" s="547"/>
      <c r="N1334" s="547"/>
      <c r="O1334" s="547"/>
    </row>
    <row r="1335" spans="2:15">
      <c r="B1335" s="579"/>
      <c r="C1335" s="547"/>
      <c r="D1335" s="547"/>
      <c r="E1335" s="547">
        <v>4</v>
      </c>
      <c r="F1335" s="547"/>
      <c r="G1335" s="547"/>
      <c r="H1335" s="547"/>
      <c r="I1335" s="547"/>
      <c r="J1335" s="547"/>
      <c r="K1335" s="547"/>
      <c r="L1335" s="547"/>
      <c r="M1335" s="547"/>
      <c r="N1335" s="547"/>
      <c r="O1335" s="547"/>
    </row>
    <row r="1336" spans="2:15">
      <c r="B1336" s="579"/>
      <c r="C1336" s="547"/>
      <c r="D1336" s="547"/>
      <c r="E1336" s="547">
        <v>5</v>
      </c>
      <c r="F1336" s="547"/>
      <c r="G1336" s="547"/>
      <c r="H1336" s="547"/>
      <c r="I1336" s="547"/>
      <c r="J1336" s="547"/>
      <c r="K1336" s="547"/>
      <c r="L1336" s="547"/>
      <c r="M1336" s="547"/>
      <c r="N1336" s="547"/>
      <c r="O1336" s="547"/>
    </row>
    <row r="1337" spans="2:15">
      <c r="B1337" s="579"/>
      <c r="C1337" s="547"/>
      <c r="D1337" s="547"/>
      <c r="E1337" s="547">
        <v>6</v>
      </c>
      <c r="F1337" s="547"/>
      <c r="G1337" s="547"/>
      <c r="H1337" s="547"/>
      <c r="I1337" s="547"/>
      <c r="J1337" s="547"/>
      <c r="K1337" s="547"/>
      <c r="L1337" s="547"/>
      <c r="M1337" s="547"/>
      <c r="N1337" s="547"/>
      <c r="O1337" s="547"/>
    </row>
    <row r="1338" spans="2:15">
      <c r="B1338" s="579"/>
      <c r="C1338" s="547"/>
      <c r="D1338" s="547"/>
      <c r="E1338" s="547">
        <v>7</v>
      </c>
      <c r="F1338" s="547"/>
      <c r="G1338" s="547"/>
      <c r="H1338" s="547"/>
      <c r="I1338" s="547"/>
      <c r="J1338" s="547"/>
      <c r="K1338" s="547"/>
      <c r="L1338" s="547"/>
      <c r="M1338" s="547"/>
      <c r="N1338" s="547"/>
      <c r="O1338" s="547"/>
    </row>
    <row r="1339" spans="2:15">
      <c r="B1339" s="579"/>
      <c r="C1339" s="547"/>
      <c r="D1339" s="547"/>
      <c r="E1339" s="547">
        <v>8</v>
      </c>
      <c r="F1339" s="547"/>
      <c r="G1339" s="547"/>
      <c r="H1339" s="547"/>
      <c r="I1339" s="547"/>
      <c r="J1339" s="547"/>
      <c r="K1339" s="547"/>
      <c r="L1339" s="547"/>
      <c r="M1339" s="547"/>
      <c r="N1339" s="547"/>
      <c r="O1339" s="547"/>
    </row>
    <row r="1340" spans="2:15">
      <c r="B1340" s="579"/>
      <c r="C1340" s="547"/>
      <c r="D1340" s="547"/>
      <c r="E1340" s="547">
        <v>9</v>
      </c>
      <c r="F1340" s="547"/>
      <c r="G1340" s="547"/>
      <c r="H1340" s="547"/>
      <c r="I1340" s="547"/>
      <c r="J1340" s="547"/>
      <c r="K1340" s="547"/>
      <c r="L1340" s="547"/>
      <c r="M1340" s="547"/>
      <c r="N1340" s="547"/>
      <c r="O1340" s="547"/>
    </row>
    <row r="1341" spans="2:15">
      <c r="B1341" s="579"/>
      <c r="C1341" s="569"/>
      <c r="D1341" s="569"/>
      <c r="E1341" s="569">
        <v>10</v>
      </c>
      <c r="F1341" s="569"/>
      <c r="G1341" s="569"/>
      <c r="H1341" s="569"/>
      <c r="I1341" s="569"/>
      <c r="J1341" s="569"/>
      <c r="K1341" s="569"/>
      <c r="L1341" s="569"/>
      <c r="M1341" s="569"/>
      <c r="N1341" s="569"/>
      <c r="O1341" s="569"/>
    </row>
    <row r="1342" spans="2:15">
      <c r="B1342" s="579"/>
      <c r="C1342" s="557" t="s">
        <v>3474</v>
      </c>
      <c r="D1342" s="557" t="s">
        <v>3315</v>
      </c>
      <c r="E1342" s="557">
        <v>1</v>
      </c>
      <c r="F1342" s="557"/>
      <c r="G1342" s="557"/>
      <c r="H1342" s="557"/>
      <c r="I1342" s="557"/>
      <c r="J1342" s="557"/>
      <c r="K1342" s="557"/>
      <c r="L1342" s="557"/>
      <c r="M1342" s="557"/>
      <c r="N1342" s="557"/>
      <c r="O1342" s="557"/>
    </row>
    <row r="1343" spans="2:15">
      <c r="B1343" s="579"/>
      <c r="C1343" s="547"/>
      <c r="D1343" s="547"/>
      <c r="E1343" s="547">
        <v>2</v>
      </c>
      <c r="F1343" s="547"/>
      <c r="G1343" s="547"/>
      <c r="H1343" s="547"/>
      <c r="I1343" s="547"/>
      <c r="J1343" s="547"/>
      <c r="K1343" s="547"/>
      <c r="L1343" s="547"/>
      <c r="M1343" s="547"/>
      <c r="N1343" s="547"/>
      <c r="O1343" s="547"/>
    </row>
    <row r="1344" spans="2:15">
      <c r="B1344" s="579"/>
      <c r="C1344" s="547"/>
      <c r="D1344" s="547"/>
      <c r="E1344" s="547">
        <v>3</v>
      </c>
      <c r="F1344" s="547"/>
      <c r="G1344" s="547"/>
      <c r="H1344" s="547"/>
      <c r="I1344" s="547"/>
      <c r="J1344" s="547"/>
      <c r="K1344" s="547"/>
      <c r="L1344" s="547"/>
      <c r="M1344" s="547"/>
      <c r="N1344" s="547"/>
      <c r="O1344" s="547"/>
    </row>
    <row r="1345" spans="2:15">
      <c r="B1345" s="579"/>
      <c r="C1345" s="547"/>
      <c r="D1345" s="547"/>
      <c r="E1345" s="547">
        <v>4</v>
      </c>
      <c r="F1345" s="547"/>
      <c r="G1345" s="547"/>
      <c r="H1345" s="547"/>
      <c r="I1345" s="547"/>
      <c r="J1345" s="547"/>
      <c r="K1345" s="547"/>
      <c r="L1345" s="547"/>
      <c r="M1345" s="547"/>
      <c r="N1345" s="547"/>
      <c r="O1345" s="547"/>
    </row>
    <row r="1346" spans="2:15">
      <c r="B1346" s="579"/>
      <c r="C1346" s="547"/>
      <c r="D1346" s="547"/>
      <c r="E1346" s="547">
        <v>5</v>
      </c>
      <c r="F1346" s="547"/>
      <c r="G1346" s="547"/>
      <c r="H1346" s="547"/>
      <c r="I1346" s="547"/>
      <c r="J1346" s="547"/>
      <c r="K1346" s="547"/>
      <c r="L1346" s="547"/>
      <c r="M1346" s="547"/>
      <c r="N1346" s="547"/>
      <c r="O1346" s="547"/>
    </row>
    <row r="1347" spans="2:15">
      <c r="B1347" s="579"/>
      <c r="C1347" s="547"/>
      <c r="D1347" s="547"/>
      <c r="E1347" s="547">
        <v>6</v>
      </c>
      <c r="F1347" s="547"/>
      <c r="G1347" s="547"/>
      <c r="H1347" s="547"/>
      <c r="I1347" s="547"/>
      <c r="J1347" s="547"/>
      <c r="K1347" s="547"/>
      <c r="L1347" s="547"/>
      <c r="M1347" s="547"/>
      <c r="N1347" s="547"/>
      <c r="O1347" s="547"/>
    </row>
    <row r="1348" spans="2:15">
      <c r="B1348" s="579"/>
      <c r="C1348" s="547"/>
      <c r="D1348" s="547"/>
      <c r="E1348" s="547">
        <v>7</v>
      </c>
      <c r="F1348" s="547"/>
      <c r="G1348" s="547"/>
      <c r="H1348" s="547"/>
      <c r="I1348" s="547"/>
      <c r="J1348" s="547"/>
      <c r="K1348" s="547"/>
      <c r="L1348" s="547"/>
      <c r="M1348" s="547"/>
      <c r="N1348" s="547"/>
      <c r="O1348" s="547"/>
    </row>
    <row r="1349" spans="2:15">
      <c r="B1349" s="579"/>
      <c r="C1349" s="547"/>
      <c r="D1349" s="547"/>
      <c r="E1349" s="547">
        <v>8</v>
      </c>
      <c r="F1349" s="547"/>
      <c r="G1349" s="547"/>
      <c r="H1349" s="547"/>
      <c r="I1349" s="547"/>
      <c r="J1349" s="547"/>
      <c r="K1349" s="547"/>
      <c r="L1349" s="547"/>
      <c r="M1349" s="547"/>
      <c r="N1349" s="547"/>
      <c r="O1349" s="547"/>
    </row>
    <row r="1350" spans="2:15">
      <c r="B1350" s="579"/>
      <c r="C1350" s="547"/>
      <c r="D1350" s="547"/>
      <c r="E1350" s="547">
        <v>9</v>
      </c>
      <c r="F1350" s="547"/>
      <c r="G1350" s="547"/>
      <c r="H1350" s="547"/>
      <c r="I1350" s="547"/>
      <c r="J1350" s="547"/>
      <c r="K1350" s="547"/>
      <c r="L1350" s="547"/>
      <c r="M1350" s="547"/>
      <c r="N1350" s="547"/>
      <c r="O1350" s="547"/>
    </row>
    <row r="1351" spans="2:15">
      <c r="B1351" s="672"/>
      <c r="C1351" s="569"/>
      <c r="D1351" s="569"/>
      <c r="E1351" s="569">
        <v>10</v>
      </c>
      <c r="F1351" s="569"/>
      <c r="G1351" s="569"/>
      <c r="H1351" s="569"/>
      <c r="I1351" s="569"/>
      <c r="J1351" s="569"/>
      <c r="K1351" s="569"/>
      <c r="L1351" s="569"/>
      <c r="M1351" s="569"/>
      <c r="N1351" s="569"/>
      <c r="O1351" s="569"/>
    </row>
    <row r="1352" spans="2:15">
      <c r="B1352" s="575" t="s">
        <v>3324</v>
      </c>
      <c r="C1352" s="557" t="s">
        <v>3325</v>
      </c>
      <c r="D1352" s="557" t="s">
        <v>3326</v>
      </c>
      <c r="E1352" s="557">
        <v>1</v>
      </c>
      <c r="F1352" s="557"/>
      <c r="G1352" s="557"/>
      <c r="H1352" s="557"/>
      <c r="I1352" s="557"/>
      <c r="J1352" s="557"/>
      <c r="K1352" s="557"/>
      <c r="L1352" s="557"/>
      <c r="M1352" s="557"/>
      <c r="N1352" s="557"/>
      <c r="O1352" s="557"/>
    </row>
    <row r="1353" spans="2:15">
      <c r="B1353" s="579"/>
      <c r="C1353" s="547"/>
      <c r="D1353" s="547"/>
      <c r="E1353" s="547">
        <v>2</v>
      </c>
      <c r="F1353" s="547"/>
      <c r="G1353" s="547"/>
      <c r="H1353" s="547"/>
      <c r="I1353" s="547"/>
      <c r="J1353" s="547"/>
      <c r="K1353" s="547"/>
      <c r="L1353" s="547"/>
      <c r="M1353" s="547"/>
      <c r="N1353" s="547"/>
      <c r="O1353" s="547"/>
    </row>
    <row r="1354" spans="2:15">
      <c r="B1354" s="579"/>
      <c r="C1354" s="547"/>
      <c r="D1354" s="547"/>
      <c r="E1354" s="547">
        <v>3</v>
      </c>
      <c r="F1354" s="547"/>
      <c r="G1354" s="547"/>
      <c r="H1354" s="547"/>
      <c r="I1354" s="547"/>
      <c r="J1354" s="547"/>
      <c r="K1354" s="547"/>
      <c r="L1354" s="547"/>
      <c r="M1354" s="547"/>
      <c r="N1354" s="547"/>
      <c r="O1354" s="547"/>
    </row>
    <row r="1355" spans="2:15">
      <c r="B1355" s="579"/>
      <c r="C1355" s="547"/>
      <c r="D1355" s="547"/>
      <c r="E1355" s="547">
        <v>4</v>
      </c>
      <c r="F1355" s="547"/>
      <c r="G1355" s="547"/>
      <c r="H1355" s="547"/>
      <c r="I1355" s="547"/>
      <c r="J1355" s="547"/>
      <c r="K1355" s="547"/>
      <c r="L1355" s="547"/>
      <c r="M1355" s="547"/>
      <c r="N1355" s="547"/>
      <c r="O1355" s="547"/>
    </row>
    <row r="1356" spans="2:15">
      <c r="B1356" s="579"/>
      <c r="C1356" s="547"/>
      <c r="D1356" s="547"/>
      <c r="E1356" s="547">
        <v>5</v>
      </c>
      <c r="F1356" s="547"/>
      <c r="G1356" s="547"/>
      <c r="H1356" s="547"/>
      <c r="I1356" s="547"/>
      <c r="J1356" s="547"/>
      <c r="K1356" s="547"/>
      <c r="L1356" s="547"/>
      <c r="M1356" s="547"/>
      <c r="N1356" s="547"/>
      <c r="O1356" s="547"/>
    </row>
    <row r="1357" spans="2:15">
      <c r="B1357" s="579"/>
      <c r="C1357" s="547"/>
      <c r="D1357" s="547"/>
      <c r="E1357" s="547">
        <v>6</v>
      </c>
      <c r="F1357" s="547"/>
      <c r="G1357" s="547"/>
      <c r="H1357" s="547"/>
      <c r="I1357" s="547"/>
      <c r="J1357" s="547"/>
      <c r="K1357" s="547"/>
      <c r="L1357" s="547"/>
      <c r="M1357" s="547"/>
      <c r="N1357" s="547"/>
      <c r="O1357" s="547"/>
    </row>
    <row r="1358" spans="2:15">
      <c r="B1358" s="579"/>
      <c r="C1358" s="547"/>
      <c r="D1358" s="547"/>
      <c r="E1358" s="547">
        <v>7</v>
      </c>
      <c r="F1358" s="547"/>
      <c r="G1358" s="547"/>
      <c r="H1358" s="547"/>
      <c r="I1358" s="547"/>
      <c r="J1358" s="547"/>
      <c r="K1358" s="547"/>
      <c r="L1358" s="547"/>
      <c r="M1358" s="547"/>
      <c r="N1358" s="547"/>
      <c r="O1358" s="547"/>
    </row>
    <row r="1359" spans="2:15">
      <c r="B1359" s="579"/>
      <c r="C1359" s="547"/>
      <c r="D1359" s="547"/>
      <c r="E1359" s="547">
        <v>8</v>
      </c>
      <c r="F1359" s="547"/>
      <c r="G1359" s="547"/>
      <c r="H1359" s="547"/>
      <c r="I1359" s="547"/>
      <c r="J1359" s="547"/>
      <c r="K1359" s="547"/>
      <c r="L1359" s="547"/>
      <c r="M1359" s="547"/>
      <c r="N1359" s="547"/>
      <c r="O1359" s="547"/>
    </row>
    <row r="1360" spans="2:15">
      <c r="B1360" s="579"/>
      <c r="C1360" s="547"/>
      <c r="D1360" s="547"/>
      <c r="E1360" s="547">
        <v>9</v>
      </c>
      <c r="F1360" s="547"/>
      <c r="G1360" s="547"/>
      <c r="H1360" s="547"/>
      <c r="I1360" s="547"/>
      <c r="J1360" s="547"/>
      <c r="K1360" s="547"/>
      <c r="L1360" s="547"/>
      <c r="M1360" s="547"/>
      <c r="N1360" s="547"/>
      <c r="O1360" s="547"/>
    </row>
    <row r="1361" spans="2:15">
      <c r="B1361" s="672"/>
      <c r="C1361" s="569"/>
      <c r="D1361" s="569"/>
      <c r="E1361" s="569">
        <v>10</v>
      </c>
      <c r="F1361" s="569"/>
      <c r="G1361" s="569"/>
      <c r="H1361" s="569"/>
      <c r="I1361" s="569"/>
      <c r="J1361" s="569"/>
      <c r="K1361" s="569"/>
      <c r="L1361" s="569"/>
      <c r="M1361" s="569"/>
      <c r="N1361" s="569"/>
      <c r="O1361" s="569"/>
    </row>
    <row r="1362" spans="2:15">
      <c r="B1362" s="579" t="s">
        <v>3349</v>
      </c>
      <c r="C1362" s="557" t="s">
        <v>3350</v>
      </c>
      <c r="D1362" s="557" t="s">
        <v>3351</v>
      </c>
      <c r="E1362" s="557">
        <v>1</v>
      </c>
      <c r="F1362" s="557"/>
      <c r="G1362" s="557"/>
      <c r="H1362" s="557"/>
      <c r="I1362" s="557"/>
      <c r="J1362" s="557"/>
      <c r="K1362" s="557"/>
      <c r="L1362" s="557"/>
      <c r="M1362" s="557"/>
      <c r="N1362" s="557"/>
      <c r="O1362" s="557"/>
    </row>
    <row r="1363" spans="2:15">
      <c r="B1363" s="579"/>
      <c r="C1363" s="547"/>
      <c r="D1363" s="547"/>
      <c r="E1363" s="547">
        <v>2</v>
      </c>
      <c r="F1363" s="547"/>
      <c r="G1363" s="547"/>
      <c r="H1363" s="547"/>
      <c r="I1363" s="547"/>
      <c r="J1363" s="547"/>
      <c r="K1363" s="547"/>
      <c r="L1363" s="547"/>
      <c r="M1363" s="547"/>
      <c r="N1363" s="547"/>
      <c r="O1363" s="547"/>
    </row>
    <row r="1364" spans="2:15">
      <c r="B1364" s="579"/>
      <c r="C1364" s="547"/>
      <c r="D1364" s="547"/>
      <c r="E1364" s="547">
        <v>3</v>
      </c>
      <c r="F1364" s="547"/>
      <c r="G1364" s="547"/>
      <c r="H1364" s="547"/>
      <c r="I1364" s="547"/>
      <c r="J1364" s="547"/>
      <c r="K1364" s="547"/>
      <c r="L1364" s="547"/>
      <c r="M1364" s="547"/>
      <c r="N1364" s="547"/>
      <c r="O1364" s="547"/>
    </row>
    <row r="1365" spans="2:15">
      <c r="B1365" s="579"/>
      <c r="C1365" s="547"/>
      <c r="D1365" s="547"/>
      <c r="E1365" s="547">
        <v>4</v>
      </c>
      <c r="F1365" s="547"/>
      <c r="G1365" s="547"/>
      <c r="H1365" s="547"/>
      <c r="I1365" s="547"/>
      <c r="J1365" s="547"/>
      <c r="K1365" s="547"/>
      <c r="L1365" s="547"/>
      <c r="M1365" s="547"/>
      <c r="N1365" s="547"/>
      <c r="O1365" s="547"/>
    </row>
    <row r="1366" spans="2:15">
      <c r="B1366" s="579"/>
      <c r="C1366" s="547"/>
      <c r="D1366" s="547"/>
      <c r="E1366" s="547">
        <v>5</v>
      </c>
      <c r="F1366" s="547"/>
      <c r="G1366" s="547"/>
      <c r="H1366" s="547"/>
      <c r="I1366" s="547"/>
      <c r="J1366" s="547"/>
      <c r="K1366" s="547"/>
      <c r="L1366" s="547"/>
      <c r="M1366" s="547"/>
      <c r="N1366" s="547"/>
      <c r="O1366" s="547"/>
    </row>
    <row r="1367" spans="2:15">
      <c r="B1367" s="579"/>
      <c r="C1367" s="547"/>
      <c r="D1367" s="547"/>
      <c r="E1367" s="547">
        <v>6</v>
      </c>
      <c r="F1367" s="547"/>
      <c r="G1367" s="547"/>
      <c r="H1367" s="547"/>
      <c r="I1367" s="547"/>
      <c r="J1367" s="547"/>
      <c r="K1367" s="547"/>
      <c r="L1367" s="547"/>
      <c r="M1367" s="547"/>
      <c r="N1367" s="547"/>
      <c r="O1367" s="547"/>
    </row>
    <row r="1368" spans="2:15">
      <c r="B1368" s="579"/>
      <c r="C1368" s="547"/>
      <c r="D1368" s="547"/>
      <c r="E1368" s="547">
        <v>7</v>
      </c>
      <c r="F1368" s="547"/>
      <c r="G1368" s="547"/>
      <c r="H1368" s="547"/>
      <c r="I1368" s="547"/>
      <c r="J1368" s="547"/>
      <c r="K1368" s="547"/>
      <c r="L1368" s="547"/>
      <c r="M1368" s="547"/>
      <c r="N1368" s="547"/>
      <c r="O1368" s="547"/>
    </row>
    <row r="1369" spans="2:15">
      <c r="B1369" s="579"/>
      <c r="C1369" s="547"/>
      <c r="D1369" s="547"/>
      <c r="E1369" s="547">
        <v>8</v>
      </c>
      <c r="F1369" s="547"/>
      <c r="G1369" s="547"/>
      <c r="H1369" s="547"/>
      <c r="I1369" s="547"/>
      <c r="J1369" s="547"/>
      <c r="K1369" s="547"/>
      <c r="L1369" s="547"/>
      <c r="M1369" s="547"/>
      <c r="N1369" s="547"/>
      <c r="O1369" s="547"/>
    </row>
    <row r="1370" spans="2:15">
      <c r="B1370" s="579"/>
      <c r="C1370" s="547"/>
      <c r="D1370" s="547"/>
      <c r="E1370" s="547">
        <v>9</v>
      </c>
      <c r="F1370" s="547"/>
      <c r="G1370" s="547"/>
      <c r="H1370" s="547"/>
      <c r="I1370" s="547"/>
      <c r="J1370" s="547"/>
      <c r="K1370" s="547"/>
      <c r="L1370" s="547"/>
      <c r="M1370" s="547"/>
      <c r="N1370" s="547"/>
      <c r="O1370" s="547"/>
    </row>
    <row r="1371" spans="2:15">
      <c r="B1371" s="579"/>
      <c r="C1371" s="569"/>
      <c r="D1371" s="569"/>
      <c r="E1371" s="569">
        <v>10</v>
      </c>
      <c r="F1371" s="569"/>
      <c r="G1371" s="569"/>
      <c r="H1371" s="569"/>
      <c r="I1371" s="569"/>
      <c r="J1371" s="569"/>
      <c r="K1371" s="569"/>
      <c r="L1371" s="569"/>
      <c r="M1371" s="569"/>
      <c r="N1371" s="569"/>
      <c r="O1371" s="569"/>
    </row>
    <row r="1372" spans="2:15">
      <c r="B1372" s="579"/>
      <c r="C1372" s="557" t="s">
        <v>3371</v>
      </c>
      <c r="D1372" s="557" t="s">
        <v>3294</v>
      </c>
      <c r="E1372" s="557">
        <v>1</v>
      </c>
      <c r="F1372" s="557"/>
      <c r="G1372" s="557"/>
      <c r="H1372" s="557"/>
      <c r="I1372" s="557"/>
      <c r="J1372" s="557"/>
      <c r="K1372" s="557"/>
      <c r="L1372" s="557"/>
      <c r="M1372" s="557"/>
      <c r="N1372" s="557"/>
      <c r="O1372" s="557"/>
    </row>
    <row r="1373" spans="2:15">
      <c r="B1373" s="579"/>
      <c r="C1373" s="547"/>
      <c r="D1373" s="547"/>
      <c r="E1373" s="547">
        <v>2</v>
      </c>
      <c r="F1373" s="547"/>
      <c r="G1373" s="547"/>
      <c r="H1373" s="547"/>
      <c r="I1373" s="547"/>
      <c r="J1373" s="547"/>
      <c r="K1373" s="547"/>
      <c r="L1373" s="547"/>
      <c r="M1373" s="547"/>
      <c r="N1373" s="547"/>
      <c r="O1373" s="547"/>
    </row>
    <row r="1374" spans="2:15">
      <c r="B1374" s="579"/>
      <c r="C1374" s="547"/>
      <c r="D1374" s="547"/>
      <c r="E1374" s="547">
        <v>3</v>
      </c>
      <c r="F1374" s="547"/>
      <c r="G1374" s="547"/>
      <c r="H1374" s="547"/>
      <c r="I1374" s="547"/>
      <c r="J1374" s="547"/>
      <c r="K1374" s="547"/>
      <c r="L1374" s="547"/>
      <c r="M1374" s="547"/>
      <c r="N1374" s="547"/>
      <c r="O1374" s="547"/>
    </row>
    <row r="1375" spans="2:15">
      <c r="B1375" s="579"/>
      <c r="C1375" s="547"/>
      <c r="D1375" s="547"/>
      <c r="E1375" s="547">
        <v>4</v>
      </c>
      <c r="F1375" s="547"/>
      <c r="G1375" s="547"/>
      <c r="H1375" s="547"/>
      <c r="I1375" s="547"/>
      <c r="J1375" s="547"/>
      <c r="K1375" s="547"/>
      <c r="L1375" s="547"/>
      <c r="M1375" s="547"/>
      <c r="N1375" s="547"/>
      <c r="O1375" s="547"/>
    </row>
    <row r="1376" spans="2:15">
      <c r="B1376" s="579"/>
      <c r="C1376" s="547"/>
      <c r="D1376" s="547"/>
      <c r="E1376" s="547">
        <v>5</v>
      </c>
      <c r="F1376" s="547"/>
      <c r="G1376" s="547"/>
      <c r="H1376" s="547"/>
      <c r="I1376" s="547"/>
      <c r="J1376" s="547"/>
      <c r="K1376" s="547"/>
      <c r="L1376" s="547"/>
      <c r="M1376" s="547"/>
      <c r="N1376" s="547"/>
      <c r="O1376" s="547"/>
    </row>
    <row r="1377" spans="2:15">
      <c r="B1377" s="579"/>
      <c r="C1377" s="547"/>
      <c r="D1377" s="547"/>
      <c r="E1377" s="547">
        <v>6</v>
      </c>
      <c r="F1377" s="547"/>
      <c r="G1377" s="547"/>
      <c r="H1377" s="547"/>
      <c r="I1377" s="547"/>
      <c r="J1377" s="547"/>
      <c r="K1377" s="547"/>
      <c r="L1377" s="547"/>
      <c r="M1377" s="547"/>
      <c r="N1377" s="547"/>
      <c r="O1377" s="547"/>
    </row>
    <row r="1378" spans="2:15">
      <c r="B1378" s="579"/>
      <c r="C1378" s="547"/>
      <c r="D1378" s="547"/>
      <c r="E1378" s="547">
        <v>7</v>
      </c>
      <c r="F1378" s="547"/>
      <c r="G1378" s="547"/>
      <c r="H1378" s="547"/>
      <c r="I1378" s="547"/>
      <c r="J1378" s="547"/>
      <c r="K1378" s="547"/>
      <c r="L1378" s="547"/>
      <c r="M1378" s="547"/>
      <c r="N1378" s="547"/>
      <c r="O1378" s="547"/>
    </row>
    <row r="1379" spans="2:15">
      <c r="B1379" s="579"/>
      <c r="C1379" s="547"/>
      <c r="D1379" s="547"/>
      <c r="E1379" s="547">
        <v>8</v>
      </c>
      <c r="F1379" s="547"/>
      <c r="G1379" s="547"/>
      <c r="H1379" s="547"/>
      <c r="I1379" s="547"/>
      <c r="J1379" s="547"/>
      <c r="K1379" s="547"/>
      <c r="L1379" s="547"/>
      <c r="M1379" s="547"/>
      <c r="N1379" s="547"/>
      <c r="O1379" s="547"/>
    </row>
    <row r="1380" spans="2:15">
      <c r="B1380" s="579"/>
      <c r="C1380" s="547"/>
      <c r="D1380" s="547"/>
      <c r="E1380" s="547">
        <v>9</v>
      </c>
      <c r="F1380" s="547"/>
      <c r="G1380" s="547"/>
      <c r="H1380" s="547"/>
      <c r="I1380" s="547"/>
      <c r="J1380" s="547"/>
      <c r="K1380" s="547"/>
      <c r="L1380" s="547"/>
      <c r="M1380" s="547"/>
      <c r="N1380" s="547"/>
      <c r="O1380" s="547"/>
    </row>
    <row r="1381" spans="2:15">
      <c r="B1381" s="579"/>
      <c r="C1381" s="569"/>
      <c r="D1381" s="569"/>
      <c r="E1381" s="569">
        <v>10</v>
      </c>
      <c r="F1381" s="569"/>
      <c r="G1381" s="569"/>
      <c r="H1381" s="569"/>
      <c r="I1381" s="569"/>
      <c r="J1381" s="569"/>
      <c r="K1381" s="569"/>
      <c r="L1381" s="569"/>
      <c r="M1381" s="569"/>
      <c r="N1381" s="569"/>
      <c r="O1381" s="569"/>
    </row>
    <row r="1382" spans="2:15">
      <c r="B1382" s="579"/>
      <c r="C1382" s="557" t="s">
        <v>3376</v>
      </c>
      <c r="D1382" s="557" t="s">
        <v>3377</v>
      </c>
      <c r="E1382" s="557">
        <v>1</v>
      </c>
      <c r="F1382" s="557"/>
      <c r="G1382" s="557"/>
      <c r="H1382" s="557"/>
      <c r="I1382" s="557"/>
      <c r="J1382" s="557"/>
      <c r="K1382" s="557"/>
      <c r="L1382" s="557"/>
      <c r="M1382" s="557"/>
      <c r="N1382" s="557"/>
      <c r="O1382" s="557"/>
    </row>
    <row r="1383" spans="2:15">
      <c r="B1383" s="579"/>
      <c r="C1383" s="547"/>
      <c r="D1383" s="547"/>
      <c r="E1383" s="547">
        <v>2</v>
      </c>
      <c r="F1383" s="547"/>
      <c r="G1383" s="547"/>
      <c r="H1383" s="547"/>
      <c r="I1383" s="547"/>
      <c r="J1383" s="547"/>
      <c r="K1383" s="547"/>
      <c r="L1383" s="547"/>
      <c r="M1383" s="547"/>
      <c r="N1383" s="547"/>
      <c r="O1383" s="547"/>
    </row>
    <row r="1384" spans="2:15">
      <c r="B1384" s="579"/>
      <c r="C1384" s="547"/>
      <c r="D1384" s="547"/>
      <c r="E1384" s="547">
        <v>3</v>
      </c>
      <c r="F1384" s="547"/>
      <c r="G1384" s="547"/>
      <c r="H1384" s="547"/>
      <c r="I1384" s="547"/>
      <c r="J1384" s="547"/>
      <c r="K1384" s="547"/>
      <c r="L1384" s="547"/>
      <c r="M1384" s="547"/>
      <c r="N1384" s="547"/>
      <c r="O1384" s="547"/>
    </row>
    <row r="1385" spans="2:15">
      <c r="B1385" s="579"/>
      <c r="C1385" s="547"/>
      <c r="D1385" s="547"/>
      <c r="E1385" s="547">
        <v>4</v>
      </c>
      <c r="F1385" s="547"/>
      <c r="G1385" s="547"/>
      <c r="H1385" s="547"/>
      <c r="I1385" s="547"/>
      <c r="J1385" s="547"/>
      <c r="K1385" s="547"/>
      <c r="L1385" s="547"/>
      <c r="M1385" s="547"/>
      <c r="N1385" s="547"/>
      <c r="O1385" s="547"/>
    </row>
    <row r="1386" spans="2:15">
      <c r="B1386" s="579"/>
      <c r="C1386" s="547"/>
      <c r="D1386" s="547"/>
      <c r="E1386" s="547">
        <v>5</v>
      </c>
      <c r="F1386" s="547"/>
      <c r="G1386" s="547"/>
      <c r="H1386" s="547"/>
      <c r="I1386" s="547"/>
      <c r="J1386" s="547"/>
      <c r="K1386" s="547"/>
      <c r="L1386" s="547"/>
      <c r="M1386" s="547"/>
      <c r="N1386" s="547"/>
      <c r="O1386" s="547"/>
    </row>
    <row r="1387" spans="2:15">
      <c r="B1387" s="579"/>
      <c r="C1387" s="547"/>
      <c r="D1387" s="547"/>
      <c r="E1387" s="547">
        <v>6</v>
      </c>
      <c r="F1387" s="547"/>
      <c r="G1387" s="547"/>
      <c r="H1387" s="547"/>
      <c r="I1387" s="547"/>
      <c r="J1387" s="547"/>
      <c r="K1387" s="547"/>
      <c r="L1387" s="547"/>
      <c r="M1387" s="547"/>
      <c r="N1387" s="547"/>
      <c r="O1387" s="547"/>
    </row>
    <row r="1388" spans="2:15">
      <c r="B1388" s="579"/>
      <c r="C1388" s="547"/>
      <c r="D1388" s="547"/>
      <c r="E1388" s="547">
        <v>7</v>
      </c>
      <c r="F1388" s="547"/>
      <c r="G1388" s="547"/>
      <c r="H1388" s="547"/>
      <c r="I1388" s="547"/>
      <c r="J1388" s="547"/>
      <c r="K1388" s="547"/>
      <c r="L1388" s="547"/>
      <c r="M1388" s="547"/>
      <c r="N1388" s="547"/>
      <c r="O1388" s="547"/>
    </row>
    <row r="1389" spans="2:15">
      <c r="B1389" s="579"/>
      <c r="C1389" s="547"/>
      <c r="D1389" s="547"/>
      <c r="E1389" s="547">
        <v>8</v>
      </c>
      <c r="F1389" s="547"/>
      <c r="G1389" s="547"/>
      <c r="H1389" s="547"/>
      <c r="I1389" s="547"/>
      <c r="J1389" s="547"/>
      <c r="K1389" s="547"/>
      <c r="L1389" s="547"/>
      <c r="M1389" s="547"/>
      <c r="N1389" s="547"/>
      <c r="O1389" s="547"/>
    </row>
    <row r="1390" spans="2:15">
      <c r="B1390" s="579"/>
      <c r="C1390" s="547"/>
      <c r="D1390" s="547"/>
      <c r="E1390" s="547">
        <v>9</v>
      </c>
      <c r="F1390" s="547"/>
      <c r="G1390" s="547"/>
      <c r="H1390" s="547"/>
      <c r="I1390" s="547"/>
      <c r="J1390" s="547"/>
      <c r="K1390" s="547"/>
      <c r="L1390" s="547"/>
      <c r="M1390" s="547"/>
      <c r="N1390" s="547"/>
      <c r="O1390" s="547"/>
    </row>
    <row r="1391" spans="2:15">
      <c r="B1391" s="579"/>
      <c r="C1391" s="569"/>
      <c r="D1391" s="569"/>
      <c r="E1391" s="569">
        <v>10</v>
      </c>
      <c r="F1391" s="569"/>
      <c r="G1391" s="569"/>
      <c r="H1391" s="569"/>
      <c r="I1391" s="569"/>
      <c r="J1391" s="569"/>
      <c r="K1391" s="569"/>
      <c r="L1391" s="569"/>
      <c r="M1391" s="569"/>
      <c r="N1391" s="569"/>
      <c r="O1391" s="569"/>
    </row>
    <row r="1392" spans="2:15">
      <c r="B1392" s="579"/>
      <c r="C1392" s="557" t="s">
        <v>3385</v>
      </c>
      <c r="D1392" s="557" t="s">
        <v>3386</v>
      </c>
      <c r="E1392" s="557">
        <v>1</v>
      </c>
      <c r="F1392" s="557"/>
      <c r="G1392" s="557"/>
      <c r="H1392" s="557"/>
      <c r="I1392" s="557"/>
      <c r="J1392" s="557"/>
      <c r="K1392" s="557"/>
      <c r="L1392" s="557"/>
      <c r="M1392" s="557"/>
      <c r="N1392" s="557"/>
      <c r="O1392" s="557"/>
    </row>
    <row r="1393" spans="2:15">
      <c r="B1393" s="579"/>
      <c r="C1393" s="547"/>
      <c r="D1393" s="547"/>
      <c r="E1393" s="547">
        <v>2</v>
      </c>
      <c r="F1393" s="547"/>
      <c r="G1393" s="547"/>
      <c r="H1393" s="547"/>
      <c r="I1393" s="547"/>
      <c r="J1393" s="547"/>
      <c r="K1393" s="547"/>
      <c r="L1393" s="547"/>
      <c r="M1393" s="547"/>
      <c r="N1393" s="547"/>
      <c r="O1393" s="547"/>
    </row>
    <row r="1394" spans="2:15">
      <c r="B1394" s="579"/>
      <c r="C1394" s="547"/>
      <c r="D1394" s="547"/>
      <c r="E1394" s="547">
        <v>3</v>
      </c>
      <c r="F1394" s="547"/>
      <c r="G1394" s="547"/>
      <c r="H1394" s="547"/>
      <c r="I1394" s="547"/>
      <c r="J1394" s="547"/>
      <c r="K1394" s="547"/>
      <c r="L1394" s="547"/>
      <c r="M1394" s="547"/>
      <c r="N1394" s="547"/>
      <c r="O1394" s="547"/>
    </row>
    <row r="1395" spans="2:15">
      <c r="B1395" s="579"/>
      <c r="C1395" s="547"/>
      <c r="D1395" s="547"/>
      <c r="E1395" s="547">
        <v>4</v>
      </c>
      <c r="F1395" s="547"/>
      <c r="G1395" s="547"/>
      <c r="H1395" s="547"/>
      <c r="I1395" s="547"/>
      <c r="J1395" s="547"/>
      <c r="K1395" s="547"/>
      <c r="L1395" s="547"/>
      <c r="M1395" s="547"/>
      <c r="N1395" s="547"/>
      <c r="O1395" s="547"/>
    </row>
    <row r="1396" spans="2:15">
      <c r="B1396" s="579"/>
      <c r="C1396" s="547"/>
      <c r="D1396" s="547"/>
      <c r="E1396" s="547">
        <v>5</v>
      </c>
      <c r="F1396" s="547"/>
      <c r="G1396" s="547"/>
      <c r="H1396" s="547"/>
      <c r="I1396" s="547"/>
      <c r="J1396" s="547"/>
      <c r="K1396" s="547"/>
      <c r="L1396" s="547"/>
      <c r="M1396" s="547"/>
      <c r="N1396" s="547"/>
      <c r="O1396" s="547"/>
    </row>
    <row r="1397" spans="2:15">
      <c r="B1397" s="579"/>
      <c r="C1397" s="547"/>
      <c r="D1397" s="547"/>
      <c r="E1397" s="547">
        <v>6</v>
      </c>
      <c r="F1397" s="547"/>
      <c r="G1397" s="547"/>
      <c r="H1397" s="547"/>
      <c r="I1397" s="547"/>
      <c r="J1397" s="547"/>
      <c r="K1397" s="547"/>
      <c r="L1397" s="547"/>
      <c r="M1397" s="547"/>
      <c r="N1397" s="547"/>
      <c r="O1397" s="547"/>
    </row>
    <row r="1398" spans="2:15">
      <c r="B1398" s="579"/>
      <c r="C1398" s="547"/>
      <c r="D1398" s="547"/>
      <c r="E1398" s="547">
        <v>7</v>
      </c>
      <c r="F1398" s="547"/>
      <c r="G1398" s="547"/>
      <c r="H1398" s="547"/>
      <c r="I1398" s="547"/>
      <c r="J1398" s="547"/>
      <c r="K1398" s="547"/>
      <c r="L1398" s="547"/>
      <c r="M1398" s="547"/>
      <c r="N1398" s="547"/>
      <c r="O1398" s="547"/>
    </row>
    <row r="1399" spans="2:15">
      <c r="B1399" s="579"/>
      <c r="C1399" s="547"/>
      <c r="D1399" s="547"/>
      <c r="E1399" s="547">
        <v>8</v>
      </c>
      <c r="F1399" s="547"/>
      <c r="G1399" s="547"/>
      <c r="H1399" s="547"/>
      <c r="I1399" s="547"/>
      <c r="J1399" s="547"/>
      <c r="K1399" s="547"/>
      <c r="L1399" s="547"/>
      <c r="M1399" s="547"/>
      <c r="N1399" s="547"/>
      <c r="O1399" s="547"/>
    </row>
    <row r="1400" spans="2:15">
      <c r="B1400" s="579"/>
      <c r="C1400" s="547"/>
      <c r="D1400" s="547"/>
      <c r="E1400" s="547">
        <v>9</v>
      </c>
      <c r="F1400" s="547"/>
      <c r="G1400" s="547"/>
      <c r="H1400" s="547"/>
      <c r="I1400" s="547"/>
      <c r="J1400" s="547"/>
      <c r="K1400" s="547"/>
      <c r="L1400" s="547"/>
      <c r="M1400" s="547"/>
      <c r="N1400" s="547"/>
      <c r="O1400" s="547"/>
    </row>
    <row r="1401" spans="2:15">
      <c r="B1401" s="579"/>
      <c r="C1401" s="569"/>
      <c r="D1401" s="569"/>
      <c r="E1401" s="569">
        <v>10</v>
      </c>
      <c r="F1401" s="569"/>
      <c r="G1401" s="569"/>
      <c r="H1401" s="569"/>
      <c r="I1401" s="569"/>
      <c r="J1401" s="569"/>
      <c r="K1401" s="569"/>
      <c r="L1401" s="569"/>
      <c r="M1401" s="569"/>
      <c r="N1401" s="569"/>
      <c r="O1401" s="569"/>
    </row>
    <row r="1402" spans="2:15">
      <c r="B1402" s="579"/>
      <c r="C1402" s="557" t="s">
        <v>3399</v>
      </c>
      <c r="D1402" s="557" t="s">
        <v>3400</v>
      </c>
      <c r="E1402" s="557">
        <v>1</v>
      </c>
      <c r="F1402" s="557"/>
      <c r="G1402" s="557"/>
      <c r="H1402" s="557"/>
      <c r="I1402" s="557"/>
      <c r="J1402" s="557"/>
      <c r="K1402" s="557"/>
      <c r="L1402" s="557"/>
      <c r="M1402" s="557"/>
      <c r="N1402" s="557"/>
      <c r="O1402" s="557"/>
    </row>
    <row r="1403" spans="2:15">
      <c r="B1403" s="579"/>
      <c r="C1403" s="547"/>
      <c r="D1403" s="547"/>
      <c r="E1403" s="547">
        <v>2</v>
      </c>
      <c r="F1403" s="547"/>
      <c r="G1403" s="547"/>
      <c r="H1403" s="547"/>
      <c r="I1403" s="547"/>
      <c r="J1403" s="547"/>
      <c r="K1403" s="547"/>
      <c r="L1403" s="547"/>
      <c r="M1403" s="547"/>
      <c r="N1403" s="547"/>
      <c r="O1403" s="547"/>
    </row>
    <row r="1404" spans="2:15">
      <c r="B1404" s="579"/>
      <c r="C1404" s="547"/>
      <c r="D1404" s="547"/>
      <c r="E1404" s="547">
        <v>3</v>
      </c>
      <c r="F1404" s="547"/>
      <c r="G1404" s="547"/>
      <c r="H1404" s="547"/>
      <c r="I1404" s="547"/>
      <c r="J1404" s="547"/>
      <c r="K1404" s="547"/>
      <c r="L1404" s="547"/>
      <c r="M1404" s="547"/>
      <c r="N1404" s="547"/>
      <c r="O1404" s="547"/>
    </row>
    <row r="1405" spans="2:15">
      <c r="B1405" s="579"/>
      <c r="C1405" s="547"/>
      <c r="D1405" s="547"/>
      <c r="E1405" s="547">
        <v>4</v>
      </c>
      <c r="F1405" s="547"/>
      <c r="G1405" s="547"/>
      <c r="H1405" s="547"/>
      <c r="I1405" s="547"/>
      <c r="J1405" s="547"/>
      <c r="K1405" s="547"/>
      <c r="L1405" s="547"/>
      <c r="M1405" s="547"/>
      <c r="N1405" s="547"/>
      <c r="O1405" s="547"/>
    </row>
    <row r="1406" spans="2:15">
      <c r="B1406" s="579"/>
      <c r="C1406" s="547"/>
      <c r="D1406" s="547"/>
      <c r="E1406" s="547">
        <v>5</v>
      </c>
      <c r="F1406" s="547"/>
      <c r="G1406" s="547"/>
      <c r="H1406" s="547"/>
      <c r="I1406" s="547"/>
      <c r="J1406" s="547"/>
      <c r="K1406" s="547"/>
      <c r="L1406" s="547"/>
      <c r="M1406" s="547"/>
      <c r="N1406" s="547"/>
      <c r="O1406" s="547"/>
    </row>
    <row r="1407" spans="2:15">
      <c r="B1407" s="579"/>
      <c r="C1407" s="547"/>
      <c r="D1407" s="547"/>
      <c r="E1407" s="547">
        <v>6</v>
      </c>
      <c r="F1407" s="547"/>
      <c r="G1407" s="547"/>
      <c r="H1407" s="547"/>
      <c r="I1407" s="547"/>
      <c r="J1407" s="547"/>
      <c r="K1407" s="547"/>
      <c r="L1407" s="547"/>
      <c r="M1407" s="547"/>
      <c r="N1407" s="547"/>
      <c r="O1407" s="547"/>
    </row>
    <row r="1408" spans="2:15">
      <c r="B1408" s="579"/>
      <c r="C1408" s="547"/>
      <c r="D1408" s="547"/>
      <c r="E1408" s="547">
        <v>7</v>
      </c>
      <c r="F1408" s="547"/>
      <c r="G1408" s="547"/>
      <c r="H1408" s="547"/>
      <c r="I1408" s="547"/>
      <c r="J1408" s="547"/>
      <c r="K1408" s="547"/>
      <c r="L1408" s="547"/>
      <c r="M1408" s="547"/>
      <c r="N1408" s="547"/>
      <c r="O1408" s="547"/>
    </row>
    <row r="1409" spans="2:15">
      <c r="B1409" s="579"/>
      <c r="C1409" s="547"/>
      <c r="D1409" s="547"/>
      <c r="E1409" s="547">
        <v>8</v>
      </c>
      <c r="F1409" s="547"/>
      <c r="G1409" s="547"/>
      <c r="H1409" s="547"/>
      <c r="I1409" s="547"/>
      <c r="J1409" s="547"/>
      <c r="K1409" s="547"/>
      <c r="L1409" s="547"/>
      <c r="M1409" s="547"/>
      <c r="N1409" s="547"/>
      <c r="O1409" s="547"/>
    </row>
    <row r="1410" spans="2:15">
      <c r="B1410" s="579"/>
      <c r="C1410" s="547"/>
      <c r="D1410" s="547"/>
      <c r="E1410" s="547">
        <v>9</v>
      </c>
      <c r="F1410" s="547"/>
      <c r="G1410" s="547"/>
      <c r="H1410" s="547"/>
      <c r="I1410" s="547"/>
      <c r="J1410" s="547"/>
      <c r="K1410" s="547"/>
      <c r="L1410" s="547"/>
      <c r="M1410" s="547"/>
      <c r="N1410" s="547"/>
      <c r="O1410" s="547"/>
    </row>
    <row r="1411" spans="2:15">
      <c r="B1411" s="672"/>
      <c r="C1411" s="569"/>
      <c r="D1411" s="569"/>
      <c r="E1411" s="569">
        <v>10</v>
      </c>
      <c r="F1411" s="569"/>
      <c r="G1411" s="569"/>
      <c r="H1411" s="569"/>
      <c r="I1411" s="569"/>
      <c r="J1411" s="569"/>
      <c r="K1411" s="569"/>
      <c r="L1411" s="569"/>
      <c r="M1411" s="569"/>
      <c r="N1411" s="569"/>
      <c r="O1411" s="569"/>
    </row>
  </sheetData>
  <phoneticPr fontId="4" type="noConversion"/>
  <conditionalFormatting sqref="B2">
    <cfRule type="containsText" dxfId="152" priority="151" operator="containsText" text="주차">
      <formula>NOT(ISERROR(SEARCH("주차",B2)))</formula>
    </cfRule>
  </conditionalFormatting>
  <conditionalFormatting sqref="M181">
    <cfRule type="duplicateValues" dxfId="151" priority="117"/>
    <cfRule type="duplicateValues" dxfId="150" priority="116"/>
  </conditionalFormatting>
  <conditionalFormatting sqref="N9">
    <cfRule type="duplicateValues" dxfId="149" priority="150"/>
    <cfRule type="duplicateValues" dxfId="148" priority="149"/>
  </conditionalFormatting>
  <conditionalFormatting sqref="N10">
    <cfRule type="duplicateValues" dxfId="147" priority="147"/>
    <cfRule type="duplicateValues" dxfId="146" priority="148"/>
  </conditionalFormatting>
  <conditionalFormatting sqref="N11">
    <cfRule type="duplicateValues" dxfId="145" priority="145"/>
    <cfRule type="duplicateValues" dxfId="144" priority="146"/>
  </conditionalFormatting>
  <conditionalFormatting sqref="N12">
    <cfRule type="duplicateValues" dxfId="143" priority="144"/>
    <cfRule type="duplicateValues" dxfId="142" priority="143"/>
  </conditionalFormatting>
  <conditionalFormatting sqref="N13">
    <cfRule type="duplicateValues" dxfId="141" priority="133"/>
    <cfRule type="duplicateValues" dxfId="140" priority="134"/>
  </conditionalFormatting>
  <conditionalFormatting sqref="N14">
    <cfRule type="duplicateValues" dxfId="139" priority="142"/>
    <cfRule type="duplicateValues" dxfId="138" priority="141"/>
  </conditionalFormatting>
  <conditionalFormatting sqref="N15">
    <cfRule type="duplicateValues" dxfId="137" priority="140"/>
    <cfRule type="duplicateValues" dxfId="136" priority="139"/>
  </conditionalFormatting>
  <conditionalFormatting sqref="N17">
    <cfRule type="duplicateValues" dxfId="135" priority="138"/>
    <cfRule type="duplicateValues" dxfId="134" priority="137"/>
  </conditionalFormatting>
  <conditionalFormatting sqref="N18">
    <cfRule type="duplicateValues" dxfId="133" priority="136"/>
    <cfRule type="duplicateValues" dxfId="132" priority="135"/>
  </conditionalFormatting>
  <conditionalFormatting sqref="N81">
    <cfRule type="duplicateValues" dxfId="131" priority="94"/>
    <cfRule type="duplicateValues" dxfId="130" priority="95"/>
  </conditionalFormatting>
  <conditionalFormatting sqref="N82">
    <cfRule type="duplicateValues" dxfId="129" priority="132"/>
    <cfRule type="duplicateValues" dxfId="128" priority="131"/>
  </conditionalFormatting>
  <conditionalFormatting sqref="N83">
    <cfRule type="duplicateValues" dxfId="127" priority="130"/>
    <cfRule type="duplicateValues" dxfId="126" priority="129"/>
  </conditionalFormatting>
  <conditionalFormatting sqref="N84">
    <cfRule type="duplicateValues" dxfId="125" priority="128"/>
  </conditionalFormatting>
  <conditionalFormatting sqref="N85">
    <cfRule type="duplicateValues" dxfId="124" priority="127"/>
  </conditionalFormatting>
  <conditionalFormatting sqref="N86">
    <cfRule type="duplicateValues" dxfId="123" priority="126"/>
    <cfRule type="duplicateValues" dxfId="122" priority="125"/>
  </conditionalFormatting>
  <conditionalFormatting sqref="N87">
    <cfRule type="duplicateValues" dxfId="121" priority="124"/>
  </conditionalFormatting>
  <conditionalFormatting sqref="N88">
    <cfRule type="duplicateValues" dxfId="120" priority="123"/>
    <cfRule type="duplicateValues" dxfId="119" priority="122"/>
  </conditionalFormatting>
  <conditionalFormatting sqref="N89">
    <cfRule type="duplicateValues" dxfId="118" priority="121"/>
    <cfRule type="duplicateValues" dxfId="117" priority="120"/>
  </conditionalFormatting>
  <conditionalFormatting sqref="N90">
    <cfRule type="duplicateValues" dxfId="116" priority="118"/>
    <cfRule type="duplicateValues" dxfId="115" priority="119"/>
  </conditionalFormatting>
  <conditionalFormatting sqref="N174">
    <cfRule type="duplicateValues" dxfId="114" priority="113"/>
    <cfRule type="duplicateValues" dxfId="113" priority="112"/>
  </conditionalFormatting>
  <conditionalFormatting sqref="N175">
    <cfRule type="duplicateValues" dxfId="112" priority="97"/>
    <cfRule type="duplicateValues" dxfId="111" priority="96"/>
  </conditionalFormatting>
  <conditionalFormatting sqref="N176">
    <cfRule type="duplicateValues" dxfId="110" priority="111"/>
    <cfRule type="duplicateValues" dxfId="109" priority="110"/>
  </conditionalFormatting>
  <conditionalFormatting sqref="N177">
    <cfRule type="duplicateValues" dxfId="108" priority="109"/>
    <cfRule type="duplicateValues" dxfId="107" priority="108"/>
  </conditionalFormatting>
  <conditionalFormatting sqref="N178">
    <cfRule type="duplicateValues" dxfId="106" priority="107"/>
    <cfRule type="duplicateValues" dxfId="105" priority="106"/>
  </conditionalFormatting>
  <conditionalFormatting sqref="N179">
    <cfRule type="duplicateValues" dxfId="104" priority="105"/>
    <cfRule type="duplicateValues" dxfId="103" priority="104"/>
  </conditionalFormatting>
  <conditionalFormatting sqref="N180">
    <cfRule type="duplicateValues" dxfId="102" priority="103"/>
    <cfRule type="duplicateValues" dxfId="101" priority="102"/>
  </conditionalFormatting>
  <conditionalFormatting sqref="N181">
    <cfRule type="duplicateValues" dxfId="100" priority="115"/>
    <cfRule type="duplicateValues" dxfId="99" priority="114"/>
  </conditionalFormatting>
  <conditionalFormatting sqref="N182">
    <cfRule type="duplicateValues" dxfId="98" priority="101"/>
    <cfRule type="duplicateValues" dxfId="97" priority="100"/>
  </conditionalFormatting>
  <conditionalFormatting sqref="N183">
    <cfRule type="duplicateValues" dxfId="96" priority="98"/>
    <cfRule type="duplicateValues" dxfId="95" priority="99"/>
  </conditionalFormatting>
  <conditionalFormatting sqref="N269">
    <cfRule type="duplicateValues" dxfId="94" priority="91"/>
    <cfRule type="duplicateValues" dxfId="93" priority="90"/>
  </conditionalFormatting>
  <conditionalFormatting sqref="N270">
    <cfRule type="duplicateValues" dxfId="92" priority="89"/>
    <cfRule type="duplicateValues" dxfId="91" priority="88"/>
  </conditionalFormatting>
  <conditionalFormatting sqref="N271">
    <cfRule type="duplicateValues" dxfId="90" priority="87"/>
    <cfRule type="duplicateValues" dxfId="89" priority="86"/>
  </conditionalFormatting>
  <conditionalFormatting sqref="N272">
    <cfRule type="duplicateValues" dxfId="88" priority="85"/>
    <cfRule type="duplicateValues" dxfId="87" priority="84"/>
  </conditionalFormatting>
  <conditionalFormatting sqref="N273">
    <cfRule type="duplicateValues" dxfId="86" priority="83"/>
    <cfRule type="duplicateValues" dxfId="85" priority="82"/>
  </conditionalFormatting>
  <conditionalFormatting sqref="N274">
    <cfRule type="duplicateValues" dxfId="84" priority="80"/>
    <cfRule type="duplicateValues" dxfId="83" priority="81"/>
  </conditionalFormatting>
  <conditionalFormatting sqref="N275">
    <cfRule type="duplicateValues" dxfId="82" priority="78"/>
    <cfRule type="duplicateValues" dxfId="81" priority="79"/>
  </conditionalFormatting>
  <conditionalFormatting sqref="N276">
    <cfRule type="duplicateValues" dxfId="80" priority="77"/>
    <cfRule type="duplicateValues" dxfId="79" priority="76"/>
  </conditionalFormatting>
  <conditionalFormatting sqref="N277">
    <cfRule type="duplicateValues" dxfId="78" priority="74"/>
    <cfRule type="duplicateValues" dxfId="77" priority="75"/>
  </conditionalFormatting>
  <conditionalFormatting sqref="N278">
    <cfRule type="duplicateValues" dxfId="76" priority="93"/>
    <cfRule type="duplicateValues" dxfId="75" priority="92"/>
  </conditionalFormatting>
  <conditionalFormatting sqref="N362">
    <cfRule type="duplicateValues" dxfId="74" priority="73"/>
    <cfRule type="duplicateValues" dxfId="73" priority="72"/>
  </conditionalFormatting>
  <conditionalFormatting sqref="N363">
    <cfRule type="duplicateValues" dxfId="72" priority="71"/>
    <cfRule type="duplicateValues" dxfId="71" priority="70"/>
  </conditionalFormatting>
  <conditionalFormatting sqref="N364">
    <cfRule type="duplicateValues" dxfId="70" priority="69"/>
    <cfRule type="duplicateValues" dxfId="69" priority="68"/>
  </conditionalFormatting>
  <conditionalFormatting sqref="N365">
    <cfRule type="duplicateValues" dxfId="68" priority="67"/>
    <cfRule type="duplicateValues" dxfId="67" priority="66"/>
  </conditionalFormatting>
  <conditionalFormatting sqref="N366">
    <cfRule type="duplicateValues" dxfId="66" priority="65"/>
    <cfRule type="duplicateValues" dxfId="65" priority="64"/>
  </conditionalFormatting>
  <conditionalFormatting sqref="N367">
    <cfRule type="duplicateValues" dxfId="64" priority="63"/>
    <cfRule type="duplicateValues" dxfId="63" priority="62"/>
  </conditionalFormatting>
  <conditionalFormatting sqref="N368">
    <cfRule type="duplicateValues" dxfId="62" priority="61"/>
    <cfRule type="duplicateValues" dxfId="61" priority="60"/>
  </conditionalFormatting>
  <conditionalFormatting sqref="N369">
    <cfRule type="duplicateValues" dxfId="60" priority="58"/>
    <cfRule type="duplicateValues" dxfId="59" priority="59"/>
  </conditionalFormatting>
  <conditionalFormatting sqref="N436:N437">
    <cfRule type="duplicateValues" dxfId="58" priority="57"/>
    <cfRule type="duplicateValues" dxfId="57" priority="56"/>
  </conditionalFormatting>
  <conditionalFormatting sqref="N438:N444">
    <cfRule type="duplicateValues" dxfId="56" priority="55"/>
    <cfRule type="duplicateValues" dxfId="55" priority="54"/>
  </conditionalFormatting>
  <conditionalFormatting sqref="N445">
    <cfRule type="duplicateValues" dxfId="54" priority="53"/>
    <cfRule type="duplicateValues" dxfId="53" priority="52"/>
  </conditionalFormatting>
  <conditionalFormatting sqref="N519">
    <cfRule type="duplicateValues" dxfId="52" priority="51"/>
    <cfRule type="duplicateValues" dxfId="51" priority="50"/>
  </conditionalFormatting>
  <conditionalFormatting sqref="N520">
    <cfRule type="duplicateValues" dxfId="50" priority="49"/>
    <cfRule type="duplicateValues" dxfId="49" priority="48"/>
  </conditionalFormatting>
  <conditionalFormatting sqref="N521">
    <cfRule type="duplicateValues" dxfId="48" priority="46"/>
    <cfRule type="duplicateValues" dxfId="47" priority="47"/>
  </conditionalFormatting>
  <conditionalFormatting sqref="N522">
    <cfRule type="duplicateValues" dxfId="46" priority="45"/>
    <cfRule type="duplicateValues" dxfId="45" priority="44"/>
  </conditionalFormatting>
  <conditionalFormatting sqref="N523">
    <cfRule type="duplicateValues" dxfId="44" priority="42"/>
    <cfRule type="duplicateValues" dxfId="43" priority="43"/>
  </conditionalFormatting>
  <conditionalFormatting sqref="N524">
    <cfRule type="duplicateValues" dxfId="42" priority="41"/>
    <cfRule type="duplicateValues" dxfId="41" priority="40"/>
  </conditionalFormatting>
  <conditionalFormatting sqref="N526">
    <cfRule type="duplicateValues" dxfId="40" priority="39"/>
    <cfRule type="duplicateValues" dxfId="39" priority="38"/>
  </conditionalFormatting>
  <conditionalFormatting sqref="N527">
    <cfRule type="duplicateValues" dxfId="38" priority="37"/>
    <cfRule type="duplicateValues" dxfId="37" priority="36"/>
  </conditionalFormatting>
  <conditionalFormatting sqref="N604">
    <cfRule type="duplicateValues" dxfId="36" priority="35"/>
    <cfRule type="duplicateValues" dxfId="35" priority="34"/>
  </conditionalFormatting>
  <conditionalFormatting sqref="N605">
    <cfRule type="duplicateValues" dxfId="34" priority="33"/>
  </conditionalFormatting>
  <conditionalFormatting sqref="N606">
    <cfRule type="duplicateValues" dxfId="33" priority="30"/>
    <cfRule type="duplicateValues" dxfId="32" priority="29"/>
  </conditionalFormatting>
  <conditionalFormatting sqref="N607">
    <cfRule type="duplicateValues" dxfId="31" priority="28"/>
    <cfRule type="duplicateValues" dxfId="30" priority="27"/>
  </conditionalFormatting>
  <conditionalFormatting sqref="N608">
    <cfRule type="duplicateValues" dxfId="29" priority="26"/>
    <cfRule type="duplicateValues" dxfId="28" priority="25"/>
  </conditionalFormatting>
  <conditionalFormatting sqref="N609">
    <cfRule type="duplicateValues" dxfId="27" priority="24"/>
    <cfRule type="duplicateValues" dxfId="26" priority="23"/>
  </conditionalFormatting>
  <conditionalFormatting sqref="N610">
    <cfRule type="duplicateValues" dxfId="25" priority="22"/>
    <cfRule type="duplicateValues" dxfId="24" priority="21"/>
  </conditionalFormatting>
  <conditionalFormatting sqref="N611">
    <cfRule type="duplicateValues" dxfId="23" priority="32"/>
    <cfRule type="duplicateValues" dxfId="22" priority="31"/>
  </conditionalFormatting>
  <conditionalFormatting sqref="N612">
    <cfRule type="duplicateValues" dxfId="21" priority="19"/>
    <cfRule type="duplicateValues" dxfId="20" priority="20"/>
  </conditionalFormatting>
  <conditionalFormatting sqref="N613">
    <cfRule type="duplicateValues" dxfId="19" priority="18"/>
    <cfRule type="duplicateValues" dxfId="18" priority="17"/>
  </conditionalFormatting>
  <conditionalFormatting sqref="N696">
    <cfRule type="duplicateValues" dxfId="17" priority="3"/>
    <cfRule type="duplicateValues" dxfId="16" priority="4"/>
  </conditionalFormatting>
  <conditionalFormatting sqref="N697">
    <cfRule type="duplicateValues" dxfId="15" priority="14"/>
    <cfRule type="duplicateValues" dxfId="14" priority="13"/>
  </conditionalFormatting>
  <conditionalFormatting sqref="N698">
    <cfRule type="duplicateValues" dxfId="13" priority="12"/>
    <cfRule type="duplicateValues" dxfId="12" priority="11"/>
  </conditionalFormatting>
  <conditionalFormatting sqref="N700">
    <cfRule type="duplicateValues" dxfId="11" priority="15"/>
    <cfRule type="duplicateValues" dxfId="10" priority="16"/>
  </conditionalFormatting>
  <conditionalFormatting sqref="N701">
    <cfRule type="duplicateValues" dxfId="9" priority="1"/>
    <cfRule type="duplicateValues" dxfId="8" priority="2"/>
  </conditionalFormatting>
  <conditionalFormatting sqref="N703">
    <cfRule type="duplicateValues" dxfId="7" priority="10"/>
    <cfRule type="duplicateValues" dxfId="6" priority="9"/>
  </conditionalFormatting>
  <conditionalFormatting sqref="N704">
    <cfRule type="duplicateValues" dxfId="5" priority="8"/>
    <cfRule type="duplicateValues" dxfId="4" priority="7"/>
  </conditionalFormatting>
  <conditionalFormatting sqref="N705">
    <cfRule type="duplicateValues" dxfId="3" priority="6"/>
    <cfRule type="duplicateValues" dxfId="2" priority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54AB9-4AA1-47F6-B20C-CB2D9FBBA7B2}">
  <sheetPr>
    <tabColor rgb="FFFFC000"/>
  </sheetPr>
  <dimension ref="A1:O3211"/>
  <sheetViews>
    <sheetView showGridLines="0" zoomScale="85" zoomScaleNormal="85" workbookViewId="0">
      <pane xSplit="1" ySplit="4" topLeftCell="B26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RowHeight="16.5"/>
  <cols>
    <col min="1" max="1" width="5.75" customWidth="1"/>
    <col min="2" max="2" width="10.75" style="129" customWidth="1"/>
    <col min="3" max="3" width="5.625" style="129" bestFit="1" customWidth="1"/>
    <col min="4" max="4" width="30.5" style="129" bestFit="1" customWidth="1"/>
    <col min="5" max="5" width="12.625" style="129" customWidth="1"/>
    <col min="6" max="6" width="69.625" style="130" customWidth="1"/>
    <col min="7" max="7" width="40.75" style="129" customWidth="1"/>
    <col min="8" max="8" width="18.125" style="129" customWidth="1"/>
    <col min="9" max="9" width="13" style="129" bestFit="1" customWidth="1"/>
    <col min="10" max="10" width="10.75" style="129" bestFit="1" customWidth="1"/>
    <col min="11" max="11" width="10.125" style="129" customWidth="1"/>
    <col min="12" max="12" width="13" style="129" bestFit="1" customWidth="1"/>
    <col min="13" max="13" width="42.875" style="130" bestFit="1" customWidth="1"/>
    <col min="14" max="14" width="13.875" style="136" bestFit="1" customWidth="1"/>
    <col min="15" max="15" width="35.5" style="4" bestFit="1" customWidth="1"/>
  </cols>
  <sheetData>
    <row r="1" spans="2:15" ht="19.5">
      <c r="B1" s="1" t="s">
        <v>0</v>
      </c>
      <c r="C1"/>
      <c r="D1"/>
      <c r="E1"/>
      <c r="F1" s="2"/>
      <c r="G1"/>
      <c r="H1"/>
      <c r="I1"/>
      <c r="J1"/>
      <c r="K1"/>
      <c r="L1"/>
      <c r="M1" s="2"/>
      <c r="N1" s="3"/>
    </row>
    <row r="2" spans="2:15" ht="19.5">
      <c r="B2" s="5" t="s">
        <v>1</v>
      </c>
      <c r="C2"/>
      <c r="D2"/>
      <c r="E2"/>
      <c r="F2" s="2"/>
      <c r="G2"/>
      <c r="H2"/>
      <c r="I2"/>
      <c r="J2"/>
      <c r="K2"/>
      <c r="L2"/>
      <c r="M2" s="2"/>
      <c r="N2" s="3"/>
    </row>
    <row r="3" spans="2:15" ht="24">
      <c r="B3" s="6" t="s">
        <v>2</v>
      </c>
      <c r="C3"/>
      <c r="D3"/>
      <c r="E3"/>
      <c r="F3" s="2"/>
      <c r="G3"/>
      <c r="H3"/>
      <c r="I3"/>
      <c r="J3"/>
      <c r="K3" s="7" t="s">
        <v>3</v>
      </c>
      <c r="L3"/>
      <c r="M3" s="8" t="s">
        <v>4</v>
      </c>
      <c r="N3" s="3"/>
      <c r="O3" s="9" t="s">
        <v>5</v>
      </c>
    </row>
    <row r="4" spans="2:15" s="14" customFormat="1" ht="33">
      <c r="B4" s="10" t="s">
        <v>6</v>
      </c>
      <c r="C4" s="10" t="s">
        <v>7</v>
      </c>
      <c r="D4" s="10" t="s">
        <v>8</v>
      </c>
      <c r="E4" s="10" t="s">
        <v>9</v>
      </c>
      <c r="F4" s="11" t="s">
        <v>10</v>
      </c>
      <c r="G4" s="10" t="s">
        <v>11</v>
      </c>
      <c r="H4" s="10" t="s">
        <v>12</v>
      </c>
      <c r="I4" s="10" t="s">
        <v>13</v>
      </c>
      <c r="J4" s="10" t="s">
        <v>14</v>
      </c>
      <c r="K4" s="11" t="s">
        <v>15</v>
      </c>
      <c r="L4" s="10" t="s">
        <v>16</v>
      </c>
      <c r="M4" s="11" t="s">
        <v>17</v>
      </c>
      <c r="N4" s="12" t="s">
        <v>18</v>
      </c>
      <c r="O4" s="13" t="s">
        <v>19</v>
      </c>
    </row>
    <row r="5" spans="2:15" ht="36.75" customHeight="1">
      <c r="B5" s="1442" t="s">
        <v>20</v>
      </c>
      <c r="C5" s="1442"/>
      <c r="D5" s="1442"/>
      <c r="E5" s="1442"/>
      <c r="F5" s="1442"/>
      <c r="G5" s="1442"/>
      <c r="H5" s="1442"/>
      <c r="I5" s="1442"/>
      <c r="J5" s="1442"/>
      <c r="K5" s="1442"/>
      <c r="L5" s="1442"/>
      <c r="M5" s="1442"/>
      <c r="N5" s="1442"/>
    </row>
    <row r="6" spans="2:15" ht="31.5" customHeight="1">
      <c r="B6" s="15" t="s">
        <v>21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2:15" ht="22.5" customHeight="1">
      <c r="B7" s="16" t="s">
        <v>22</v>
      </c>
      <c r="C7" s="16"/>
      <c r="D7" s="16"/>
      <c r="E7" s="17"/>
      <c r="F7" s="17"/>
      <c r="G7" s="17"/>
      <c r="H7" s="18"/>
      <c r="I7" s="19"/>
      <c r="J7" s="20"/>
      <c r="K7" s="1754" t="s">
        <v>3</v>
      </c>
      <c r="L7" s="1754"/>
      <c r="M7" s="21" t="s">
        <v>23</v>
      </c>
      <c r="N7" s="19"/>
    </row>
    <row r="8" spans="2:15" ht="37.5" customHeight="1">
      <c r="B8" s="22" t="s">
        <v>24</v>
      </c>
      <c r="C8" s="23" t="s">
        <v>25</v>
      </c>
      <c r="D8" s="23" t="s">
        <v>26</v>
      </c>
      <c r="E8" s="22" t="s">
        <v>9</v>
      </c>
      <c r="F8" s="22" t="s">
        <v>10</v>
      </c>
      <c r="G8" s="23" t="s">
        <v>27</v>
      </c>
      <c r="H8" s="24" t="s">
        <v>28</v>
      </c>
      <c r="I8" s="25" t="s">
        <v>13</v>
      </c>
      <c r="J8" s="26" t="s">
        <v>29</v>
      </c>
      <c r="K8" s="25" t="s">
        <v>30</v>
      </c>
      <c r="L8" s="25" t="s">
        <v>16</v>
      </c>
      <c r="M8" s="27" t="s">
        <v>31</v>
      </c>
      <c r="N8" s="28" t="s">
        <v>18</v>
      </c>
    </row>
    <row r="9" spans="2:15">
      <c r="B9" s="1533" t="s">
        <v>32</v>
      </c>
      <c r="C9" s="1448">
        <v>1</v>
      </c>
      <c r="D9" s="1448" t="s">
        <v>33</v>
      </c>
      <c r="E9" s="30"/>
      <c r="F9" s="31" t="s">
        <v>34</v>
      </c>
      <c r="G9" s="1512" t="s">
        <v>35</v>
      </c>
      <c r="H9" s="30">
        <v>30212257</v>
      </c>
      <c r="I9" s="30">
        <v>145000</v>
      </c>
      <c r="J9" s="30">
        <v>7</v>
      </c>
      <c r="K9" s="30">
        <v>1</v>
      </c>
      <c r="L9" s="30"/>
      <c r="M9" s="1454" t="s">
        <v>36</v>
      </c>
      <c r="N9" s="1461">
        <v>20241226786</v>
      </c>
    </row>
    <row r="10" spans="2:15">
      <c r="B10" s="1533"/>
      <c r="C10" s="1448"/>
      <c r="D10" s="1448"/>
      <c r="E10" s="30"/>
      <c r="F10" s="31" t="s">
        <v>37</v>
      </c>
      <c r="G10" s="1512"/>
      <c r="H10" s="30">
        <v>30212992</v>
      </c>
      <c r="I10" s="35">
        <v>69900</v>
      </c>
      <c r="J10" s="30">
        <v>7</v>
      </c>
      <c r="K10" s="30">
        <v>1</v>
      </c>
      <c r="L10" s="30"/>
      <c r="M10" s="1454"/>
      <c r="N10" s="1461"/>
    </row>
    <row r="11" spans="2:15">
      <c r="B11" s="1533"/>
      <c r="C11" s="1448"/>
      <c r="D11" s="1448"/>
      <c r="E11" s="30"/>
      <c r="F11" s="31" t="s">
        <v>37</v>
      </c>
      <c r="G11" s="1512"/>
      <c r="H11" s="30">
        <v>30213192</v>
      </c>
      <c r="I11" s="35">
        <v>59900</v>
      </c>
      <c r="J11" s="30">
        <v>7</v>
      </c>
      <c r="K11" s="30">
        <v>1</v>
      </c>
      <c r="L11" s="30"/>
      <c r="M11" s="1454"/>
      <c r="N11" s="1461"/>
    </row>
    <row r="12" spans="2:15">
      <c r="B12" s="1533"/>
      <c r="C12" s="1448"/>
      <c r="D12" s="1448"/>
      <c r="E12" s="30"/>
      <c r="F12" s="31" t="s">
        <v>38</v>
      </c>
      <c r="G12" s="1512"/>
      <c r="H12" s="30">
        <v>30212357</v>
      </c>
      <c r="I12" s="30"/>
      <c r="J12" s="30">
        <v>7</v>
      </c>
      <c r="K12" s="30">
        <v>1</v>
      </c>
      <c r="L12" s="30"/>
      <c r="M12" s="1454"/>
      <c r="N12" s="1461"/>
    </row>
    <row r="13" spans="2:15">
      <c r="B13" s="1533"/>
      <c r="C13" s="1448"/>
      <c r="D13" s="1448"/>
      <c r="E13" s="30"/>
      <c r="F13" s="31" t="s">
        <v>39</v>
      </c>
      <c r="G13" s="1512"/>
      <c r="H13" s="30">
        <v>30212329</v>
      </c>
      <c r="I13" s="30"/>
      <c r="J13" s="30">
        <v>7</v>
      </c>
      <c r="K13" s="30">
        <v>1</v>
      </c>
      <c r="L13" s="30"/>
      <c r="M13" s="1454"/>
      <c r="N13" s="1461"/>
    </row>
    <row r="14" spans="2:15">
      <c r="B14" s="1533"/>
      <c r="C14" s="1448"/>
      <c r="D14" s="1448"/>
      <c r="E14" s="30"/>
      <c r="F14" s="31" t="s">
        <v>40</v>
      </c>
      <c r="G14" s="1512"/>
      <c r="H14" s="30">
        <v>30212314</v>
      </c>
      <c r="I14" s="30"/>
      <c r="J14" s="30">
        <v>7</v>
      </c>
      <c r="K14" s="30">
        <v>1</v>
      </c>
      <c r="L14" s="30"/>
      <c r="M14" s="1454"/>
      <c r="N14" s="1461"/>
    </row>
    <row r="15" spans="2:15">
      <c r="B15" s="1533"/>
      <c r="C15" s="1448"/>
      <c r="D15" s="1448"/>
      <c r="E15" s="30"/>
      <c r="F15" s="31" t="s">
        <v>41</v>
      </c>
      <c r="G15" s="1512"/>
      <c r="H15" s="30">
        <v>30212166</v>
      </c>
      <c r="I15" s="30"/>
      <c r="J15" s="30">
        <v>7</v>
      </c>
      <c r="K15" s="30">
        <v>1</v>
      </c>
      <c r="L15" s="30"/>
      <c r="M15" s="1454"/>
      <c r="N15" s="1461"/>
    </row>
    <row r="16" spans="2:15">
      <c r="B16" s="1533"/>
      <c r="C16" s="1448"/>
      <c r="D16" s="1448"/>
      <c r="E16" s="30"/>
      <c r="F16" s="31" t="s">
        <v>42</v>
      </c>
      <c r="G16" s="1512"/>
      <c r="H16" s="30">
        <v>30212188</v>
      </c>
      <c r="I16" s="30"/>
      <c r="J16" s="30">
        <v>7</v>
      </c>
      <c r="K16" s="30">
        <v>1</v>
      </c>
      <c r="L16" s="30"/>
      <c r="M16" s="1454"/>
      <c r="N16" s="1461"/>
    </row>
    <row r="17" spans="2:14">
      <c r="B17" s="1533"/>
      <c r="C17" s="1448"/>
      <c r="D17" s="1448"/>
      <c r="E17" s="30"/>
      <c r="F17" s="31" t="s">
        <v>43</v>
      </c>
      <c r="G17" s="1512"/>
      <c r="H17" s="30">
        <v>30212302</v>
      </c>
      <c r="I17" s="30"/>
      <c r="J17" s="30">
        <v>7</v>
      </c>
      <c r="K17" s="30">
        <v>1</v>
      </c>
      <c r="L17" s="30"/>
      <c r="M17" s="1454"/>
      <c r="N17" s="1461"/>
    </row>
    <row r="18" spans="2:14">
      <c r="B18" s="1533"/>
      <c r="C18" s="1448"/>
      <c r="D18" s="1448"/>
      <c r="E18" s="30"/>
      <c r="F18" s="31" t="s">
        <v>44</v>
      </c>
      <c r="G18" s="1512"/>
      <c r="H18" s="30">
        <v>30212138</v>
      </c>
      <c r="I18" s="30"/>
      <c r="J18" s="30">
        <v>7</v>
      </c>
      <c r="K18" s="30">
        <v>1</v>
      </c>
      <c r="L18" s="30"/>
      <c r="M18" s="1454"/>
      <c r="N18" s="1461"/>
    </row>
    <row r="19" spans="2:14">
      <c r="B19" s="1533"/>
      <c r="C19" s="1448"/>
      <c r="D19" s="1448"/>
      <c r="E19" s="30"/>
      <c r="F19" s="31" t="s">
        <v>45</v>
      </c>
      <c r="G19" s="1512"/>
      <c r="H19" s="30">
        <v>30212206</v>
      </c>
      <c r="I19" s="30"/>
      <c r="J19" s="30">
        <v>7</v>
      </c>
      <c r="K19" s="30">
        <v>1</v>
      </c>
      <c r="L19" s="30"/>
      <c r="M19" s="1454"/>
      <c r="N19" s="1461"/>
    </row>
    <row r="20" spans="2:14">
      <c r="B20" s="1533"/>
      <c r="C20" s="1448"/>
      <c r="D20" s="1448"/>
      <c r="E20" s="30"/>
      <c r="F20" s="31" t="s">
        <v>46</v>
      </c>
      <c r="G20" s="1512"/>
      <c r="H20" s="30">
        <v>30212350</v>
      </c>
      <c r="I20" s="30"/>
      <c r="J20" s="30">
        <v>7</v>
      </c>
      <c r="K20" s="30">
        <v>1</v>
      </c>
      <c r="L20" s="30"/>
      <c r="M20" s="1454"/>
      <c r="N20" s="1461"/>
    </row>
    <row r="21" spans="2:14">
      <c r="B21" s="1533"/>
      <c r="C21" s="1448"/>
      <c r="D21" s="1448"/>
      <c r="E21" s="30"/>
      <c r="F21" s="31" t="s">
        <v>47</v>
      </c>
      <c r="G21" s="1512"/>
      <c r="H21" s="30">
        <v>30212198</v>
      </c>
      <c r="I21" s="30"/>
      <c r="J21" s="30">
        <v>7</v>
      </c>
      <c r="K21" s="30">
        <v>1</v>
      </c>
      <c r="L21" s="30"/>
      <c r="M21" s="1454"/>
      <c r="N21" s="1461"/>
    </row>
    <row r="22" spans="2:14">
      <c r="B22" s="1533"/>
      <c r="C22" s="1448"/>
      <c r="D22" s="1448"/>
      <c r="E22" s="30"/>
      <c r="F22" s="31" t="s">
        <v>48</v>
      </c>
      <c r="G22" s="1512"/>
      <c r="H22" s="30">
        <v>30212249</v>
      </c>
      <c r="I22" s="30"/>
      <c r="J22" s="30">
        <v>7</v>
      </c>
      <c r="K22" s="30">
        <v>1</v>
      </c>
      <c r="L22" s="30"/>
      <c r="M22" s="1454"/>
      <c r="N22" s="1461"/>
    </row>
    <row r="23" spans="2:14">
      <c r="B23" s="1533"/>
      <c r="C23" s="1448"/>
      <c r="D23" s="1448"/>
      <c r="E23" s="30"/>
      <c r="F23" s="31" t="s">
        <v>49</v>
      </c>
      <c r="G23" s="1512"/>
      <c r="H23" s="30">
        <v>30212181</v>
      </c>
      <c r="I23" s="30"/>
      <c r="J23" s="30">
        <v>7</v>
      </c>
      <c r="K23" s="30">
        <v>1</v>
      </c>
      <c r="L23" s="30"/>
      <c r="M23" s="1454"/>
      <c r="N23" s="1461"/>
    </row>
    <row r="24" spans="2:14">
      <c r="B24" s="1533"/>
      <c r="C24" s="1448"/>
      <c r="D24" s="1448"/>
      <c r="E24" s="30"/>
      <c r="F24" s="31" t="s">
        <v>50</v>
      </c>
      <c r="G24" s="1512"/>
      <c r="H24" s="30">
        <v>30212178</v>
      </c>
      <c r="I24" s="30"/>
      <c r="J24" s="30">
        <v>7</v>
      </c>
      <c r="K24" s="30">
        <v>1</v>
      </c>
      <c r="L24" s="30"/>
      <c r="M24" s="1454"/>
      <c r="N24" s="1461"/>
    </row>
    <row r="25" spans="2:14">
      <c r="B25" s="1533"/>
      <c r="C25" s="1448"/>
      <c r="D25" s="1448"/>
      <c r="E25" s="30"/>
      <c r="F25" s="31" t="s">
        <v>51</v>
      </c>
      <c r="G25" s="1512"/>
      <c r="H25" s="30">
        <v>30212346</v>
      </c>
      <c r="I25" s="30"/>
      <c r="J25" s="30">
        <v>7</v>
      </c>
      <c r="K25" s="30">
        <v>1</v>
      </c>
      <c r="L25" s="30"/>
      <c r="M25" s="1454"/>
      <c r="N25" s="1461"/>
    </row>
    <row r="26" spans="2:14">
      <c r="B26" s="1533"/>
      <c r="C26" s="1448"/>
      <c r="D26" s="1448"/>
      <c r="E26" s="30"/>
      <c r="F26" s="31" t="s">
        <v>52</v>
      </c>
      <c r="G26" s="1512"/>
      <c r="H26" s="30">
        <v>30212300</v>
      </c>
      <c r="I26" s="30"/>
      <c r="J26" s="30">
        <v>7</v>
      </c>
      <c r="K26" s="30">
        <v>1</v>
      </c>
      <c r="L26" s="30"/>
      <c r="M26" s="1454"/>
      <c r="N26" s="1461"/>
    </row>
    <row r="27" spans="2:14">
      <c r="B27" s="1533"/>
      <c r="C27" s="1448"/>
      <c r="D27" s="1448"/>
      <c r="E27" s="30"/>
      <c r="F27" s="31" t="s">
        <v>53</v>
      </c>
      <c r="G27" s="1512"/>
      <c r="H27" s="30">
        <v>30212191</v>
      </c>
      <c r="I27" s="30"/>
      <c r="J27" s="30">
        <v>7</v>
      </c>
      <c r="K27" s="30">
        <v>1</v>
      </c>
      <c r="L27" s="30"/>
      <c r="M27" s="1454"/>
      <c r="N27" s="1461"/>
    </row>
    <row r="28" spans="2:14">
      <c r="B28" s="1533"/>
      <c r="C28" s="1448">
        <v>2</v>
      </c>
      <c r="D28" s="1448" t="s">
        <v>54</v>
      </c>
      <c r="E28" s="30"/>
      <c r="F28" s="31" t="s">
        <v>55</v>
      </c>
      <c r="G28" s="1512" t="s">
        <v>56</v>
      </c>
      <c r="H28" s="30">
        <v>30209572</v>
      </c>
      <c r="I28" s="35">
        <v>9900</v>
      </c>
      <c r="J28" s="30">
        <v>6</v>
      </c>
      <c r="K28" s="30">
        <v>1</v>
      </c>
      <c r="L28" s="30"/>
      <c r="M28" s="1454" t="s">
        <v>57</v>
      </c>
      <c r="N28" s="1445">
        <v>20241226854</v>
      </c>
    </row>
    <row r="29" spans="2:14">
      <c r="B29" s="1533"/>
      <c r="C29" s="1448"/>
      <c r="D29" s="1448"/>
      <c r="E29" s="30"/>
      <c r="F29" s="31" t="s">
        <v>58</v>
      </c>
      <c r="G29" s="1512"/>
      <c r="H29" s="30">
        <v>30209570</v>
      </c>
      <c r="I29" s="35">
        <v>27900</v>
      </c>
      <c r="J29" s="30">
        <v>6</v>
      </c>
      <c r="K29" s="30">
        <v>1</v>
      </c>
      <c r="L29" s="30"/>
      <c r="M29" s="1454"/>
      <c r="N29" s="1445"/>
    </row>
    <row r="30" spans="2:14" ht="33">
      <c r="B30" s="1533"/>
      <c r="C30" s="1448"/>
      <c r="D30" s="1448"/>
      <c r="E30" s="30"/>
      <c r="F30" s="31" t="s">
        <v>59</v>
      </c>
      <c r="G30" s="1512"/>
      <c r="H30" s="30">
        <v>30209574</v>
      </c>
      <c r="I30" s="35">
        <v>29900</v>
      </c>
      <c r="J30" s="30">
        <v>6</v>
      </c>
      <c r="K30" s="30">
        <v>1</v>
      </c>
      <c r="L30" s="30"/>
      <c r="M30" s="1454"/>
      <c r="N30" s="1445"/>
    </row>
    <row r="31" spans="2:14">
      <c r="B31" s="1533"/>
      <c r="C31" s="1448"/>
      <c r="D31" s="1448"/>
      <c r="E31" s="30"/>
      <c r="F31" s="31" t="s">
        <v>60</v>
      </c>
      <c r="G31" s="1512"/>
      <c r="H31" s="30">
        <v>30209575</v>
      </c>
      <c r="I31" s="35">
        <v>43900</v>
      </c>
      <c r="J31" s="30">
        <v>6</v>
      </c>
      <c r="K31" s="30">
        <v>1</v>
      </c>
      <c r="L31" s="30"/>
      <c r="M31" s="1454"/>
      <c r="N31" s="1445"/>
    </row>
    <row r="32" spans="2:14">
      <c r="B32" s="1533"/>
      <c r="C32" s="1448"/>
      <c r="D32" s="1448"/>
      <c r="E32" s="30"/>
      <c r="F32" s="31" t="s">
        <v>61</v>
      </c>
      <c r="G32" s="1512"/>
      <c r="H32" s="30">
        <v>30209571</v>
      </c>
      <c r="I32" s="35">
        <v>44900</v>
      </c>
      <c r="J32" s="30">
        <v>6</v>
      </c>
      <c r="K32" s="30">
        <v>1</v>
      </c>
      <c r="L32" s="30"/>
      <c r="M32" s="1454"/>
      <c r="N32" s="1445"/>
    </row>
    <row r="33" spans="2:14">
      <c r="B33" s="1533"/>
      <c r="C33" s="1448"/>
      <c r="D33" s="1448"/>
      <c r="E33" s="30"/>
      <c r="F33" s="31" t="s">
        <v>62</v>
      </c>
      <c r="G33" s="1512"/>
      <c r="H33" s="30">
        <v>30209576</v>
      </c>
      <c r="I33" s="35">
        <v>58900</v>
      </c>
      <c r="J33" s="30">
        <v>6</v>
      </c>
      <c r="K33" s="30">
        <v>1</v>
      </c>
      <c r="L33" s="30"/>
      <c r="M33" s="1454"/>
      <c r="N33" s="1445"/>
    </row>
    <row r="34" spans="2:14">
      <c r="B34" s="1533"/>
      <c r="C34" s="1448"/>
      <c r="D34" s="1448"/>
      <c r="E34" s="30"/>
      <c r="F34" s="31" t="s">
        <v>63</v>
      </c>
      <c r="G34" s="1512"/>
      <c r="H34" s="30">
        <v>30212529</v>
      </c>
      <c r="I34" s="35">
        <v>79000</v>
      </c>
      <c r="J34" s="30">
        <v>6</v>
      </c>
      <c r="K34" s="30">
        <v>1</v>
      </c>
      <c r="L34" s="30"/>
      <c r="M34" s="1454"/>
      <c r="N34" s="1445"/>
    </row>
    <row r="35" spans="2:14">
      <c r="B35" s="1533"/>
      <c r="C35" s="1448"/>
      <c r="D35" s="1448"/>
      <c r="E35" s="30"/>
      <c r="F35" s="31" t="s">
        <v>64</v>
      </c>
      <c r="G35" s="1512"/>
      <c r="H35" s="30">
        <v>30209578</v>
      </c>
      <c r="I35" s="35">
        <v>99000</v>
      </c>
      <c r="J35" s="30">
        <v>6</v>
      </c>
      <c r="K35" s="30">
        <v>1</v>
      </c>
      <c r="L35" s="30"/>
      <c r="M35" s="1454"/>
      <c r="N35" s="1445"/>
    </row>
    <row r="36" spans="2:14">
      <c r="B36" s="1533"/>
      <c r="C36" s="1448">
        <v>3</v>
      </c>
      <c r="D36" s="1448" t="s">
        <v>65</v>
      </c>
      <c r="E36" s="30"/>
      <c r="F36" s="31" t="s">
        <v>66</v>
      </c>
      <c r="G36" s="1512" t="s">
        <v>67</v>
      </c>
      <c r="H36" s="30">
        <v>30209602</v>
      </c>
      <c r="I36" s="35">
        <v>9900</v>
      </c>
      <c r="J36" s="30">
        <v>6</v>
      </c>
      <c r="K36" s="30">
        <v>1</v>
      </c>
      <c r="L36" s="30"/>
      <c r="M36" s="1454" t="s">
        <v>68</v>
      </c>
      <c r="N36" s="1445">
        <v>20241226855</v>
      </c>
    </row>
    <row r="37" spans="2:14">
      <c r="B37" s="1533"/>
      <c r="C37" s="1448"/>
      <c r="D37" s="1448"/>
      <c r="E37" s="30"/>
      <c r="F37" s="31" t="s">
        <v>69</v>
      </c>
      <c r="G37" s="1512"/>
      <c r="H37" s="30">
        <v>30209604</v>
      </c>
      <c r="I37" s="35">
        <v>12900</v>
      </c>
      <c r="J37" s="30">
        <v>6</v>
      </c>
      <c r="K37" s="30">
        <v>1</v>
      </c>
      <c r="L37" s="30"/>
      <c r="M37" s="1454"/>
      <c r="N37" s="1445"/>
    </row>
    <row r="38" spans="2:14">
      <c r="B38" s="1533"/>
      <c r="C38" s="1448"/>
      <c r="D38" s="1448"/>
      <c r="E38" s="30"/>
      <c r="F38" s="31" t="s">
        <v>70</v>
      </c>
      <c r="G38" s="1512"/>
      <c r="H38" s="30">
        <v>30209605</v>
      </c>
      <c r="I38" s="35">
        <v>15900</v>
      </c>
      <c r="J38" s="30">
        <v>6</v>
      </c>
      <c r="K38" s="30">
        <v>1</v>
      </c>
      <c r="L38" s="30"/>
      <c r="M38" s="1454"/>
      <c r="N38" s="1445"/>
    </row>
    <row r="39" spans="2:14">
      <c r="B39" s="1533"/>
      <c r="C39" s="1448"/>
      <c r="D39" s="1448"/>
      <c r="E39" s="30"/>
      <c r="F39" s="31" t="s">
        <v>71</v>
      </c>
      <c r="G39" s="1512"/>
      <c r="H39" s="30">
        <v>30209606</v>
      </c>
      <c r="I39" s="35">
        <v>16900</v>
      </c>
      <c r="J39" s="30">
        <v>6</v>
      </c>
      <c r="K39" s="30">
        <v>1</v>
      </c>
      <c r="L39" s="30"/>
      <c r="M39" s="1454"/>
      <c r="N39" s="1445"/>
    </row>
    <row r="40" spans="2:14">
      <c r="B40" s="1533"/>
      <c r="C40" s="1448"/>
      <c r="D40" s="1448"/>
      <c r="E40" s="30"/>
      <c r="F40" s="31" t="s">
        <v>72</v>
      </c>
      <c r="G40" s="1512"/>
      <c r="H40" s="30">
        <v>30212530</v>
      </c>
      <c r="I40" s="35">
        <v>26900</v>
      </c>
      <c r="J40" s="30">
        <v>6</v>
      </c>
      <c r="K40" s="30">
        <v>1</v>
      </c>
      <c r="L40" s="30"/>
      <c r="M40" s="1454"/>
      <c r="N40" s="1445"/>
    </row>
    <row r="41" spans="2:14">
      <c r="B41" s="1533"/>
      <c r="C41" s="1448"/>
      <c r="D41" s="1448"/>
      <c r="E41" s="30"/>
      <c r="F41" s="31" t="s">
        <v>73</v>
      </c>
      <c r="G41" s="1512"/>
      <c r="H41" s="30">
        <v>30212531</v>
      </c>
      <c r="I41" s="35">
        <v>28900</v>
      </c>
      <c r="J41" s="30">
        <v>6</v>
      </c>
      <c r="K41" s="30">
        <v>1</v>
      </c>
      <c r="L41" s="30"/>
      <c r="M41" s="1454"/>
      <c r="N41" s="1445"/>
    </row>
    <row r="42" spans="2:14">
      <c r="B42" s="1533"/>
      <c r="C42" s="1448"/>
      <c r="D42" s="1448"/>
      <c r="E42" s="30"/>
      <c r="F42" s="31" t="s">
        <v>74</v>
      </c>
      <c r="G42" s="1512"/>
      <c r="H42" s="30">
        <v>30212532</v>
      </c>
      <c r="I42" s="35">
        <v>29900</v>
      </c>
      <c r="J42" s="30">
        <v>6</v>
      </c>
      <c r="K42" s="30">
        <v>1</v>
      </c>
      <c r="L42" s="30"/>
      <c r="M42" s="1454"/>
      <c r="N42" s="1445"/>
    </row>
    <row r="43" spans="2:14" ht="33">
      <c r="B43" s="1533"/>
      <c r="C43" s="1448"/>
      <c r="D43" s="1448"/>
      <c r="E43" s="30"/>
      <c r="F43" s="31" t="s">
        <v>75</v>
      </c>
      <c r="G43" s="1512"/>
      <c r="H43" s="30">
        <v>30209611</v>
      </c>
      <c r="I43" s="35">
        <v>23900</v>
      </c>
      <c r="J43" s="30">
        <v>6</v>
      </c>
      <c r="K43" s="30">
        <v>1</v>
      </c>
      <c r="L43" s="30"/>
      <c r="M43" s="1454"/>
      <c r="N43" s="1445"/>
    </row>
    <row r="44" spans="2:14" ht="33">
      <c r="B44" s="1533"/>
      <c r="C44" s="1448"/>
      <c r="D44" s="1448"/>
      <c r="E44" s="30"/>
      <c r="F44" s="31" t="s">
        <v>76</v>
      </c>
      <c r="G44" s="1512"/>
      <c r="H44" s="30">
        <v>30209612</v>
      </c>
      <c r="I44" s="35">
        <v>23900</v>
      </c>
      <c r="J44" s="30">
        <v>6</v>
      </c>
      <c r="K44" s="30">
        <v>1</v>
      </c>
      <c r="L44" s="30"/>
      <c r="M44" s="1454"/>
      <c r="N44" s="1445"/>
    </row>
    <row r="45" spans="2:14">
      <c r="B45" s="1533"/>
      <c r="C45" s="1448"/>
      <c r="D45" s="1448"/>
      <c r="E45" s="30"/>
      <c r="F45" s="31" t="s">
        <v>77</v>
      </c>
      <c r="G45" s="1512"/>
      <c r="H45" s="30">
        <v>30209613</v>
      </c>
      <c r="I45" s="35">
        <v>26900</v>
      </c>
      <c r="J45" s="30">
        <v>6</v>
      </c>
      <c r="K45" s="30">
        <v>1</v>
      </c>
      <c r="L45" s="30"/>
      <c r="M45" s="1454"/>
      <c r="N45" s="1445"/>
    </row>
    <row r="46" spans="2:14">
      <c r="B46" s="1533"/>
      <c r="C46" s="1448"/>
      <c r="D46" s="1448"/>
      <c r="E46" s="30"/>
      <c r="F46" s="31" t="s">
        <v>78</v>
      </c>
      <c r="G46" s="1512"/>
      <c r="H46" s="30">
        <v>30212533</v>
      </c>
      <c r="I46" s="35">
        <v>36900</v>
      </c>
      <c r="J46" s="30">
        <v>6</v>
      </c>
      <c r="K46" s="30">
        <v>1</v>
      </c>
      <c r="L46" s="30"/>
      <c r="M46" s="1454"/>
      <c r="N46" s="1445"/>
    </row>
    <row r="47" spans="2:14">
      <c r="B47" s="1533"/>
      <c r="C47" s="1448"/>
      <c r="D47" s="1448"/>
      <c r="E47" s="30"/>
      <c r="F47" s="31" t="s">
        <v>79</v>
      </c>
      <c r="G47" s="1512"/>
      <c r="H47" s="30">
        <v>30209614</v>
      </c>
      <c r="I47" s="35">
        <v>43900</v>
      </c>
      <c r="J47" s="30">
        <v>6</v>
      </c>
      <c r="K47" s="30">
        <v>1</v>
      </c>
      <c r="L47" s="30"/>
      <c r="M47" s="1454"/>
      <c r="N47" s="1445"/>
    </row>
    <row r="48" spans="2:14">
      <c r="B48" s="1533"/>
      <c r="C48" s="1448">
        <v>4</v>
      </c>
      <c r="D48" s="1448" t="s">
        <v>80</v>
      </c>
      <c r="E48" s="30"/>
      <c r="F48" s="31" t="s">
        <v>81</v>
      </c>
      <c r="G48" s="1512" t="s">
        <v>82</v>
      </c>
      <c r="H48" s="30">
        <v>30212029</v>
      </c>
      <c r="I48" s="35">
        <v>11900</v>
      </c>
      <c r="J48" s="30">
        <v>6</v>
      </c>
      <c r="K48" s="30">
        <v>1</v>
      </c>
      <c r="L48" s="30"/>
      <c r="M48" s="1454" t="s">
        <v>83</v>
      </c>
      <c r="N48" s="1445">
        <v>20241226787</v>
      </c>
    </row>
    <row r="49" spans="2:14">
      <c r="B49" s="1533"/>
      <c r="C49" s="1448"/>
      <c r="D49" s="1448"/>
      <c r="E49" s="30"/>
      <c r="F49" s="31" t="s">
        <v>84</v>
      </c>
      <c r="G49" s="1512"/>
      <c r="H49" s="30">
        <v>30212042</v>
      </c>
      <c r="I49" s="35">
        <v>15900</v>
      </c>
      <c r="J49" s="30">
        <v>6</v>
      </c>
      <c r="K49" s="30">
        <v>1</v>
      </c>
      <c r="L49" s="30"/>
      <c r="M49" s="1454"/>
      <c r="N49" s="1445"/>
    </row>
    <row r="50" spans="2:14">
      <c r="B50" s="1533"/>
      <c r="C50" s="1448"/>
      <c r="D50" s="1448"/>
      <c r="E50" s="30"/>
      <c r="F50" s="31" t="s">
        <v>85</v>
      </c>
      <c r="G50" s="1512"/>
      <c r="H50" s="30">
        <v>30212030</v>
      </c>
      <c r="I50" s="35">
        <v>16900</v>
      </c>
      <c r="J50" s="30">
        <v>6</v>
      </c>
      <c r="K50" s="30">
        <v>1</v>
      </c>
      <c r="L50" s="30"/>
      <c r="M50" s="1454"/>
      <c r="N50" s="1445"/>
    </row>
    <row r="51" spans="2:14">
      <c r="B51" s="1533"/>
      <c r="C51" s="1448"/>
      <c r="D51" s="1448"/>
      <c r="E51" s="30"/>
      <c r="F51" s="31" t="s">
        <v>86</v>
      </c>
      <c r="G51" s="1512"/>
      <c r="H51" s="30">
        <v>30212031</v>
      </c>
      <c r="I51" s="35">
        <v>23900</v>
      </c>
      <c r="J51" s="30">
        <v>6</v>
      </c>
      <c r="K51" s="30">
        <v>1</v>
      </c>
      <c r="L51" s="30"/>
      <c r="M51" s="1454"/>
      <c r="N51" s="1445"/>
    </row>
    <row r="52" spans="2:14">
      <c r="B52" s="1533"/>
      <c r="C52" s="1448"/>
      <c r="D52" s="1448"/>
      <c r="E52" s="30"/>
      <c r="F52" s="31" t="s">
        <v>87</v>
      </c>
      <c r="G52" s="1512"/>
      <c r="H52" s="30">
        <v>30212032</v>
      </c>
      <c r="I52" s="35">
        <v>16900</v>
      </c>
      <c r="J52" s="30">
        <v>6</v>
      </c>
      <c r="K52" s="30">
        <v>1</v>
      </c>
      <c r="L52" s="30"/>
      <c r="M52" s="1454"/>
      <c r="N52" s="1445"/>
    </row>
    <row r="53" spans="2:14">
      <c r="B53" s="1533"/>
      <c r="C53" s="1448"/>
      <c r="D53" s="1448"/>
      <c r="E53" s="30"/>
      <c r="F53" s="31" t="s">
        <v>88</v>
      </c>
      <c r="G53" s="1512"/>
      <c r="H53" s="30">
        <v>30212033</v>
      </c>
      <c r="I53" s="35">
        <v>16900</v>
      </c>
      <c r="J53" s="30">
        <v>6</v>
      </c>
      <c r="K53" s="30">
        <v>1</v>
      </c>
      <c r="L53" s="30"/>
      <c r="M53" s="1454"/>
      <c r="N53" s="1445"/>
    </row>
    <row r="54" spans="2:14">
      <c r="B54" s="1533"/>
      <c r="C54" s="1448"/>
      <c r="D54" s="1448"/>
      <c r="E54" s="30"/>
      <c r="F54" s="31" t="s">
        <v>89</v>
      </c>
      <c r="G54" s="1512"/>
      <c r="H54" s="30">
        <v>30212016</v>
      </c>
      <c r="I54" s="35">
        <v>24900</v>
      </c>
      <c r="J54" s="30">
        <v>6</v>
      </c>
      <c r="K54" s="30">
        <v>1</v>
      </c>
      <c r="L54" s="30"/>
      <c r="M54" s="1454"/>
      <c r="N54" s="1445"/>
    </row>
    <row r="55" spans="2:14">
      <c r="B55" s="1533"/>
      <c r="C55" s="1448"/>
      <c r="D55" s="1448"/>
      <c r="E55" s="30"/>
      <c r="F55" s="31" t="s">
        <v>90</v>
      </c>
      <c r="G55" s="1512"/>
      <c r="H55" s="30">
        <v>30212028</v>
      </c>
      <c r="I55" s="35">
        <v>49900</v>
      </c>
      <c r="J55" s="30">
        <v>6</v>
      </c>
      <c r="K55" s="30">
        <v>1</v>
      </c>
      <c r="L55" s="30"/>
      <c r="M55" s="1454"/>
      <c r="N55" s="1445"/>
    </row>
    <row r="56" spans="2:14">
      <c r="B56" s="1533"/>
      <c r="C56" s="1448"/>
      <c r="D56" s="1448"/>
      <c r="E56" s="30"/>
      <c r="F56" s="31" t="s">
        <v>91</v>
      </c>
      <c r="G56" s="1512"/>
      <c r="H56" s="30">
        <v>30212026</v>
      </c>
      <c r="I56" s="35">
        <v>32900</v>
      </c>
      <c r="J56" s="30">
        <v>6</v>
      </c>
      <c r="K56" s="30">
        <v>1</v>
      </c>
      <c r="L56" s="30"/>
      <c r="M56" s="1454"/>
      <c r="N56" s="1445"/>
    </row>
    <row r="57" spans="2:14">
      <c r="B57" s="1533"/>
      <c r="C57" s="1448"/>
      <c r="D57" s="1448"/>
      <c r="E57" s="30"/>
      <c r="F57" s="31" t="s">
        <v>92</v>
      </c>
      <c r="G57" s="1512"/>
      <c r="H57" s="30">
        <v>30212027</v>
      </c>
      <c r="I57" s="35">
        <v>34900</v>
      </c>
      <c r="J57" s="30">
        <v>6</v>
      </c>
      <c r="K57" s="30">
        <v>1</v>
      </c>
      <c r="L57" s="30"/>
      <c r="M57" s="1454"/>
      <c r="N57" s="1445"/>
    </row>
    <row r="58" spans="2:14">
      <c r="B58" s="1533"/>
      <c r="C58" s="1448">
        <v>5</v>
      </c>
      <c r="D58" s="1448" t="s">
        <v>93</v>
      </c>
      <c r="E58" s="30"/>
      <c r="F58" s="31" t="s">
        <v>94</v>
      </c>
      <c r="G58" s="1451" t="s">
        <v>95</v>
      </c>
      <c r="H58" s="30">
        <v>30207511</v>
      </c>
      <c r="I58" s="35">
        <v>15500</v>
      </c>
      <c r="J58" s="30">
        <v>6</v>
      </c>
      <c r="K58" s="30">
        <v>1</v>
      </c>
      <c r="L58" s="30"/>
      <c r="M58" s="1454" t="s">
        <v>95</v>
      </c>
      <c r="N58" s="1445">
        <v>20241226788</v>
      </c>
    </row>
    <row r="59" spans="2:14">
      <c r="B59" s="1533"/>
      <c r="C59" s="1448"/>
      <c r="D59" s="1448"/>
      <c r="E59" s="30"/>
      <c r="F59" s="31" t="s">
        <v>96</v>
      </c>
      <c r="G59" s="1451"/>
      <c r="H59" s="30">
        <v>30207512</v>
      </c>
      <c r="I59" s="35">
        <v>15500</v>
      </c>
      <c r="J59" s="30">
        <v>6</v>
      </c>
      <c r="K59" s="30">
        <v>1</v>
      </c>
      <c r="L59" s="30"/>
      <c r="M59" s="1454"/>
      <c r="N59" s="1445"/>
    </row>
    <row r="60" spans="2:14">
      <c r="B60" s="1533"/>
      <c r="C60" s="1448"/>
      <c r="D60" s="1448"/>
      <c r="E60" s="30"/>
      <c r="F60" s="31" t="s">
        <v>97</v>
      </c>
      <c r="G60" s="1451"/>
      <c r="H60" s="30">
        <v>30207510</v>
      </c>
      <c r="I60" s="35">
        <v>31900</v>
      </c>
      <c r="J60" s="30">
        <v>6</v>
      </c>
      <c r="K60" s="30">
        <v>1</v>
      </c>
      <c r="L60" s="30"/>
      <c r="M60" s="1454"/>
      <c r="N60" s="1445"/>
    </row>
    <row r="61" spans="2:14">
      <c r="B61" s="1533"/>
      <c r="C61" s="1448"/>
      <c r="D61" s="1448"/>
      <c r="E61" s="30"/>
      <c r="F61" s="31" t="s">
        <v>98</v>
      </c>
      <c r="G61" s="1451"/>
      <c r="H61" s="30">
        <v>30207509</v>
      </c>
      <c r="I61" s="35">
        <v>51900</v>
      </c>
      <c r="J61" s="30">
        <v>6</v>
      </c>
      <c r="K61" s="30">
        <v>1</v>
      </c>
      <c r="L61" s="30"/>
      <c r="M61" s="1454"/>
      <c r="N61" s="1445"/>
    </row>
    <row r="62" spans="2:14">
      <c r="B62" s="1533"/>
      <c r="C62" s="1448"/>
      <c r="D62" s="1448"/>
      <c r="E62" s="30"/>
      <c r="F62" s="31" t="s">
        <v>99</v>
      </c>
      <c r="G62" s="1451"/>
      <c r="H62" s="30">
        <v>30211993</v>
      </c>
      <c r="I62" s="35">
        <v>34100</v>
      </c>
      <c r="J62" s="30">
        <v>6</v>
      </c>
      <c r="K62" s="30">
        <v>1</v>
      </c>
      <c r="L62" s="30"/>
      <c r="M62" s="1454"/>
      <c r="N62" s="1445"/>
    </row>
    <row r="63" spans="2:14">
      <c r="B63" s="1533"/>
      <c r="C63" s="1448"/>
      <c r="D63" s="1448"/>
      <c r="E63" s="30"/>
      <c r="F63" s="31" t="s">
        <v>100</v>
      </c>
      <c r="G63" s="1451"/>
      <c r="H63" s="30">
        <v>30207516</v>
      </c>
      <c r="I63" s="35">
        <v>34100</v>
      </c>
      <c r="J63" s="30">
        <v>6</v>
      </c>
      <c r="K63" s="30">
        <v>1</v>
      </c>
      <c r="L63" s="30"/>
      <c r="M63" s="1454"/>
      <c r="N63" s="1445"/>
    </row>
    <row r="64" spans="2:14">
      <c r="B64" s="1533"/>
      <c r="C64" s="1448"/>
      <c r="D64" s="1448"/>
      <c r="E64" s="30"/>
      <c r="F64" s="31" t="s">
        <v>101</v>
      </c>
      <c r="G64" s="1451"/>
      <c r="H64" s="30">
        <v>30207515</v>
      </c>
      <c r="I64" s="35">
        <v>34100</v>
      </c>
      <c r="J64" s="30">
        <v>6</v>
      </c>
      <c r="K64" s="30">
        <v>1</v>
      </c>
      <c r="L64" s="30"/>
      <c r="M64" s="1454"/>
      <c r="N64" s="1445"/>
    </row>
    <row r="65" spans="2:14">
      <c r="B65" s="1533"/>
      <c r="C65" s="1448"/>
      <c r="D65" s="1448"/>
      <c r="E65" s="30"/>
      <c r="F65" s="31" t="s">
        <v>102</v>
      </c>
      <c r="G65" s="1451"/>
      <c r="H65" s="30">
        <v>30210471</v>
      </c>
      <c r="I65" s="35">
        <v>24000</v>
      </c>
      <c r="J65" s="30">
        <v>6</v>
      </c>
      <c r="K65" s="30">
        <v>1</v>
      </c>
      <c r="L65" s="30"/>
      <c r="M65" s="1454"/>
      <c r="N65" s="1445"/>
    </row>
    <row r="66" spans="2:14">
      <c r="B66" s="1533"/>
      <c r="C66" s="1448"/>
      <c r="D66" s="1448"/>
      <c r="E66" s="30"/>
      <c r="F66" s="31" t="s">
        <v>103</v>
      </c>
      <c r="G66" s="1451"/>
      <c r="H66" s="30">
        <v>30212002</v>
      </c>
      <c r="I66" s="35">
        <v>15900</v>
      </c>
      <c r="J66" s="30">
        <v>6</v>
      </c>
      <c r="K66" s="30">
        <v>1</v>
      </c>
      <c r="L66" s="30"/>
      <c r="M66" s="1454"/>
      <c r="N66" s="1445"/>
    </row>
    <row r="67" spans="2:14">
      <c r="B67" s="1533"/>
      <c r="C67" s="1448"/>
      <c r="D67" s="1448"/>
      <c r="E67" s="30"/>
      <c r="F67" s="31" t="s">
        <v>104</v>
      </c>
      <c r="G67" s="1451"/>
      <c r="H67" s="30">
        <v>73080054</v>
      </c>
      <c r="I67" s="35">
        <v>27900</v>
      </c>
      <c r="J67" s="30">
        <v>6</v>
      </c>
      <c r="K67" s="30">
        <v>1</v>
      </c>
      <c r="L67" s="30"/>
      <c r="M67" s="1454"/>
      <c r="N67" s="1445"/>
    </row>
    <row r="68" spans="2:14">
      <c r="B68" s="1533"/>
      <c r="C68" s="1448"/>
      <c r="D68" s="1448"/>
      <c r="E68" s="30"/>
      <c r="F68" s="31" t="s">
        <v>105</v>
      </c>
      <c r="G68" s="1451"/>
      <c r="H68" s="30">
        <v>30211994</v>
      </c>
      <c r="I68" s="35">
        <v>14900</v>
      </c>
      <c r="J68" s="30">
        <v>6</v>
      </c>
      <c r="K68" s="30">
        <v>1</v>
      </c>
      <c r="L68" s="30"/>
      <c r="M68" s="1454"/>
      <c r="N68" s="1445"/>
    </row>
    <row r="69" spans="2:14">
      <c r="B69" s="1533"/>
      <c r="C69" s="1448">
        <v>5</v>
      </c>
      <c r="D69" s="1448" t="s">
        <v>106</v>
      </c>
      <c r="E69" s="30"/>
      <c r="F69" s="31" t="s">
        <v>107</v>
      </c>
      <c r="G69" s="1454" t="s">
        <v>108</v>
      </c>
      <c r="H69" s="30">
        <v>30212010</v>
      </c>
      <c r="I69" s="35">
        <v>39000</v>
      </c>
      <c r="J69" s="30">
        <v>6</v>
      </c>
      <c r="K69" s="30">
        <v>1</v>
      </c>
      <c r="L69" s="30"/>
      <c r="M69" s="1454" t="s">
        <v>108</v>
      </c>
      <c r="N69" s="1445">
        <v>20241226789</v>
      </c>
    </row>
    <row r="70" spans="2:14">
      <c r="B70" s="1533"/>
      <c r="C70" s="1448"/>
      <c r="D70" s="1448"/>
      <c r="E70" s="30"/>
      <c r="F70" s="31" t="s">
        <v>109</v>
      </c>
      <c r="G70" s="1454"/>
      <c r="H70" s="30">
        <v>30212011</v>
      </c>
      <c r="I70" s="35">
        <v>39000</v>
      </c>
      <c r="J70" s="30">
        <v>6</v>
      </c>
      <c r="K70" s="30">
        <v>1</v>
      </c>
      <c r="L70" s="30"/>
      <c r="M70" s="1454"/>
      <c r="N70" s="1445"/>
    </row>
    <row r="71" spans="2:14">
      <c r="B71" s="1533"/>
      <c r="C71" s="1448"/>
      <c r="D71" s="1448"/>
      <c r="E71" s="30"/>
      <c r="F71" s="31" t="s">
        <v>110</v>
      </c>
      <c r="G71" s="1454"/>
      <c r="H71" s="30">
        <v>30207631</v>
      </c>
      <c r="I71" s="35">
        <v>49000</v>
      </c>
      <c r="J71" s="30">
        <v>6</v>
      </c>
      <c r="K71" s="30">
        <v>1</v>
      </c>
      <c r="L71" s="30"/>
      <c r="M71" s="1454"/>
      <c r="N71" s="1445"/>
    </row>
    <row r="72" spans="2:14">
      <c r="B72" s="1533"/>
      <c r="C72" s="1448"/>
      <c r="D72" s="1448"/>
      <c r="E72" s="30"/>
      <c r="F72" s="31" t="s">
        <v>111</v>
      </c>
      <c r="G72" s="1454"/>
      <c r="H72" s="30">
        <v>30212014</v>
      </c>
      <c r="I72" s="35">
        <v>49000</v>
      </c>
      <c r="J72" s="30">
        <v>6</v>
      </c>
      <c r="K72" s="30">
        <v>1</v>
      </c>
      <c r="L72" s="30"/>
      <c r="M72" s="1454"/>
      <c r="N72" s="1445"/>
    </row>
    <row r="73" spans="2:14">
      <c r="B73" s="1533"/>
      <c r="C73" s="1448"/>
      <c r="D73" s="1448"/>
      <c r="E73" s="30"/>
      <c r="F73" s="31" t="s">
        <v>112</v>
      </c>
      <c r="G73" s="1454"/>
      <c r="H73" s="30">
        <v>30212007</v>
      </c>
      <c r="I73" s="35">
        <v>55000</v>
      </c>
      <c r="J73" s="30">
        <v>6</v>
      </c>
      <c r="K73" s="30">
        <v>1</v>
      </c>
      <c r="L73" s="30"/>
      <c r="M73" s="1454"/>
      <c r="N73" s="1445"/>
    </row>
    <row r="74" spans="2:14">
      <c r="B74" s="1533"/>
      <c r="C74" s="1448"/>
      <c r="D74" s="1448"/>
      <c r="E74" s="30"/>
      <c r="F74" s="31" t="s">
        <v>113</v>
      </c>
      <c r="G74" s="1454"/>
      <c r="H74" s="30">
        <v>30212006</v>
      </c>
      <c r="I74" s="35">
        <v>55000</v>
      </c>
      <c r="J74" s="30">
        <v>6</v>
      </c>
      <c r="K74" s="30">
        <v>1</v>
      </c>
      <c r="L74" s="30"/>
      <c r="M74" s="1454"/>
      <c r="N74" s="1445"/>
    </row>
    <row r="75" spans="2:14">
      <c r="B75" s="1533"/>
      <c r="C75" s="1448"/>
      <c r="D75" s="1448"/>
      <c r="E75" s="30"/>
      <c r="F75" s="31" t="s">
        <v>114</v>
      </c>
      <c r="G75" s="1454"/>
      <c r="H75" s="30">
        <v>30212012</v>
      </c>
      <c r="I75" s="35">
        <v>12900</v>
      </c>
      <c r="J75" s="30">
        <v>6</v>
      </c>
      <c r="K75" s="30">
        <v>1</v>
      </c>
      <c r="L75" s="30"/>
      <c r="M75" s="1454"/>
      <c r="N75" s="1445"/>
    </row>
    <row r="76" spans="2:14">
      <c r="B76" s="1533"/>
      <c r="C76" s="1448"/>
      <c r="D76" s="1448"/>
      <c r="E76" s="30"/>
      <c r="F76" s="31" t="s">
        <v>115</v>
      </c>
      <c r="G76" s="1454"/>
      <c r="H76" s="30">
        <v>30212013</v>
      </c>
      <c r="I76" s="35">
        <v>6800</v>
      </c>
      <c r="J76" s="30">
        <v>6</v>
      </c>
      <c r="K76" s="30">
        <v>1</v>
      </c>
      <c r="L76" s="30"/>
      <c r="M76" s="1454"/>
      <c r="N76" s="1445"/>
    </row>
    <row r="77" spans="2:14">
      <c r="B77" s="1533"/>
      <c r="C77" s="1448"/>
      <c r="D77" s="1448"/>
      <c r="E77" s="30"/>
      <c r="F77" s="31" t="s">
        <v>116</v>
      </c>
      <c r="G77" s="1454"/>
      <c r="H77" s="30">
        <v>30212008</v>
      </c>
      <c r="I77" s="35">
        <v>5900</v>
      </c>
      <c r="J77" s="30">
        <v>6</v>
      </c>
      <c r="K77" s="30">
        <v>1</v>
      </c>
      <c r="L77" s="30"/>
      <c r="M77" s="1454"/>
      <c r="N77" s="1445"/>
    </row>
    <row r="78" spans="2:14">
      <c r="B78" s="1533"/>
      <c r="C78" s="1448"/>
      <c r="D78" s="1448"/>
      <c r="E78" s="30"/>
      <c r="F78" s="31" t="s">
        <v>117</v>
      </c>
      <c r="G78" s="1454"/>
      <c r="H78" s="30">
        <v>30212009</v>
      </c>
      <c r="I78" s="35">
        <v>5900</v>
      </c>
      <c r="J78" s="30">
        <v>6</v>
      </c>
      <c r="K78" s="30">
        <v>1</v>
      </c>
      <c r="L78" s="30"/>
      <c r="M78" s="1454"/>
      <c r="N78" s="1445"/>
    </row>
    <row r="79" spans="2:14">
      <c r="B79" s="1533"/>
      <c r="C79" s="1448">
        <v>6</v>
      </c>
      <c r="D79" s="1448" t="s">
        <v>118</v>
      </c>
      <c r="E79" s="30"/>
      <c r="F79" s="31" t="s">
        <v>119</v>
      </c>
      <c r="G79" s="1454" t="s">
        <v>120</v>
      </c>
      <c r="H79" s="30">
        <v>30211488</v>
      </c>
      <c r="I79" s="35">
        <v>17900</v>
      </c>
      <c r="J79" s="30">
        <v>6</v>
      </c>
      <c r="K79" s="30">
        <v>1</v>
      </c>
      <c r="L79" s="30"/>
      <c r="M79" s="1454" t="s">
        <v>120</v>
      </c>
      <c r="N79" s="1445">
        <v>20241226790</v>
      </c>
    </row>
    <row r="80" spans="2:14">
      <c r="B80" s="1533"/>
      <c r="C80" s="1448"/>
      <c r="D80" s="1448"/>
      <c r="E80" s="30"/>
      <c r="F80" s="31" t="s">
        <v>121</v>
      </c>
      <c r="G80" s="1454"/>
      <c r="H80" s="30">
        <v>30211489</v>
      </c>
      <c r="I80" s="35">
        <v>17900</v>
      </c>
      <c r="J80" s="30">
        <v>6</v>
      </c>
      <c r="K80" s="30">
        <v>1</v>
      </c>
      <c r="L80" s="30"/>
      <c r="M80" s="1454"/>
      <c r="N80" s="1445"/>
    </row>
    <row r="81" spans="2:14">
      <c r="B81" s="1533"/>
      <c r="C81" s="1448"/>
      <c r="D81" s="1448"/>
      <c r="E81" s="30"/>
      <c r="F81" s="31" t="s">
        <v>122</v>
      </c>
      <c r="G81" s="1454"/>
      <c r="H81" s="30">
        <v>30211490</v>
      </c>
      <c r="I81" s="35">
        <v>20900</v>
      </c>
      <c r="J81" s="30">
        <v>6</v>
      </c>
      <c r="K81" s="30">
        <v>1</v>
      </c>
      <c r="L81" s="30"/>
      <c r="M81" s="1454"/>
      <c r="N81" s="1445"/>
    </row>
    <row r="82" spans="2:14" ht="33">
      <c r="B82" s="1533"/>
      <c r="C82" s="1448">
        <v>7</v>
      </c>
      <c r="D82" s="1448" t="s">
        <v>123</v>
      </c>
      <c r="E82" s="30"/>
      <c r="F82" s="31" t="s">
        <v>124</v>
      </c>
      <c r="G82" s="1454" t="s">
        <v>125</v>
      </c>
      <c r="H82" s="30">
        <v>30211492</v>
      </c>
      <c r="I82" s="35">
        <v>39900</v>
      </c>
      <c r="J82" s="30">
        <v>6</v>
      </c>
      <c r="K82" s="30">
        <v>1</v>
      </c>
      <c r="L82" s="30"/>
      <c r="M82" s="1454" t="s">
        <v>125</v>
      </c>
      <c r="N82" s="1445">
        <v>20241226791</v>
      </c>
    </row>
    <row r="83" spans="2:14">
      <c r="B83" s="1533"/>
      <c r="C83" s="1448"/>
      <c r="D83" s="1448"/>
      <c r="E83" s="30"/>
      <c r="F83" s="31" t="s">
        <v>126</v>
      </c>
      <c r="G83" s="1454"/>
      <c r="H83" s="30">
        <v>30211493</v>
      </c>
      <c r="I83" s="35">
        <v>39900</v>
      </c>
      <c r="J83" s="30">
        <v>6</v>
      </c>
      <c r="K83" s="30">
        <v>1</v>
      </c>
      <c r="L83" s="30"/>
      <c r="M83" s="1454"/>
      <c r="N83" s="1445"/>
    </row>
    <row r="84" spans="2:14">
      <c r="B84" s="1533"/>
      <c r="C84" s="1448">
        <v>8</v>
      </c>
      <c r="D84" s="1448" t="s">
        <v>127</v>
      </c>
      <c r="E84" s="30"/>
      <c r="F84" s="31" t="s">
        <v>128</v>
      </c>
      <c r="G84" s="1454" t="s">
        <v>129</v>
      </c>
      <c r="H84" s="30">
        <v>30211626</v>
      </c>
      <c r="I84" s="35">
        <v>16500</v>
      </c>
      <c r="J84" s="30">
        <v>6</v>
      </c>
      <c r="K84" s="30">
        <v>1</v>
      </c>
      <c r="L84" s="30"/>
      <c r="M84" s="1454" t="s">
        <v>129</v>
      </c>
      <c r="N84" s="1445">
        <v>20241226792</v>
      </c>
    </row>
    <row r="85" spans="2:14">
      <c r="B85" s="1533"/>
      <c r="C85" s="1448"/>
      <c r="D85" s="1448"/>
      <c r="E85" s="30"/>
      <c r="F85" s="31" t="s">
        <v>130</v>
      </c>
      <c r="G85" s="1454"/>
      <c r="H85" s="30">
        <v>30211495</v>
      </c>
      <c r="I85" s="35">
        <v>23900</v>
      </c>
      <c r="J85" s="30">
        <v>6</v>
      </c>
      <c r="K85" s="30">
        <v>1</v>
      </c>
      <c r="L85" s="30"/>
      <c r="M85" s="1454"/>
      <c r="N85" s="1445"/>
    </row>
    <row r="86" spans="2:14">
      <c r="B86" s="1533"/>
      <c r="C86" s="1448"/>
      <c r="D86" s="1448"/>
      <c r="E86" s="30"/>
      <c r="F86" s="31" t="s">
        <v>131</v>
      </c>
      <c r="G86" s="1454"/>
      <c r="H86" s="30">
        <v>30211497</v>
      </c>
      <c r="I86" s="35">
        <v>21500</v>
      </c>
      <c r="J86" s="30">
        <v>6</v>
      </c>
      <c r="K86" s="30">
        <v>1</v>
      </c>
      <c r="L86" s="30"/>
      <c r="M86" s="1454"/>
      <c r="N86" s="1445"/>
    </row>
    <row r="87" spans="2:14">
      <c r="B87" s="1533"/>
      <c r="C87" s="1448"/>
      <c r="D87" s="1448"/>
      <c r="E87" s="30"/>
      <c r="F87" s="31" t="s">
        <v>132</v>
      </c>
      <c r="G87" s="1454"/>
      <c r="H87" s="30">
        <v>30211498</v>
      </c>
      <c r="I87" s="35">
        <v>16900</v>
      </c>
      <c r="J87" s="30">
        <v>6</v>
      </c>
      <c r="K87" s="30">
        <v>1</v>
      </c>
      <c r="L87" s="30"/>
      <c r="M87" s="1454"/>
      <c r="N87" s="1445"/>
    </row>
    <row r="88" spans="2:14">
      <c r="B88" s="1533"/>
      <c r="C88" s="1448"/>
      <c r="D88" s="1448"/>
      <c r="E88" s="30"/>
      <c r="F88" s="31" t="s">
        <v>133</v>
      </c>
      <c r="G88" s="1454"/>
      <c r="H88" s="30">
        <v>30211499</v>
      </c>
      <c r="I88" s="35">
        <v>21900</v>
      </c>
      <c r="J88" s="30">
        <v>6</v>
      </c>
      <c r="K88" s="30">
        <v>1</v>
      </c>
      <c r="L88" s="30"/>
      <c r="M88" s="1454"/>
      <c r="N88" s="1445"/>
    </row>
    <row r="89" spans="2:14">
      <c r="B89" s="1533"/>
      <c r="C89" s="1448"/>
      <c r="D89" s="1448"/>
      <c r="E89" s="30"/>
      <c r="F89" s="31" t="s">
        <v>134</v>
      </c>
      <c r="G89" s="1454"/>
      <c r="H89" s="30">
        <v>30211501</v>
      </c>
      <c r="I89" s="35">
        <v>23900</v>
      </c>
      <c r="J89" s="30">
        <v>6</v>
      </c>
      <c r="K89" s="30">
        <v>1</v>
      </c>
      <c r="L89" s="30"/>
      <c r="M89" s="1454"/>
      <c r="N89" s="1445"/>
    </row>
    <row r="90" spans="2:14">
      <c r="B90" s="1533"/>
      <c r="C90" s="1448"/>
      <c r="D90" s="1448"/>
      <c r="E90" s="30"/>
      <c r="F90" s="31" t="s">
        <v>135</v>
      </c>
      <c r="G90" s="1454"/>
      <c r="H90" s="30">
        <v>30211502</v>
      </c>
      <c r="I90" s="35">
        <v>8900</v>
      </c>
      <c r="J90" s="30">
        <v>6</v>
      </c>
      <c r="K90" s="30">
        <v>1</v>
      </c>
      <c r="L90" s="30"/>
      <c r="M90" s="1454"/>
      <c r="N90" s="1445"/>
    </row>
    <row r="91" spans="2:14">
      <c r="B91" s="1533"/>
      <c r="C91" s="1448"/>
      <c r="D91" s="1448"/>
      <c r="E91" s="30"/>
      <c r="F91" s="31" t="s">
        <v>136</v>
      </c>
      <c r="G91" s="1454"/>
      <c r="H91" s="30">
        <v>30211503</v>
      </c>
      <c r="I91" s="35">
        <v>12900</v>
      </c>
      <c r="J91" s="30">
        <v>6</v>
      </c>
      <c r="K91" s="30">
        <v>1</v>
      </c>
      <c r="L91" s="30"/>
      <c r="M91" s="1454"/>
      <c r="N91" s="1445"/>
    </row>
    <row r="92" spans="2:14" ht="19.5" customHeight="1">
      <c r="B92" s="1451" t="s">
        <v>137</v>
      </c>
      <c r="C92" s="1448">
        <v>1</v>
      </c>
      <c r="D92" s="1448" t="s">
        <v>138</v>
      </c>
      <c r="E92" s="38">
        <v>30197076</v>
      </c>
      <c r="F92" s="39" t="s">
        <v>139</v>
      </c>
      <c r="G92" s="1521" t="s">
        <v>140</v>
      </c>
      <c r="H92" s="40">
        <v>30213335</v>
      </c>
      <c r="I92" s="41">
        <v>9900</v>
      </c>
      <c r="J92" s="42">
        <v>0.1</v>
      </c>
      <c r="K92" s="1462">
        <v>3</v>
      </c>
      <c r="L92" s="1525">
        <v>29700</v>
      </c>
      <c r="M92" s="1465" t="s">
        <v>141</v>
      </c>
      <c r="N92" s="1445">
        <v>20241226793</v>
      </c>
    </row>
    <row r="93" spans="2:14">
      <c r="B93" s="1451"/>
      <c r="C93" s="1448"/>
      <c r="D93" s="1448"/>
      <c r="E93" s="38">
        <v>30196291</v>
      </c>
      <c r="F93" s="39" t="s">
        <v>142</v>
      </c>
      <c r="G93" s="1521"/>
      <c r="H93" s="40">
        <v>30196638</v>
      </c>
      <c r="I93" s="41">
        <v>10900</v>
      </c>
      <c r="J93" s="42">
        <v>0.1</v>
      </c>
      <c r="K93" s="1462"/>
      <c r="L93" s="1525"/>
      <c r="M93" s="1465"/>
      <c r="N93" s="1445"/>
    </row>
    <row r="94" spans="2:14">
      <c r="B94" s="1451"/>
      <c r="C94" s="1448"/>
      <c r="D94" s="1448"/>
      <c r="E94" s="38">
        <v>30197077</v>
      </c>
      <c r="F94" s="39" t="s">
        <v>143</v>
      </c>
      <c r="G94" s="1521"/>
      <c r="H94" s="40">
        <v>30213336</v>
      </c>
      <c r="I94" s="41">
        <v>9900</v>
      </c>
      <c r="J94" s="42">
        <v>0.1</v>
      </c>
      <c r="K94" s="1462"/>
      <c r="L94" s="1525"/>
      <c r="M94" s="1465"/>
      <c r="N94" s="1445"/>
    </row>
    <row r="95" spans="2:14">
      <c r="B95" s="1451"/>
      <c r="C95" s="1448"/>
      <c r="D95" s="1448"/>
      <c r="E95" s="38">
        <v>30195669</v>
      </c>
      <c r="F95" s="39" t="s">
        <v>144</v>
      </c>
      <c r="G95" s="1521"/>
      <c r="H95" s="40">
        <v>30195740</v>
      </c>
      <c r="I95" s="41">
        <v>12900</v>
      </c>
      <c r="J95" s="42">
        <v>0.1</v>
      </c>
      <c r="K95" s="1462"/>
      <c r="L95" s="1525"/>
      <c r="M95" s="1465"/>
      <c r="N95" s="1445"/>
    </row>
    <row r="96" spans="2:14">
      <c r="B96" s="1451"/>
      <c r="C96" s="1448"/>
      <c r="D96" s="1448"/>
      <c r="E96" s="38">
        <v>30197017</v>
      </c>
      <c r="F96" s="39" t="s">
        <v>145</v>
      </c>
      <c r="G96" s="1521"/>
      <c r="H96" s="40">
        <v>30199182</v>
      </c>
      <c r="I96" s="41">
        <v>14900</v>
      </c>
      <c r="J96" s="42">
        <v>0.1</v>
      </c>
      <c r="K96" s="1462"/>
      <c r="L96" s="1525"/>
      <c r="M96" s="1465"/>
      <c r="N96" s="1445"/>
    </row>
    <row r="97" spans="2:14">
      <c r="B97" s="1451"/>
      <c r="C97" s="1448"/>
      <c r="D97" s="1448"/>
      <c r="E97" s="38">
        <v>30196287</v>
      </c>
      <c r="F97" s="39" t="s">
        <v>146</v>
      </c>
      <c r="G97" s="1521"/>
      <c r="H97" s="40">
        <v>30196639</v>
      </c>
      <c r="I97" s="41">
        <v>15900</v>
      </c>
      <c r="J97" s="42">
        <v>0.1</v>
      </c>
      <c r="K97" s="1462"/>
      <c r="L97" s="1525"/>
      <c r="M97" s="1465"/>
      <c r="N97" s="1445"/>
    </row>
    <row r="98" spans="2:14" ht="16.5" customHeight="1">
      <c r="B98" s="1451"/>
      <c r="C98" s="1448">
        <v>2</v>
      </c>
      <c r="D98" s="1528" t="s">
        <v>147</v>
      </c>
      <c r="E98" s="46"/>
      <c r="F98" s="47" t="s">
        <v>148</v>
      </c>
      <c r="G98" s="1529" t="s">
        <v>148</v>
      </c>
      <c r="H98" s="46">
        <v>30172484</v>
      </c>
      <c r="I98" s="48">
        <v>10900</v>
      </c>
      <c r="J98" s="49">
        <v>0.1</v>
      </c>
      <c r="K98" s="1530">
        <v>3</v>
      </c>
      <c r="L98" s="1783">
        <f>K98*I98</f>
        <v>32700</v>
      </c>
      <c r="M98" s="1529" t="s">
        <v>149</v>
      </c>
      <c r="N98" s="1445">
        <v>20241226794</v>
      </c>
    </row>
    <row r="99" spans="2:14" ht="16.5" customHeight="1">
      <c r="B99" s="1451"/>
      <c r="C99" s="1448"/>
      <c r="D99" s="1528"/>
      <c r="E99" s="46"/>
      <c r="F99" s="47" t="s">
        <v>150</v>
      </c>
      <c r="G99" s="1529"/>
      <c r="H99" s="46">
        <v>30176091</v>
      </c>
      <c r="I99" s="48">
        <v>13900</v>
      </c>
      <c r="J99" s="49">
        <v>0.1</v>
      </c>
      <c r="K99" s="1530"/>
      <c r="L99" s="1783"/>
      <c r="M99" s="1529"/>
      <c r="N99" s="1445"/>
    </row>
    <row r="100" spans="2:14" ht="19.5" customHeight="1">
      <c r="B100" s="1451"/>
      <c r="C100" s="1448"/>
      <c r="D100" s="1528"/>
      <c r="E100" s="46"/>
      <c r="F100" s="47" t="s">
        <v>151</v>
      </c>
      <c r="G100" s="1529"/>
      <c r="H100" s="46">
        <v>30214018</v>
      </c>
      <c r="I100" s="48">
        <v>13900</v>
      </c>
      <c r="J100" s="49">
        <v>0.1</v>
      </c>
      <c r="K100" s="1530"/>
      <c r="L100" s="1783"/>
      <c r="M100" s="1529"/>
      <c r="N100" s="1445"/>
    </row>
    <row r="101" spans="2:14" ht="18" customHeight="1">
      <c r="B101" s="1451"/>
      <c r="C101" s="1448"/>
      <c r="D101" s="1528"/>
      <c r="E101" s="46"/>
      <c r="F101" s="47" t="s">
        <v>152</v>
      </c>
      <c r="G101" s="1529"/>
      <c r="H101" s="46">
        <v>30214020</v>
      </c>
      <c r="I101" s="48">
        <v>14900</v>
      </c>
      <c r="J101" s="49">
        <v>0.1</v>
      </c>
      <c r="K101" s="1530"/>
      <c r="L101" s="1783"/>
      <c r="M101" s="1529"/>
      <c r="N101" s="1445"/>
    </row>
    <row r="102" spans="2:14" ht="16.5" customHeight="1">
      <c r="B102" s="1451"/>
      <c r="C102" s="1448"/>
      <c r="D102" s="1528"/>
      <c r="E102" s="46"/>
      <c r="F102" s="47" t="s">
        <v>153</v>
      </c>
      <c r="G102" s="1529"/>
      <c r="H102" s="46">
        <v>30214021</v>
      </c>
      <c r="I102" s="48">
        <v>13900</v>
      </c>
      <c r="J102" s="49">
        <v>0.1</v>
      </c>
      <c r="K102" s="1530"/>
      <c r="L102" s="1783"/>
      <c r="M102" s="1529"/>
      <c r="N102" s="1445"/>
    </row>
    <row r="103" spans="2:14" ht="21" customHeight="1">
      <c r="B103" s="1451"/>
      <c r="C103" s="1448">
        <v>3</v>
      </c>
      <c r="D103" s="1528" t="s">
        <v>154</v>
      </c>
      <c r="E103" s="50">
        <v>71848585</v>
      </c>
      <c r="F103" s="50" t="s">
        <v>155</v>
      </c>
      <c r="G103" s="1672" t="s">
        <v>155</v>
      </c>
      <c r="H103" s="51">
        <v>30214378</v>
      </c>
      <c r="I103" s="48">
        <v>10900</v>
      </c>
      <c r="J103" s="49">
        <v>0.1</v>
      </c>
      <c r="K103" s="1528">
        <v>5</v>
      </c>
      <c r="L103" s="1783">
        <f>K103*I103</f>
        <v>54500</v>
      </c>
      <c r="M103" s="1529" t="s">
        <v>156</v>
      </c>
      <c r="N103" s="1445">
        <v>20241226795</v>
      </c>
    </row>
    <row r="104" spans="2:14">
      <c r="B104" s="1451"/>
      <c r="C104" s="1448"/>
      <c r="D104" s="1528"/>
      <c r="E104" s="46">
        <v>71848584</v>
      </c>
      <c r="F104" s="47" t="s">
        <v>157</v>
      </c>
      <c r="G104" s="1672"/>
      <c r="H104" s="51">
        <v>30214379</v>
      </c>
      <c r="I104" s="48">
        <v>10900</v>
      </c>
      <c r="J104" s="49">
        <v>0.1</v>
      </c>
      <c r="K104" s="1528"/>
      <c r="L104" s="1783"/>
      <c r="M104" s="1529"/>
      <c r="N104" s="1445"/>
    </row>
    <row r="105" spans="2:14">
      <c r="B105" s="1451"/>
      <c r="C105" s="1451">
        <v>4</v>
      </c>
      <c r="D105" s="1597" t="s">
        <v>158</v>
      </c>
      <c r="E105" s="46"/>
      <c r="F105" s="52" t="s">
        <v>159</v>
      </c>
      <c r="G105" s="1786" t="s">
        <v>159</v>
      </c>
      <c r="H105" s="53">
        <v>30206801</v>
      </c>
      <c r="I105" s="54">
        <v>7900</v>
      </c>
      <c r="J105" s="55">
        <v>0.15</v>
      </c>
      <c r="K105" s="56">
        <v>5</v>
      </c>
      <c r="L105" s="57">
        <v>39500</v>
      </c>
      <c r="M105" s="1787" t="s">
        <v>160</v>
      </c>
      <c r="N105" s="1445">
        <v>20241226796</v>
      </c>
    </row>
    <row r="106" spans="2:14">
      <c r="B106" s="1451"/>
      <c r="C106" s="1451"/>
      <c r="D106" s="1597"/>
      <c r="E106" s="46"/>
      <c r="F106" s="58" t="s">
        <v>161</v>
      </c>
      <c r="G106" s="1786"/>
      <c r="H106" s="59">
        <v>30206056</v>
      </c>
      <c r="I106" s="60">
        <v>13800</v>
      </c>
      <c r="J106" s="61">
        <v>0.15</v>
      </c>
      <c r="K106" s="62">
        <v>5</v>
      </c>
      <c r="L106" s="63">
        <v>69000</v>
      </c>
      <c r="M106" s="1787"/>
      <c r="N106" s="1445"/>
    </row>
    <row r="107" spans="2:14">
      <c r="B107" s="1451"/>
      <c r="C107" s="1451"/>
      <c r="D107" s="1597"/>
      <c r="E107" s="46"/>
      <c r="F107" s="58" t="s">
        <v>162</v>
      </c>
      <c r="G107" s="1786"/>
      <c r="H107" s="59">
        <v>30206065</v>
      </c>
      <c r="I107" s="60">
        <v>16800</v>
      </c>
      <c r="J107" s="61">
        <v>0.15</v>
      </c>
      <c r="K107" s="62">
        <v>5</v>
      </c>
      <c r="L107" s="63">
        <v>84000</v>
      </c>
      <c r="M107" s="1787"/>
      <c r="N107" s="1445"/>
    </row>
    <row r="108" spans="2:14">
      <c r="B108" s="1451"/>
      <c r="C108" s="1451"/>
      <c r="D108" s="1597"/>
      <c r="E108" s="46"/>
      <c r="F108" s="58" t="s">
        <v>163</v>
      </c>
      <c r="G108" s="1786"/>
      <c r="H108" s="59">
        <v>30214066</v>
      </c>
      <c r="I108" s="60">
        <v>19800</v>
      </c>
      <c r="J108" s="61">
        <v>0.15</v>
      </c>
      <c r="K108" s="62">
        <v>5</v>
      </c>
      <c r="L108" s="63">
        <v>99000</v>
      </c>
      <c r="M108" s="1787"/>
      <c r="N108" s="1445"/>
    </row>
    <row r="109" spans="2:14">
      <c r="B109" s="1451"/>
      <c r="C109" s="1451"/>
      <c r="D109" s="1597"/>
      <c r="E109" s="46"/>
      <c r="F109" s="58" t="s">
        <v>164</v>
      </c>
      <c r="G109" s="1786"/>
      <c r="H109" s="59">
        <v>30210616</v>
      </c>
      <c r="I109" s="60">
        <v>27800</v>
      </c>
      <c r="J109" s="61">
        <v>0.15</v>
      </c>
      <c r="K109" s="62">
        <v>5</v>
      </c>
      <c r="L109" s="63">
        <v>139000</v>
      </c>
      <c r="M109" s="1787"/>
      <c r="N109" s="1445"/>
    </row>
    <row r="110" spans="2:14">
      <c r="B110" s="1448" t="s">
        <v>165</v>
      </c>
      <c r="C110" s="1448">
        <v>1</v>
      </c>
      <c r="D110" s="1448" t="s">
        <v>166</v>
      </c>
      <c r="E110" s="30">
        <v>30173887</v>
      </c>
      <c r="F110" s="31" t="s">
        <v>167</v>
      </c>
      <c r="G110" s="1448" t="s">
        <v>168</v>
      </c>
      <c r="H110" s="30">
        <v>30205919</v>
      </c>
      <c r="I110" s="35">
        <v>49900</v>
      </c>
      <c r="J110" s="64">
        <v>0.05</v>
      </c>
      <c r="K110" s="1448">
        <v>5</v>
      </c>
      <c r="L110" s="35">
        <v>249500</v>
      </c>
      <c r="M110" s="1454" t="s">
        <v>169</v>
      </c>
      <c r="N110" s="1461">
        <v>20241226797</v>
      </c>
    </row>
    <row r="111" spans="2:14">
      <c r="B111" s="1448"/>
      <c r="C111" s="1448"/>
      <c r="D111" s="1448"/>
      <c r="E111" s="30">
        <v>30173888</v>
      </c>
      <c r="F111" s="31" t="s">
        <v>170</v>
      </c>
      <c r="G111" s="1448"/>
      <c r="H111" s="30">
        <v>30205922</v>
      </c>
      <c r="I111" s="35">
        <v>49900</v>
      </c>
      <c r="J111" s="64">
        <v>0.05</v>
      </c>
      <c r="K111" s="1448"/>
      <c r="L111" s="35">
        <v>249500</v>
      </c>
      <c r="M111" s="1454"/>
      <c r="N111" s="1461"/>
    </row>
    <row r="112" spans="2:14">
      <c r="B112" s="1448"/>
      <c r="C112" s="1448"/>
      <c r="D112" s="1448"/>
      <c r="E112" s="30">
        <v>30173890</v>
      </c>
      <c r="F112" s="31" t="s">
        <v>171</v>
      </c>
      <c r="G112" s="1448"/>
      <c r="H112" s="30">
        <v>30205924</v>
      </c>
      <c r="I112" s="35">
        <v>39900</v>
      </c>
      <c r="J112" s="64">
        <v>0.05</v>
      </c>
      <c r="K112" s="1448"/>
      <c r="L112" s="35">
        <v>249500</v>
      </c>
      <c r="M112" s="1454"/>
      <c r="N112" s="1461"/>
    </row>
    <row r="113" spans="2:14">
      <c r="B113" s="1448"/>
      <c r="C113" s="1448"/>
      <c r="D113" s="1448"/>
      <c r="E113" s="30">
        <v>30173893</v>
      </c>
      <c r="F113" s="31" t="s">
        <v>172</v>
      </c>
      <c r="G113" s="1448"/>
      <c r="H113" s="30">
        <v>30205926</v>
      </c>
      <c r="I113" s="35">
        <v>39900</v>
      </c>
      <c r="J113" s="64">
        <v>0.05</v>
      </c>
      <c r="K113" s="1448"/>
      <c r="L113" s="35">
        <v>249500</v>
      </c>
      <c r="M113" s="1454"/>
      <c r="N113" s="1461"/>
    </row>
    <row r="114" spans="2:14">
      <c r="B114" s="1448"/>
      <c r="C114" s="1448">
        <v>2</v>
      </c>
      <c r="D114" s="1448" t="s">
        <v>173</v>
      </c>
      <c r="E114" s="30">
        <v>61703703</v>
      </c>
      <c r="F114" s="31" t="s">
        <v>174</v>
      </c>
      <c r="G114" s="1448" t="s">
        <v>175</v>
      </c>
      <c r="H114" s="30">
        <v>30177528</v>
      </c>
      <c r="I114" s="35">
        <v>12900</v>
      </c>
      <c r="J114" s="64">
        <v>0.13</v>
      </c>
      <c r="K114" s="1448">
        <v>5</v>
      </c>
      <c r="L114" s="1448">
        <f>I114*5</f>
        <v>64500</v>
      </c>
      <c r="M114" s="1454" t="s">
        <v>176</v>
      </c>
      <c r="N114" s="1461">
        <v>20241226798</v>
      </c>
    </row>
    <row r="115" spans="2:14">
      <c r="B115" s="1448"/>
      <c r="C115" s="1448"/>
      <c r="D115" s="1448"/>
      <c r="E115" s="30">
        <v>61703694</v>
      </c>
      <c r="F115" s="31" t="s">
        <v>177</v>
      </c>
      <c r="G115" s="1448"/>
      <c r="H115" s="30">
        <v>30177530</v>
      </c>
      <c r="I115" s="35">
        <v>14900</v>
      </c>
      <c r="J115" s="64">
        <v>0.13</v>
      </c>
      <c r="K115" s="1448"/>
      <c r="L115" s="1448"/>
      <c r="M115" s="1454"/>
      <c r="N115" s="1461"/>
    </row>
    <row r="116" spans="2:14">
      <c r="B116" s="1448"/>
      <c r="C116" s="1448"/>
      <c r="D116" s="1448"/>
      <c r="E116" s="30">
        <v>61703689</v>
      </c>
      <c r="F116" s="31" t="s">
        <v>178</v>
      </c>
      <c r="G116" s="1448"/>
      <c r="H116" s="30">
        <v>30214024</v>
      </c>
      <c r="I116" s="35">
        <v>22900</v>
      </c>
      <c r="J116" s="64">
        <v>0.13</v>
      </c>
      <c r="K116" s="1448"/>
      <c r="L116" s="1448"/>
      <c r="M116" s="1454"/>
      <c r="N116" s="1461"/>
    </row>
    <row r="117" spans="2:14">
      <c r="B117" s="1448"/>
      <c r="C117" s="1448"/>
      <c r="D117" s="1448"/>
      <c r="E117" s="30">
        <v>61703682</v>
      </c>
      <c r="F117" s="31" t="s">
        <v>179</v>
      </c>
      <c r="G117" s="1448"/>
      <c r="H117" s="30">
        <v>30214025</v>
      </c>
      <c r="I117" s="35">
        <v>25900</v>
      </c>
      <c r="J117" s="64">
        <v>0.13</v>
      </c>
      <c r="K117" s="1448"/>
      <c r="L117" s="1448"/>
      <c r="M117" s="1454"/>
      <c r="N117" s="1461"/>
    </row>
    <row r="118" spans="2:14">
      <c r="B118" s="1448"/>
      <c r="C118" s="1448">
        <v>3</v>
      </c>
      <c r="D118" s="1448"/>
      <c r="E118" s="30">
        <v>73402956</v>
      </c>
      <c r="F118" s="31" t="s">
        <v>180</v>
      </c>
      <c r="G118" s="1448" t="s">
        <v>181</v>
      </c>
      <c r="H118" s="30">
        <v>30214026</v>
      </c>
      <c r="I118" s="35">
        <v>14900</v>
      </c>
      <c r="J118" s="64">
        <v>0.13</v>
      </c>
      <c r="K118" s="1448">
        <v>5</v>
      </c>
      <c r="L118" s="1448">
        <f>I118*5</f>
        <v>74500</v>
      </c>
      <c r="M118" s="1454" t="s">
        <v>182</v>
      </c>
      <c r="N118" s="1461">
        <v>20241226799</v>
      </c>
    </row>
    <row r="119" spans="2:14">
      <c r="B119" s="1448"/>
      <c r="C119" s="1448"/>
      <c r="D119" s="1448"/>
      <c r="E119" s="30">
        <v>73402942</v>
      </c>
      <c r="F119" s="31" t="s">
        <v>183</v>
      </c>
      <c r="G119" s="1448"/>
      <c r="H119" s="30">
        <v>30214027</v>
      </c>
      <c r="I119" s="35">
        <v>16900</v>
      </c>
      <c r="J119" s="64">
        <v>0.13</v>
      </c>
      <c r="K119" s="1448"/>
      <c r="L119" s="1448"/>
      <c r="M119" s="1454"/>
      <c r="N119" s="1461"/>
    </row>
    <row r="120" spans="2:14">
      <c r="B120" s="1448"/>
      <c r="C120" s="1448"/>
      <c r="D120" s="1448"/>
      <c r="E120" s="30">
        <v>73402925</v>
      </c>
      <c r="F120" s="31" t="s">
        <v>184</v>
      </c>
      <c r="G120" s="1448"/>
      <c r="H120" s="30">
        <v>30214028</v>
      </c>
      <c r="I120" s="35">
        <v>18900</v>
      </c>
      <c r="J120" s="64">
        <v>0.13</v>
      </c>
      <c r="K120" s="1448"/>
      <c r="L120" s="1448"/>
      <c r="M120" s="1454"/>
      <c r="N120" s="1461"/>
    </row>
    <row r="121" spans="2:14">
      <c r="B121" s="1448" t="s">
        <v>185</v>
      </c>
      <c r="C121" s="29">
        <v>1</v>
      </c>
      <c r="D121" s="29" t="s">
        <v>186</v>
      </c>
      <c r="E121" s="30">
        <v>30213667</v>
      </c>
      <c r="F121" s="31" t="s">
        <v>187</v>
      </c>
      <c r="G121" s="65" t="s">
        <v>187</v>
      </c>
      <c r="H121" s="30">
        <v>30214186</v>
      </c>
      <c r="I121" s="66">
        <v>29900</v>
      </c>
      <c r="J121" s="64">
        <v>0.15</v>
      </c>
      <c r="K121" s="29">
        <v>5</v>
      </c>
      <c r="L121" s="67">
        <f t="shared" ref="L121:L170" si="0">K121*I121</f>
        <v>149500</v>
      </c>
      <c r="M121" s="68" t="s">
        <v>188</v>
      </c>
      <c r="N121" s="69">
        <v>20241226800</v>
      </c>
    </row>
    <row r="122" spans="2:14">
      <c r="B122" s="1448"/>
      <c r="C122" s="1448">
        <v>2</v>
      </c>
      <c r="D122" s="1448" t="s">
        <v>189</v>
      </c>
      <c r="E122" s="30">
        <v>30186612</v>
      </c>
      <c r="F122" s="31" t="s">
        <v>190</v>
      </c>
      <c r="G122" s="1449" t="s">
        <v>190</v>
      </c>
      <c r="H122" s="30">
        <v>30203059</v>
      </c>
      <c r="I122" s="66">
        <v>10900</v>
      </c>
      <c r="J122" s="64">
        <v>0.13</v>
      </c>
      <c r="K122" s="1448">
        <v>5</v>
      </c>
      <c r="L122" s="1450">
        <f t="shared" si="0"/>
        <v>54500</v>
      </c>
      <c r="M122" s="1586" t="s">
        <v>191</v>
      </c>
      <c r="N122" s="1445">
        <v>20241226801</v>
      </c>
    </row>
    <row r="123" spans="2:14">
      <c r="B123" s="1448"/>
      <c r="C123" s="1448"/>
      <c r="D123" s="1448"/>
      <c r="E123" s="30">
        <v>30186618</v>
      </c>
      <c r="F123" s="31" t="s">
        <v>192</v>
      </c>
      <c r="G123" s="1449"/>
      <c r="H123" s="30">
        <v>30203060</v>
      </c>
      <c r="I123" s="66">
        <v>19900</v>
      </c>
      <c r="J123" s="64">
        <v>0.13</v>
      </c>
      <c r="K123" s="1448"/>
      <c r="L123" s="1450">
        <f t="shared" si="0"/>
        <v>0</v>
      </c>
      <c r="M123" s="1586"/>
      <c r="N123" s="1445"/>
    </row>
    <row r="124" spans="2:14">
      <c r="B124" s="1448"/>
      <c r="C124" s="1448"/>
      <c r="D124" s="1448"/>
      <c r="E124" s="30">
        <v>30186619</v>
      </c>
      <c r="F124" s="31" t="s">
        <v>193</v>
      </c>
      <c r="G124" s="1449"/>
      <c r="H124" s="30">
        <v>30203061</v>
      </c>
      <c r="I124" s="66">
        <v>27900</v>
      </c>
      <c r="J124" s="64">
        <v>0.13</v>
      </c>
      <c r="K124" s="1448"/>
      <c r="L124" s="1450">
        <f t="shared" si="0"/>
        <v>0</v>
      </c>
      <c r="M124" s="1586"/>
      <c r="N124" s="1445"/>
    </row>
    <row r="125" spans="2:14">
      <c r="B125" s="1448"/>
      <c r="C125" s="1448">
        <v>3</v>
      </c>
      <c r="D125" s="1448" t="s">
        <v>194</v>
      </c>
      <c r="E125" s="30">
        <v>56287771</v>
      </c>
      <c r="F125" s="31" t="s">
        <v>195</v>
      </c>
      <c r="G125" s="1449" t="s">
        <v>195</v>
      </c>
      <c r="H125" s="30">
        <v>30191189</v>
      </c>
      <c r="I125" s="66">
        <v>5900</v>
      </c>
      <c r="J125" s="64">
        <v>0.13</v>
      </c>
      <c r="K125" s="1448">
        <v>5</v>
      </c>
      <c r="L125" s="1450">
        <f t="shared" si="0"/>
        <v>29500</v>
      </c>
      <c r="M125" s="1785" t="s">
        <v>196</v>
      </c>
      <c r="N125" s="1445">
        <v>20241226802</v>
      </c>
    </row>
    <row r="126" spans="2:14">
      <c r="B126" s="1448"/>
      <c r="C126" s="1448"/>
      <c r="D126" s="1448"/>
      <c r="E126" s="30">
        <v>67604739</v>
      </c>
      <c r="F126" s="31" t="s">
        <v>197</v>
      </c>
      <c r="G126" s="1449"/>
      <c r="H126" s="30">
        <v>30209135</v>
      </c>
      <c r="I126" s="66">
        <v>8900</v>
      </c>
      <c r="J126" s="64">
        <v>0.13</v>
      </c>
      <c r="K126" s="1448"/>
      <c r="L126" s="1450">
        <f t="shared" si="0"/>
        <v>0</v>
      </c>
      <c r="M126" s="1785"/>
      <c r="N126" s="1445"/>
    </row>
    <row r="127" spans="2:14">
      <c r="B127" s="1448"/>
      <c r="C127" s="1448"/>
      <c r="D127" s="1448"/>
      <c r="E127" s="30">
        <v>71507012</v>
      </c>
      <c r="F127" s="31" t="s">
        <v>198</v>
      </c>
      <c r="G127" s="1449"/>
      <c r="H127" s="30">
        <v>30209136</v>
      </c>
      <c r="I127" s="66">
        <v>8900</v>
      </c>
      <c r="J127" s="64">
        <v>0.13</v>
      </c>
      <c r="K127" s="1448"/>
      <c r="L127" s="1450">
        <f t="shared" si="0"/>
        <v>0</v>
      </c>
      <c r="M127" s="1785"/>
      <c r="N127" s="1445"/>
    </row>
    <row r="128" spans="2:14">
      <c r="B128" s="1448"/>
      <c r="C128" s="1448"/>
      <c r="D128" s="1448"/>
      <c r="E128" s="30">
        <v>67857158</v>
      </c>
      <c r="F128" s="31" t="s">
        <v>199</v>
      </c>
      <c r="G128" s="1449"/>
      <c r="H128" s="30">
        <v>30202077</v>
      </c>
      <c r="I128" s="66">
        <v>9900</v>
      </c>
      <c r="J128" s="64">
        <v>0.13</v>
      </c>
      <c r="K128" s="1448"/>
      <c r="L128" s="1450">
        <f t="shared" si="0"/>
        <v>0</v>
      </c>
      <c r="M128" s="1785"/>
      <c r="N128" s="1445"/>
    </row>
    <row r="129" spans="2:14">
      <c r="B129" s="1448"/>
      <c r="C129" s="1448"/>
      <c r="D129" s="1448"/>
      <c r="E129" s="30">
        <v>66023216</v>
      </c>
      <c r="F129" s="31" t="s">
        <v>200</v>
      </c>
      <c r="G129" s="1449"/>
      <c r="H129" s="30">
        <v>30202078</v>
      </c>
      <c r="I129" s="66">
        <v>9900</v>
      </c>
      <c r="J129" s="64">
        <v>0.13</v>
      </c>
      <c r="K129" s="1448"/>
      <c r="L129" s="1450">
        <f t="shared" si="0"/>
        <v>0</v>
      </c>
      <c r="M129" s="1785"/>
      <c r="N129" s="1445"/>
    </row>
    <row r="130" spans="2:14">
      <c r="B130" s="1448"/>
      <c r="C130" s="1448"/>
      <c r="D130" s="1448"/>
      <c r="E130" s="30">
        <v>66023198</v>
      </c>
      <c r="F130" s="31" t="s">
        <v>201</v>
      </c>
      <c r="G130" s="1449"/>
      <c r="H130" s="30">
        <v>30202079</v>
      </c>
      <c r="I130" s="66">
        <v>9900</v>
      </c>
      <c r="J130" s="64">
        <v>0.13</v>
      </c>
      <c r="K130" s="1448"/>
      <c r="L130" s="1450">
        <f t="shared" si="0"/>
        <v>0</v>
      </c>
      <c r="M130" s="1785"/>
      <c r="N130" s="1445"/>
    </row>
    <row r="131" spans="2:14">
      <c r="B131" s="1448"/>
      <c r="C131" s="1448"/>
      <c r="D131" s="1448"/>
      <c r="E131" s="30">
        <v>66023209</v>
      </c>
      <c r="F131" s="31" t="s">
        <v>202</v>
      </c>
      <c r="G131" s="1449"/>
      <c r="H131" s="30">
        <v>30202081</v>
      </c>
      <c r="I131" s="66">
        <v>9900</v>
      </c>
      <c r="J131" s="64">
        <v>0.13</v>
      </c>
      <c r="K131" s="1448"/>
      <c r="L131" s="1450">
        <f t="shared" si="0"/>
        <v>0</v>
      </c>
      <c r="M131" s="1785"/>
      <c r="N131" s="1445"/>
    </row>
    <row r="132" spans="2:14">
      <c r="B132" s="1448"/>
      <c r="C132" s="1448"/>
      <c r="D132" s="1448"/>
      <c r="E132" s="30">
        <v>66023203</v>
      </c>
      <c r="F132" s="31" t="s">
        <v>203</v>
      </c>
      <c r="G132" s="1449"/>
      <c r="H132" s="30">
        <v>30205139</v>
      </c>
      <c r="I132" s="66">
        <v>9900</v>
      </c>
      <c r="J132" s="64">
        <v>0.13</v>
      </c>
      <c r="K132" s="1448"/>
      <c r="L132" s="1450">
        <f t="shared" si="0"/>
        <v>0</v>
      </c>
      <c r="M132" s="1785"/>
      <c r="N132" s="1445"/>
    </row>
    <row r="133" spans="2:14">
      <c r="B133" s="1448"/>
      <c r="C133" s="1448"/>
      <c r="D133" s="1448"/>
      <c r="E133" s="30">
        <v>66023235</v>
      </c>
      <c r="F133" s="31" t="s">
        <v>204</v>
      </c>
      <c r="G133" s="1449"/>
      <c r="H133" s="30">
        <v>30202082</v>
      </c>
      <c r="I133" s="66">
        <v>9900</v>
      </c>
      <c r="J133" s="64">
        <v>0.13</v>
      </c>
      <c r="K133" s="1448"/>
      <c r="L133" s="1450">
        <f t="shared" si="0"/>
        <v>0</v>
      </c>
      <c r="M133" s="1785"/>
      <c r="N133" s="1445"/>
    </row>
    <row r="134" spans="2:14">
      <c r="B134" s="1448"/>
      <c r="C134" s="1448"/>
      <c r="D134" s="1448"/>
      <c r="E134" s="30">
        <v>72942527</v>
      </c>
      <c r="F134" s="31" t="s">
        <v>205</v>
      </c>
      <c r="G134" s="1449"/>
      <c r="H134" s="30">
        <v>30214189</v>
      </c>
      <c r="I134" s="66">
        <v>9900</v>
      </c>
      <c r="J134" s="64">
        <v>0.13</v>
      </c>
      <c r="K134" s="1448"/>
      <c r="L134" s="1450">
        <f t="shared" si="0"/>
        <v>0</v>
      </c>
      <c r="M134" s="1785"/>
      <c r="N134" s="1445"/>
    </row>
    <row r="135" spans="2:14">
      <c r="B135" s="1448"/>
      <c r="C135" s="1448"/>
      <c r="D135" s="1448"/>
      <c r="E135" s="30">
        <v>72888739</v>
      </c>
      <c r="F135" s="31" t="s">
        <v>206</v>
      </c>
      <c r="G135" s="1449"/>
      <c r="H135" s="30">
        <v>30214190</v>
      </c>
      <c r="I135" s="66">
        <v>10900</v>
      </c>
      <c r="J135" s="64">
        <v>0.13</v>
      </c>
      <c r="K135" s="1448"/>
      <c r="L135" s="1450">
        <f t="shared" si="0"/>
        <v>0</v>
      </c>
      <c r="M135" s="1785"/>
      <c r="N135" s="1445"/>
    </row>
    <row r="136" spans="2:14">
      <c r="B136" s="1448"/>
      <c r="C136" s="29">
        <v>4</v>
      </c>
      <c r="D136" s="29" t="s">
        <v>207</v>
      </c>
      <c r="E136" s="30">
        <v>30172396</v>
      </c>
      <c r="F136" s="31" t="s">
        <v>208</v>
      </c>
      <c r="G136" s="70" t="s">
        <v>208</v>
      </c>
      <c r="H136" s="30">
        <v>30214191</v>
      </c>
      <c r="I136" s="66">
        <v>29700</v>
      </c>
      <c r="J136" s="64">
        <v>0.15</v>
      </c>
      <c r="K136" s="29">
        <v>5</v>
      </c>
      <c r="L136" s="67">
        <f t="shared" si="0"/>
        <v>148500</v>
      </c>
      <c r="M136" s="68" t="s">
        <v>209</v>
      </c>
      <c r="N136" s="69">
        <v>20241226803</v>
      </c>
    </row>
    <row r="137" spans="2:14">
      <c r="B137" s="1448"/>
      <c r="C137" s="29">
        <v>5</v>
      </c>
      <c r="D137" s="29" t="s">
        <v>207</v>
      </c>
      <c r="E137" s="30">
        <v>30183808</v>
      </c>
      <c r="F137" s="31" t="s">
        <v>210</v>
      </c>
      <c r="G137" s="70" t="s">
        <v>210</v>
      </c>
      <c r="H137" s="30">
        <v>30214192</v>
      </c>
      <c r="I137" s="66">
        <v>11900</v>
      </c>
      <c r="J137" s="64">
        <v>0.1</v>
      </c>
      <c r="K137" s="29">
        <v>5</v>
      </c>
      <c r="L137" s="67">
        <f t="shared" si="0"/>
        <v>59500</v>
      </c>
      <c r="M137" s="71" t="s">
        <v>211</v>
      </c>
      <c r="N137" s="72">
        <v>20241226804</v>
      </c>
    </row>
    <row r="138" spans="2:14">
      <c r="B138" s="1448"/>
      <c r="C138" s="1448">
        <v>6</v>
      </c>
      <c r="D138" s="1448" t="s">
        <v>212</v>
      </c>
      <c r="E138" s="30">
        <v>30177932</v>
      </c>
      <c r="F138" s="31" t="s">
        <v>213</v>
      </c>
      <c r="G138" s="1449" t="s">
        <v>213</v>
      </c>
      <c r="H138" s="30">
        <v>30183426</v>
      </c>
      <c r="I138" s="66">
        <v>8500</v>
      </c>
      <c r="J138" s="64">
        <v>0.17</v>
      </c>
      <c r="K138" s="1448">
        <v>5</v>
      </c>
      <c r="L138" s="1517">
        <f t="shared" si="0"/>
        <v>42500</v>
      </c>
      <c r="M138" s="1586" t="s">
        <v>214</v>
      </c>
      <c r="N138" s="1461">
        <v>20241226805</v>
      </c>
    </row>
    <row r="139" spans="2:14">
      <c r="B139" s="1448"/>
      <c r="C139" s="1448"/>
      <c r="D139" s="1448"/>
      <c r="E139" s="30">
        <v>30177936</v>
      </c>
      <c r="F139" s="31" t="s">
        <v>215</v>
      </c>
      <c r="G139" s="1449"/>
      <c r="H139" s="30">
        <v>30183427</v>
      </c>
      <c r="I139" s="66">
        <v>14900</v>
      </c>
      <c r="J139" s="64">
        <v>0.17</v>
      </c>
      <c r="K139" s="1448"/>
      <c r="L139" s="1517">
        <f t="shared" si="0"/>
        <v>0</v>
      </c>
      <c r="M139" s="1586"/>
      <c r="N139" s="1461"/>
    </row>
    <row r="140" spans="2:14">
      <c r="B140" s="1448"/>
      <c r="C140" s="1448"/>
      <c r="D140" s="1448"/>
      <c r="E140" s="30">
        <v>30177937</v>
      </c>
      <c r="F140" s="31" t="s">
        <v>216</v>
      </c>
      <c r="G140" s="1449"/>
      <c r="H140" s="30">
        <v>30214207</v>
      </c>
      <c r="I140" s="66">
        <v>27900</v>
      </c>
      <c r="J140" s="64">
        <v>0.17</v>
      </c>
      <c r="K140" s="1448"/>
      <c r="L140" s="1517">
        <f t="shared" si="0"/>
        <v>0</v>
      </c>
      <c r="M140" s="1586"/>
      <c r="N140" s="1461"/>
    </row>
    <row r="141" spans="2:14">
      <c r="B141" s="1448"/>
      <c r="C141" s="1448"/>
      <c r="D141" s="1448"/>
      <c r="E141" s="30">
        <v>30183738</v>
      </c>
      <c r="F141" s="31" t="s">
        <v>217</v>
      </c>
      <c r="G141" s="1449"/>
      <c r="H141" s="30">
        <v>30186424</v>
      </c>
      <c r="I141" s="66">
        <v>8500</v>
      </c>
      <c r="J141" s="64">
        <v>0.17</v>
      </c>
      <c r="K141" s="1448"/>
      <c r="L141" s="1517">
        <f t="shared" si="0"/>
        <v>0</v>
      </c>
      <c r="M141" s="1586"/>
      <c r="N141" s="1461"/>
    </row>
    <row r="142" spans="2:14">
      <c r="B142" s="1448"/>
      <c r="C142" s="1448"/>
      <c r="D142" s="1448"/>
      <c r="E142" s="30">
        <v>30184049</v>
      </c>
      <c r="F142" s="31" t="s">
        <v>218</v>
      </c>
      <c r="G142" s="1449"/>
      <c r="H142" s="30">
        <v>30186427</v>
      </c>
      <c r="I142" s="66">
        <v>14900</v>
      </c>
      <c r="J142" s="64">
        <v>0.17</v>
      </c>
      <c r="K142" s="1448"/>
      <c r="L142" s="1517">
        <f t="shared" si="0"/>
        <v>0</v>
      </c>
      <c r="M142" s="1586"/>
      <c r="N142" s="1461"/>
    </row>
    <row r="143" spans="2:14">
      <c r="B143" s="1448"/>
      <c r="C143" s="1448"/>
      <c r="D143" s="1448"/>
      <c r="E143" s="30">
        <v>30184050</v>
      </c>
      <c r="F143" s="31" t="s">
        <v>219</v>
      </c>
      <c r="G143" s="1449"/>
      <c r="H143" s="30">
        <v>30214210</v>
      </c>
      <c r="I143" s="66">
        <v>27900</v>
      </c>
      <c r="J143" s="64">
        <v>0.17</v>
      </c>
      <c r="K143" s="1448"/>
      <c r="L143" s="1517">
        <f t="shared" si="0"/>
        <v>0</v>
      </c>
      <c r="M143" s="1586"/>
      <c r="N143" s="1461"/>
    </row>
    <row r="144" spans="2:14">
      <c r="B144" s="1448"/>
      <c r="C144" s="1448"/>
      <c r="D144" s="1448"/>
      <c r="E144" s="30">
        <v>30184750</v>
      </c>
      <c r="F144" s="31" t="s">
        <v>220</v>
      </c>
      <c r="G144" s="1449"/>
      <c r="H144" s="30">
        <v>30186425</v>
      </c>
      <c r="I144" s="66">
        <v>14900</v>
      </c>
      <c r="J144" s="64">
        <v>0.17</v>
      </c>
      <c r="K144" s="1448"/>
      <c r="L144" s="1517">
        <f t="shared" si="0"/>
        <v>0</v>
      </c>
      <c r="M144" s="1586"/>
      <c r="N144" s="1461"/>
    </row>
    <row r="145" spans="2:14">
      <c r="B145" s="1448" t="s">
        <v>221</v>
      </c>
      <c r="C145" s="1448">
        <v>1</v>
      </c>
      <c r="D145" s="1448" t="s">
        <v>222</v>
      </c>
      <c r="E145" s="30">
        <v>30175108</v>
      </c>
      <c r="F145" s="31" t="s">
        <v>223</v>
      </c>
      <c r="G145" s="1449" t="s">
        <v>223</v>
      </c>
      <c r="H145" s="73">
        <v>30166721</v>
      </c>
      <c r="I145" s="66">
        <v>22900</v>
      </c>
      <c r="J145" s="64">
        <v>0.15</v>
      </c>
      <c r="K145" s="1448">
        <v>5</v>
      </c>
      <c r="L145" s="1517">
        <f t="shared" si="0"/>
        <v>114500</v>
      </c>
      <c r="M145" s="1586" t="s">
        <v>224</v>
      </c>
      <c r="N145" s="1461">
        <v>20241230858</v>
      </c>
    </row>
    <row r="146" spans="2:14">
      <c r="B146" s="1448"/>
      <c r="C146" s="1448"/>
      <c r="D146" s="1448"/>
      <c r="E146" s="30">
        <v>30175115</v>
      </c>
      <c r="F146" s="31" t="s">
        <v>225</v>
      </c>
      <c r="G146" s="1449"/>
      <c r="H146" s="73">
        <v>30166722</v>
      </c>
      <c r="I146" s="66">
        <v>39900</v>
      </c>
      <c r="J146" s="64">
        <v>0.15</v>
      </c>
      <c r="K146" s="1448"/>
      <c r="L146" s="1517">
        <f t="shared" si="0"/>
        <v>0</v>
      </c>
      <c r="M146" s="1586"/>
      <c r="N146" s="1461"/>
    </row>
    <row r="147" spans="2:14">
      <c r="B147" s="1448"/>
      <c r="C147" s="1448">
        <v>2</v>
      </c>
      <c r="D147" s="1448" t="s">
        <v>226</v>
      </c>
      <c r="E147" s="30">
        <v>73210053</v>
      </c>
      <c r="F147" s="31" t="s">
        <v>227</v>
      </c>
      <c r="G147" s="1449" t="s">
        <v>227</v>
      </c>
      <c r="H147" s="73">
        <v>30214214</v>
      </c>
      <c r="I147" s="66">
        <v>16900</v>
      </c>
      <c r="J147" s="64">
        <v>0.15</v>
      </c>
      <c r="K147" s="1448">
        <v>5</v>
      </c>
      <c r="L147" s="1450">
        <f t="shared" si="0"/>
        <v>84500</v>
      </c>
      <c r="M147" s="1784" t="s">
        <v>228</v>
      </c>
      <c r="N147" s="1446">
        <v>20241230859</v>
      </c>
    </row>
    <row r="148" spans="2:14">
      <c r="B148" s="1448"/>
      <c r="C148" s="1448"/>
      <c r="D148" s="1448"/>
      <c r="E148" s="30">
        <v>73210052</v>
      </c>
      <c r="F148" s="31" t="s">
        <v>229</v>
      </c>
      <c r="G148" s="1449"/>
      <c r="H148" s="73">
        <v>30214229</v>
      </c>
      <c r="I148" s="66">
        <v>23900</v>
      </c>
      <c r="J148" s="64">
        <v>0.15</v>
      </c>
      <c r="K148" s="1448"/>
      <c r="L148" s="1450">
        <f t="shared" si="0"/>
        <v>0</v>
      </c>
      <c r="M148" s="1784"/>
      <c r="N148" s="1446"/>
    </row>
    <row r="149" spans="2:14">
      <c r="B149" s="1448"/>
      <c r="C149" s="1448"/>
      <c r="D149" s="1448"/>
      <c r="E149" s="30">
        <v>73210050</v>
      </c>
      <c r="F149" s="31" t="s">
        <v>230</v>
      </c>
      <c r="G149" s="1449"/>
      <c r="H149" s="73">
        <v>30214230</v>
      </c>
      <c r="I149" s="66">
        <v>39900</v>
      </c>
      <c r="J149" s="64">
        <v>0.15</v>
      </c>
      <c r="K149" s="1448"/>
      <c r="L149" s="1450">
        <f t="shared" si="0"/>
        <v>0</v>
      </c>
      <c r="M149" s="1784"/>
      <c r="N149" s="1446"/>
    </row>
    <row r="150" spans="2:14">
      <c r="B150" s="1448"/>
      <c r="C150" s="29">
        <v>3</v>
      </c>
      <c r="D150" s="29" t="s">
        <v>231</v>
      </c>
      <c r="E150" s="30">
        <v>47864698</v>
      </c>
      <c r="F150" s="31" t="s">
        <v>232</v>
      </c>
      <c r="G150" s="70" t="s">
        <v>232</v>
      </c>
      <c r="H150" s="73">
        <v>30214232</v>
      </c>
      <c r="I150" s="66">
        <v>23900</v>
      </c>
      <c r="J150" s="64">
        <v>0.17</v>
      </c>
      <c r="K150" s="29">
        <v>5</v>
      </c>
      <c r="L150" s="67">
        <f t="shared" si="0"/>
        <v>119500</v>
      </c>
      <c r="M150" s="68" t="s">
        <v>233</v>
      </c>
      <c r="N150" s="69">
        <v>20241230860</v>
      </c>
    </row>
    <row r="151" spans="2:14">
      <c r="B151" s="1448"/>
      <c r="C151" s="1448">
        <v>4</v>
      </c>
      <c r="D151" s="1448" t="s">
        <v>234</v>
      </c>
      <c r="E151" s="30">
        <v>30176141</v>
      </c>
      <c r="F151" s="31" t="s">
        <v>235</v>
      </c>
      <c r="G151" s="1449" t="s">
        <v>235</v>
      </c>
      <c r="H151" s="73">
        <v>30176141</v>
      </c>
      <c r="I151" s="66">
        <v>8900</v>
      </c>
      <c r="J151" s="64">
        <v>0.17</v>
      </c>
      <c r="K151" s="1448">
        <v>5</v>
      </c>
      <c r="L151" s="1450">
        <f t="shared" si="0"/>
        <v>44500</v>
      </c>
      <c r="M151" s="1586" t="s">
        <v>236</v>
      </c>
      <c r="N151" s="1445">
        <v>20241230861</v>
      </c>
    </row>
    <row r="152" spans="2:14">
      <c r="B152" s="1448"/>
      <c r="C152" s="1448"/>
      <c r="D152" s="1448"/>
      <c r="E152" s="30">
        <v>30154257</v>
      </c>
      <c r="F152" s="31" t="s">
        <v>237</v>
      </c>
      <c r="G152" s="1449"/>
      <c r="H152" s="73">
        <v>30154257</v>
      </c>
      <c r="I152" s="66">
        <v>19900</v>
      </c>
      <c r="J152" s="64">
        <v>0.17</v>
      </c>
      <c r="K152" s="1448"/>
      <c r="L152" s="1450">
        <f t="shared" si="0"/>
        <v>0</v>
      </c>
      <c r="M152" s="1586"/>
      <c r="N152" s="1445"/>
    </row>
    <row r="153" spans="2:14">
      <c r="B153" s="1448"/>
      <c r="C153" s="1448"/>
      <c r="D153" s="1448"/>
      <c r="E153" s="30">
        <v>55188757</v>
      </c>
      <c r="F153" s="31" t="s">
        <v>238</v>
      </c>
      <c r="G153" s="1449"/>
      <c r="H153" s="73">
        <v>30210116</v>
      </c>
      <c r="I153" s="66">
        <v>36900</v>
      </c>
      <c r="J153" s="64">
        <v>0.17</v>
      </c>
      <c r="K153" s="1448"/>
      <c r="L153" s="1450">
        <f t="shared" si="0"/>
        <v>0</v>
      </c>
      <c r="M153" s="1586"/>
      <c r="N153" s="1445"/>
    </row>
    <row r="154" spans="2:14">
      <c r="B154" s="1448"/>
      <c r="C154" s="1448">
        <v>5</v>
      </c>
      <c r="D154" s="1448" t="s">
        <v>239</v>
      </c>
      <c r="E154" s="30">
        <v>54986280</v>
      </c>
      <c r="F154" s="31" t="s">
        <v>240</v>
      </c>
      <c r="G154" s="1449" t="s">
        <v>240</v>
      </c>
      <c r="H154" s="30">
        <v>30154246</v>
      </c>
      <c r="I154" s="66">
        <v>19900</v>
      </c>
      <c r="J154" s="64">
        <v>0.15</v>
      </c>
      <c r="K154" s="1448">
        <v>5</v>
      </c>
      <c r="L154" s="1450">
        <f t="shared" si="0"/>
        <v>99500</v>
      </c>
      <c r="M154" s="1586" t="s">
        <v>241</v>
      </c>
      <c r="N154" s="1445">
        <v>20241226810</v>
      </c>
    </row>
    <row r="155" spans="2:14">
      <c r="B155" s="1448"/>
      <c r="C155" s="1448"/>
      <c r="D155" s="1448"/>
      <c r="E155" s="30">
        <v>54986395</v>
      </c>
      <c r="F155" s="31" t="s">
        <v>242</v>
      </c>
      <c r="G155" s="1449"/>
      <c r="H155" s="30">
        <v>30154250</v>
      </c>
      <c r="I155" s="66">
        <v>22900</v>
      </c>
      <c r="J155" s="64">
        <v>0.15</v>
      </c>
      <c r="K155" s="1448"/>
      <c r="L155" s="1450">
        <f t="shared" si="0"/>
        <v>0</v>
      </c>
      <c r="M155" s="1586"/>
      <c r="N155" s="1445"/>
    </row>
    <row r="156" spans="2:14">
      <c r="B156" s="1448"/>
      <c r="C156" s="1448"/>
      <c r="D156" s="1448"/>
      <c r="E156" s="30">
        <v>59125493</v>
      </c>
      <c r="F156" s="30" t="s">
        <v>243</v>
      </c>
      <c r="G156" s="1449"/>
      <c r="H156" s="30">
        <v>30169838</v>
      </c>
      <c r="I156" s="66">
        <v>21500</v>
      </c>
      <c r="J156" s="64">
        <v>0.15</v>
      </c>
      <c r="K156" s="1448"/>
      <c r="L156" s="1450">
        <f t="shared" si="0"/>
        <v>0</v>
      </c>
      <c r="M156" s="1586"/>
      <c r="N156" s="1445"/>
    </row>
    <row r="157" spans="2:14">
      <c r="B157" s="1448"/>
      <c r="C157" s="1448">
        <v>6</v>
      </c>
      <c r="D157" s="1448" t="s">
        <v>239</v>
      </c>
      <c r="E157" s="30">
        <v>55021813</v>
      </c>
      <c r="F157" s="31" t="s">
        <v>244</v>
      </c>
      <c r="G157" s="1449" t="s">
        <v>244</v>
      </c>
      <c r="H157" s="30">
        <v>30157185</v>
      </c>
      <c r="I157" s="66">
        <v>17900</v>
      </c>
      <c r="J157" s="64">
        <v>0.15</v>
      </c>
      <c r="K157" s="1448">
        <v>5</v>
      </c>
      <c r="L157" s="1450">
        <f t="shared" si="0"/>
        <v>89500</v>
      </c>
      <c r="M157" s="1586" t="s">
        <v>245</v>
      </c>
      <c r="N157" s="1445">
        <v>20241226811</v>
      </c>
    </row>
    <row r="158" spans="2:14">
      <c r="B158" s="1448"/>
      <c r="C158" s="1448"/>
      <c r="D158" s="1448"/>
      <c r="E158" s="30">
        <v>69232236</v>
      </c>
      <c r="F158" s="31" t="s">
        <v>246</v>
      </c>
      <c r="G158" s="1449"/>
      <c r="H158" s="30">
        <v>30214242</v>
      </c>
      <c r="I158" s="66">
        <v>17900</v>
      </c>
      <c r="J158" s="64">
        <v>0.15</v>
      </c>
      <c r="K158" s="1448"/>
      <c r="L158" s="1450">
        <f t="shared" si="0"/>
        <v>0</v>
      </c>
      <c r="M158" s="1586"/>
      <c r="N158" s="1445"/>
    </row>
    <row r="159" spans="2:14">
      <c r="B159" s="1448"/>
      <c r="C159" s="1448"/>
      <c r="D159" s="1448"/>
      <c r="E159" s="30">
        <v>60062259</v>
      </c>
      <c r="F159" s="31" t="s">
        <v>247</v>
      </c>
      <c r="G159" s="1449"/>
      <c r="H159" s="30">
        <v>30178842</v>
      </c>
      <c r="I159" s="66">
        <v>35900</v>
      </c>
      <c r="J159" s="64">
        <v>0.15</v>
      </c>
      <c r="K159" s="1448"/>
      <c r="L159" s="1450">
        <f t="shared" si="0"/>
        <v>0</v>
      </c>
      <c r="M159" s="1586"/>
      <c r="N159" s="1445"/>
    </row>
    <row r="160" spans="2:14" ht="16.5" customHeight="1">
      <c r="B160" s="1448"/>
      <c r="C160" s="1448">
        <v>7</v>
      </c>
      <c r="D160" s="1528" t="s">
        <v>248</v>
      </c>
      <c r="E160" s="30">
        <v>30213227</v>
      </c>
      <c r="F160" s="31" t="s">
        <v>249</v>
      </c>
      <c r="G160" s="1528" t="s">
        <v>249</v>
      </c>
      <c r="H160" s="30">
        <v>30214243</v>
      </c>
      <c r="I160" s="66">
        <v>23900</v>
      </c>
      <c r="J160" s="64">
        <v>0.15</v>
      </c>
      <c r="K160" s="1528">
        <v>5</v>
      </c>
      <c r="L160" s="1783">
        <f t="shared" si="0"/>
        <v>119500</v>
      </c>
      <c r="M160" s="1783" t="s">
        <v>250</v>
      </c>
      <c r="N160" s="1445">
        <v>20241226812</v>
      </c>
    </row>
    <row r="161" spans="2:14">
      <c r="B161" s="1448"/>
      <c r="C161" s="1448"/>
      <c r="D161" s="1528"/>
      <c r="E161" s="30">
        <v>30213235</v>
      </c>
      <c r="F161" s="31" t="s">
        <v>251</v>
      </c>
      <c r="G161" s="1528"/>
      <c r="H161" s="30">
        <v>30214244</v>
      </c>
      <c r="I161" s="66">
        <v>68900</v>
      </c>
      <c r="J161" s="64">
        <v>0.15</v>
      </c>
      <c r="K161" s="1528"/>
      <c r="L161" s="1783">
        <f t="shared" si="0"/>
        <v>0</v>
      </c>
      <c r="M161" s="1783" t="s">
        <v>252</v>
      </c>
      <c r="N161" s="1445"/>
    </row>
    <row r="162" spans="2:14">
      <c r="B162" s="1448"/>
      <c r="C162" s="1448"/>
      <c r="D162" s="1528"/>
      <c r="E162" s="30">
        <v>30189617</v>
      </c>
      <c r="F162" s="31" t="s">
        <v>253</v>
      </c>
      <c r="G162" s="1528"/>
      <c r="H162" s="30">
        <v>30193642</v>
      </c>
      <c r="I162" s="66">
        <v>13900</v>
      </c>
      <c r="J162" s="64">
        <v>0.15</v>
      </c>
      <c r="K162" s="1528"/>
      <c r="L162" s="1783">
        <f t="shared" si="0"/>
        <v>0</v>
      </c>
      <c r="M162" s="1783" t="s">
        <v>252</v>
      </c>
      <c r="N162" s="1445"/>
    </row>
    <row r="163" spans="2:14">
      <c r="B163" s="1448"/>
      <c r="C163" s="1448"/>
      <c r="D163" s="1528"/>
      <c r="E163" s="30">
        <v>30191446</v>
      </c>
      <c r="F163" s="31" t="s">
        <v>254</v>
      </c>
      <c r="G163" s="1528"/>
      <c r="H163" s="30">
        <v>30214245</v>
      </c>
      <c r="I163" s="66">
        <v>37900</v>
      </c>
      <c r="J163" s="64">
        <v>0.15</v>
      </c>
      <c r="K163" s="1528"/>
      <c r="L163" s="1783">
        <f t="shared" si="0"/>
        <v>0</v>
      </c>
      <c r="M163" s="1783" t="s">
        <v>252</v>
      </c>
      <c r="N163" s="1445"/>
    </row>
    <row r="164" spans="2:14">
      <c r="B164" s="1448"/>
      <c r="C164" s="1448"/>
      <c r="D164" s="1528"/>
      <c r="E164" s="30">
        <v>30209016</v>
      </c>
      <c r="F164" s="31" t="s">
        <v>255</v>
      </c>
      <c r="G164" s="1528"/>
      <c r="H164" s="30">
        <v>30210117</v>
      </c>
      <c r="I164" s="66">
        <v>20900</v>
      </c>
      <c r="J164" s="64">
        <v>0.15</v>
      </c>
      <c r="K164" s="1528"/>
      <c r="L164" s="1783">
        <f t="shared" si="0"/>
        <v>0</v>
      </c>
      <c r="M164" s="1783" t="s">
        <v>252</v>
      </c>
      <c r="N164" s="1445"/>
    </row>
    <row r="165" spans="2:14">
      <c r="B165" s="1448"/>
      <c r="C165" s="1448"/>
      <c r="D165" s="1528"/>
      <c r="E165" s="30">
        <v>30209020</v>
      </c>
      <c r="F165" s="31" t="s">
        <v>256</v>
      </c>
      <c r="G165" s="1528"/>
      <c r="H165" s="30">
        <v>30210119</v>
      </c>
      <c r="I165" s="66">
        <v>60600</v>
      </c>
      <c r="J165" s="64">
        <v>0.15</v>
      </c>
      <c r="K165" s="1528"/>
      <c r="L165" s="1783">
        <f t="shared" si="0"/>
        <v>0</v>
      </c>
      <c r="M165" s="1783" t="s">
        <v>252</v>
      </c>
      <c r="N165" s="1445"/>
    </row>
    <row r="166" spans="2:14" ht="16.5" customHeight="1">
      <c r="B166" s="1448"/>
      <c r="C166" s="1448">
        <v>8</v>
      </c>
      <c r="D166" s="1528" t="s">
        <v>257</v>
      </c>
      <c r="E166" s="30">
        <v>30171699</v>
      </c>
      <c r="F166" s="31" t="s">
        <v>258</v>
      </c>
      <c r="G166" s="1528" t="s">
        <v>258</v>
      </c>
      <c r="H166" s="30">
        <v>30172295</v>
      </c>
      <c r="I166" s="66">
        <v>12900</v>
      </c>
      <c r="J166" s="64">
        <v>0.15</v>
      </c>
      <c r="K166" s="1528">
        <v>5</v>
      </c>
      <c r="L166" s="1783">
        <f t="shared" si="0"/>
        <v>64500</v>
      </c>
      <c r="M166" s="1783" t="s">
        <v>259</v>
      </c>
      <c r="N166" s="1445">
        <v>20241226813</v>
      </c>
    </row>
    <row r="167" spans="2:14">
      <c r="B167" s="1448"/>
      <c r="C167" s="1448"/>
      <c r="D167" s="1528"/>
      <c r="E167" s="30">
        <v>30171703</v>
      </c>
      <c r="F167" s="31" t="s">
        <v>260</v>
      </c>
      <c r="G167" s="1528"/>
      <c r="H167" s="30">
        <v>30172296</v>
      </c>
      <c r="I167" s="66">
        <v>12900</v>
      </c>
      <c r="J167" s="64">
        <v>0.15</v>
      </c>
      <c r="K167" s="1528"/>
      <c r="L167" s="1783">
        <f t="shared" si="0"/>
        <v>0</v>
      </c>
      <c r="M167" s="1783" t="s">
        <v>252</v>
      </c>
      <c r="N167" s="1445"/>
    </row>
    <row r="168" spans="2:14">
      <c r="B168" s="1448"/>
      <c r="C168" s="1448"/>
      <c r="D168" s="1528"/>
      <c r="E168" s="30">
        <v>30171694</v>
      </c>
      <c r="F168" s="31" t="s">
        <v>261</v>
      </c>
      <c r="G168" s="1528"/>
      <c r="H168" s="30">
        <v>30172289</v>
      </c>
      <c r="I168" s="66">
        <v>13500</v>
      </c>
      <c r="J168" s="64">
        <v>0.15</v>
      </c>
      <c r="K168" s="1528"/>
      <c r="L168" s="1783">
        <f t="shared" si="0"/>
        <v>0</v>
      </c>
      <c r="M168" s="1783" t="s">
        <v>252</v>
      </c>
      <c r="N168" s="1445"/>
    </row>
    <row r="169" spans="2:14">
      <c r="B169" s="1448"/>
      <c r="C169" s="1448"/>
      <c r="D169" s="1528"/>
      <c r="E169" s="30">
        <v>30171697</v>
      </c>
      <c r="F169" s="31" t="s">
        <v>262</v>
      </c>
      <c r="G169" s="1528"/>
      <c r="H169" s="30">
        <v>30172290</v>
      </c>
      <c r="I169" s="66">
        <v>16900</v>
      </c>
      <c r="J169" s="64">
        <v>0.15</v>
      </c>
      <c r="K169" s="1528"/>
      <c r="L169" s="1783">
        <f t="shared" si="0"/>
        <v>0</v>
      </c>
      <c r="M169" s="1783" t="s">
        <v>252</v>
      </c>
      <c r="N169" s="1445"/>
    </row>
    <row r="170" spans="2:14">
      <c r="B170" s="1448"/>
      <c r="C170" s="1448"/>
      <c r="D170" s="1528"/>
      <c r="E170" s="30">
        <v>30175703</v>
      </c>
      <c r="F170" s="31" t="s">
        <v>263</v>
      </c>
      <c r="G170" s="1528"/>
      <c r="H170" s="30">
        <v>30176294</v>
      </c>
      <c r="I170" s="66">
        <v>17900</v>
      </c>
      <c r="J170" s="64">
        <v>0.15</v>
      </c>
      <c r="K170" s="1528"/>
      <c r="L170" s="1783">
        <f t="shared" si="0"/>
        <v>0</v>
      </c>
      <c r="M170" s="1783" t="s">
        <v>252</v>
      </c>
      <c r="N170" s="1445"/>
    </row>
    <row r="171" spans="2:14">
      <c r="B171" s="1777" t="s">
        <v>264</v>
      </c>
      <c r="C171" s="1777">
        <v>1</v>
      </c>
      <c r="D171" s="1606" t="s">
        <v>265</v>
      </c>
      <c r="E171" s="74">
        <v>71394672</v>
      </c>
      <c r="F171" s="74" t="s">
        <v>266</v>
      </c>
      <c r="G171" s="1778" t="s">
        <v>267</v>
      </c>
      <c r="H171" s="74">
        <v>30209889</v>
      </c>
      <c r="I171" s="77">
        <v>7500</v>
      </c>
      <c r="J171" s="78">
        <v>0.1</v>
      </c>
      <c r="K171" s="74">
        <v>5</v>
      </c>
      <c r="L171" s="77">
        <v>37500</v>
      </c>
      <c r="M171" s="1778" t="s">
        <v>268</v>
      </c>
      <c r="N171" s="1445">
        <v>20241226814</v>
      </c>
    </row>
    <row r="172" spans="2:14">
      <c r="B172" s="1777"/>
      <c r="C172" s="1777"/>
      <c r="D172" s="1606"/>
      <c r="E172" s="74">
        <v>66284264</v>
      </c>
      <c r="F172" s="74" t="s">
        <v>269</v>
      </c>
      <c r="G172" s="1778"/>
      <c r="H172" s="74">
        <v>30205451</v>
      </c>
      <c r="I172" s="77">
        <v>25900</v>
      </c>
      <c r="J172" s="78">
        <v>0.1</v>
      </c>
      <c r="K172" s="74">
        <v>5</v>
      </c>
      <c r="L172" s="77">
        <v>129500</v>
      </c>
      <c r="M172" s="1778"/>
      <c r="N172" s="1445"/>
    </row>
    <row r="173" spans="2:14">
      <c r="B173" s="1777"/>
      <c r="C173" s="1777"/>
      <c r="D173" s="1606"/>
      <c r="E173" s="74">
        <v>71007345</v>
      </c>
      <c r="F173" s="74" t="s">
        <v>270</v>
      </c>
      <c r="G173" s="1778"/>
      <c r="H173" s="74">
        <v>30206716</v>
      </c>
      <c r="I173" s="77">
        <v>10900</v>
      </c>
      <c r="J173" s="78">
        <v>0.1</v>
      </c>
      <c r="K173" s="74">
        <v>5</v>
      </c>
      <c r="L173" s="77">
        <v>54500</v>
      </c>
      <c r="M173" s="1778"/>
      <c r="N173" s="1445"/>
    </row>
    <row r="174" spans="2:14">
      <c r="B174" s="1777"/>
      <c r="C174" s="1777"/>
      <c r="D174" s="1606"/>
      <c r="E174" s="74">
        <v>70794379</v>
      </c>
      <c r="F174" s="74" t="s">
        <v>271</v>
      </c>
      <c r="G174" s="1778"/>
      <c r="H174" s="74">
        <v>30206715</v>
      </c>
      <c r="I174" s="77">
        <v>8900</v>
      </c>
      <c r="J174" s="78">
        <v>0.1</v>
      </c>
      <c r="K174" s="74">
        <v>5</v>
      </c>
      <c r="L174" s="77">
        <v>44500</v>
      </c>
      <c r="M174" s="1778"/>
      <c r="N174" s="1445"/>
    </row>
    <row r="175" spans="2:14">
      <c r="B175" s="1777"/>
      <c r="C175" s="1777"/>
      <c r="D175" s="1606"/>
      <c r="E175" s="74">
        <v>72880682</v>
      </c>
      <c r="F175" s="74" t="s">
        <v>272</v>
      </c>
      <c r="G175" s="1778"/>
      <c r="H175" s="74">
        <v>30213951</v>
      </c>
      <c r="I175" s="77">
        <v>22900</v>
      </c>
      <c r="J175" s="78">
        <v>0.1</v>
      </c>
      <c r="K175" s="74">
        <v>5</v>
      </c>
      <c r="L175" s="77">
        <v>114500</v>
      </c>
      <c r="M175" s="1778"/>
      <c r="N175" s="1445"/>
    </row>
    <row r="176" spans="2:14">
      <c r="B176" s="1777"/>
      <c r="C176" s="1777">
        <v>2</v>
      </c>
      <c r="D176" s="1606" t="s">
        <v>273</v>
      </c>
      <c r="E176" s="79">
        <v>30150437</v>
      </c>
      <c r="F176" s="79" t="s">
        <v>274</v>
      </c>
      <c r="G176" s="1782" t="s">
        <v>275</v>
      </c>
      <c r="H176" s="74">
        <v>30158588</v>
      </c>
      <c r="I176" s="77">
        <v>9900</v>
      </c>
      <c r="J176" s="78">
        <v>0.15</v>
      </c>
      <c r="K176" s="74">
        <v>5</v>
      </c>
      <c r="L176" s="77">
        <v>49500</v>
      </c>
      <c r="M176" s="1780" t="s">
        <v>276</v>
      </c>
      <c r="N176" s="1445">
        <v>20241226815</v>
      </c>
    </row>
    <row r="177" spans="2:14">
      <c r="B177" s="1777"/>
      <c r="C177" s="1777"/>
      <c r="D177" s="1606"/>
      <c r="E177" s="79">
        <v>30150377</v>
      </c>
      <c r="F177" s="79" t="s">
        <v>277</v>
      </c>
      <c r="G177" s="1782"/>
      <c r="H177" s="74">
        <v>30161319</v>
      </c>
      <c r="I177" s="77">
        <v>12900</v>
      </c>
      <c r="J177" s="78">
        <v>0.15</v>
      </c>
      <c r="K177" s="74">
        <v>5</v>
      </c>
      <c r="L177" s="77">
        <v>64500</v>
      </c>
      <c r="M177" s="1780"/>
      <c r="N177" s="1445"/>
    </row>
    <row r="178" spans="2:14">
      <c r="B178" s="1777"/>
      <c r="C178" s="1777"/>
      <c r="D178" s="1606"/>
      <c r="E178" s="79">
        <v>30213103</v>
      </c>
      <c r="F178" s="79" t="s">
        <v>278</v>
      </c>
      <c r="G178" s="1782"/>
      <c r="H178" s="74">
        <v>30213956</v>
      </c>
      <c r="I178" s="77">
        <v>12900</v>
      </c>
      <c r="J178" s="78">
        <v>0.15</v>
      </c>
      <c r="K178" s="74">
        <v>5</v>
      </c>
      <c r="L178" s="77">
        <v>64500</v>
      </c>
      <c r="M178" s="1780"/>
      <c r="N178" s="1445"/>
    </row>
    <row r="179" spans="2:14">
      <c r="B179" s="1777"/>
      <c r="C179" s="1777"/>
      <c r="D179" s="1606"/>
      <c r="E179" s="79">
        <v>30159871</v>
      </c>
      <c r="F179" s="79" t="s">
        <v>279</v>
      </c>
      <c r="G179" s="1782"/>
      <c r="H179" s="74">
        <v>30165766</v>
      </c>
      <c r="I179" s="77">
        <v>12900</v>
      </c>
      <c r="J179" s="78">
        <v>0.15</v>
      </c>
      <c r="K179" s="74">
        <v>5</v>
      </c>
      <c r="L179" s="77">
        <v>64500</v>
      </c>
      <c r="M179" s="1780"/>
      <c r="N179" s="1445"/>
    </row>
    <row r="180" spans="2:14">
      <c r="B180" s="1777"/>
      <c r="C180" s="1777"/>
      <c r="D180" s="1606"/>
      <c r="E180" s="79">
        <v>30159855</v>
      </c>
      <c r="F180" s="79" t="s">
        <v>280</v>
      </c>
      <c r="G180" s="1782"/>
      <c r="H180" s="74">
        <v>30165770</v>
      </c>
      <c r="I180" s="77">
        <v>15900</v>
      </c>
      <c r="J180" s="78">
        <v>0.15</v>
      </c>
      <c r="K180" s="74">
        <v>5</v>
      </c>
      <c r="L180" s="77">
        <v>79500</v>
      </c>
      <c r="M180" s="1780"/>
      <c r="N180" s="1445"/>
    </row>
    <row r="181" spans="2:14" ht="16.5" customHeight="1">
      <c r="B181" s="1777"/>
      <c r="C181" s="1777">
        <v>3</v>
      </c>
      <c r="D181" s="1606" t="s">
        <v>281</v>
      </c>
      <c r="E181" s="81">
        <v>73894582</v>
      </c>
      <c r="F181" s="80" t="s">
        <v>282</v>
      </c>
      <c r="G181" s="1778" t="s">
        <v>283</v>
      </c>
      <c r="H181" s="82">
        <v>30213957</v>
      </c>
      <c r="I181" s="83">
        <v>15900</v>
      </c>
      <c r="J181" s="78">
        <v>0.08</v>
      </c>
      <c r="K181" s="74">
        <v>5</v>
      </c>
      <c r="L181" s="77">
        <v>79500</v>
      </c>
      <c r="M181" s="1781" t="s">
        <v>284</v>
      </c>
      <c r="N181" s="1445">
        <v>20241226816</v>
      </c>
    </row>
    <row r="182" spans="2:14">
      <c r="B182" s="1777"/>
      <c r="C182" s="1777"/>
      <c r="D182" s="1606"/>
      <c r="E182" s="81">
        <v>73894573</v>
      </c>
      <c r="F182" s="80" t="s">
        <v>285</v>
      </c>
      <c r="G182" s="1778"/>
      <c r="H182" s="82">
        <v>30213960</v>
      </c>
      <c r="I182" s="83">
        <v>15900</v>
      </c>
      <c r="J182" s="78">
        <v>0.08</v>
      </c>
      <c r="K182" s="74">
        <v>5</v>
      </c>
      <c r="L182" s="77">
        <v>79500</v>
      </c>
      <c r="M182" s="1781"/>
      <c r="N182" s="1445"/>
    </row>
    <row r="183" spans="2:14">
      <c r="B183" s="1777"/>
      <c r="C183" s="1777">
        <v>4</v>
      </c>
      <c r="D183" s="1606" t="s">
        <v>286</v>
      </c>
      <c r="E183" s="84">
        <v>30211935</v>
      </c>
      <c r="F183" s="79" t="s">
        <v>287</v>
      </c>
      <c r="G183" s="1778" t="s">
        <v>288</v>
      </c>
      <c r="H183" s="74">
        <v>30210944</v>
      </c>
      <c r="I183" s="77">
        <v>14300</v>
      </c>
      <c r="J183" s="78">
        <v>0.13</v>
      </c>
      <c r="K183" s="74">
        <v>5</v>
      </c>
      <c r="L183" s="77">
        <v>71500</v>
      </c>
      <c r="M183" s="1777" t="s">
        <v>289</v>
      </c>
      <c r="N183" s="1445">
        <v>20241226817</v>
      </c>
    </row>
    <row r="184" spans="2:14">
      <c r="B184" s="1777"/>
      <c r="C184" s="1777"/>
      <c r="D184" s="1606"/>
      <c r="E184" s="84">
        <v>30202366</v>
      </c>
      <c r="F184" s="79" t="s">
        <v>290</v>
      </c>
      <c r="G184" s="1778"/>
      <c r="H184" s="74">
        <v>30203311</v>
      </c>
      <c r="I184" s="77">
        <v>19900</v>
      </c>
      <c r="J184" s="78">
        <v>0.13</v>
      </c>
      <c r="K184" s="74">
        <v>5</v>
      </c>
      <c r="L184" s="77">
        <v>99500</v>
      </c>
      <c r="M184" s="1777"/>
      <c r="N184" s="1445"/>
    </row>
    <row r="185" spans="2:14">
      <c r="B185" s="1777"/>
      <c r="C185" s="1777"/>
      <c r="D185" s="1606"/>
      <c r="E185" s="84">
        <v>30203660</v>
      </c>
      <c r="F185" s="79" t="s">
        <v>291</v>
      </c>
      <c r="G185" s="1778"/>
      <c r="H185" s="74">
        <v>30160356</v>
      </c>
      <c r="I185" s="77">
        <v>59900</v>
      </c>
      <c r="J185" s="78">
        <v>0.13</v>
      </c>
      <c r="K185" s="74">
        <v>5</v>
      </c>
      <c r="L185" s="77">
        <v>299500</v>
      </c>
      <c r="M185" s="1777"/>
      <c r="N185" s="1445"/>
    </row>
    <row r="186" spans="2:14">
      <c r="B186" s="1777"/>
      <c r="C186" s="1777"/>
      <c r="D186" s="1606"/>
      <c r="E186" s="79">
        <v>30164117</v>
      </c>
      <c r="F186" s="84" t="s">
        <v>292</v>
      </c>
      <c r="G186" s="1778"/>
      <c r="H186" s="74">
        <v>30161455</v>
      </c>
      <c r="I186" s="77">
        <v>19900</v>
      </c>
      <c r="J186" s="78">
        <v>0.13</v>
      </c>
      <c r="K186" s="74">
        <v>5</v>
      </c>
      <c r="L186" s="77">
        <v>99500</v>
      </c>
      <c r="M186" s="1777"/>
      <c r="N186" s="1445"/>
    </row>
    <row r="187" spans="2:14">
      <c r="B187" s="1777"/>
      <c r="C187" s="1777"/>
      <c r="D187" s="1606"/>
      <c r="E187" s="79">
        <v>71123621</v>
      </c>
      <c r="F187" s="84" t="s">
        <v>293</v>
      </c>
      <c r="G187" s="1778"/>
      <c r="H187" s="74">
        <v>30208323</v>
      </c>
      <c r="I187" s="77">
        <v>19900</v>
      </c>
      <c r="J187" s="78">
        <v>0.13</v>
      </c>
      <c r="K187" s="74">
        <v>5</v>
      </c>
      <c r="L187" s="77">
        <v>99500</v>
      </c>
      <c r="M187" s="1777"/>
      <c r="N187" s="1445"/>
    </row>
    <row r="188" spans="2:14">
      <c r="B188" s="1777"/>
      <c r="C188" s="1777"/>
      <c r="D188" s="1606"/>
      <c r="E188" s="79">
        <v>57331594</v>
      </c>
      <c r="F188" s="79" t="s">
        <v>294</v>
      </c>
      <c r="G188" s="1778"/>
      <c r="H188" s="74">
        <v>30213965</v>
      </c>
      <c r="I188" s="77">
        <v>26000</v>
      </c>
      <c r="J188" s="78">
        <v>0.13</v>
      </c>
      <c r="K188" s="74">
        <v>5</v>
      </c>
      <c r="L188" s="77">
        <v>130000</v>
      </c>
      <c r="M188" s="1777"/>
      <c r="N188" s="1445"/>
    </row>
    <row r="189" spans="2:14">
      <c r="B189" s="1777"/>
      <c r="C189" s="1777"/>
      <c r="D189" s="1606"/>
      <c r="E189" s="79">
        <v>30206692</v>
      </c>
      <c r="F189" s="79" t="s">
        <v>295</v>
      </c>
      <c r="G189" s="1778"/>
      <c r="H189" s="74">
        <v>30207274</v>
      </c>
      <c r="I189" s="77">
        <v>36900</v>
      </c>
      <c r="J189" s="78">
        <v>0.13</v>
      </c>
      <c r="K189" s="74">
        <v>5</v>
      </c>
      <c r="L189" s="77">
        <v>184500</v>
      </c>
      <c r="M189" s="1777"/>
      <c r="N189" s="1445"/>
    </row>
    <row r="190" spans="2:14">
      <c r="B190" s="1777"/>
      <c r="C190" s="1777"/>
      <c r="D190" s="1606"/>
      <c r="E190" s="85">
        <v>30205340</v>
      </c>
      <c r="F190" s="79" t="s">
        <v>296</v>
      </c>
      <c r="G190" s="1778"/>
      <c r="H190" s="74">
        <v>30208326</v>
      </c>
      <c r="I190" s="77">
        <v>26900</v>
      </c>
      <c r="J190" s="78">
        <v>0.13</v>
      </c>
      <c r="K190" s="74">
        <v>5</v>
      </c>
      <c r="L190" s="77">
        <v>134500</v>
      </c>
      <c r="M190" s="1777"/>
      <c r="N190" s="1445"/>
    </row>
    <row r="191" spans="2:14">
      <c r="B191" s="1777"/>
      <c r="C191" s="1777"/>
      <c r="D191" s="1606"/>
      <c r="E191" s="79">
        <v>72598519</v>
      </c>
      <c r="F191" s="79" t="s">
        <v>297</v>
      </c>
      <c r="G191" s="1778"/>
      <c r="H191" s="74">
        <v>30211954</v>
      </c>
      <c r="I191" s="77">
        <v>29900</v>
      </c>
      <c r="J191" s="78">
        <v>0.13</v>
      </c>
      <c r="K191" s="74">
        <v>5</v>
      </c>
      <c r="L191" s="77">
        <v>149500</v>
      </c>
      <c r="M191" s="1777"/>
      <c r="N191" s="1445"/>
    </row>
    <row r="192" spans="2:14">
      <c r="B192" s="1777"/>
      <c r="C192" s="1777"/>
      <c r="D192" s="1606"/>
      <c r="E192" s="79">
        <v>73356528</v>
      </c>
      <c r="F192" s="79" t="s">
        <v>298</v>
      </c>
      <c r="G192" s="1778"/>
      <c r="H192" s="74">
        <v>30213967</v>
      </c>
      <c r="I192" s="77">
        <v>85900</v>
      </c>
      <c r="J192" s="78">
        <v>0.13</v>
      </c>
      <c r="K192" s="74">
        <v>5</v>
      </c>
      <c r="L192" s="77">
        <v>429500</v>
      </c>
      <c r="M192" s="1777"/>
      <c r="N192" s="1445"/>
    </row>
    <row r="193" spans="2:14">
      <c r="B193" s="1777"/>
      <c r="C193" s="1777">
        <v>5</v>
      </c>
      <c r="D193" s="1779" t="s">
        <v>299</v>
      </c>
      <c r="E193" s="74">
        <v>73015564</v>
      </c>
      <c r="F193" s="74" t="s">
        <v>300</v>
      </c>
      <c r="G193" s="1778" t="s">
        <v>301</v>
      </c>
      <c r="H193" s="74">
        <v>30213968</v>
      </c>
      <c r="I193" s="77">
        <v>13900</v>
      </c>
      <c r="J193" s="78">
        <v>0.08</v>
      </c>
      <c r="K193" s="74">
        <v>5</v>
      </c>
      <c r="L193" s="77">
        <v>69500</v>
      </c>
      <c r="M193" s="1778" t="s">
        <v>302</v>
      </c>
      <c r="N193" s="1445">
        <v>20241226818</v>
      </c>
    </row>
    <row r="194" spans="2:14">
      <c r="B194" s="1777"/>
      <c r="C194" s="1777"/>
      <c r="D194" s="1779"/>
      <c r="E194" s="74">
        <v>73015569</v>
      </c>
      <c r="F194" s="74" t="s">
        <v>303</v>
      </c>
      <c r="G194" s="1778"/>
      <c r="H194" s="74">
        <v>30213969</v>
      </c>
      <c r="I194" s="77">
        <v>13900</v>
      </c>
      <c r="J194" s="78">
        <v>0.08</v>
      </c>
      <c r="K194" s="74">
        <v>5</v>
      </c>
      <c r="L194" s="77">
        <v>69500</v>
      </c>
      <c r="M194" s="1778"/>
      <c r="N194" s="1445"/>
    </row>
    <row r="195" spans="2:14">
      <c r="B195" s="1777"/>
      <c r="C195" s="1777"/>
      <c r="D195" s="1779"/>
      <c r="E195" s="74">
        <v>73015578</v>
      </c>
      <c r="F195" s="74" t="s">
        <v>304</v>
      </c>
      <c r="G195" s="1778"/>
      <c r="H195" s="74">
        <v>30213970</v>
      </c>
      <c r="I195" s="77">
        <v>12900</v>
      </c>
      <c r="J195" s="78">
        <v>0.08</v>
      </c>
      <c r="K195" s="74">
        <v>5</v>
      </c>
      <c r="L195" s="77">
        <v>64500</v>
      </c>
      <c r="M195" s="1778"/>
      <c r="N195" s="1445"/>
    </row>
    <row r="196" spans="2:14">
      <c r="B196" s="1777"/>
      <c r="C196" s="1777"/>
      <c r="D196" s="1779"/>
      <c r="E196" s="74">
        <v>73015586</v>
      </c>
      <c r="F196" s="74" t="s">
        <v>305</v>
      </c>
      <c r="G196" s="1778"/>
      <c r="H196" s="74">
        <v>30213971</v>
      </c>
      <c r="I196" s="77">
        <v>9900</v>
      </c>
      <c r="J196" s="78">
        <v>0.08</v>
      </c>
      <c r="K196" s="74">
        <v>5</v>
      </c>
      <c r="L196" s="77">
        <v>49500</v>
      </c>
      <c r="M196" s="1778"/>
      <c r="N196" s="1445"/>
    </row>
    <row r="197" spans="2:14">
      <c r="B197" s="1777"/>
      <c r="C197" s="1777"/>
      <c r="D197" s="1779"/>
      <c r="E197" s="74">
        <v>73015574</v>
      </c>
      <c r="F197" s="74" t="s">
        <v>306</v>
      </c>
      <c r="G197" s="1778"/>
      <c r="H197" s="74">
        <v>30213972</v>
      </c>
      <c r="I197" s="77">
        <v>16800</v>
      </c>
      <c r="J197" s="78">
        <v>0.08</v>
      </c>
      <c r="K197" s="74">
        <v>5</v>
      </c>
      <c r="L197" s="77">
        <v>84000</v>
      </c>
      <c r="M197" s="1778"/>
      <c r="N197" s="1445"/>
    </row>
    <row r="198" spans="2:14">
      <c r="B198" s="1777"/>
      <c r="C198" s="1777">
        <v>6</v>
      </c>
      <c r="D198" s="1779" t="s">
        <v>307</v>
      </c>
      <c r="E198" s="74">
        <v>72889446</v>
      </c>
      <c r="F198" s="74" t="s">
        <v>308</v>
      </c>
      <c r="G198" s="1778" t="s">
        <v>309</v>
      </c>
      <c r="H198" s="74">
        <v>30213974</v>
      </c>
      <c r="I198" s="77">
        <v>20700</v>
      </c>
      <c r="J198" s="78">
        <v>0.08</v>
      </c>
      <c r="K198" s="74">
        <v>5</v>
      </c>
      <c r="L198" s="77">
        <v>103500</v>
      </c>
      <c r="M198" s="1778" t="s">
        <v>310</v>
      </c>
      <c r="N198" s="1445">
        <v>20241226819</v>
      </c>
    </row>
    <row r="199" spans="2:14">
      <c r="B199" s="1777"/>
      <c r="C199" s="1777"/>
      <c r="D199" s="1779"/>
      <c r="E199" s="74">
        <v>72889365</v>
      </c>
      <c r="F199" s="74" t="s">
        <v>311</v>
      </c>
      <c r="G199" s="1778"/>
      <c r="H199" s="74">
        <v>30213975</v>
      </c>
      <c r="I199" s="77">
        <v>25800</v>
      </c>
      <c r="J199" s="78">
        <v>0.08</v>
      </c>
      <c r="K199" s="74">
        <v>5</v>
      </c>
      <c r="L199" s="77">
        <v>129000</v>
      </c>
      <c r="M199" s="1778"/>
      <c r="N199" s="1445"/>
    </row>
    <row r="200" spans="2:14">
      <c r="B200" s="1777"/>
      <c r="C200" s="1777"/>
      <c r="D200" s="1779"/>
      <c r="E200" s="74">
        <v>72889428</v>
      </c>
      <c r="F200" s="74" t="s">
        <v>312</v>
      </c>
      <c r="G200" s="1778"/>
      <c r="H200" s="74">
        <v>30213976</v>
      </c>
      <c r="I200" s="77">
        <v>17800</v>
      </c>
      <c r="J200" s="78">
        <v>0.08</v>
      </c>
      <c r="K200" s="74">
        <v>5</v>
      </c>
      <c r="L200" s="77">
        <v>89000</v>
      </c>
      <c r="M200" s="1778"/>
      <c r="N200" s="1445"/>
    </row>
    <row r="201" spans="2:14">
      <c r="B201" s="1777"/>
      <c r="C201" s="1777"/>
      <c r="D201" s="1779"/>
      <c r="E201" s="74">
        <v>72889360</v>
      </c>
      <c r="F201" s="74" t="s">
        <v>313</v>
      </c>
      <c r="G201" s="1778"/>
      <c r="H201" s="74">
        <v>30213977</v>
      </c>
      <c r="I201" s="77">
        <v>19900</v>
      </c>
      <c r="J201" s="78">
        <v>0.08</v>
      </c>
      <c r="K201" s="74">
        <v>5</v>
      </c>
      <c r="L201" s="77">
        <v>99500</v>
      </c>
      <c r="M201" s="1778"/>
      <c r="N201" s="1445"/>
    </row>
    <row r="202" spans="2:14">
      <c r="B202" s="1777"/>
      <c r="C202" s="1777"/>
      <c r="D202" s="1779"/>
      <c r="E202" s="74">
        <v>72889316</v>
      </c>
      <c r="F202" s="74" t="s">
        <v>314</v>
      </c>
      <c r="G202" s="1778"/>
      <c r="H202" s="74">
        <v>30213978</v>
      </c>
      <c r="I202" s="77">
        <v>20700</v>
      </c>
      <c r="J202" s="78">
        <v>0.08</v>
      </c>
      <c r="K202" s="74">
        <v>5</v>
      </c>
      <c r="L202" s="77">
        <v>103500</v>
      </c>
      <c r="M202" s="1778"/>
      <c r="N202" s="1445"/>
    </row>
    <row r="203" spans="2:14">
      <c r="B203" s="1777"/>
      <c r="C203" s="1777">
        <v>7</v>
      </c>
      <c r="D203" s="1779" t="s">
        <v>315</v>
      </c>
      <c r="E203" s="74">
        <v>73220357</v>
      </c>
      <c r="F203" s="74" t="s">
        <v>316</v>
      </c>
      <c r="G203" s="1778" t="s">
        <v>317</v>
      </c>
      <c r="H203" s="74">
        <v>30214029</v>
      </c>
      <c r="I203" s="77">
        <v>19500</v>
      </c>
      <c r="J203" s="78">
        <v>0.08</v>
      </c>
      <c r="K203" s="74">
        <v>5</v>
      </c>
      <c r="L203" s="77">
        <v>97500</v>
      </c>
      <c r="M203" s="1778" t="s">
        <v>318</v>
      </c>
      <c r="N203" s="1445">
        <v>20241226820</v>
      </c>
    </row>
    <row r="204" spans="2:14">
      <c r="B204" s="1777"/>
      <c r="C204" s="1777"/>
      <c r="D204" s="1779"/>
      <c r="E204" s="74">
        <v>73220372</v>
      </c>
      <c r="F204" s="74" t="s">
        <v>319</v>
      </c>
      <c r="G204" s="1778"/>
      <c r="H204" s="74">
        <v>30214030</v>
      </c>
      <c r="I204" s="77">
        <v>19500</v>
      </c>
      <c r="J204" s="78">
        <v>0.08</v>
      </c>
      <c r="K204" s="74">
        <v>5</v>
      </c>
      <c r="L204" s="77">
        <v>97500</v>
      </c>
      <c r="M204" s="1778"/>
      <c r="N204" s="1445"/>
    </row>
    <row r="205" spans="2:14">
      <c r="B205" s="1777"/>
      <c r="C205" s="1777"/>
      <c r="D205" s="1779"/>
      <c r="E205" s="74">
        <v>73220405</v>
      </c>
      <c r="F205" s="74" t="s">
        <v>320</v>
      </c>
      <c r="G205" s="1778"/>
      <c r="H205" s="74">
        <v>30214031</v>
      </c>
      <c r="I205" s="77">
        <v>27500</v>
      </c>
      <c r="J205" s="78">
        <v>0.08</v>
      </c>
      <c r="K205" s="74">
        <v>5</v>
      </c>
      <c r="L205" s="77">
        <v>137500</v>
      </c>
      <c r="M205" s="1778"/>
      <c r="N205" s="1445"/>
    </row>
    <row r="206" spans="2:14">
      <c r="B206" s="1777"/>
      <c r="C206" s="1777"/>
      <c r="D206" s="1779"/>
      <c r="E206" s="74">
        <v>73220421</v>
      </c>
      <c r="F206" s="74" t="s">
        <v>321</v>
      </c>
      <c r="G206" s="1778"/>
      <c r="H206" s="74">
        <v>30214032</v>
      </c>
      <c r="I206" s="77">
        <v>27500</v>
      </c>
      <c r="J206" s="78">
        <v>0.08</v>
      </c>
      <c r="K206" s="74">
        <v>5</v>
      </c>
      <c r="L206" s="77">
        <v>137500</v>
      </c>
      <c r="M206" s="1778"/>
      <c r="N206" s="1445"/>
    </row>
    <row r="207" spans="2:14">
      <c r="B207" s="1777"/>
      <c r="C207" s="1777"/>
      <c r="D207" s="1779"/>
      <c r="E207" s="74">
        <v>73220374</v>
      </c>
      <c r="F207" s="74" t="s">
        <v>322</v>
      </c>
      <c r="G207" s="1778"/>
      <c r="H207" s="74">
        <v>30214033</v>
      </c>
      <c r="I207" s="77">
        <v>29800</v>
      </c>
      <c r="J207" s="78">
        <v>0.08</v>
      </c>
      <c r="K207" s="74">
        <v>5</v>
      </c>
      <c r="L207" s="77">
        <v>149000</v>
      </c>
      <c r="M207" s="1778"/>
      <c r="N207" s="1445"/>
    </row>
    <row r="208" spans="2:14">
      <c r="B208" s="1777"/>
      <c r="C208" s="1777">
        <v>8</v>
      </c>
      <c r="D208" s="1606" t="s">
        <v>323</v>
      </c>
      <c r="E208" s="84">
        <v>71359209</v>
      </c>
      <c r="F208" s="86" t="s">
        <v>324</v>
      </c>
      <c r="G208" s="1778" t="s">
        <v>325</v>
      </c>
      <c r="H208" s="74">
        <v>30214034</v>
      </c>
      <c r="I208" s="87">
        <v>12900</v>
      </c>
      <c r="J208" s="88">
        <v>0.1</v>
      </c>
      <c r="K208" s="74">
        <v>5</v>
      </c>
      <c r="L208" s="77">
        <v>64500</v>
      </c>
      <c r="M208" s="1777" t="s">
        <v>325</v>
      </c>
      <c r="N208" s="1445">
        <v>20241226821</v>
      </c>
    </row>
    <row r="209" spans="2:14">
      <c r="B209" s="1777"/>
      <c r="C209" s="1777"/>
      <c r="D209" s="1606"/>
      <c r="E209" s="84">
        <v>71359211</v>
      </c>
      <c r="F209" s="89" t="s">
        <v>326</v>
      </c>
      <c r="G209" s="1778"/>
      <c r="H209" s="74">
        <v>30214035</v>
      </c>
      <c r="I209" s="87">
        <v>9900</v>
      </c>
      <c r="J209" s="88">
        <v>0.1</v>
      </c>
      <c r="K209" s="74">
        <v>5</v>
      </c>
      <c r="L209" s="77">
        <v>49500</v>
      </c>
      <c r="M209" s="1777"/>
      <c r="N209" s="1445"/>
    </row>
    <row r="210" spans="2:14">
      <c r="B210" s="1777"/>
      <c r="C210" s="1777">
        <v>9</v>
      </c>
      <c r="D210" s="1606" t="s">
        <v>327</v>
      </c>
      <c r="E210" s="74">
        <v>70158429</v>
      </c>
      <c r="F210" s="74" t="s">
        <v>328</v>
      </c>
      <c r="G210" s="1778" t="s">
        <v>329</v>
      </c>
      <c r="H210" s="74">
        <v>30214036</v>
      </c>
      <c r="I210" s="77">
        <v>18900</v>
      </c>
      <c r="J210" s="78">
        <v>0.1</v>
      </c>
      <c r="K210" s="74">
        <v>5</v>
      </c>
      <c r="L210" s="77">
        <v>94500</v>
      </c>
      <c r="M210" s="1778" t="s">
        <v>329</v>
      </c>
      <c r="N210" s="1445">
        <v>20241226822</v>
      </c>
    </row>
    <row r="211" spans="2:14">
      <c r="B211" s="1777"/>
      <c r="C211" s="1777"/>
      <c r="D211" s="1606"/>
      <c r="E211" s="74">
        <v>64551219</v>
      </c>
      <c r="F211" s="74" t="s">
        <v>330</v>
      </c>
      <c r="G211" s="1778"/>
      <c r="H211" s="74">
        <v>30193792</v>
      </c>
      <c r="I211" s="77">
        <v>9500</v>
      </c>
      <c r="J211" s="78">
        <v>0.1</v>
      </c>
      <c r="K211" s="74">
        <v>5</v>
      </c>
      <c r="L211" s="77">
        <v>47500</v>
      </c>
      <c r="M211" s="1778"/>
      <c r="N211" s="1445"/>
    </row>
    <row r="212" spans="2:14">
      <c r="B212" s="1777" t="s">
        <v>331</v>
      </c>
      <c r="C212" s="1777">
        <v>1</v>
      </c>
      <c r="D212" s="1606" t="s">
        <v>332</v>
      </c>
      <c r="E212" s="74">
        <v>42463702</v>
      </c>
      <c r="F212" s="74" t="s">
        <v>333</v>
      </c>
      <c r="G212" s="1778" t="s">
        <v>333</v>
      </c>
      <c r="H212" s="74">
        <v>30214037</v>
      </c>
      <c r="I212" s="77">
        <v>8900</v>
      </c>
      <c r="J212" s="78">
        <v>0.1</v>
      </c>
      <c r="K212" s="74">
        <v>5</v>
      </c>
      <c r="L212" s="77">
        <v>44500</v>
      </c>
      <c r="M212" s="1778" t="s">
        <v>333</v>
      </c>
      <c r="N212" s="1445">
        <v>20241226823</v>
      </c>
    </row>
    <row r="213" spans="2:14">
      <c r="B213" s="1777"/>
      <c r="C213" s="1777"/>
      <c r="D213" s="1606"/>
      <c r="E213" s="74">
        <v>73382281</v>
      </c>
      <c r="F213" s="74" t="s">
        <v>334</v>
      </c>
      <c r="G213" s="1778"/>
      <c r="H213" s="74">
        <v>30214038</v>
      </c>
      <c r="I213" s="77">
        <v>8900</v>
      </c>
      <c r="J213" s="78">
        <v>0.1</v>
      </c>
      <c r="K213" s="74">
        <v>5</v>
      </c>
      <c r="L213" s="77">
        <v>44500</v>
      </c>
      <c r="M213" s="1778"/>
      <c r="N213" s="1445"/>
    </row>
    <row r="214" spans="2:14">
      <c r="B214" s="1777"/>
      <c r="C214" s="1777">
        <v>2</v>
      </c>
      <c r="D214" s="1606" t="s">
        <v>332</v>
      </c>
      <c r="E214" s="74">
        <v>72844486</v>
      </c>
      <c r="F214" s="74" t="s">
        <v>335</v>
      </c>
      <c r="G214" s="1778" t="s">
        <v>336</v>
      </c>
      <c r="H214" s="74">
        <v>30214040</v>
      </c>
      <c r="I214" s="77">
        <v>8900</v>
      </c>
      <c r="J214" s="78">
        <v>0.1</v>
      </c>
      <c r="K214" s="74">
        <v>5</v>
      </c>
      <c r="L214" s="77">
        <v>44500</v>
      </c>
      <c r="M214" s="1777" t="s">
        <v>336</v>
      </c>
      <c r="N214" s="1445">
        <v>20241226824</v>
      </c>
    </row>
    <row r="215" spans="2:14">
      <c r="B215" s="1777"/>
      <c r="C215" s="1777"/>
      <c r="D215" s="1606"/>
      <c r="E215" s="74">
        <v>68078448</v>
      </c>
      <c r="F215" s="74" t="s">
        <v>337</v>
      </c>
      <c r="G215" s="1778"/>
      <c r="H215" s="74">
        <v>30214041</v>
      </c>
      <c r="I215" s="77">
        <v>8900</v>
      </c>
      <c r="J215" s="78">
        <v>0.1</v>
      </c>
      <c r="K215" s="74">
        <v>5</v>
      </c>
      <c r="L215" s="77">
        <v>44500</v>
      </c>
      <c r="M215" s="1777"/>
      <c r="N215" s="1445"/>
    </row>
    <row r="216" spans="2:14">
      <c r="B216" s="1777"/>
      <c r="C216" s="1777">
        <v>3</v>
      </c>
      <c r="D216" s="1606" t="s">
        <v>338</v>
      </c>
      <c r="E216" s="74">
        <v>30202735</v>
      </c>
      <c r="F216" s="74" t="s">
        <v>339</v>
      </c>
      <c r="G216" s="1778" t="s">
        <v>340</v>
      </c>
      <c r="H216" s="74">
        <v>30214042</v>
      </c>
      <c r="I216" s="77">
        <v>7900</v>
      </c>
      <c r="J216" s="78">
        <v>0.1</v>
      </c>
      <c r="K216" s="74">
        <v>5</v>
      </c>
      <c r="L216" s="77">
        <v>39500</v>
      </c>
      <c r="M216" s="1778" t="s">
        <v>341</v>
      </c>
      <c r="N216" s="1445">
        <v>20241226825</v>
      </c>
    </row>
    <row r="217" spans="2:14">
      <c r="B217" s="1777"/>
      <c r="C217" s="1777"/>
      <c r="D217" s="1606"/>
      <c r="E217" s="74">
        <v>30154052</v>
      </c>
      <c r="F217" s="74" t="s">
        <v>342</v>
      </c>
      <c r="G217" s="1778"/>
      <c r="H217" s="74">
        <v>30214043</v>
      </c>
      <c r="I217" s="77">
        <v>9900</v>
      </c>
      <c r="J217" s="78">
        <v>0.1</v>
      </c>
      <c r="K217" s="74">
        <v>5</v>
      </c>
      <c r="L217" s="77">
        <v>49500</v>
      </c>
      <c r="M217" s="1778"/>
      <c r="N217" s="1445"/>
    </row>
    <row r="218" spans="2:14">
      <c r="B218" s="1777"/>
      <c r="C218" s="1777"/>
      <c r="D218" s="1606"/>
      <c r="E218" s="74">
        <v>30154054</v>
      </c>
      <c r="F218" s="74" t="s">
        <v>343</v>
      </c>
      <c r="G218" s="1778"/>
      <c r="H218" s="74">
        <v>30214044</v>
      </c>
      <c r="I218" s="77">
        <v>9900</v>
      </c>
      <c r="J218" s="78">
        <v>0.1</v>
      </c>
      <c r="K218" s="74">
        <v>5</v>
      </c>
      <c r="L218" s="77">
        <v>49500</v>
      </c>
      <c r="M218" s="1778"/>
      <c r="N218" s="1445"/>
    </row>
    <row r="219" spans="2:14">
      <c r="B219" s="1777"/>
      <c r="C219" s="1777"/>
      <c r="D219" s="1606"/>
      <c r="E219" s="74">
        <v>30025182</v>
      </c>
      <c r="F219" s="74" t="s">
        <v>344</v>
      </c>
      <c r="G219" s="1778"/>
      <c r="H219" s="74">
        <v>30203414</v>
      </c>
      <c r="I219" s="77">
        <v>5900</v>
      </c>
      <c r="J219" s="78">
        <v>0.1</v>
      </c>
      <c r="K219" s="74">
        <v>5</v>
      </c>
      <c r="L219" s="77">
        <v>29500</v>
      </c>
      <c r="M219" s="1778"/>
      <c r="N219" s="1445"/>
    </row>
    <row r="220" spans="2:14">
      <c r="B220" s="1777"/>
      <c r="C220" s="1777"/>
      <c r="D220" s="1606"/>
      <c r="E220" s="74">
        <v>30202725</v>
      </c>
      <c r="F220" s="74" t="s">
        <v>345</v>
      </c>
      <c r="G220" s="1778"/>
      <c r="H220" s="74">
        <v>30214045</v>
      </c>
      <c r="I220" s="77">
        <v>9900</v>
      </c>
      <c r="J220" s="78">
        <v>0.1</v>
      </c>
      <c r="K220" s="74">
        <v>5</v>
      </c>
      <c r="L220" s="77">
        <v>49500</v>
      </c>
      <c r="M220" s="1778"/>
      <c r="N220" s="1445"/>
    </row>
    <row r="221" spans="2:14">
      <c r="B221" s="1777"/>
      <c r="C221" s="1777">
        <v>4</v>
      </c>
      <c r="D221" s="1606" t="s">
        <v>346</v>
      </c>
      <c r="E221" s="74">
        <v>10177524</v>
      </c>
      <c r="F221" s="74" t="s">
        <v>347</v>
      </c>
      <c r="G221" s="1778" t="s">
        <v>348</v>
      </c>
      <c r="H221" s="90">
        <v>30214046</v>
      </c>
      <c r="I221" s="91">
        <v>28900</v>
      </c>
      <c r="J221" s="78">
        <v>0.15</v>
      </c>
      <c r="K221" s="74">
        <v>5</v>
      </c>
      <c r="L221" s="77">
        <v>144500</v>
      </c>
      <c r="M221" s="1778" t="s">
        <v>349</v>
      </c>
      <c r="N221" s="1445">
        <v>20241226826</v>
      </c>
    </row>
    <row r="222" spans="2:14">
      <c r="B222" s="1777"/>
      <c r="C222" s="1777"/>
      <c r="D222" s="1606"/>
      <c r="E222" s="74">
        <v>30107419</v>
      </c>
      <c r="F222" s="74" t="s">
        <v>350</v>
      </c>
      <c r="G222" s="1778"/>
      <c r="H222" s="90">
        <v>30214047</v>
      </c>
      <c r="I222" s="91">
        <v>20900</v>
      </c>
      <c r="J222" s="78">
        <v>0.15</v>
      </c>
      <c r="K222" s="74">
        <v>5</v>
      </c>
      <c r="L222" s="77">
        <v>104500</v>
      </c>
      <c r="M222" s="1778"/>
      <c r="N222" s="1445"/>
    </row>
    <row r="223" spans="2:14">
      <c r="B223" s="1777"/>
      <c r="C223" s="1777"/>
      <c r="D223" s="1606"/>
      <c r="E223" s="74">
        <v>72054757</v>
      </c>
      <c r="F223" s="74" t="s">
        <v>351</v>
      </c>
      <c r="G223" s="1778"/>
      <c r="H223" s="90">
        <v>30214048</v>
      </c>
      <c r="I223" s="91">
        <v>12900</v>
      </c>
      <c r="J223" s="78">
        <v>0.15</v>
      </c>
      <c r="K223" s="74">
        <v>5</v>
      </c>
      <c r="L223" s="77">
        <v>64500</v>
      </c>
      <c r="M223" s="1778"/>
      <c r="N223" s="1445"/>
    </row>
    <row r="224" spans="2:14">
      <c r="B224" s="1777"/>
      <c r="C224" s="1777">
        <v>5</v>
      </c>
      <c r="D224" s="1606" t="s">
        <v>352</v>
      </c>
      <c r="E224" s="80">
        <v>71136100</v>
      </c>
      <c r="F224" s="92" t="s">
        <v>353</v>
      </c>
      <c r="G224" s="1778" t="s">
        <v>354</v>
      </c>
      <c r="H224" s="74">
        <v>30205477</v>
      </c>
      <c r="I224" s="77">
        <v>10800</v>
      </c>
      <c r="J224" s="78">
        <v>0.1</v>
      </c>
      <c r="K224" s="74">
        <v>5</v>
      </c>
      <c r="L224" s="93">
        <v>54000</v>
      </c>
      <c r="M224" s="1778" t="s">
        <v>355</v>
      </c>
      <c r="N224" s="1461">
        <v>20241226827</v>
      </c>
    </row>
    <row r="225" spans="2:14">
      <c r="B225" s="1777"/>
      <c r="C225" s="1777"/>
      <c r="D225" s="1606"/>
      <c r="E225" s="80">
        <v>71136097</v>
      </c>
      <c r="F225" s="92" t="s">
        <v>356</v>
      </c>
      <c r="G225" s="1778"/>
      <c r="H225" s="74">
        <v>30205478</v>
      </c>
      <c r="I225" s="77">
        <v>10800</v>
      </c>
      <c r="J225" s="78">
        <v>0.1</v>
      </c>
      <c r="K225" s="74">
        <v>5</v>
      </c>
      <c r="L225" s="93">
        <v>54000</v>
      </c>
      <c r="M225" s="1778"/>
      <c r="N225" s="1461"/>
    </row>
    <row r="226" spans="2:14">
      <c r="B226" s="1777"/>
      <c r="C226" s="1777"/>
      <c r="D226" s="1606"/>
      <c r="E226" s="80">
        <v>71136133</v>
      </c>
      <c r="F226" s="92" t="s">
        <v>357</v>
      </c>
      <c r="G226" s="1778"/>
      <c r="H226" s="74">
        <v>30205479</v>
      </c>
      <c r="I226" s="77">
        <v>10800</v>
      </c>
      <c r="J226" s="78">
        <v>0.1</v>
      </c>
      <c r="K226" s="74">
        <v>5</v>
      </c>
      <c r="L226" s="93">
        <v>54000</v>
      </c>
      <c r="M226" s="1778"/>
      <c r="N226" s="1461"/>
    </row>
    <row r="227" spans="2:14">
      <c r="B227" s="1777"/>
      <c r="C227" s="1777"/>
      <c r="D227" s="1606"/>
      <c r="E227" s="80">
        <v>71136132</v>
      </c>
      <c r="F227" s="92" t="s">
        <v>358</v>
      </c>
      <c r="G227" s="1778"/>
      <c r="H227" s="74">
        <v>30205480</v>
      </c>
      <c r="I227" s="77">
        <v>10800</v>
      </c>
      <c r="J227" s="78">
        <v>0.1</v>
      </c>
      <c r="K227" s="74">
        <v>5</v>
      </c>
      <c r="L227" s="93">
        <v>54000</v>
      </c>
      <c r="M227" s="1778"/>
      <c r="N227" s="1461"/>
    </row>
    <row r="228" spans="2:14">
      <c r="B228" s="1777"/>
      <c r="C228" s="1777"/>
      <c r="D228" s="1606"/>
      <c r="E228" s="74">
        <v>70093364</v>
      </c>
      <c r="F228" s="92" t="s">
        <v>359</v>
      </c>
      <c r="G228" s="1778"/>
      <c r="H228" s="74">
        <v>30205481</v>
      </c>
      <c r="I228" s="77">
        <v>8800</v>
      </c>
      <c r="J228" s="78">
        <v>0.1</v>
      </c>
      <c r="K228" s="74">
        <v>5</v>
      </c>
      <c r="L228" s="93">
        <v>44000</v>
      </c>
      <c r="M228" s="1778"/>
      <c r="N228" s="1461"/>
    </row>
    <row r="229" spans="2:14" ht="21.75" customHeight="1">
      <c r="B229" s="1777"/>
      <c r="C229" s="74">
        <v>6</v>
      </c>
      <c r="D229" s="75" t="s">
        <v>360</v>
      </c>
      <c r="E229" s="74">
        <v>71937141</v>
      </c>
      <c r="F229" s="74" t="s">
        <v>361</v>
      </c>
      <c r="G229" s="76" t="s">
        <v>362</v>
      </c>
      <c r="H229" s="74">
        <v>30209925</v>
      </c>
      <c r="I229" s="77">
        <v>10900</v>
      </c>
      <c r="J229" s="78">
        <v>0.1</v>
      </c>
      <c r="K229" s="74">
        <v>5</v>
      </c>
      <c r="L229" s="93">
        <v>54500</v>
      </c>
      <c r="M229" s="76" t="s">
        <v>363</v>
      </c>
      <c r="N229" s="69">
        <v>20241226828</v>
      </c>
    </row>
    <row r="230" spans="2:14" ht="19.5" customHeight="1">
      <c r="B230" s="1777"/>
      <c r="C230" s="74">
        <v>7</v>
      </c>
      <c r="D230" s="75" t="s">
        <v>364</v>
      </c>
      <c r="E230" s="94">
        <v>30211045</v>
      </c>
      <c r="F230" s="95" t="s">
        <v>365</v>
      </c>
      <c r="G230" s="95" t="s">
        <v>366</v>
      </c>
      <c r="H230" s="74">
        <v>30214049</v>
      </c>
      <c r="I230" s="96">
        <v>46800</v>
      </c>
      <c r="J230" s="97">
        <v>0.15</v>
      </c>
      <c r="K230" s="74">
        <v>5</v>
      </c>
      <c r="L230" s="93">
        <v>234000</v>
      </c>
      <c r="M230" s="98" t="s">
        <v>366</v>
      </c>
      <c r="N230" s="69">
        <v>20241226829</v>
      </c>
    </row>
    <row r="231" spans="2:14">
      <c r="B231" s="1774" t="s">
        <v>367</v>
      </c>
      <c r="C231" s="1775">
        <v>1</v>
      </c>
      <c r="D231" s="1775" t="s">
        <v>368</v>
      </c>
      <c r="E231" s="100">
        <v>30155513</v>
      </c>
      <c r="F231" s="101" t="s">
        <v>369</v>
      </c>
      <c r="G231" s="1709" t="s">
        <v>370</v>
      </c>
      <c r="H231" s="100">
        <v>30213641</v>
      </c>
      <c r="I231" s="102">
        <v>19900</v>
      </c>
      <c r="J231" s="1769">
        <v>0.12</v>
      </c>
      <c r="K231" s="1709">
        <v>5</v>
      </c>
      <c r="L231" s="104">
        <f>I231*K231</f>
        <v>99500</v>
      </c>
      <c r="M231" s="1726" t="s">
        <v>371</v>
      </c>
      <c r="N231" s="1461">
        <v>20241226830</v>
      </c>
    </row>
    <row r="232" spans="2:14">
      <c r="B232" s="1774"/>
      <c r="C232" s="1775"/>
      <c r="D232" s="1775"/>
      <c r="E232" s="100">
        <v>30155508</v>
      </c>
      <c r="F232" s="101" t="s">
        <v>372</v>
      </c>
      <c r="G232" s="1709"/>
      <c r="H232" s="100">
        <v>30214117</v>
      </c>
      <c r="I232" s="102">
        <v>19900</v>
      </c>
      <c r="J232" s="1769"/>
      <c r="K232" s="1709"/>
      <c r="L232" s="104">
        <f>I232*K231</f>
        <v>99500</v>
      </c>
      <c r="M232" s="1726"/>
      <c r="N232" s="1461"/>
    </row>
    <row r="233" spans="2:14">
      <c r="B233" s="1774"/>
      <c r="C233" s="1772">
        <v>2</v>
      </c>
      <c r="D233" s="1772" t="s">
        <v>373</v>
      </c>
      <c r="E233" s="100">
        <v>30192449</v>
      </c>
      <c r="F233" s="101" t="s">
        <v>374</v>
      </c>
      <c r="G233" s="1709" t="s">
        <v>375</v>
      </c>
      <c r="H233" s="100">
        <v>30214125</v>
      </c>
      <c r="I233" s="102">
        <v>7000</v>
      </c>
      <c r="J233" s="1769">
        <v>0.1</v>
      </c>
      <c r="K233" s="1709">
        <v>10</v>
      </c>
      <c r="L233" s="105">
        <f>I233*K233</f>
        <v>70000</v>
      </c>
      <c r="M233" s="1773" t="s">
        <v>376</v>
      </c>
      <c r="N233" s="1445">
        <v>20241226831</v>
      </c>
    </row>
    <row r="234" spans="2:14">
      <c r="B234" s="1774"/>
      <c r="C234" s="1772"/>
      <c r="D234" s="1772"/>
      <c r="E234" s="99">
        <v>30192454</v>
      </c>
      <c r="F234" s="106" t="s">
        <v>377</v>
      </c>
      <c r="G234" s="1709"/>
      <c r="H234" s="100">
        <v>30214130</v>
      </c>
      <c r="I234" s="102">
        <v>5900</v>
      </c>
      <c r="J234" s="1769"/>
      <c r="K234" s="1709"/>
      <c r="L234" s="105">
        <f>I234*K233</f>
        <v>59000</v>
      </c>
      <c r="M234" s="1773"/>
      <c r="N234" s="1445"/>
    </row>
    <row r="235" spans="2:14">
      <c r="B235" s="1774"/>
      <c r="C235" s="1772"/>
      <c r="D235" s="1772"/>
      <c r="E235" s="99">
        <v>30190678</v>
      </c>
      <c r="F235" s="106" t="s">
        <v>378</v>
      </c>
      <c r="G235" s="1709"/>
      <c r="H235" s="100">
        <v>30214138</v>
      </c>
      <c r="I235" s="102">
        <v>13300</v>
      </c>
      <c r="J235" s="1769"/>
      <c r="K235" s="1709"/>
      <c r="L235" s="105">
        <f>I235*K233</f>
        <v>133000</v>
      </c>
      <c r="M235" s="1773"/>
      <c r="N235" s="1445"/>
    </row>
    <row r="236" spans="2:14">
      <c r="B236" s="1774"/>
      <c r="C236" s="1772"/>
      <c r="D236" s="1772"/>
      <c r="E236" s="99">
        <v>30190780</v>
      </c>
      <c r="F236" s="106" t="s">
        <v>379</v>
      </c>
      <c r="G236" s="1709"/>
      <c r="H236" s="100">
        <v>30214139</v>
      </c>
      <c r="I236" s="102">
        <v>12800</v>
      </c>
      <c r="J236" s="1769"/>
      <c r="K236" s="1709"/>
      <c r="L236" s="105">
        <f>I236*K233</f>
        <v>128000</v>
      </c>
      <c r="M236" s="1773"/>
      <c r="N236" s="1445"/>
    </row>
    <row r="237" spans="2:14">
      <c r="B237" s="1774"/>
      <c r="C237" s="1709">
        <v>3</v>
      </c>
      <c r="D237" s="1768" t="s">
        <v>380</v>
      </c>
      <c r="E237" s="100">
        <v>30171550</v>
      </c>
      <c r="F237" s="106" t="s">
        <v>381</v>
      </c>
      <c r="G237" s="1776" t="s">
        <v>382</v>
      </c>
      <c r="H237" s="99">
        <v>30171550</v>
      </c>
      <c r="I237" s="102">
        <v>8400</v>
      </c>
      <c r="J237" s="1769">
        <v>0.12</v>
      </c>
      <c r="K237" s="1709">
        <v>10</v>
      </c>
      <c r="L237" s="105">
        <f>I237*K237</f>
        <v>84000</v>
      </c>
      <c r="M237" s="1770" t="s">
        <v>383</v>
      </c>
      <c r="N237" s="1445">
        <v>20241226832</v>
      </c>
    </row>
    <row r="238" spans="2:14">
      <c r="B238" s="1774"/>
      <c r="C238" s="1709"/>
      <c r="D238" s="1768"/>
      <c r="E238" s="100">
        <v>30171552</v>
      </c>
      <c r="F238" s="106" t="s">
        <v>384</v>
      </c>
      <c r="G238" s="1776"/>
      <c r="H238" s="99">
        <v>30171552</v>
      </c>
      <c r="I238" s="102">
        <v>9400</v>
      </c>
      <c r="J238" s="1769"/>
      <c r="K238" s="1709"/>
      <c r="L238" s="105">
        <f>I238*K237</f>
        <v>94000</v>
      </c>
      <c r="M238" s="1770"/>
      <c r="N238" s="1445"/>
    </row>
    <row r="239" spans="2:14">
      <c r="B239" s="1774"/>
      <c r="C239" s="1709"/>
      <c r="D239" s="1768"/>
      <c r="E239" s="100">
        <v>30172336</v>
      </c>
      <c r="F239" s="106" t="s">
        <v>385</v>
      </c>
      <c r="G239" s="1776"/>
      <c r="H239" s="100">
        <v>30172336</v>
      </c>
      <c r="I239" s="102">
        <v>9900</v>
      </c>
      <c r="J239" s="1769"/>
      <c r="K239" s="1709"/>
      <c r="L239" s="105">
        <f>I239*K237</f>
        <v>99000</v>
      </c>
      <c r="M239" s="1770"/>
      <c r="N239" s="1445"/>
    </row>
    <row r="240" spans="2:14">
      <c r="B240" s="1774"/>
      <c r="C240" s="1709"/>
      <c r="D240" s="1768"/>
      <c r="E240" s="100">
        <v>30164283</v>
      </c>
      <c r="F240" s="106" t="s">
        <v>386</v>
      </c>
      <c r="G240" s="1776"/>
      <c r="H240" s="99">
        <v>30164283</v>
      </c>
      <c r="I240" s="102">
        <v>14500</v>
      </c>
      <c r="J240" s="1769"/>
      <c r="K240" s="1709"/>
      <c r="L240" s="105">
        <f>I240*K237</f>
        <v>145000</v>
      </c>
      <c r="M240" s="1770"/>
      <c r="N240" s="1445"/>
    </row>
    <row r="241" spans="2:14">
      <c r="B241" s="1774"/>
      <c r="C241" s="1709">
        <v>4</v>
      </c>
      <c r="D241" s="1768" t="s">
        <v>387</v>
      </c>
      <c r="E241" s="100">
        <v>30206822</v>
      </c>
      <c r="F241" s="106" t="s">
        <v>388</v>
      </c>
      <c r="G241" s="1771" t="s">
        <v>389</v>
      </c>
      <c r="H241" s="107">
        <v>30206822</v>
      </c>
      <c r="I241" s="102">
        <v>7900</v>
      </c>
      <c r="J241" s="1769">
        <v>0.12</v>
      </c>
      <c r="K241" s="1709">
        <v>10</v>
      </c>
      <c r="L241" s="105">
        <f>I241*K241</f>
        <v>79000</v>
      </c>
      <c r="M241" s="1770" t="s">
        <v>390</v>
      </c>
      <c r="N241" s="1445">
        <v>20241226833</v>
      </c>
    </row>
    <row r="242" spans="2:14">
      <c r="B242" s="1774"/>
      <c r="C242" s="1709"/>
      <c r="D242" s="1768"/>
      <c r="E242" s="100">
        <v>30208818</v>
      </c>
      <c r="F242" s="106" t="s">
        <v>391</v>
      </c>
      <c r="G242" s="1771"/>
      <c r="H242" s="100">
        <v>30208818</v>
      </c>
      <c r="I242" s="102">
        <v>13900</v>
      </c>
      <c r="J242" s="1769"/>
      <c r="K242" s="1709"/>
      <c r="L242" s="105">
        <f>I242*K241</f>
        <v>139000</v>
      </c>
      <c r="M242" s="1770"/>
      <c r="N242" s="1445"/>
    </row>
    <row r="243" spans="2:14">
      <c r="B243" s="1774"/>
      <c r="C243" s="1709"/>
      <c r="D243" s="1768"/>
      <c r="E243" s="100">
        <v>30206823</v>
      </c>
      <c r="F243" s="106" t="s">
        <v>392</v>
      </c>
      <c r="G243" s="1771"/>
      <c r="H243" s="100">
        <v>30206823</v>
      </c>
      <c r="I243" s="102">
        <v>7900</v>
      </c>
      <c r="J243" s="1769"/>
      <c r="K243" s="1709"/>
      <c r="L243" s="105">
        <f>I243*K241</f>
        <v>79000</v>
      </c>
      <c r="M243" s="1770"/>
      <c r="N243" s="1445"/>
    </row>
    <row r="244" spans="2:14">
      <c r="B244" s="1774"/>
      <c r="C244" s="1709"/>
      <c r="D244" s="1768"/>
      <c r="E244" s="100">
        <v>30208821</v>
      </c>
      <c r="F244" s="101" t="s">
        <v>393</v>
      </c>
      <c r="G244" s="1771"/>
      <c r="H244" s="100">
        <v>30208821</v>
      </c>
      <c r="I244" s="102">
        <v>13900</v>
      </c>
      <c r="J244" s="1769"/>
      <c r="K244" s="1709"/>
      <c r="L244" s="105">
        <f>I244*K241</f>
        <v>139000</v>
      </c>
      <c r="M244" s="1770"/>
      <c r="N244" s="1445"/>
    </row>
    <row r="245" spans="2:14">
      <c r="B245" s="1774"/>
      <c r="C245" s="1709">
        <v>5</v>
      </c>
      <c r="D245" s="1768" t="s">
        <v>394</v>
      </c>
      <c r="E245" s="100">
        <v>30186878</v>
      </c>
      <c r="F245" s="106" t="s">
        <v>395</v>
      </c>
      <c r="G245" s="1709" t="s">
        <v>396</v>
      </c>
      <c r="H245" s="99">
        <v>30205944</v>
      </c>
      <c r="I245" s="102">
        <v>12900</v>
      </c>
      <c r="J245" s="1769">
        <v>0.1</v>
      </c>
      <c r="K245" s="1709">
        <v>10</v>
      </c>
      <c r="L245" s="105">
        <f>I245*K245</f>
        <v>129000</v>
      </c>
      <c r="M245" s="1770" t="s">
        <v>397</v>
      </c>
      <c r="N245" s="1445">
        <v>20241226834</v>
      </c>
    </row>
    <row r="246" spans="2:14">
      <c r="B246" s="1774"/>
      <c r="C246" s="1709"/>
      <c r="D246" s="1768"/>
      <c r="E246" s="100">
        <v>30171001</v>
      </c>
      <c r="F246" s="106" t="s">
        <v>398</v>
      </c>
      <c r="G246" s="1709"/>
      <c r="H246" s="99">
        <v>30214142</v>
      </c>
      <c r="I246" s="102">
        <v>14900</v>
      </c>
      <c r="J246" s="1769"/>
      <c r="K246" s="1709"/>
      <c r="L246" s="105">
        <f>I246*K245</f>
        <v>149000</v>
      </c>
      <c r="M246" s="1770"/>
      <c r="N246" s="1445"/>
    </row>
    <row r="247" spans="2:14" ht="40.5">
      <c r="B247" s="1763" t="s">
        <v>399</v>
      </c>
      <c r="C247" s="108">
        <v>1</v>
      </c>
      <c r="D247" s="109" t="s">
        <v>400</v>
      </c>
      <c r="E247" s="108">
        <v>30201436</v>
      </c>
      <c r="F247" s="110" t="s">
        <v>401</v>
      </c>
      <c r="G247" s="111" t="s">
        <v>402</v>
      </c>
      <c r="H247" s="111">
        <v>30201436</v>
      </c>
      <c r="I247" s="112">
        <v>10900</v>
      </c>
      <c r="J247" s="113">
        <v>0.1</v>
      </c>
      <c r="K247" s="114">
        <v>10</v>
      </c>
      <c r="L247" s="112">
        <v>109000</v>
      </c>
      <c r="M247" s="115" t="s">
        <v>403</v>
      </c>
      <c r="N247" s="69">
        <v>20241226835</v>
      </c>
    </row>
    <row r="248" spans="2:14">
      <c r="B248" s="1763"/>
      <c r="C248" s="1764">
        <v>2</v>
      </c>
      <c r="D248" s="1765" t="s">
        <v>404</v>
      </c>
      <c r="E248" s="100">
        <v>72237997</v>
      </c>
      <c r="F248" s="101" t="s">
        <v>405</v>
      </c>
      <c r="G248" s="1766" t="s">
        <v>406</v>
      </c>
      <c r="H248" s="100">
        <v>30214381</v>
      </c>
      <c r="I248" s="116">
        <v>14900</v>
      </c>
      <c r="J248" s="103">
        <v>0.1</v>
      </c>
      <c r="K248" s="100">
        <v>10</v>
      </c>
      <c r="L248" s="117">
        <f t="shared" ref="L248:L251" si="1">I248*K248</f>
        <v>149000</v>
      </c>
      <c r="M248" s="1767" t="s">
        <v>406</v>
      </c>
      <c r="N248" s="1445">
        <v>20241226836</v>
      </c>
    </row>
    <row r="249" spans="2:14">
      <c r="B249" s="1763"/>
      <c r="C249" s="1764"/>
      <c r="D249" s="1765"/>
      <c r="E249" s="100">
        <v>72237998</v>
      </c>
      <c r="F249" s="101" t="s">
        <v>407</v>
      </c>
      <c r="G249" s="1766"/>
      <c r="H249" s="100">
        <v>30214382</v>
      </c>
      <c r="I249" s="116">
        <v>9900</v>
      </c>
      <c r="J249" s="103">
        <v>0.1</v>
      </c>
      <c r="K249" s="100">
        <v>10</v>
      </c>
      <c r="L249" s="117">
        <f t="shared" si="1"/>
        <v>99000</v>
      </c>
      <c r="M249" s="1767"/>
      <c r="N249" s="1445"/>
    </row>
    <row r="250" spans="2:14">
      <c r="B250" s="1763"/>
      <c r="C250" s="1764"/>
      <c r="D250" s="1765"/>
      <c r="E250" s="100">
        <v>57444604</v>
      </c>
      <c r="F250" s="101" t="s">
        <v>408</v>
      </c>
      <c r="G250" s="1766"/>
      <c r="H250" s="100">
        <v>30214383</v>
      </c>
      <c r="I250" s="116">
        <v>14900</v>
      </c>
      <c r="J250" s="103">
        <v>0.1</v>
      </c>
      <c r="K250" s="100">
        <v>10</v>
      </c>
      <c r="L250" s="117">
        <f t="shared" si="1"/>
        <v>149000</v>
      </c>
      <c r="M250" s="1767"/>
      <c r="N250" s="1445"/>
    </row>
    <row r="251" spans="2:14">
      <c r="B251" s="1763"/>
      <c r="C251" s="1764"/>
      <c r="D251" s="1765"/>
      <c r="E251" s="100">
        <v>57444603</v>
      </c>
      <c r="F251" s="101" t="s">
        <v>409</v>
      </c>
      <c r="G251" s="1766"/>
      <c r="H251" s="100">
        <v>30214384</v>
      </c>
      <c r="I251" s="116">
        <v>9900</v>
      </c>
      <c r="J251" s="103">
        <v>0.1</v>
      </c>
      <c r="K251" s="100">
        <v>10</v>
      </c>
      <c r="L251" s="117">
        <f t="shared" si="1"/>
        <v>99000</v>
      </c>
      <c r="M251" s="1767"/>
      <c r="N251" s="1445"/>
    </row>
    <row r="252" spans="2:14" ht="41.25" customHeight="1">
      <c r="B252" s="1759" t="s">
        <v>410</v>
      </c>
      <c r="C252" s="1703">
        <v>1</v>
      </c>
      <c r="D252" s="1706" t="s">
        <v>411</v>
      </c>
      <c r="E252" s="118">
        <v>30163482</v>
      </c>
      <c r="F252" s="118" t="s">
        <v>412</v>
      </c>
      <c r="G252" s="1760" t="s">
        <v>413</v>
      </c>
      <c r="H252" s="119">
        <v>30163482</v>
      </c>
      <c r="I252" s="120">
        <v>16900</v>
      </c>
      <c r="J252" s="1761">
        <v>0.1</v>
      </c>
      <c r="K252" s="121">
        <v>5</v>
      </c>
      <c r="L252" s="120">
        <v>84500</v>
      </c>
      <c r="M252" s="1762" t="s">
        <v>414</v>
      </c>
      <c r="N252" s="1445">
        <v>20241226837</v>
      </c>
    </row>
    <row r="253" spans="2:14">
      <c r="B253" s="1759"/>
      <c r="C253" s="1703"/>
      <c r="D253" s="1706"/>
      <c r="E253" s="118">
        <v>30190967</v>
      </c>
      <c r="F253" s="118" t="s">
        <v>415</v>
      </c>
      <c r="G253" s="1760"/>
      <c r="H253" s="119">
        <v>30190967</v>
      </c>
      <c r="I253" s="120">
        <v>16900</v>
      </c>
      <c r="J253" s="1761"/>
      <c r="K253" s="121">
        <v>5</v>
      </c>
      <c r="L253" s="120">
        <v>84500</v>
      </c>
      <c r="M253" s="1762"/>
      <c r="N253" s="1445"/>
    </row>
    <row r="254" spans="2:14">
      <c r="B254" s="1759"/>
      <c r="C254" s="1703"/>
      <c r="D254" s="1706"/>
      <c r="E254" s="118">
        <v>30208813</v>
      </c>
      <c r="F254" s="118" t="s">
        <v>416</v>
      </c>
      <c r="G254" s="1760"/>
      <c r="H254" s="119">
        <v>30208813</v>
      </c>
      <c r="I254" s="120">
        <v>15900</v>
      </c>
      <c r="J254" s="1761"/>
      <c r="K254" s="121">
        <v>5</v>
      </c>
      <c r="L254" s="120">
        <v>79500</v>
      </c>
      <c r="M254" s="1762"/>
      <c r="N254" s="1445"/>
    </row>
    <row r="255" spans="2:14">
      <c r="B255" s="1451" t="s">
        <v>417</v>
      </c>
      <c r="C255" s="1757"/>
      <c r="D255" s="1758" t="s">
        <v>418</v>
      </c>
      <c r="E255" s="122">
        <v>72263369</v>
      </c>
      <c r="F255" s="123" t="s">
        <v>419</v>
      </c>
      <c r="G255" s="1757" t="s">
        <v>419</v>
      </c>
      <c r="H255" s="122">
        <v>30214278</v>
      </c>
      <c r="I255" s="124">
        <v>13200</v>
      </c>
      <c r="J255" s="125">
        <v>0.1</v>
      </c>
      <c r="K255" s="122">
        <v>10</v>
      </c>
      <c r="L255" s="126">
        <v>100000</v>
      </c>
      <c r="M255" s="1757" t="s">
        <v>420</v>
      </c>
      <c r="N255" s="1547">
        <v>20241224785</v>
      </c>
    </row>
    <row r="256" spans="2:14">
      <c r="B256" s="1451"/>
      <c r="C256" s="1757"/>
      <c r="D256" s="1758"/>
      <c r="E256" s="122">
        <v>72063174</v>
      </c>
      <c r="F256" s="123" t="s">
        <v>421</v>
      </c>
      <c r="G256" s="1757"/>
      <c r="H256" s="122">
        <v>30209028</v>
      </c>
      <c r="I256" s="124">
        <v>13200</v>
      </c>
      <c r="J256" s="125">
        <v>0.1</v>
      </c>
      <c r="K256" s="122">
        <v>10</v>
      </c>
      <c r="L256" s="126">
        <v>100000</v>
      </c>
      <c r="M256" s="1757"/>
      <c r="N256" s="1547"/>
    </row>
    <row r="257" spans="2:14">
      <c r="B257" s="1451"/>
      <c r="C257" s="1757"/>
      <c r="D257" s="1758"/>
      <c r="E257" s="122">
        <v>72063175</v>
      </c>
      <c r="F257" s="123" t="s">
        <v>422</v>
      </c>
      <c r="G257" s="1757"/>
      <c r="H257" s="122">
        <v>30209027</v>
      </c>
      <c r="I257" s="124">
        <v>13200</v>
      </c>
      <c r="J257" s="125">
        <v>0.1</v>
      </c>
      <c r="K257" s="122">
        <v>10</v>
      </c>
      <c r="L257" s="126">
        <v>100000</v>
      </c>
      <c r="M257" s="1757"/>
      <c r="N257" s="1547"/>
    </row>
    <row r="258" spans="2:14">
      <c r="B258" s="1451"/>
      <c r="C258" s="1757"/>
      <c r="D258" s="1758"/>
      <c r="E258" s="122">
        <v>30152046</v>
      </c>
      <c r="F258" s="123" t="s">
        <v>423</v>
      </c>
      <c r="G258" s="1757"/>
      <c r="H258" s="122">
        <v>30152050</v>
      </c>
      <c r="I258" s="124">
        <v>10200</v>
      </c>
      <c r="J258" s="125">
        <v>0.1</v>
      </c>
      <c r="K258" s="122">
        <v>10</v>
      </c>
      <c r="L258" s="126">
        <v>100000</v>
      </c>
      <c r="M258" s="1757"/>
      <c r="N258" s="1547"/>
    </row>
    <row r="259" spans="2:14">
      <c r="B259" s="1451"/>
      <c r="C259" s="1757"/>
      <c r="D259" s="1758"/>
      <c r="E259" s="122">
        <v>30152049</v>
      </c>
      <c r="F259" s="123" t="s">
        <v>424</v>
      </c>
      <c r="G259" s="1757"/>
      <c r="H259" s="122">
        <v>30152054</v>
      </c>
      <c r="I259" s="124">
        <v>17900</v>
      </c>
      <c r="J259" s="125">
        <v>0.1</v>
      </c>
      <c r="K259" s="122">
        <v>10</v>
      </c>
      <c r="L259" s="126">
        <v>100000</v>
      </c>
      <c r="M259" s="1757"/>
      <c r="N259" s="1547"/>
    </row>
    <row r="260" spans="2:14">
      <c r="B260" s="1451"/>
      <c r="C260" s="1757"/>
      <c r="D260" s="1758"/>
      <c r="E260" s="122">
        <v>60998412</v>
      </c>
      <c r="F260" s="123" t="s">
        <v>425</v>
      </c>
      <c r="G260" s="1757"/>
      <c r="H260" s="122">
        <v>30176946</v>
      </c>
      <c r="I260" s="124">
        <v>10900</v>
      </c>
      <c r="J260" s="125">
        <v>0.1</v>
      </c>
      <c r="K260" s="122">
        <v>10</v>
      </c>
      <c r="L260" s="126">
        <v>100000</v>
      </c>
      <c r="M260" s="1757"/>
      <c r="N260" s="1547"/>
    </row>
    <row r="261" spans="2:14">
      <c r="B261" s="1451"/>
      <c r="C261" s="1448">
        <v>1</v>
      </c>
      <c r="D261" s="1448" t="s">
        <v>426</v>
      </c>
      <c r="E261" s="30">
        <v>72259798</v>
      </c>
      <c r="F261" s="31" t="s">
        <v>427</v>
      </c>
      <c r="G261" s="1448" t="s">
        <v>427</v>
      </c>
      <c r="H261" s="30">
        <v>30214241</v>
      </c>
      <c r="I261" s="35">
        <v>19900</v>
      </c>
      <c r="J261" s="64">
        <v>0.1</v>
      </c>
      <c r="K261" s="30">
        <v>10</v>
      </c>
      <c r="L261" s="35">
        <v>100000</v>
      </c>
      <c r="M261" s="1454" t="s">
        <v>428</v>
      </c>
      <c r="N261" s="1445">
        <v>20241226838</v>
      </c>
    </row>
    <row r="262" spans="2:14">
      <c r="B262" s="1451"/>
      <c r="C262" s="1448"/>
      <c r="D262" s="1448"/>
      <c r="E262" s="30">
        <v>72259806</v>
      </c>
      <c r="F262" s="31" t="s">
        <v>429</v>
      </c>
      <c r="G262" s="1448"/>
      <c r="H262" s="30">
        <v>30214240</v>
      </c>
      <c r="I262" s="35">
        <v>29900</v>
      </c>
      <c r="J262" s="64">
        <v>0.1</v>
      </c>
      <c r="K262" s="30">
        <v>10</v>
      </c>
      <c r="L262" s="35">
        <v>100000</v>
      </c>
      <c r="M262" s="1454"/>
      <c r="N262" s="1445"/>
    </row>
    <row r="263" spans="2:14">
      <c r="B263" s="1451"/>
      <c r="C263" s="1448"/>
      <c r="D263" s="1448"/>
      <c r="E263" s="30">
        <v>72259780</v>
      </c>
      <c r="F263" s="31" t="s">
        <v>430</v>
      </c>
      <c r="G263" s="1448"/>
      <c r="H263" s="30">
        <v>30214239</v>
      </c>
      <c r="I263" s="35">
        <v>35900</v>
      </c>
      <c r="J263" s="64">
        <v>0.1</v>
      </c>
      <c r="K263" s="30">
        <v>10</v>
      </c>
      <c r="L263" s="35">
        <v>100000</v>
      </c>
      <c r="M263" s="1454"/>
      <c r="N263" s="1445"/>
    </row>
    <row r="264" spans="2:14">
      <c r="B264" s="1451"/>
      <c r="C264" s="1448"/>
      <c r="D264" s="1448"/>
      <c r="E264" s="30">
        <v>72259787</v>
      </c>
      <c r="F264" s="31" t="s">
        <v>431</v>
      </c>
      <c r="G264" s="1448"/>
      <c r="H264" s="30">
        <v>30214238</v>
      </c>
      <c r="I264" s="35">
        <v>42900</v>
      </c>
      <c r="J264" s="64">
        <v>0.1</v>
      </c>
      <c r="K264" s="30">
        <v>10</v>
      </c>
      <c r="L264" s="35">
        <v>100000</v>
      </c>
      <c r="M264" s="1454"/>
      <c r="N264" s="1445"/>
    </row>
    <row r="265" spans="2:14">
      <c r="B265" s="1451"/>
      <c r="C265" s="1448">
        <v>2</v>
      </c>
      <c r="D265" s="1448" t="s">
        <v>432</v>
      </c>
      <c r="E265" s="30">
        <v>56012877</v>
      </c>
      <c r="F265" s="31" t="s">
        <v>433</v>
      </c>
      <c r="G265" s="1448" t="s">
        <v>433</v>
      </c>
      <c r="H265" s="30">
        <v>30200491</v>
      </c>
      <c r="I265" s="35">
        <v>9900</v>
      </c>
      <c r="J265" s="64">
        <v>0.1</v>
      </c>
      <c r="K265" s="30">
        <v>10</v>
      </c>
      <c r="L265" s="35">
        <v>100000</v>
      </c>
      <c r="M265" s="1454" t="s">
        <v>434</v>
      </c>
      <c r="N265" s="1445">
        <v>20241226839</v>
      </c>
    </row>
    <row r="266" spans="2:14">
      <c r="B266" s="1451"/>
      <c r="C266" s="1448"/>
      <c r="D266" s="1448"/>
      <c r="E266" s="30">
        <v>60007942</v>
      </c>
      <c r="F266" s="31" t="s">
        <v>435</v>
      </c>
      <c r="G266" s="1448"/>
      <c r="H266" s="30">
        <v>30200490</v>
      </c>
      <c r="I266" s="35">
        <v>14800</v>
      </c>
      <c r="J266" s="64">
        <v>0.1</v>
      </c>
      <c r="K266" s="30">
        <v>10</v>
      </c>
      <c r="L266" s="35">
        <v>100000</v>
      </c>
      <c r="M266" s="1454"/>
      <c r="N266" s="1445"/>
    </row>
    <row r="267" spans="2:14">
      <c r="B267" s="1451"/>
      <c r="C267" s="1448"/>
      <c r="D267" s="1448"/>
      <c r="E267" s="30">
        <v>60007943</v>
      </c>
      <c r="F267" s="31" t="s">
        <v>436</v>
      </c>
      <c r="G267" s="1448"/>
      <c r="H267" s="30">
        <v>30200489</v>
      </c>
      <c r="I267" s="35">
        <v>14300</v>
      </c>
      <c r="J267" s="64">
        <v>0.1</v>
      </c>
      <c r="K267" s="30">
        <v>10</v>
      </c>
      <c r="L267" s="35">
        <v>100000</v>
      </c>
      <c r="M267" s="1454"/>
      <c r="N267" s="1445"/>
    </row>
    <row r="268" spans="2:14">
      <c r="B268" s="1451"/>
      <c r="C268" s="1448"/>
      <c r="D268" s="1448"/>
      <c r="E268" s="30">
        <v>60007946</v>
      </c>
      <c r="F268" s="31" t="s">
        <v>437</v>
      </c>
      <c r="G268" s="1448"/>
      <c r="H268" s="30">
        <v>30200488</v>
      </c>
      <c r="I268" s="35">
        <v>14500</v>
      </c>
      <c r="J268" s="64">
        <v>0.1</v>
      </c>
      <c r="K268" s="30">
        <v>10</v>
      </c>
      <c r="L268" s="35">
        <v>100000</v>
      </c>
      <c r="M268" s="1454"/>
      <c r="N268" s="1445"/>
    </row>
    <row r="269" spans="2:14">
      <c r="B269" s="1451"/>
      <c r="C269" s="1448"/>
      <c r="D269" s="1448"/>
      <c r="E269" s="30">
        <v>60007945</v>
      </c>
      <c r="F269" s="31" t="s">
        <v>438</v>
      </c>
      <c r="G269" s="1448"/>
      <c r="H269" s="30">
        <v>30200487</v>
      </c>
      <c r="I269" s="35">
        <v>15300</v>
      </c>
      <c r="J269" s="64">
        <v>0.1</v>
      </c>
      <c r="K269" s="30">
        <v>10</v>
      </c>
      <c r="L269" s="35">
        <v>100000</v>
      </c>
      <c r="M269" s="1454"/>
      <c r="N269" s="1445"/>
    </row>
    <row r="270" spans="2:14">
      <c r="B270" s="1451"/>
      <c r="C270" s="1448">
        <v>3</v>
      </c>
      <c r="D270" s="1448" t="s">
        <v>439</v>
      </c>
      <c r="E270" s="30">
        <v>72622693</v>
      </c>
      <c r="F270" s="31" t="s">
        <v>440</v>
      </c>
      <c r="G270" s="1448" t="s">
        <v>440</v>
      </c>
      <c r="H270" s="30">
        <v>30214237</v>
      </c>
      <c r="I270" s="35">
        <v>11900</v>
      </c>
      <c r="J270" s="64">
        <v>0.1</v>
      </c>
      <c r="K270" s="30">
        <v>10</v>
      </c>
      <c r="L270" s="35">
        <v>100000</v>
      </c>
      <c r="M270" s="1454" t="s">
        <v>441</v>
      </c>
      <c r="N270" s="1445">
        <v>20241226840</v>
      </c>
    </row>
    <row r="271" spans="2:14">
      <c r="B271" s="1451"/>
      <c r="C271" s="1448"/>
      <c r="D271" s="1448"/>
      <c r="E271" s="30">
        <v>72622229</v>
      </c>
      <c r="F271" s="31" t="s">
        <v>442</v>
      </c>
      <c r="G271" s="1448"/>
      <c r="H271" s="30">
        <v>30214236</v>
      </c>
      <c r="I271" s="35">
        <v>11900</v>
      </c>
      <c r="J271" s="64">
        <v>0.1</v>
      </c>
      <c r="K271" s="30">
        <v>10</v>
      </c>
      <c r="L271" s="35">
        <v>100000</v>
      </c>
      <c r="M271" s="1454"/>
      <c r="N271" s="1445"/>
    </row>
    <row r="272" spans="2:14">
      <c r="B272" s="1451"/>
      <c r="C272" s="1448"/>
      <c r="D272" s="1448"/>
      <c r="E272" s="30">
        <v>72622912</v>
      </c>
      <c r="F272" s="31" t="s">
        <v>443</v>
      </c>
      <c r="G272" s="1448"/>
      <c r="H272" s="30">
        <v>30214235</v>
      </c>
      <c r="I272" s="35">
        <v>11900</v>
      </c>
      <c r="J272" s="64">
        <v>0.1</v>
      </c>
      <c r="K272" s="30">
        <v>10</v>
      </c>
      <c r="L272" s="35">
        <v>100000</v>
      </c>
      <c r="M272" s="1454"/>
      <c r="N272" s="1445"/>
    </row>
    <row r="273" spans="2:14">
      <c r="B273" s="1451"/>
      <c r="C273" s="1448"/>
      <c r="D273" s="1448"/>
      <c r="E273" s="30">
        <v>72632836</v>
      </c>
      <c r="F273" s="31" t="s">
        <v>444</v>
      </c>
      <c r="G273" s="1448"/>
      <c r="H273" s="30">
        <v>30214234</v>
      </c>
      <c r="I273" s="35">
        <v>11900</v>
      </c>
      <c r="J273" s="64">
        <v>0.1</v>
      </c>
      <c r="K273" s="30">
        <v>10</v>
      </c>
      <c r="L273" s="35">
        <v>100000</v>
      </c>
      <c r="M273" s="1454"/>
      <c r="N273" s="1445"/>
    </row>
    <row r="274" spans="2:14">
      <c r="B274" s="1451"/>
      <c r="C274" s="1448"/>
      <c r="D274" s="1448"/>
      <c r="E274" s="30">
        <v>72632884</v>
      </c>
      <c r="F274" s="31" t="s">
        <v>445</v>
      </c>
      <c r="G274" s="1448"/>
      <c r="H274" s="30">
        <v>30214233</v>
      </c>
      <c r="I274" s="35">
        <v>12900</v>
      </c>
      <c r="J274" s="64">
        <v>0.1</v>
      </c>
      <c r="K274" s="30">
        <v>10</v>
      </c>
      <c r="L274" s="35">
        <v>100000</v>
      </c>
      <c r="M274" s="1454"/>
      <c r="N274" s="1445"/>
    </row>
    <row r="275" spans="2:14">
      <c r="B275" s="1451"/>
      <c r="C275" s="1448">
        <v>4</v>
      </c>
      <c r="D275" s="1448" t="s">
        <v>446</v>
      </c>
      <c r="E275" s="30">
        <v>30170346</v>
      </c>
      <c r="F275" s="31" t="s">
        <v>447</v>
      </c>
      <c r="G275" s="1454" t="s">
        <v>448</v>
      </c>
      <c r="H275" s="30">
        <v>30170346</v>
      </c>
      <c r="I275" s="35">
        <v>10900</v>
      </c>
      <c r="J275" s="64">
        <v>0.12</v>
      </c>
      <c r="K275" s="30">
        <v>10</v>
      </c>
      <c r="L275" s="35">
        <v>100000</v>
      </c>
      <c r="M275" s="1454" t="s">
        <v>449</v>
      </c>
      <c r="N275" s="1445">
        <v>20241226856</v>
      </c>
    </row>
    <row r="276" spans="2:14">
      <c r="B276" s="1451"/>
      <c r="C276" s="1448"/>
      <c r="D276" s="1448"/>
      <c r="E276" s="30">
        <v>30170932</v>
      </c>
      <c r="F276" s="31" t="s">
        <v>450</v>
      </c>
      <c r="G276" s="1454"/>
      <c r="H276" s="30">
        <v>30170932</v>
      </c>
      <c r="I276" s="35">
        <v>16500</v>
      </c>
      <c r="J276" s="64">
        <v>0.12</v>
      </c>
      <c r="K276" s="30">
        <v>10</v>
      </c>
      <c r="L276" s="35">
        <v>100000</v>
      </c>
      <c r="M276" s="1454"/>
      <c r="N276" s="1445"/>
    </row>
    <row r="277" spans="2:14">
      <c r="B277" s="1451"/>
      <c r="C277" s="1448"/>
      <c r="D277" s="1448"/>
      <c r="E277" s="30">
        <v>30170933</v>
      </c>
      <c r="F277" s="31" t="s">
        <v>451</v>
      </c>
      <c r="G277" s="1454"/>
      <c r="H277" s="30">
        <v>30170933</v>
      </c>
      <c r="I277" s="35">
        <v>23800</v>
      </c>
      <c r="J277" s="64">
        <v>0.12</v>
      </c>
      <c r="K277" s="30">
        <v>10</v>
      </c>
      <c r="L277" s="35">
        <v>100000</v>
      </c>
      <c r="M277" s="1454"/>
      <c r="N277" s="1445"/>
    </row>
    <row r="278" spans="2:14">
      <c r="B278" s="1451"/>
      <c r="C278" s="1448"/>
      <c r="D278" s="1448"/>
      <c r="E278" s="30">
        <v>30184098</v>
      </c>
      <c r="F278" s="31" t="s">
        <v>452</v>
      </c>
      <c r="G278" s="1454"/>
      <c r="H278" s="30">
        <v>30184098</v>
      </c>
      <c r="I278" s="35">
        <v>9900</v>
      </c>
      <c r="J278" s="64">
        <v>0.12</v>
      </c>
      <c r="K278" s="30">
        <v>10</v>
      </c>
      <c r="L278" s="35">
        <v>100000</v>
      </c>
      <c r="M278" s="1454"/>
      <c r="N278" s="1445"/>
    </row>
    <row r="279" spans="2:14">
      <c r="B279" s="1451"/>
      <c r="C279" s="1448"/>
      <c r="D279" s="1448"/>
      <c r="E279" s="30">
        <v>30184099</v>
      </c>
      <c r="F279" s="31" t="s">
        <v>453</v>
      </c>
      <c r="G279" s="1454"/>
      <c r="H279" s="30">
        <v>30184099</v>
      </c>
      <c r="I279" s="35">
        <v>9900</v>
      </c>
      <c r="J279" s="64">
        <v>0.12</v>
      </c>
      <c r="K279" s="30">
        <v>10</v>
      </c>
      <c r="L279" s="35">
        <v>100000</v>
      </c>
      <c r="M279" s="1454"/>
      <c r="N279" s="1445"/>
    </row>
    <row r="280" spans="2:14">
      <c r="B280" s="1451"/>
      <c r="C280" s="1448"/>
      <c r="D280" s="1448"/>
      <c r="E280" s="30">
        <v>30170935</v>
      </c>
      <c r="F280" s="31" t="s">
        <v>454</v>
      </c>
      <c r="G280" s="1454"/>
      <c r="H280" s="30">
        <v>30170935</v>
      </c>
      <c r="I280" s="35">
        <v>8200</v>
      </c>
      <c r="J280" s="64">
        <v>0.12</v>
      </c>
      <c r="K280" s="30">
        <v>10</v>
      </c>
      <c r="L280" s="35">
        <v>100000</v>
      </c>
      <c r="M280" s="1454"/>
      <c r="N280" s="1445"/>
    </row>
    <row r="281" spans="2:14">
      <c r="B281" s="1451"/>
      <c r="C281" s="1448"/>
      <c r="D281" s="1448"/>
      <c r="E281" s="30">
        <v>30170939</v>
      </c>
      <c r="F281" s="31" t="s">
        <v>455</v>
      </c>
      <c r="G281" s="1454"/>
      <c r="H281" s="30">
        <v>30170939</v>
      </c>
      <c r="I281" s="35">
        <v>9900</v>
      </c>
      <c r="J281" s="64">
        <v>0.12</v>
      </c>
      <c r="K281" s="30">
        <v>10</v>
      </c>
      <c r="L281" s="35">
        <v>100000</v>
      </c>
      <c r="M281" s="1454"/>
      <c r="N281" s="1445"/>
    </row>
    <row r="282" spans="2:14">
      <c r="B282" s="1451"/>
      <c r="C282" s="1448">
        <v>5</v>
      </c>
      <c r="D282" s="1448" t="s">
        <v>439</v>
      </c>
      <c r="E282" s="30">
        <v>70753807</v>
      </c>
      <c r="F282" s="31" t="s">
        <v>456</v>
      </c>
      <c r="G282" s="1448" t="s">
        <v>456</v>
      </c>
      <c r="H282" s="30">
        <v>30214228</v>
      </c>
      <c r="I282" s="35">
        <v>9800</v>
      </c>
      <c r="J282" s="64">
        <v>0.1</v>
      </c>
      <c r="K282" s="30">
        <v>10</v>
      </c>
      <c r="L282" s="35">
        <v>100000</v>
      </c>
      <c r="M282" s="1454" t="s">
        <v>457</v>
      </c>
      <c r="N282" s="1445">
        <v>20241226841</v>
      </c>
    </row>
    <row r="283" spans="2:14">
      <c r="B283" s="1451"/>
      <c r="C283" s="1448"/>
      <c r="D283" s="1448"/>
      <c r="E283" s="30">
        <v>70753765</v>
      </c>
      <c r="F283" s="31" t="s">
        <v>458</v>
      </c>
      <c r="G283" s="1448"/>
      <c r="H283" s="30">
        <v>30214227</v>
      </c>
      <c r="I283" s="35">
        <v>9800</v>
      </c>
      <c r="J283" s="64">
        <v>0.1</v>
      </c>
      <c r="K283" s="30">
        <v>10</v>
      </c>
      <c r="L283" s="35">
        <v>100000</v>
      </c>
      <c r="M283" s="1454"/>
      <c r="N283" s="1445"/>
    </row>
    <row r="284" spans="2:14">
      <c r="B284" s="1451"/>
      <c r="C284" s="1448"/>
      <c r="D284" s="1448"/>
      <c r="E284" s="30">
        <v>70753908</v>
      </c>
      <c r="F284" s="31" t="s">
        <v>459</v>
      </c>
      <c r="G284" s="1448"/>
      <c r="H284" s="30">
        <v>30214226</v>
      </c>
      <c r="I284" s="35">
        <v>9800</v>
      </c>
      <c r="J284" s="64">
        <v>0.1</v>
      </c>
      <c r="K284" s="30">
        <v>10</v>
      </c>
      <c r="L284" s="35">
        <v>100000</v>
      </c>
      <c r="M284" s="1454"/>
      <c r="N284" s="1445"/>
    </row>
    <row r="285" spans="2:14">
      <c r="B285" s="1451"/>
      <c r="C285" s="1448"/>
      <c r="D285" s="1448"/>
      <c r="E285" s="30">
        <v>70753688</v>
      </c>
      <c r="F285" s="31" t="s">
        <v>460</v>
      </c>
      <c r="G285" s="1448"/>
      <c r="H285" s="30">
        <v>30214225</v>
      </c>
      <c r="I285" s="35">
        <v>9800</v>
      </c>
      <c r="J285" s="64">
        <v>0.1</v>
      </c>
      <c r="K285" s="30">
        <v>10</v>
      </c>
      <c r="L285" s="35">
        <v>100000</v>
      </c>
      <c r="M285" s="1454"/>
      <c r="N285" s="1445"/>
    </row>
    <row r="286" spans="2:14">
      <c r="B286" s="1451"/>
      <c r="C286" s="1448"/>
      <c r="D286" s="1448"/>
      <c r="E286" s="30">
        <v>70753731</v>
      </c>
      <c r="F286" s="31" t="s">
        <v>461</v>
      </c>
      <c r="G286" s="1448"/>
      <c r="H286" s="30">
        <v>30214224</v>
      </c>
      <c r="I286" s="35">
        <v>9800</v>
      </c>
      <c r="J286" s="64">
        <v>0.1</v>
      </c>
      <c r="K286" s="30">
        <v>10</v>
      </c>
      <c r="L286" s="35">
        <v>100000</v>
      </c>
      <c r="M286" s="1454"/>
      <c r="N286" s="1445"/>
    </row>
    <row r="287" spans="2:14">
      <c r="B287" s="1451"/>
      <c r="C287" s="1448"/>
      <c r="D287" s="1448"/>
      <c r="E287" s="30">
        <v>70753727</v>
      </c>
      <c r="F287" s="31" t="s">
        <v>462</v>
      </c>
      <c r="G287" s="1448"/>
      <c r="H287" s="30">
        <v>30214223</v>
      </c>
      <c r="I287" s="35">
        <v>9800</v>
      </c>
      <c r="J287" s="64">
        <v>0.1</v>
      </c>
      <c r="K287" s="30">
        <v>10</v>
      </c>
      <c r="L287" s="35">
        <v>100000</v>
      </c>
      <c r="M287" s="1454"/>
      <c r="N287" s="1445"/>
    </row>
    <row r="288" spans="2:14">
      <c r="B288" s="1451"/>
      <c r="C288" s="1448">
        <v>6</v>
      </c>
      <c r="D288" s="1448" t="s">
        <v>426</v>
      </c>
      <c r="E288" s="30">
        <v>40365122</v>
      </c>
      <c r="F288" s="31" t="s">
        <v>463</v>
      </c>
      <c r="G288" s="1448" t="s">
        <v>463</v>
      </c>
      <c r="H288" s="30">
        <v>30214222</v>
      </c>
      <c r="I288" s="35">
        <v>12900</v>
      </c>
      <c r="J288" s="64">
        <v>0.1</v>
      </c>
      <c r="K288" s="30">
        <v>10</v>
      </c>
      <c r="L288" s="35">
        <v>100000</v>
      </c>
      <c r="M288" s="1454" t="s">
        <v>464</v>
      </c>
      <c r="N288" s="1445">
        <v>20241226842</v>
      </c>
    </row>
    <row r="289" spans="2:14">
      <c r="B289" s="1451"/>
      <c r="C289" s="1448"/>
      <c r="D289" s="1448"/>
      <c r="E289" s="30">
        <v>47740252</v>
      </c>
      <c r="F289" s="31" t="s">
        <v>465</v>
      </c>
      <c r="G289" s="1448"/>
      <c r="H289" s="30">
        <v>30214221</v>
      </c>
      <c r="I289" s="35">
        <v>12900</v>
      </c>
      <c r="J289" s="64">
        <v>0.1</v>
      </c>
      <c r="K289" s="30">
        <v>10</v>
      </c>
      <c r="L289" s="35">
        <v>100000</v>
      </c>
      <c r="M289" s="1454"/>
      <c r="N289" s="1445"/>
    </row>
    <row r="290" spans="2:14">
      <c r="B290" s="1451"/>
      <c r="C290" s="1448"/>
      <c r="D290" s="1448"/>
      <c r="E290" s="30">
        <v>47744761</v>
      </c>
      <c r="F290" s="31" t="s">
        <v>466</v>
      </c>
      <c r="G290" s="1448"/>
      <c r="H290" s="30">
        <v>30214220</v>
      </c>
      <c r="I290" s="35">
        <v>9900</v>
      </c>
      <c r="J290" s="64">
        <v>0.1</v>
      </c>
      <c r="K290" s="30">
        <v>10</v>
      </c>
      <c r="L290" s="35">
        <v>100000</v>
      </c>
      <c r="M290" s="1454"/>
      <c r="N290" s="1445"/>
    </row>
    <row r="291" spans="2:14">
      <c r="B291" s="1451"/>
      <c r="C291" s="1448"/>
      <c r="D291" s="1448"/>
      <c r="E291" s="30">
        <v>47744735</v>
      </c>
      <c r="F291" s="31" t="s">
        <v>467</v>
      </c>
      <c r="G291" s="1448"/>
      <c r="H291" s="30">
        <v>30214219</v>
      </c>
      <c r="I291" s="35">
        <v>9900</v>
      </c>
      <c r="J291" s="64">
        <v>0.1</v>
      </c>
      <c r="K291" s="30">
        <v>10</v>
      </c>
      <c r="L291" s="35">
        <v>100000</v>
      </c>
      <c r="M291" s="1454"/>
      <c r="N291" s="1445"/>
    </row>
    <row r="292" spans="2:14">
      <c r="B292" s="1451"/>
      <c r="C292" s="1448"/>
      <c r="D292" s="1448"/>
      <c r="E292" s="30">
        <v>47740991</v>
      </c>
      <c r="F292" s="31" t="s">
        <v>468</v>
      </c>
      <c r="G292" s="1448"/>
      <c r="H292" s="30">
        <v>30214218</v>
      </c>
      <c r="I292" s="35">
        <v>9900</v>
      </c>
      <c r="J292" s="64">
        <v>0.1</v>
      </c>
      <c r="K292" s="30">
        <v>10</v>
      </c>
      <c r="L292" s="35">
        <v>100000</v>
      </c>
      <c r="M292" s="1454"/>
      <c r="N292" s="1445"/>
    </row>
    <row r="293" spans="2:14">
      <c r="B293" s="1451"/>
      <c r="C293" s="1448">
        <v>7</v>
      </c>
      <c r="D293" s="1448" t="s">
        <v>469</v>
      </c>
      <c r="E293" s="30">
        <v>48595249</v>
      </c>
      <c r="F293" s="31" t="s">
        <v>470</v>
      </c>
      <c r="G293" s="1448" t="s">
        <v>471</v>
      </c>
      <c r="H293" s="30">
        <v>30209013</v>
      </c>
      <c r="I293" s="35">
        <v>12900</v>
      </c>
      <c r="J293" s="64">
        <v>0.1</v>
      </c>
      <c r="K293" s="30">
        <v>10</v>
      </c>
      <c r="L293" s="35">
        <v>100000</v>
      </c>
      <c r="M293" s="1454" t="s">
        <v>472</v>
      </c>
      <c r="N293" s="1445">
        <v>20241226843</v>
      </c>
    </row>
    <row r="294" spans="2:14">
      <c r="B294" s="1451"/>
      <c r="C294" s="1448"/>
      <c r="D294" s="1448"/>
      <c r="E294" s="30">
        <v>30213451</v>
      </c>
      <c r="F294" s="31" t="s">
        <v>473</v>
      </c>
      <c r="G294" s="1448"/>
      <c r="H294" s="30">
        <v>30190694</v>
      </c>
      <c r="I294" s="35">
        <v>11500</v>
      </c>
      <c r="J294" s="64">
        <v>0.1</v>
      </c>
      <c r="K294" s="30">
        <v>10</v>
      </c>
      <c r="L294" s="35">
        <v>100000</v>
      </c>
      <c r="M294" s="1454"/>
      <c r="N294" s="1445"/>
    </row>
    <row r="295" spans="2:14">
      <c r="B295" s="1451"/>
      <c r="C295" s="1448"/>
      <c r="D295" s="1448"/>
      <c r="E295" s="30">
        <v>48594586</v>
      </c>
      <c r="F295" s="31" t="s">
        <v>474</v>
      </c>
      <c r="G295" s="1448"/>
      <c r="H295" s="30">
        <v>30153135</v>
      </c>
      <c r="I295" s="35">
        <v>22500</v>
      </c>
      <c r="J295" s="64">
        <v>0.1</v>
      </c>
      <c r="K295" s="30">
        <v>10</v>
      </c>
      <c r="L295" s="35">
        <v>100000</v>
      </c>
      <c r="M295" s="1454"/>
      <c r="N295" s="1445"/>
    </row>
    <row r="296" spans="2:14">
      <c r="B296" s="1451"/>
      <c r="C296" s="1448"/>
      <c r="D296" s="1448"/>
      <c r="E296" s="30">
        <v>48595128</v>
      </c>
      <c r="F296" s="31" t="s">
        <v>475</v>
      </c>
      <c r="G296" s="1448"/>
      <c r="H296" s="30">
        <v>30214216</v>
      </c>
      <c r="I296" s="35">
        <v>12500</v>
      </c>
      <c r="J296" s="64">
        <v>0.1</v>
      </c>
      <c r="K296" s="30">
        <v>10</v>
      </c>
      <c r="L296" s="35">
        <v>100000</v>
      </c>
      <c r="M296" s="1454"/>
      <c r="N296" s="1445"/>
    </row>
    <row r="297" spans="2:14">
      <c r="B297" s="1451"/>
      <c r="C297" s="1448"/>
      <c r="D297" s="1448"/>
      <c r="E297" s="30">
        <v>48595038</v>
      </c>
      <c r="F297" s="31" t="s">
        <v>476</v>
      </c>
      <c r="G297" s="1448"/>
      <c r="H297" s="30">
        <v>30214215</v>
      </c>
      <c r="I297" s="35">
        <v>13900</v>
      </c>
      <c r="J297" s="64">
        <v>0.1</v>
      </c>
      <c r="K297" s="30">
        <v>10</v>
      </c>
      <c r="L297" s="35">
        <v>100000</v>
      </c>
      <c r="M297" s="1454"/>
      <c r="N297" s="1445"/>
    </row>
    <row r="298" spans="2:14">
      <c r="B298" s="1454" t="s">
        <v>477</v>
      </c>
      <c r="C298" s="1448">
        <v>1</v>
      </c>
      <c r="D298" s="1448" t="s">
        <v>478</v>
      </c>
      <c r="E298" s="30">
        <v>72201618</v>
      </c>
      <c r="F298" s="31" t="s">
        <v>479</v>
      </c>
      <c r="G298" s="1454" t="s">
        <v>479</v>
      </c>
      <c r="H298" s="30">
        <v>30209960</v>
      </c>
      <c r="I298" s="30">
        <v>5900</v>
      </c>
      <c r="J298" s="64">
        <v>9.9999999999999978E-2</v>
      </c>
      <c r="K298" s="30">
        <v>10</v>
      </c>
      <c r="L298" s="30">
        <f t="shared" ref="L298:L324" si="2">I298*10</f>
        <v>59000</v>
      </c>
      <c r="M298" s="1454" t="s">
        <v>480</v>
      </c>
      <c r="N298" s="1445">
        <v>20241226844</v>
      </c>
    </row>
    <row r="299" spans="2:14">
      <c r="B299" s="1454"/>
      <c r="C299" s="1448"/>
      <c r="D299" s="1448"/>
      <c r="E299" s="30">
        <v>72201627</v>
      </c>
      <c r="F299" s="31" t="s">
        <v>481</v>
      </c>
      <c r="G299" s="1454"/>
      <c r="H299" s="30">
        <v>30209959</v>
      </c>
      <c r="I299" s="30">
        <v>8500</v>
      </c>
      <c r="J299" s="64">
        <v>9.9999999999999978E-2</v>
      </c>
      <c r="K299" s="30">
        <v>10</v>
      </c>
      <c r="L299" s="30">
        <f t="shared" si="2"/>
        <v>85000</v>
      </c>
      <c r="M299" s="1454"/>
      <c r="N299" s="1445"/>
    </row>
    <row r="300" spans="2:14">
      <c r="B300" s="1454"/>
      <c r="C300" s="1448"/>
      <c r="D300" s="1448"/>
      <c r="E300" s="30">
        <v>72201624</v>
      </c>
      <c r="F300" s="31" t="s">
        <v>482</v>
      </c>
      <c r="G300" s="1454"/>
      <c r="H300" s="30">
        <v>30209958</v>
      </c>
      <c r="I300" s="30">
        <v>11500</v>
      </c>
      <c r="J300" s="64">
        <v>9.9999999999999978E-2</v>
      </c>
      <c r="K300" s="30">
        <v>10</v>
      </c>
      <c r="L300" s="30">
        <f t="shared" si="2"/>
        <v>115000</v>
      </c>
      <c r="M300" s="1454"/>
      <c r="N300" s="1445"/>
    </row>
    <row r="301" spans="2:14">
      <c r="B301" s="1454"/>
      <c r="C301" s="1448"/>
      <c r="D301" s="1448"/>
      <c r="E301" s="30">
        <v>72201621</v>
      </c>
      <c r="F301" s="31" t="s">
        <v>483</v>
      </c>
      <c r="G301" s="1454"/>
      <c r="H301" s="30">
        <v>30209957</v>
      </c>
      <c r="I301" s="30">
        <v>16900</v>
      </c>
      <c r="J301" s="64">
        <v>9.9999999999999978E-2</v>
      </c>
      <c r="K301" s="30">
        <v>10</v>
      </c>
      <c r="L301" s="30">
        <f t="shared" si="2"/>
        <v>169000</v>
      </c>
      <c r="M301" s="1454"/>
      <c r="N301" s="1445"/>
    </row>
    <row r="302" spans="2:14" ht="16.5" customHeight="1">
      <c r="B302" s="1454"/>
      <c r="C302" s="1448">
        <v>2</v>
      </c>
      <c r="D302" s="1448" t="s">
        <v>478</v>
      </c>
      <c r="E302" s="30">
        <v>74033181</v>
      </c>
      <c r="F302" s="31" t="s">
        <v>484</v>
      </c>
      <c r="G302" s="1448" t="s">
        <v>484</v>
      </c>
      <c r="H302" s="30">
        <v>30214206</v>
      </c>
      <c r="I302" s="30">
        <v>8900</v>
      </c>
      <c r="J302" s="64">
        <v>9.9999999999999978E-2</v>
      </c>
      <c r="K302" s="30">
        <v>10</v>
      </c>
      <c r="L302" s="30">
        <f t="shared" si="2"/>
        <v>89000</v>
      </c>
      <c r="M302" s="1454" t="s">
        <v>485</v>
      </c>
      <c r="N302" s="1445">
        <v>20241226845</v>
      </c>
    </row>
    <row r="303" spans="2:14">
      <c r="B303" s="1454"/>
      <c r="C303" s="1448"/>
      <c r="D303" s="1448"/>
      <c r="E303" s="30">
        <v>74033177</v>
      </c>
      <c r="F303" s="31" t="s">
        <v>486</v>
      </c>
      <c r="G303" s="1448"/>
      <c r="H303" s="30">
        <v>30214205</v>
      </c>
      <c r="I303" s="30">
        <v>12200</v>
      </c>
      <c r="J303" s="64">
        <v>9.9999999999999978E-2</v>
      </c>
      <c r="K303" s="30">
        <v>10</v>
      </c>
      <c r="L303" s="30">
        <f t="shared" si="2"/>
        <v>122000</v>
      </c>
      <c r="M303" s="1454"/>
      <c r="N303" s="1445"/>
    </row>
    <row r="304" spans="2:14">
      <c r="B304" s="1454"/>
      <c r="C304" s="1448">
        <v>3</v>
      </c>
      <c r="D304" s="1448" t="s">
        <v>478</v>
      </c>
      <c r="E304" s="30">
        <v>73837547</v>
      </c>
      <c r="F304" s="31" t="s">
        <v>487</v>
      </c>
      <c r="G304" s="1448" t="s">
        <v>487</v>
      </c>
      <c r="H304" s="30">
        <v>30214204</v>
      </c>
      <c r="I304" s="30">
        <v>12900</v>
      </c>
      <c r="J304" s="64">
        <v>9.9999999999999978E-2</v>
      </c>
      <c r="K304" s="30">
        <v>10</v>
      </c>
      <c r="L304" s="30">
        <f t="shared" si="2"/>
        <v>129000</v>
      </c>
      <c r="M304" s="1454" t="s">
        <v>488</v>
      </c>
      <c r="N304" s="1445">
        <v>20241226846</v>
      </c>
    </row>
    <row r="305" spans="2:14">
      <c r="B305" s="1454"/>
      <c r="C305" s="1448"/>
      <c r="D305" s="1448"/>
      <c r="E305" s="30">
        <v>73837532</v>
      </c>
      <c r="F305" s="31" t="s">
        <v>489</v>
      </c>
      <c r="G305" s="1448"/>
      <c r="H305" s="30">
        <v>30214203</v>
      </c>
      <c r="I305" s="30">
        <v>26900</v>
      </c>
      <c r="J305" s="64">
        <v>9.9999999999999978E-2</v>
      </c>
      <c r="K305" s="30">
        <v>10</v>
      </c>
      <c r="L305" s="30">
        <f t="shared" si="2"/>
        <v>269000</v>
      </c>
      <c r="M305" s="1454"/>
      <c r="N305" s="1445"/>
    </row>
    <row r="306" spans="2:14">
      <c r="B306" s="1454"/>
      <c r="C306" s="1448"/>
      <c r="D306" s="1448"/>
      <c r="E306" s="30">
        <v>73842413</v>
      </c>
      <c r="F306" s="31" t="s">
        <v>490</v>
      </c>
      <c r="G306" s="1448"/>
      <c r="H306" s="30">
        <v>30214202</v>
      </c>
      <c r="I306" s="30">
        <v>15700</v>
      </c>
      <c r="J306" s="64">
        <v>9.9999999999999978E-2</v>
      </c>
      <c r="K306" s="30">
        <v>10</v>
      </c>
      <c r="L306" s="30">
        <f t="shared" si="2"/>
        <v>157000</v>
      </c>
      <c r="M306" s="1454"/>
      <c r="N306" s="1445"/>
    </row>
    <row r="307" spans="2:14">
      <c r="B307" s="1454"/>
      <c r="C307" s="1448"/>
      <c r="D307" s="1448"/>
      <c r="E307" s="30">
        <v>73842410</v>
      </c>
      <c r="F307" s="31" t="s">
        <v>491</v>
      </c>
      <c r="G307" s="1448"/>
      <c r="H307" s="30">
        <v>30214201</v>
      </c>
      <c r="I307" s="30">
        <v>29900</v>
      </c>
      <c r="J307" s="64">
        <v>9.9999999999999978E-2</v>
      </c>
      <c r="K307" s="30">
        <v>10</v>
      </c>
      <c r="L307" s="30">
        <f t="shared" si="2"/>
        <v>299000</v>
      </c>
      <c r="M307" s="1454"/>
      <c r="N307" s="1445"/>
    </row>
    <row r="308" spans="2:14" ht="18" customHeight="1">
      <c r="B308" s="1454"/>
      <c r="C308" s="1448">
        <v>4</v>
      </c>
      <c r="D308" s="1448" t="s">
        <v>478</v>
      </c>
      <c r="E308" s="30">
        <v>73409309</v>
      </c>
      <c r="F308" s="31" t="s">
        <v>492</v>
      </c>
      <c r="G308" s="1454" t="s">
        <v>492</v>
      </c>
      <c r="H308" s="30">
        <v>30214200</v>
      </c>
      <c r="I308" s="30">
        <v>29000</v>
      </c>
      <c r="J308" s="64">
        <v>9.9999999999999978E-2</v>
      </c>
      <c r="K308" s="30">
        <v>10</v>
      </c>
      <c r="L308" s="30">
        <f t="shared" si="2"/>
        <v>290000</v>
      </c>
      <c r="M308" s="1454" t="s">
        <v>493</v>
      </c>
      <c r="N308" s="1445">
        <v>20241226847</v>
      </c>
    </row>
    <row r="309" spans="2:14">
      <c r="B309" s="1454"/>
      <c r="C309" s="1448"/>
      <c r="D309" s="1448"/>
      <c r="E309" s="30">
        <v>73409306</v>
      </c>
      <c r="F309" s="31" t="s">
        <v>494</v>
      </c>
      <c r="G309" s="1454"/>
      <c r="H309" s="30">
        <v>30214199</v>
      </c>
      <c r="I309" s="30">
        <v>34000</v>
      </c>
      <c r="J309" s="64">
        <v>9.9999999999999978E-2</v>
      </c>
      <c r="K309" s="30">
        <v>10</v>
      </c>
      <c r="L309" s="30">
        <f t="shared" si="2"/>
        <v>340000</v>
      </c>
      <c r="M309" s="1454"/>
      <c r="N309" s="1445"/>
    </row>
    <row r="310" spans="2:14">
      <c r="B310" s="1454"/>
      <c r="C310" s="1448">
        <v>5</v>
      </c>
      <c r="D310" s="1448" t="s">
        <v>495</v>
      </c>
      <c r="E310" s="30" t="s">
        <v>496</v>
      </c>
      <c r="F310" s="31" t="s">
        <v>497</v>
      </c>
      <c r="G310" s="1448" t="s">
        <v>497</v>
      </c>
      <c r="H310" s="30">
        <v>30205931</v>
      </c>
      <c r="I310" s="30">
        <v>11500</v>
      </c>
      <c r="J310" s="64">
        <v>9.9999999999999978E-2</v>
      </c>
      <c r="K310" s="30">
        <v>10</v>
      </c>
      <c r="L310" s="30">
        <f t="shared" si="2"/>
        <v>115000</v>
      </c>
      <c r="M310" s="1454" t="s">
        <v>498</v>
      </c>
      <c r="N310" s="1445">
        <v>20241226848</v>
      </c>
    </row>
    <row r="311" spans="2:14">
      <c r="B311" s="1454"/>
      <c r="C311" s="1448"/>
      <c r="D311" s="1448"/>
      <c r="E311" s="30" t="s">
        <v>499</v>
      </c>
      <c r="F311" s="31" t="s">
        <v>500</v>
      </c>
      <c r="G311" s="1448"/>
      <c r="H311" s="30">
        <v>30205933</v>
      </c>
      <c r="I311" s="30">
        <v>19500</v>
      </c>
      <c r="J311" s="64">
        <v>0.15000000000000002</v>
      </c>
      <c r="K311" s="30">
        <v>10</v>
      </c>
      <c r="L311" s="30">
        <f t="shared" si="2"/>
        <v>195000</v>
      </c>
      <c r="M311" s="1454"/>
      <c r="N311" s="1445"/>
    </row>
    <row r="312" spans="2:14">
      <c r="B312" s="1454"/>
      <c r="C312" s="1448">
        <v>6</v>
      </c>
      <c r="D312" s="1448" t="s">
        <v>501</v>
      </c>
      <c r="E312" s="30">
        <v>30208193</v>
      </c>
      <c r="F312" s="31" t="s">
        <v>502</v>
      </c>
      <c r="G312" s="1448" t="s">
        <v>502</v>
      </c>
      <c r="H312" s="30">
        <v>30214211</v>
      </c>
      <c r="I312" s="30">
        <v>28900</v>
      </c>
      <c r="J312" s="64">
        <v>6.8339100346020754E-2</v>
      </c>
      <c r="K312" s="30">
        <v>10</v>
      </c>
      <c r="L312" s="30">
        <f t="shared" si="2"/>
        <v>289000</v>
      </c>
      <c r="M312" s="1454" t="s">
        <v>503</v>
      </c>
      <c r="N312" s="1445">
        <v>20241226849</v>
      </c>
    </row>
    <row r="313" spans="2:14">
      <c r="B313" s="1454"/>
      <c r="C313" s="1448"/>
      <c r="D313" s="1448"/>
      <c r="E313" s="30">
        <v>30208197</v>
      </c>
      <c r="F313" s="31" t="s">
        <v>504</v>
      </c>
      <c r="G313" s="1448"/>
      <c r="H313" s="30">
        <v>30214197</v>
      </c>
      <c r="I313" s="30">
        <v>17900</v>
      </c>
      <c r="J313" s="64">
        <v>8.2402234636871463E-2</v>
      </c>
      <c r="K313" s="30">
        <v>10</v>
      </c>
      <c r="L313" s="30">
        <f t="shared" si="2"/>
        <v>179000</v>
      </c>
      <c r="M313" s="1454"/>
      <c r="N313" s="1445"/>
    </row>
    <row r="314" spans="2:14" ht="18.75" customHeight="1">
      <c r="B314" s="1454"/>
      <c r="C314" s="1448">
        <v>7</v>
      </c>
      <c r="D314" s="1448" t="s">
        <v>501</v>
      </c>
      <c r="E314" s="30">
        <v>30207790</v>
      </c>
      <c r="F314" s="31" t="s">
        <v>505</v>
      </c>
      <c r="G314" s="1454" t="s">
        <v>505</v>
      </c>
      <c r="H314" s="30">
        <v>30214196</v>
      </c>
      <c r="I314" s="30">
        <v>28900</v>
      </c>
      <c r="J314" s="64">
        <v>6.8339100346020754E-2</v>
      </c>
      <c r="K314" s="30">
        <v>10</v>
      </c>
      <c r="L314" s="30">
        <f t="shared" si="2"/>
        <v>289000</v>
      </c>
      <c r="M314" s="1454" t="s">
        <v>506</v>
      </c>
      <c r="N314" s="1445">
        <v>20241226850</v>
      </c>
    </row>
    <row r="315" spans="2:14">
      <c r="B315" s="1454"/>
      <c r="C315" s="1448"/>
      <c r="D315" s="1448"/>
      <c r="E315" s="30">
        <v>30209262</v>
      </c>
      <c r="F315" s="31" t="s">
        <v>507</v>
      </c>
      <c r="G315" s="1454"/>
      <c r="H315" s="30">
        <v>30214195</v>
      </c>
      <c r="I315" s="30">
        <v>23900</v>
      </c>
      <c r="J315" s="64">
        <v>6.1715481171548126E-2</v>
      </c>
      <c r="K315" s="30">
        <v>10</v>
      </c>
      <c r="L315" s="30">
        <f t="shared" si="2"/>
        <v>239000</v>
      </c>
      <c r="M315" s="1454"/>
      <c r="N315" s="1445"/>
    </row>
    <row r="316" spans="2:14">
      <c r="B316" s="1454"/>
      <c r="C316" s="1448"/>
      <c r="D316" s="1448"/>
      <c r="E316" s="30">
        <v>30208963</v>
      </c>
      <c r="F316" s="31" t="s">
        <v>508</v>
      </c>
      <c r="G316" s="1454"/>
      <c r="H316" s="30">
        <v>30209806</v>
      </c>
      <c r="I316" s="30">
        <v>17900</v>
      </c>
      <c r="J316" s="64">
        <v>8.2402234636871463E-2</v>
      </c>
      <c r="K316" s="30">
        <v>10</v>
      </c>
      <c r="L316" s="30">
        <f t="shared" si="2"/>
        <v>179000</v>
      </c>
      <c r="M316" s="1454"/>
      <c r="N316" s="1445"/>
    </row>
    <row r="317" spans="2:14">
      <c r="B317" s="1454"/>
      <c r="C317" s="1454">
        <v>8</v>
      </c>
      <c r="D317" s="1448" t="s">
        <v>501</v>
      </c>
      <c r="E317" s="30">
        <v>30208158</v>
      </c>
      <c r="F317" s="31" t="s">
        <v>509</v>
      </c>
      <c r="G317" s="1454" t="s">
        <v>509</v>
      </c>
      <c r="H317" s="30">
        <v>30214194</v>
      </c>
      <c r="I317" s="30">
        <v>25900</v>
      </c>
      <c r="J317" s="64">
        <v>7.6254826254826269E-2</v>
      </c>
      <c r="K317" s="30">
        <v>10</v>
      </c>
      <c r="L317" s="30">
        <f t="shared" si="2"/>
        <v>259000</v>
      </c>
      <c r="M317" s="1454" t="s">
        <v>510</v>
      </c>
      <c r="N317" s="1445">
        <v>20241226851</v>
      </c>
    </row>
    <row r="318" spans="2:14">
      <c r="B318" s="1454"/>
      <c r="C318" s="1454"/>
      <c r="D318" s="1448"/>
      <c r="E318" s="30">
        <v>30208163</v>
      </c>
      <c r="F318" s="31" t="s">
        <v>511</v>
      </c>
      <c r="G318" s="1454"/>
      <c r="H318" s="30">
        <v>30214193</v>
      </c>
      <c r="I318" s="30">
        <v>28900</v>
      </c>
      <c r="J318" s="64">
        <v>6.8339100346020754E-2</v>
      </c>
      <c r="K318" s="30">
        <v>10</v>
      </c>
      <c r="L318" s="30">
        <f t="shared" si="2"/>
        <v>289000</v>
      </c>
      <c r="M318" s="1454"/>
      <c r="N318" s="1445"/>
    </row>
    <row r="319" spans="2:14" ht="18.75" customHeight="1">
      <c r="B319" s="1454"/>
      <c r="C319" s="1448">
        <v>9</v>
      </c>
      <c r="D319" s="1448" t="s">
        <v>512</v>
      </c>
      <c r="E319" s="30">
        <v>30173561</v>
      </c>
      <c r="F319" s="31" t="s">
        <v>513</v>
      </c>
      <c r="G319" s="1454" t="s">
        <v>514</v>
      </c>
      <c r="H319" s="30">
        <v>30173561</v>
      </c>
      <c r="I319" s="30">
        <v>13900</v>
      </c>
      <c r="J319" s="64">
        <v>6.9999999999999951E-2</v>
      </c>
      <c r="K319" s="30">
        <v>10</v>
      </c>
      <c r="L319" s="30">
        <f t="shared" si="2"/>
        <v>139000</v>
      </c>
      <c r="M319" s="1454" t="s">
        <v>515</v>
      </c>
      <c r="N319" s="1445">
        <v>20241226852</v>
      </c>
    </row>
    <row r="320" spans="2:14">
      <c r="B320" s="1454"/>
      <c r="C320" s="1448"/>
      <c r="D320" s="1448"/>
      <c r="E320" s="30">
        <v>30173560</v>
      </c>
      <c r="F320" s="31" t="s">
        <v>516</v>
      </c>
      <c r="G320" s="1454"/>
      <c r="H320" s="30">
        <v>30173560</v>
      </c>
      <c r="I320" s="30">
        <v>19700</v>
      </c>
      <c r="J320" s="64">
        <v>6.9999999999999951E-2</v>
      </c>
      <c r="K320" s="30">
        <v>10</v>
      </c>
      <c r="L320" s="30">
        <f t="shared" si="2"/>
        <v>197000</v>
      </c>
      <c r="M320" s="1454"/>
      <c r="N320" s="1445"/>
    </row>
    <row r="321" spans="2:14">
      <c r="B321" s="1454"/>
      <c r="C321" s="1448"/>
      <c r="D321" s="1448"/>
      <c r="E321" s="30">
        <v>30173559</v>
      </c>
      <c r="F321" s="31" t="s">
        <v>517</v>
      </c>
      <c r="G321" s="1454"/>
      <c r="H321" s="30">
        <v>30173559</v>
      </c>
      <c r="I321" s="30">
        <v>25900</v>
      </c>
      <c r="J321" s="64">
        <v>6.9999999999999951E-2</v>
      </c>
      <c r="K321" s="30">
        <v>10</v>
      </c>
      <c r="L321" s="30">
        <f t="shared" si="2"/>
        <v>259000</v>
      </c>
      <c r="M321" s="1454"/>
      <c r="N321" s="1445"/>
    </row>
    <row r="322" spans="2:14">
      <c r="B322" s="1454"/>
      <c r="C322" s="1448"/>
      <c r="D322" s="1448"/>
      <c r="E322" s="30">
        <v>30173558</v>
      </c>
      <c r="F322" s="31" t="s">
        <v>518</v>
      </c>
      <c r="G322" s="1454"/>
      <c r="H322" s="30">
        <v>30173558</v>
      </c>
      <c r="I322" s="30">
        <v>35500</v>
      </c>
      <c r="J322" s="64">
        <v>6.9999999999999951E-2</v>
      </c>
      <c r="K322" s="30">
        <v>10</v>
      </c>
      <c r="L322" s="30">
        <f t="shared" si="2"/>
        <v>355000</v>
      </c>
      <c r="M322" s="1454"/>
      <c r="N322" s="1445"/>
    </row>
    <row r="323" spans="2:14">
      <c r="B323" s="1454"/>
      <c r="C323" s="1448">
        <v>10</v>
      </c>
      <c r="D323" s="1448" t="s">
        <v>512</v>
      </c>
      <c r="E323" s="30">
        <v>30173557</v>
      </c>
      <c r="F323" s="31" t="s">
        <v>519</v>
      </c>
      <c r="G323" s="1454" t="s">
        <v>520</v>
      </c>
      <c r="H323" s="30">
        <v>30173557</v>
      </c>
      <c r="I323" s="30">
        <v>33900</v>
      </c>
      <c r="J323" s="64">
        <v>6.9999999999999951E-2</v>
      </c>
      <c r="K323" s="30">
        <v>10</v>
      </c>
      <c r="L323" s="30">
        <f t="shared" si="2"/>
        <v>339000</v>
      </c>
      <c r="M323" s="1454" t="s">
        <v>521</v>
      </c>
      <c r="N323" s="1445">
        <v>20241226853</v>
      </c>
    </row>
    <row r="324" spans="2:14">
      <c r="B324" s="1454"/>
      <c r="C324" s="1448"/>
      <c r="D324" s="1448"/>
      <c r="E324" s="30">
        <v>30173556</v>
      </c>
      <c r="F324" s="31" t="s">
        <v>522</v>
      </c>
      <c r="G324" s="1454"/>
      <c r="H324" s="30">
        <v>30173556</v>
      </c>
      <c r="I324" s="30">
        <v>43900</v>
      </c>
      <c r="J324" s="64">
        <v>6.9999999999999951E-2</v>
      </c>
      <c r="K324" s="30">
        <v>10</v>
      </c>
      <c r="L324" s="30">
        <f t="shared" si="2"/>
        <v>439000</v>
      </c>
      <c r="M324" s="1454"/>
      <c r="N324" s="1445"/>
    </row>
    <row r="325" spans="2:14">
      <c r="B325" s="127"/>
      <c r="C325" s="127"/>
      <c r="D325" s="127"/>
      <c r="E325" s="127"/>
      <c r="F325" s="128"/>
      <c r="G325" s="127"/>
      <c r="H325" s="127"/>
      <c r="I325" s="127"/>
      <c r="J325" s="127"/>
      <c r="K325" s="127"/>
      <c r="L325" s="127"/>
      <c r="M325" s="128"/>
      <c r="N325" s="127"/>
    </row>
    <row r="326" spans="2:14" ht="31.5">
      <c r="B326" s="1442" t="s">
        <v>523</v>
      </c>
      <c r="C326" s="1442"/>
      <c r="D326" s="1442"/>
      <c r="E326" s="1442"/>
      <c r="F326" s="1442"/>
      <c r="G326" s="1442"/>
      <c r="H326" s="1442"/>
      <c r="I326" s="1442"/>
      <c r="J326" s="1442"/>
      <c r="K326" s="1442"/>
      <c r="L326" s="1442"/>
      <c r="M326" s="1442"/>
      <c r="N326" s="1442"/>
    </row>
    <row r="327" spans="2:14" ht="31.5">
      <c r="B327" s="15" t="s">
        <v>524</v>
      </c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</row>
    <row r="328" spans="2:14" ht="20.25">
      <c r="B328" s="16" t="s">
        <v>22</v>
      </c>
      <c r="C328" s="16"/>
      <c r="D328" s="16"/>
      <c r="E328" s="17"/>
      <c r="F328" s="17"/>
      <c r="G328" s="17"/>
      <c r="H328" s="18"/>
      <c r="I328" s="19"/>
      <c r="J328" s="20"/>
      <c r="K328" s="1754" t="s">
        <v>3</v>
      </c>
      <c r="L328" s="1754"/>
      <c r="M328" s="21" t="s">
        <v>23</v>
      </c>
      <c r="N328" s="19"/>
    </row>
    <row r="329" spans="2:14" ht="17.25">
      <c r="B329" s="22" t="s">
        <v>24</v>
      </c>
      <c r="C329" s="23" t="s">
        <v>25</v>
      </c>
      <c r="D329" s="23" t="s">
        <v>26</v>
      </c>
      <c r="E329" s="22" t="s">
        <v>9</v>
      </c>
      <c r="F329" s="22" t="s">
        <v>10</v>
      </c>
      <c r="G329" s="23" t="s">
        <v>27</v>
      </c>
      <c r="H329" s="24" t="s">
        <v>28</v>
      </c>
      <c r="I329" s="25" t="s">
        <v>13</v>
      </c>
      <c r="J329" s="26" t="s">
        <v>29</v>
      </c>
      <c r="K329" s="25" t="s">
        <v>30</v>
      </c>
      <c r="L329" s="25" t="s">
        <v>16</v>
      </c>
      <c r="M329" s="27" t="s">
        <v>31</v>
      </c>
      <c r="N329" s="28" t="s">
        <v>18</v>
      </c>
    </row>
    <row r="330" spans="2:14" ht="33" customHeight="1">
      <c r="B330" s="1654" t="s">
        <v>32</v>
      </c>
      <c r="C330" s="1654">
        <v>1</v>
      </c>
      <c r="D330" s="1654" t="s">
        <v>525</v>
      </c>
      <c r="E330" s="129" t="s">
        <v>526</v>
      </c>
      <c r="F330" s="130" t="s">
        <v>527</v>
      </c>
      <c r="G330" s="1755" t="s">
        <v>528</v>
      </c>
      <c r="H330" s="129">
        <v>30213534</v>
      </c>
      <c r="I330" s="129">
        <v>38900</v>
      </c>
      <c r="J330" s="131">
        <v>0.13</v>
      </c>
      <c r="K330" s="129">
        <v>1</v>
      </c>
      <c r="M330" s="1755" t="s">
        <v>528</v>
      </c>
      <c r="N330" s="1756">
        <v>20250102862</v>
      </c>
    </row>
    <row r="331" spans="2:14">
      <c r="B331" s="1610"/>
      <c r="C331" s="1654"/>
      <c r="D331" s="1654"/>
      <c r="E331" s="129" t="s">
        <v>529</v>
      </c>
      <c r="F331" s="130" t="s">
        <v>530</v>
      </c>
      <c r="G331" s="1755"/>
      <c r="H331" s="129">
        <v>30213535</v>
      </c>
      <c r="I331" s="129">
        <v>42900</v>
      </c>
      <c r="J331" s="131">
        <v>0.13</v>
      </c>
      <c r="K331" s="129">
        <v>1</v>
      </c>
      <c r="M331" s="1755"/>
      <c r="N331" s="1756"/>
    </row>
    <row r="332" spans="2:14">
      <c r="B332" s="1610"/>
      <c r="C332" s="1654"/>
      <c r="D332" s="1654"/>
      <c r="E332" s="129" t="s">
        <v>529</v>
      </c>
      <c r="F332" s="130" t="s">
        <v>531</v>
      </c>
      <c r="G332" s="1755"/>
      <c r="H332" s="129">
        <v>30213533</v>
      </c>
      <c r="I332" s="129">
        <v>69900</v>
      </c>
      <c r="J332" s="131">
        <v>0.13</v>
      </c>
      <c r="K332" s="129">
        <v>1</v>
      </c>
      <c r="M332" s="1755"/>
      <c r="N332" s="1756"/>
    </row>
    <row r="333" spans="2:14">
      <c r="B333" s="1610"/>
      <c r="C333" s="1654"/>
      <c r="D333" s="1654"/>
      <c r="F333" s="130" t="s">
        <v>532</v>
      </c>
      <c r="G333" s="1755"/>
      <c r="H333" s="129">
        <v>30210492</v>
      </c>
      <c r="I333" s="133">
        <v>38900</v>
      </c>
      <c r="J333" s="131">
        <v>0.13</v>
      </c>
      <c r="K333" s="129">
        <v>1</v>
      </c>
      <c r="M333" s="1755"/>
      <c r="N333" s="1756"/>
    </row>
    <row r="334" spans="2:14">
      <c r="B334" s="1610"/>
      <c r="C334" s="1654"/>
      <c r="D334" s="1654"/>
      <c r="F334" s="130" t="s">
        <v>533</v>
      </c>
      <c r="G334" s="1755"/>
      <c r="H334" s="129">
        <v>30210493</v>
      </c>
      <c r="I334" s="133">
        <v>41900</v>
      </c>
      <c r="J334" s="131">
        <v>0.13</v>
      </c>
      <c r="K334" s="129">
        <v>1</v>
      </c>
      <c r="M334" s="1755"/>
      <c r="N334" s="1756"/>
    </row>
    <row r="335" spans="2:14">
      <c r="B335" s="1610"/>
      <c r="C335" s="1654"/>
      <c r="D335" s="1654"/>
      <c r="F335" s="130" t="s">
        <v>534</v>
      </c>
      <c r="G335" s="1755"/>
      <c r="H335" s="129">
        <v>30210494</v>
      </c>
      <c r="I335" s="133">
        <v>69900</v>
      </c>
      <c r="J335" s="131">
        <v>0.13</v>
      </c>
      <c r="K335" s="129">
        <v>1</v>
      </c>
      <c r="M335" s="1755"/>
      <c r="N335" s="1756"/>
    </row>
    <row r="336" spans="2:14">
      <c r="B336" s="1610"/>
      <c r="C336" s="1654"/>
      <c r="D336" s="1654"/>
      <c r="E336" s="129">
        <v>56762255</v>
      </c>
      <c r="F336" s="130" t="s">
        <v>535</v>
      </c>
      <c r="G336" s="1755"/>
      <c r="H336" s="129">
        <v>30207418</v>
      </c>
      <c r="I336" s="133">
        <v>29000</v>
      </c>
      <c r="J336" s="131">
        <v>0.06</v>
      </c>
      <c r="K336" s="129">
        <v>1</v>
      </c>
      <c r="M336" s="1755"/>
      <c r="N336" s="1756"/>
    </row>
    <row r="337" spans="2:14">
      <c r="B337" s="1610"/>
      <c r="C337" s="1654"/>
      <c r="D337" s="1654"/>
      <c r="E337" s="129">
        <v>56762224</v>
      </c>
      <c r="F337" s="130" t="s">
        <v>536</v>
      </c>
      <c r="G337" s="1755"/>
      <c r="H337" s="129">
        <v>30207421</v>
      </c>
      <c r="I337" s="133">
        <v>49900</v>
      </c>
      <c r="J337" s="131">
        <v>0.06</v>
      </c>
      <c r="K337" s="129">
        <v>1</v>
      </c>
      <c r="M337" s="1755"/>
      <c r="N337" s="1756"/>
    </row>
    <row r="338" spans="2:14">
      <c r="B338" s="1610"/>
      <c r="C338" s="1654"/>
      <c r="D338" s="1654"/>
      <c r="F338" s="130" t="s">
        <v>537</v>
      </c>
      <c r="G338" s="1755"/>
      <c r="H338" s="129">
        <v>30208560</v>
      </c>
      <c r="I338" s="133">
        <v>34900</v>
      </c>
      <c r="J338" s="131">
        <v>0.06</v>
      </c>
      <c r="K338" s="129">
        <v>1</v>
      </c>
      <c r="M338" s="1755"/>
      <c r="N338" s="1756"/>
    </row>
    <row r="339" spans="2:14">
      <c r="B339" s="1610"/>
      <c r="C339" s="1654"/>
      <c r="D339" s="1654"/>
      <c r="F339" s="130" t="s">
        <v>538</v>
      </c>
      <c r="G339" s="1755"/>
      <c r="H339" s="129">
        <v>30208561</v>
      </c>
      <c r="I339" s="133">
        <v>34900</v>
      </c>
      <c r="J339" s="131">
        <v>0.06</v>
      </c>
      <c r="K339" s="129">
        <v>1</v>
      </c>
      <c r="M339" s="1755"/>
      <c r="N339" s="1756"/>
    </row>
    <row r="340" spans="2:14">
      <c r="B340" s="1610"/>
      <c r="C340" s="1654"/>
      <c r="D340" s="1654"/>
      <c r="E340" s="129">
        <v>71611154</v>
      </c>
      <c r="F340" s="130" t="s">
        <v>539</v>
      </c>
      <c r="G340" s="1755"/>
      <c r="H340" s="129">
        <v>30205968</v>
      </c>
      <c r="I340" s="133">
        <v>39900</v>
      </c>
      <c r="J340" s="131">
        <v>0.13</v>
      </c>
      <c r="K340" s="129">
        <v>1</v>
      </c>
      <c r="M340" s="1755"/>
      <c r="N340" s="1756"/>
    </row>
    <row r="341" spans="2:14">
      <c r="B341" s="1610"/>
      <c r="C341" s="1654"/>
      <c r="D341" s="1654"/>
      <c r="E341" s="129">
        <v>71611148</v>
      </c>
      <c r="F341" s="130" t="s">
        <v>540</v>
      </c>
      <c r="G341" s="1755"/>
      <c r="H341" s="129">
        <v>30205967</v>
      </c>
      <c r="I341" s="133">
        <v>45900</v>
      </c>
      <c r="J341" s="131">
        <v>0.13</v>
      </c>
      <c r="K341" s="129">
        <v>1</v>
      </c>
      <c r="M341" s="1755"/>
      <c r="N341" s="1756"/>
    </row>
    <row r="342" spans="2:14">
      <c r="B342" s="1610"/>
      <c r="C342" s="1654"/>
      <c r="D342" s="1654"/>
      <c r="E342" s="129">
        <v>71611141</v>
      </c>
      <c r="F342" s="130" t="s">
        <v>541</v>
      </c>
      <c r="G342" s="1755"/>
      <c r="H342" s="129">
        <v>30205965</v>
      </c>
      <c r="I342" s="133">
        <v>79900</v>
      </c>
      <c r="J342" s="131">
        <v>0.13</v>
      </c>
      <c r="K342" s="129">
        <v>1</v>
      </c>
      <c r="M342" s="1755"/>
      <c r="N342" s="1756"/>
    </row>
    <row r="343" spans="2:14">
      <c r="B343" s="1610"/>
      <c r="C343" s="1654"/>
      <c r="D343" s="1654"/>
      <c r="E343" s="129">
        <v>71611132</v>
      </c>
      <c r="F343" s="130" t="s">
        <v>542</v>
      </c>
      <c r="G343" s="1755"/>
      <c r="H343" s="129">
        <v>30205966</v>
      </c>
      <c r="I343" s="133">
        <v>69900</v>
      </c>
      <c r="J343" s="131">
        <v>0.13</v>
      </c>
      <c r="K343" s="129">
        <v>1</v>
      </c>
      <c r="M343" s="1755"/>
      <c r="N343" s="1756"/>
    </row>
    <row r="344" spans="2:14">
      <c r="B344" s="1610"/>
      <c r="C344" s="1654"/>
      <c r="D344" s="1654"/>
      <c r="E344" s="129">
        <v>71611126</v>
      </c>
      <c r="F344" s="130" t="s">
        <v>543</v>
      </c>
      <c r="G344" s="1755"/>
      <c r="H344" s="129">
        <v>30205964</v>
      </c>
      <c r="I344" s="133">
        <v>79900</v>
      </c>
      <c r="J344" s="131">
        <v>0.13</v>
      </c>
      <c r="K344" s="129">
        <v>1</v>
      </c>
      <c r="M344" s="1755"/>
      <c r="N344" s="1756"/>
    </row>
    <row r="345" spans="2:14">
      <c r="B345" s="1610"/>
      <c r="C345" s="1654"/>
      <c r="D345" s="1654"/>
      <c r="E345" s="129">
        <v>69222743</v>
      </c>
      <c r="F345" s="130" t="s">
        <v>544</v>
      </c>
      <c r="G345" s="1755"/>
      <c r="H345" s="129">
        <v>30205969</v>
      </c>
      <c r="I345" s="133">
        <v>79900</v>
      </c>
      <c r="J345" s="131">
        <v>0.13</v>
      </c>
      <c r="K345" s="129">
        <v>1</v>
      </c>
      <c r="M345" s="1755"/>
      <c r="N345" s="1756"/>
    </row>
    <row r="346" spans="2:14">
      <c r="B346" s="1610"/>
      <c r="C346" s="1654"/>
      <c r="D346" s="1654"/>
      <c r="E346" s="129">
        <v>56414507</v>
      </c>
      <c r="F346" s="130" t="s">
        <v>545</v>
      </c>
      <c r="G346" s="1755"/>
      <c r="H346" s="129">
        <v>30205970</v>
      </c>
      <c r="I346" s="133">
        <v>29900</v>
      </c>
      <c r="J346" s="131">
        <v>0.13</v>
      </c>
      <c r="K346" s="129">
        <v>1</v>
      </c>
      <c r="M346" s="1755"/>
      <c r="N346" s="1756"/>
    </row>
    <row r="347" spans="2:14">
      <c r="B347" s="1610"/>
      <c r="C347" s="1654"/>
      <c r="D347" s="1654"/>
      <c r="E347" s="129">
        <v>56414506</v>
      </c>
      <c r="F347" s="130" t="s">
        <v>546</v>
      </c>
      <c r="G347" s="1755"/>
      <c r="H347" s="129">
        <v>71636213</v>
      </c>
      <c r="I347" s="133">
        <v>34900</v>
      </c>
      <c r="J347" s="131">
        <v>0.13</v>
      </c>
      <c r="K347" s="129">
        <v>1</v>
      </c>
      <c r="M347" s="1755"/>
      <c r="N347" s="1756"/>
    </row>
    <row r="348" spans="2:14">
      <c r="B348" s="1610"/>
      <c r="C348" s="1654"/>
      <c r="D348" s="1654"/>
      <c r="E348" s="129">
        <v>71612114</v>
      </c>
      <c r="F348" s="130" t="s">
        <v>547</v>
      </c>
      <c r="G348" s="1755"/>
      <c r="H348" s="129">
        <v>71636250</v>
      </c>
      <c r="I348" s="133">
        <v>59000</v>
      </c>
      <c r="J348" s="131">
        <v>0.13</v>
      </c>
      <c r="K348" s="129">
        <v>1</v>
      </c>
      <c r="M348" s="1755"/>
      <c r="N348" s="1756"/>
    </row>
    <row r="349" spans="2:14">
      <c r="B349" s="1610"/>
      <c r="C349" s="1654"/>
      <c r="D349" s="1654"/>
      <c r="E349" s="129">
        <v>11122728</v>
      </c>
      <c r="F349" s="130" t="s">
        <v>548</v>
      </c>
      <c r="G349" s="1755"/>
      <c r="H349" s="129">
        <v>71636324</v>
      </c>
      <c r="I349" s="133">
        <v>69000</v>
      </c>
      <c r="J349" s="131">
        <v>0.13</v>
      </c>
      <c r="K349" s="129">
        <v>1</v>
      </c>
      <c r="M349" s="1755"/>
      <c r="N349" s="1756"/>
    </row>
    <row r="350" spans="2:14">
      <c r="B350" s="1610"/>
      <c r="C350" s="1654"/>
      <c r="D350" s="1654"/>
      <c r="E350" s="129">
        <v>11122736</v>
      </c>
      <c r="F350" s="130" t="s">
        <v>549</v>
      </c>
      <c r="G350" s="1755"/>
      <c r="H350" s="129">
        <v>71636391</v>
      </c>
      <c r="I350" s="133">
        <v>49000</v>
      </c>
      <c r="J350" s="131">
        <v>0.13</v>
      </c>
      <c r="K350" s="129">
        <v>1</v>
      </c>
      <c r="M350" s="1755"/>
      <c r="N350" s="1756"/>
    </row>
    <row r="351" spans="2:14">
      <c r="B351" s="1610"/>
      <c r="C351" s="1654"/>
      <c r="D351" s="1654"/>
      <c r="E351" s="129">
        <v>11122737</v>
      </c>
      <c r="F351" s="130" t="s">
        <v>550</v>
      </c>
      <c r="G351" s="1755"/>
      <c r="H351" s="129">
        <v>71636390</v>
      </c>
      <c r="I351" s="133">
        <v>54900</v>
      </c>
      <c r="J351" s="131">
        <v>0.13</v>
      </c>
      <c r="K351" s="129">
        <v>1</v>
      </c>
      <c r="M351" s="1755"/>
      <c r="N351" s="1756"/>
    </row>
    <row r="352" spans="2:14" ht="33" customHeight="1">
      <c r="B352" s="1610"/>
      <c r="C352" s="1608">
        <v>2</v>
      </c>
      <c r="D352" s="1608" t="s">
        <v>551</v>
      </c>
      <c r="F352" s="130" t="s">
        <v>552</v>
      </c>
      <c r="G352" s="1612" t="s">
        <v>553</v>
      </c>
      <c r="H352" s="129">
        <v>30208423</v>
      </c>
      <c r="I352" s="133">
        <v>24500</v>
      </c>
      <c r="J352" s="131">
        <v>0.06</v>
      </c>
      <c r="K352" s="129">
        <v>1</v>
      </c>
      <c r="M352" s="1612" t="s">
        <v>554</v>
      </c>
      <c r="N352" s="1668">
        <v>20250102863</v>
      </c>
    </row>
    <row r="353" spans="2:14">
      <c r="B353" s="1610"/>
      <c r="C353" s="1608"/>
      <c r="D353" s="1608"/>
      <c r="F353" s="130" t="s">
        <v>555</v>
      </c>
      <c r="G353" s="1612"/>
      <c r="H353" s="129">
        <v>30208425</v>
      </c>
      <c r="I353" s="133">
        <v>31900</v>
      </c>
      <c r="J353" s="131">
        <v>0.06</v>
      </c>
      <c r="K353" s="129">
        <v>1</v>
      </c>
      <c r="M353" s="1612"/>
      <c r="N353" s="1668"/>
    </row>
    <row r="354" spans="2:14">
      <c r="B354" s="1610"/>
      <c r="C354" s="1608"/>
      <c r="D354" s="1608"/>
      <c r="F354" s="130" t="s">
        <v>556</v>
      </c>
      <c r="G354" s="1612"/>
      <c r="H354" s="129">
        <v>30208428</v>
      </c>
      <c r="I354" s="133">
        <v>15500</v>
      </c>
      <c r="J354" s="131">
        <v>0.06</v>
      </c>
      <c r="K354" s="129">
        <v>1</v>
      </c>
      <c r="M354" s="1612"/>
      <c r="N354" s="1668"/>
    </row>
    <row r="355" spans="2:14">
      <c r="B355" s="1610"/>
      <c r="C355" s="1608"/>
      <c r="D355" s="1608"/>
      <c r="F355" s="130" t="s">
        <v>557</v>
      </c>
      <c r="G355" s="1612"/>
      <c r="H355" s="129">
        <v>30208430</v>
      </c>
      <c r="I355" s="133">
        <v>9400</v>
      </c>
      <c r="J355" s="131">
        <v>0.06</v>
      </c>
      <c r="K355" s="129">
        <v>1</v>
      </c>
      <c r="M355" s="1612"/>
      <c r="N355" s="1668"/>
    </row>
    <row r="356" spans="2:14">
      <c r="B356" s="1610"/>
      <c r="C356" s="1608"/>
      <c r="D356" s="1608"/>
      <c r="F356" s="130" t="s">
        <v>558</v>
      </c>
      <c r="G356" s="1612"/>
      <c r="H356" s="129">
        <v>30208424</v>
      </c>
      <c r="I356" s="133">
        <v>14900</v>
      </c>
      <c r="J356" s="131">
        <v>0.06</v>
      </c>
      <c r="K356" s="129">
        <v>1</v>
      </c>
      <c r="M356" s="1612"/>
      <c r="N356" s="1668"/>
    </row>
    <row r="357" spans="2:14">
      <c r="B357" s="1610"/>
      <c r="C357" s="1608"/>
      <c r="D357" s="1608"/>
      <c r="F357" s="130" t="s">
        <v>559</v>
      </c>
      <c r="G357" s="1612"/>
      <c r="H357" s="129">
        <v>30208426</v>
      </c>
      <c r="I357" s="133">
        <v>17900</v>
      </c>
      <c r="J357" s="131">
        <v>0.06</v>
      </c>
      <c r="K357" s="129">
        <v>1</v>
      </c>
      <c r="M357" s="1612"/>
      <c r="N357" s="1668"/>
    </row>
    <row r="358" spans="2:14">
      <c r="B358" s="1610"/>
      <c r="C358" s="1608">
        <v>3</v>
      </c>
      <c r="D358" s="1608" t="s">
        <v>560</v>
      </c>
      <c r="F358" s="130" t="s">
        <v>561</v>
      </c>
      <c r="G358" s="1608" t="s">
        <v>562</v>
      </c>
      <c r="H358" s="129">
        <v>30213371</v>
      </c>
      <c r="I358" s="133">
        <v>36900</v>
      </c>
      <c r="J358" s="131">
        <v>0.1</v>
      </c>
      <c r="K358" s="129">
        <v>1</v>
      </c>
      <c r="M358" s="1612" t="s">
        <v>562</v>
      </c>
      <c r="N358" s="1668">
        <v>20250102864</v>
      </c>
    </row>
    <row r="359" spans="2:14">
      <c r="B359" s="1610"/>
      <c r="C359" s="1608"/>
      <c r="D359" s="1608"/>
      <c r="F359" s="130" t="s">
        <v>563</v>
      </c>
      <c r="G359" s="1608"/>
      <c r="H359" s="129">
        <v>30213372</v>
      </c>
      <c r="I359" s="133">
        <v>32900</v>
      </c>
      <c r="J359" s="131">
        <v>0.1</v>
      </c>
      <c r="K359" s="129">
        <v>1</v>
      </c>
      <c r="M359" s="1612"/>
      <c r="N359" s="1668"/>
    </row>
    <row r="360" spans="2:14">
      <c r="B360" s="1610"/>
      <c r="C360" s="1608"/>
      <c r="D360" s="1608"/>
      <c r="F360" s="130" t="s">
        <v>564</v>
      </c>
      <c r="G360" s="1608"/>
      <c r="H360" s="129">
        <v>30213373</v>
      </c>
      <c r="I360" s="133">
        <v>29900</v>
      </c>
      <c r="J360" s="131">
        <v>0.1</v>
      </c>
      <c r="K360" s="129">
        <v>1</v>
      </c>
      <c r="M360" s="1612"/>
      <c r="N360" s="1668"/>
    </row>
    <row r="361" spans="2:14" ht="33">
      <c r="B361" s="1610"/>
      <c r="C361" s="135">
        <v>4</v>
      </c>
      <c r="D361" s="134" t="s">
        <v>565</v>
      </c>
      <c r="F361" s="130" t="s">
        <v>566</v>
      </c>
      <c r="G361" s="129" t="s">
        <v>567</v>
      </c>
      <c r="H361" s="129">
        <v>30210741</v>
      </c>
      <c r="I361" s="133">
        <v>69000</v>
      </c>
      <c r="J361" s="131">
        <v>0.06</v>
      </c>
      <c r="K361" s="129">
        <v>1</v>
      </c>
      <c r="M361" s="130" t="s">
        <v>567</v>
      </c>
      <c r="N361" s="136">
        <v>20250102865</v>
      </c>
    </row>
    <row r="362" spans="2:14" ht="49.5" customHeight="1">
      <c r="B362" s="1610"/>
      <c r="C362" s="1653">
        <v>5</v>
      </c>
      <c r="D362" s="1753" t="s">
        <v>568</v>
      </c>
      <c r="E362" s="137">
        <v>30205431</v>
      </c>
      <c r="F362" s="130" t="s">
        <v>569</v>
      </c>
      <c r="G362" s="1612" t="s">
        <v>570</v>
      </c>
      <c r="H362" s="129">
        <v>30205786</v>
      </c>
      <c r="I362" s="133">
        <v>23900</v>
      </c>
      <c r="J362" s="131">
        <v>0.06</v>
      </c>
      <c r="K362" s="129">
        <v>1</v>
      </c>
      <c r="M362" s="1612" t="s">
        <v>571</v>
      </c>
      <c r="N362" s="1668">
        <v>20250102866</v>
      </c>
    </row>
    <row r="363" spans="2:14">
      <c r="B363" s="1610"/>
      <c r="C363" s="1653"/>
      <c r="D363" s="1753"/>
      <c r="E363" s="137">
        <v>30205165</v>
      </c>
      <c r="F363" s="130" t="s">
        <v>572</v>
      </c>
      <c r="G363" s="1612"/>
      <c r="H363" s="129">
        <v>30205787</v>
      </c>
      <c r="I363" s="133">
        <v>3900</v>
      </c>
      <c r="J363" s="131">
        <v>0.06</v>
      </c>
      <c r="K363" s="129">
        <v>1</v>
      </c>
      <c r="M363" s="1612"/>
      <c r="N363" s="1668"/>
    </row>
    <row r="364" spans="2:14">
      <c r="B364" s="1610"/>
      <c r="C364" s="1653"/>
      <c r="D364" s="1753"/>
      <c r="E364" s="137">
        <v>30205192</v>
      </c>
      <c r="F364" s="130" t="s">
        <v>573</v>
      </c>
      <c r="G364" s="1612"/>
      <c r="H364" s="129">
        <v>30205788</v>
      </c>
      <c r="I364" s="133">
        <v>4900</v>
      </c>
      <c r="J364" s="131">
        <v>0.06</v>
      </c>
      <c r="K364" s="129">
        <v>1</v>
      </c>
      <c r="M364" s="1612"/>
      <c r="N364" s="1668"/>
    </row>
    <row r="365" spans="2:14">
      <c r="B365" s="1610"/>
      <c r="C365" s="1653"/>
      <c r="D365" s="1753"/>
      <c r="E365" s="137">
        <v>30205169</v>
      </c>
      <c r="F365" s="130" t="s">
        <v>574</v>
      </c>
      <c r="G365" s="1612"/>
      <c r="H365" s="129">
        <v>30205789</v>
      </c>
      <c r="I365" s="133">
        <v>5900</v>
      </c>
      <c r="J365" s="131">
        <v>0.06</v>
      </c>
      <c r="K365" s="129">
        <v>1</v>
      </c>
      <c r="M365" s="1612"/>
      <c r="N365" s="1668"/>
    </row>
    <row r="366" spans="2:14">
      <c r="B366" s="1610"/>
      <c r="C366" s="1653"/>
      <c r="D366" s="1753"/>
      <c r="E366" s="137">
        <v>30205172</v>
      </c>
      <c r="F366" s="130" t="s">
        <v>575</v>
      </c>
      <c r="G366" s="1612"/>
      <c r="H366" s="129">
        <v>30205790</v>
      </c>
      <c r="I366" s="133">
        <v>6900</v>
      </c>
      <c r="J366" s="131">
        <v>0.06</v>
      </c>
      <c r="K366" s="129">
        <v>1</v>
      </c>
      <c r="M366" s="1612"/>
      <c r="N366" s="1668"/>
    </row>
    <row r="367" spans="2:14" ht="33">
      <c r="B367" s="1610"/>
      <c r="C367" s="1610">
        <v>6</v>
      </c>
      <c r="D367" s="1610" t="s">
        <v>576</v>
      </c>
      <c r="E367" s="129">
        <v>30205271</v>
      </c>
      <c r="F367" s="130" t="s">
        <v>577</v>
      </c>
      <c r="G367" s="1608" t="s">
        <v>578</v>
      </c>
      <c r="H367" s="129">
        <v>30205792</v>
      </c>
      <c r="I367" s="133">
        <v>32900</v>
      </c>
      <c r="J367" s="131">
        <v>0.06</v>
      </c>
      <c r="K367" s="129">
        <v>1</v>
      </c>
      <c r="M367" s="1612" t="s">
        <v>579</v>
      </c>
      <c r="N367" s="1668">
        <v>20250102867</v>
      </c>
    </row>
    <row r="368" spans="2:14">
      <c r="B368" s="1610"/>
      <c r="C368" s="1610"/>
      <c r="D368" s="1610"/>
      <c r="E368" s="129">
        <v>30205253</v>
      </c>
      <c r="F368" s="130" t="s">
        <v>580</v>
      </c>
      <c r="G368" s="1608"/>
      <c r="H368" s="129">
        <v>30205793</v>
      </c>
      <c r="I368" s="133">
        <v>23900</v>
      </c>
      <c r="J368" s="131">
        <v>0.06</v>
      </c>
      <c r="K368" s="129">
        <v>1</v>
      </c>
      <c r="M368" s="1612"/>
      <c r="N368" s="1734"/>
    </row>
    <row r="369" spans="2:14">
      <c r="B369" s="1610"/>
      <c r="C369" s="1610"/>
      <c r="D369" s="1610"/>
      <c r="E369" s="129">
        <v>30205215</v>
      </c>
      <c r="F369" s="130" t="s">
        <v>581</v>
      </c>
      <c r="G369" s="1608"/>
      <c r="H369" s="129">
        <v>30205795</v>
      </c>
      <c r="I369" s="133">
        <v>21900</v>
      </c>
      <c r="J369" s="131">
        <v>0.06</v>
      </c>
      <c r="K369" s="129">
        <v>1</v>
      </c>
      <c r="M369" s="1612"/>
      <c r="N369" s="1734"/>
    </row>
    <row r="370" spans="2:14">
      <c r="B370" s="1610"/>
      <c r="C370" s="1610"/>
      <c r="D370" s="1610"/>
      <c r="F370" s="130" t="s">
        <v>582</v>
      </c>
      <c r="G370" s="1608"/>
      <c r="H370" s="129">
        <v>30209492</v>
      </c>
      <c r="I370" s="133">
        <v>5900</v>
      </c>
      <c r="J370" s="131">
        <v>0.06</v>
      </c>
      <c r="K370" s="129">
        <v>1</v>
      </c>
      <c r="M370" s="1612"/>
      <c r="N370" s="1734"/>
    </row>
    <row r="371" spans="2:14">
      <c r="B371" s="1610"/>
      <c r="C371" s="1610"/>
      <c r="D371" s="1610"/>
      <c r="F371" s="130" t="s">
        <v>583</v>
      </c>
      <c r="G371" s="1608"/>
      <c r="H371" s="129">
        <v>30209493</v>
      </c>
      <c r="I371" s="133">
        <v>9900</v>
      </c>
      <c r="J371" s="131">
        <v>0.06</v>
      </c>
      <c r="K371" s="129">
        <v>1</v>
      </c>
      <c r="M371" s="1612"/>
      <c r="N371" s="1734"/>
    </row>
    <row r="372" spans="2:14">
      <c r="B372" s="1610"/>
      <c r="C372" s="1610"/>
      <c r="D372" s="1610"/>
      <c r="F372" s="130" t="s">
        <v>584</v>
      </c>
      <c r="G372" s="1608"/>
      <c r="H372" s="129">
        <v>30209494</v>
      </c>
      <c r="I372" s="133">
        <v>11900</v>
      </c>
      <c r="J372" s="131">
        <v>0.06</v>
      </c>
      <c r="K372" s="129">
        <v>1</v>
      </c>
      <c r="M372" s="1612"/>
      <c r="N372" s="1734"/>
    </row>
    <row r="373" spans="2:14">
      <c r="B373" s="1610"/>
      <c r="C373" s="1610"/>
      <c r="D373" s="1610"/>
      <c r="F373" s="130" t="s">
        <v>585</v>
      </c>
      <c r="G373" s="1608"/>
      <c r="H373" s="129">
        <v>30209497</v>
      </c>
      <c r="I373" s="133">
        <v>13900</v>
      </c>
      <c r="J373" s="131">
        <v>0.06</v>
      </c>
      <c r="K373" s="129">
        <v>1</v>
      </c>
      <c r="M373" s="1612"/>
      <c r="N373" s="1734"/>
    </row>
    <row r="374" spans="2:14">
      <c r="B374" s="1610"/>
      <c r="C374" s="1610"/>
      <c r="D374" s="1610"/>
      <c r="E374" s="129">
        <v>30205199</v>
      </c>
      <c r="F374" s="130" t="s">
        <v>586</v>
      </c>
      <c r="G374" s="1608"/>
      <c r="H374" s="129">
        <v>30205797</v>
      </c>
      <c r="I374" s="133">
        <v>14900</v>
      </c>
      <c r="J374" s="131">
        <v>0.06</v>
      </c>
      <c r="K374" s="129">
        <v>1</v>
      </c>
      <c r="M374" s="1612"/>
      <c r="N374" s="1734"/>
    </row>
    <row r="375" spans="2:14">
      <c r="B375" s="1610"/>
      <c r="C375" s="1610"/>
      <c r="D375" s="1610"/>
      <c r="E375" s="129">
        <v>30205209</v>
      </c>
      <c r="F375" s="130" t="s">
        <v>587</v>
      </c>
      <c r="G375" s="1608"/>
      <c r="H375" s="129">
        <v>30205798</v>
      </c>
      <c r="I375" s="133">
        <v>17900</v>
      </c>
      <c r="J375" s="131">
        <v>0.06</v>
      </c>
      <c r="K375" s="129">
        <v>1</v>
      </c>
      <c r="M375" s="1612"/>
      <c r="N375" s="1734"/>
    </row>
    <row r="376" spans="2:14">
      <c r="B376" s="1610"/>
      <c r="C376" s="1610"/>
      <c r="D376" s="1610"/>
      <c r="E376" s="129">
        <v>30205200</v>
      </c>
      <c r="F376" s="130" t="s">
        <v>588</v>
      </c>
      <c r="G376" s="1608"/>
      <c r="H376" s="129">
        <v>30205800</v>
      </c>
      <c r="I376" s="133">
        <v>15900</v>
      </c>
      <c r="J376" s="131">
        <v>0.06</v>
      </c>
      <c r="K376" s="129">
        <v>1</v>
      </c>
      <c r="M376" s="1612"/>
      <c r="N376" s="1734"/>
    </row>
    <row r="377" spans="2:14">
      <c r="B377" s="1610"/>
      <c r="C377" s="1610"/>
      <c r="D377" s="1610"/>
      <c r="E377" s="129">
        <v>30205146</v>
      </c>
      <c r="F377" s="130" t="s">
        <v>589</v>
      </c>
      <c r="G377" s="1608"/>
      <c r="H377" s="129">
        <v>30205802</v>
      </c>
      <c r="I377" s="133">
        <v>26900</v>
      </c>
      <c r="J377" s="131">
        <v>0.06</v>
      </c>
      <c r="K377" s="129">
        <v>1</v>
      </c>
      <c r="M377" s="1612"/>
      <c r="N377" s="1734"/>
    </row>
    <row r="378" spans="2:14">
      <c r="B378" s="1610"/>
      <c r="C378" s="1610"/>
      <c r="D378" s="1610"/>
      <c r="E378" s="129">
        <v>30205154</v>
      </c>
      <c r="F378" s="130" t="s">
        <v>590</v>
      </c>
      <c r="G378" s="1608"/>
      <c r="H378" s="129">
        <v>30205804</v>
      </c>
      <c r="I378" s="133">
        <v>11900</v>
      </c>
      <c r="J378" s="131">
        <v>0.06</v>
      </c>
      <c r="K378" s="129">
        <v>1</v>
      </c>
      <c r="M378" s="1612"/>
      <c r="N378" s="1752"/>
    </row>
    <row r="379" spans="2:14">
      <c r="B379" s="1610"/>
      <c r="C379" s="1610">
        <v>7</v>
      </c>
      <c r="D379" s="1610" t="s">
        <v>591</v>
      </c>
      <c r="E379" s="129">
        <v>30200519</v>
      </c>
      <c r="F379" s="129" t="s">
        <v>592</v>
      </c>
      <c r="G379" s="1612" t="s">
        <v>593</v>
      </c>
      <c r="H379" s="129">
        <v>30201114</v>
      </c>
      <c r="I379" s="133">
        <v>25800</v>
      </c>
      <c r="J379" s="131">
        <v>0.1</v>
      </c>
      <c r="K379" s="129">
        <v>1</v>
      </c>
      <c r="M379" s="1612" t="s">
        <v>594</v>
      </c>
      <c r="N379" s="1668">
        <v>20250103912</v>
      </c>
    </row>
    <row r="380" spans="2:14">
      <c r="B380" s="1610"/>
      <c r="C380" s="1610"/>
      <c r="D380" s="1610"/>
      <c r="E380" s="129">
        <v>30200531</v>
      </c>
      <c r="F380" s="129" t="s">
        <v>595</v>
      </c>
      <c r="G380" s="1610"/>
      <c r="H380" s="129">
        <v>30201116</v>
      </c>
      <c r="I380" s="133">
        <v>23800</v>
      </c>
      <c r="J380" s="131">
        <v>0.1</v>
      </c>
      <c r="K380" s="129">
        <v>1</v>
      </c>
      <c r="M380" s="1613"/>
      <c r="N380" s="1734"/>
    </row>
    <row r="381" spans="2:14">
      <c r="B381" s="1610"/>
      <c r="C381" s="1610"/>
      <c r="D381" s="1610"/>
      <c r="E381" s="129">
        <v>30200528</v>
      </c>
      <c r="F381" s="129" t="s">
        <v>596</v>
      </c>
      <c r="G381" s="1610"/>
      <c r="H381" s="129">
        <v>30201115</v>
      </c>
      <c r="I381" s="133">
        <v>50900</v>
      </c>
      <c r="J381" s="131">
        <v>0.1</v>
      </c>
      <c r="K381" s="129">
        <v>1</v>
      </c>
      <c r="M381" s="1613"/>
      <c r="N381" s="1734"/>
    </row>
    <row r="382" spans="2:14">
      <c r="B382" s="1610"/>
      <c r="C382" s="1610"/>
      <c r="D382" s="1610"/>
      <c r="E382" s="129">
        <v>30200819</v>
      </c>
      <c r="F382" s="129" t="s">
        <v>597</v>
      </c>
      <c r="G382" s="1610"/>
      <c r="H382" s="129">
        <v>30201117</v>
      </c>
      <c r="I382" s="133">
        <v>46900</v>
      </c>
      <c r="J382" s="131">
        <v>0.1</v>
      </c>
      <c r="K382" s="129">
        <v>1</v>
      </c>
      <c r="M382" s="1613"/>
      <c r="N382" s="1734"/>
    </row>
    <row r="383" spans="2:14">
      <c r="B383" s="1610"/>
      <c r="C383" s="1610"/>
      <c r="D383" s="1610"/>
      <c r="E383" s="129">
        <v>30200820</v>
      </c>
      <c r="F383" s="129" t="s">
        <v>598</v>
      </c>
      <c r="G383" s="1610"/>
      <c r="H383" s="129">
        <v>30201113</v>
      </c>
      <c r="I383" s="133">
        <v>48900</v>
      </c>
      <c r="J383" s="131">
        <v>0.1</v>
      </c>
      <c r="K383" s="129">
        <v>1</v>
      </c>
      <c r="M383" s="1613"/>
      <c r="N383" s="1734"/>
    </row>
    <row r="384" spans="2:14">
      <c r="B384" s="1610"/>
      <c r="C384" s="1610"/>
      <c r="D384" s="1610"/>
      <c r="E384" s="129">
        <v>30201045</v>
      </c>
      <c r="F384" s="129" t="s">
        <v>599</v>
      </c>
      <c r="G384" s="1610"/>
      <c r="H384" s="129">
        <v>30201123</v>
      </c>
      <c r="I384" s="133">
        <v>31800</v>
      </c>
      <c r="J384" s="131">
        <v>0.1</v>
      </c>
      <c r="K384" s="129">
        <v>1</v>
      </c>
      <c r="M384" s="1613"/>
      <c r="N384" s="1734"/>
    </row>
    <row r="385" spans="2:14">
      <c r="B385" s="1610"/>
      <c r="C385" s="1610"/>
      <c r="D385" s="1610"/>
      <c r="E385" s="129">
        <v>30201053</v>
      </c>
      <c r="F385" s="129" t="s">
        <v>600</v>
      </c>
      <c r="G385" s="1610"/>
      <c r="H385" s="129">
        <v>30201124</v>
      </c>
      <c r="I385" s="133">
        <v>34200</v>
      </c>
      <c r="J385" s="131">
        <v>0.1</v>
      </c>
      <c r="K385" s="129">
        <v>1</v>
      </c>
      <c r="M385" s="1613"/>
      <c r="N385" s="1734"/>
    </row>
    <row r="386" spans="2:14">
      <c r="B386" s="1610"/>
      <c r="C386" s="1610"/>
      <c r="D386" s="1610"/>
      <c r="E386" s="129">
        <v>30201060</v>
      </c>
      <c r="F386" s="129" t="s">
        <v>601</v>
      </c>
      <c r="G386" s="1610"/>
      <c r="H386" s="129">
        <v>30201125</v>
      </c>
      <c r="I386" s="133">
        <v>24600</v>
      </c>
      <c r="J386" s="131">
        <v>0.1</v>
      </c>
      <c r="K386" s="129">
        <v>1</v>
      </c>
      <c r="M386" s="1613"/>
      <c r="N386" s="1734"/>
    </row>
    <row r="387" spans="2:14">
      <c r="B387" s="1610"/>
      <c r="C387" s="1610"/>
      <c r="D387" s="1610"/>
      <c r="E387" s="129">
        <v>30201074</v>
      </c>
      <c r="F387" s="129" t="s">
        <v>602</v>
      </c>
      <c r="G387" s="1610"/>
      <c r="H387" s="129">
        <v>30201126</v>
      </c>
      <c r="I387" s="133">
        <v>27000</v>
      </c>
      <c r="J387" s="131">
        <v>0.1</v>
      </c>
      <c r="K387" s="129">
        <v>1</v>
      </c>
      <c r="M387" s="1613"/>
      <c r="N387" s="1734"/>
    </row>
    <row r="388" spans="2:14">
      <c r="B388" s="1610"/>
      <c r="C388" s="1610"/>
      <c r="D388" s="1610"/>
      <c r="E388" s="129">
        <v>30201075</v>
      </c>
      <c r="F388" s="129" t="s">
        <v>603</v>
      </c>
      <c r="G388" s="1610"/>
      <c r="H388" s="129">
        <v>30201127</v>
      </c>
      <c r="I388" s="133">
        <v>27000</v>
      </c>
      <c r="J388" s="131">
        <v>0.1</v>
      </c>
      <c r="K388" s="129">
        <v>1</v>
      </c>
      <c r="M388" s="1613"/>
      <c r="N388" s="1734"/>
    </row>
    <row r="389" spans="2:14">
      <c r="B389" s="1610"/>
      <c r="C389" s="1610"/>
      <c r="D389" s="1610"/>
      <c r="E389" s="129">
        <v>30201078</v>
      </c>
      <c r="F389" s="129" t="s">
        <v>604</v>
      </c>
      <c r="G389" s="1610"/>
      <c r="H389" s="129">
        <v>30201128</v>
      </c>
      <c r="I389" s="133">
        <v>29400</v>
      </c>
      <c r="J389" s="131">
        <v>0.1</v>
      </c>
      <c r="K389" s="129">
        <v>1</v>
      </c>
      <c r="M389" s="1613"/>
      <c r="N389" s="1734"/>
    </row>
    <row r="390" spans="2:14">
      <c r="B390" s="1610"/>
      <c r="C390" s="1610"/>
      <c r="D390" s="1610"/>
      <c r="E390" s="129">
        <v>30201079</v>
      </c>
      <c r="F390" s="129" t="s">
        <v>605</v>
      </c>
      <c r="G390" s="1610"/>
      <c r="H390" s="129">
        <v>30201129</v>
      </c>
      <c r="I390" s="133">
        <v>29400</v>
      </c>
      <c r="J390" s="131">
        <v>0.1</v>
      </c>
      <c r="K390" s="129">
        <v>1</v>
      </c>
      <c r="M390" s="1613"/>
      <c r="N390" s="1734"/>
    </row>
    <row r="391" spans="2:14">
      <c r="B391" s="1610"/>
      <c r="C391" s="1610"/>
      <c r="D391" s="1610"/>
      <c r="E391" s="129">
        <v>30201080</v>
      </c>
      <c r="F391" s="129" t="s">
        <v>606</v>
      </c>
      <c r="G391" s="1610"/>
      <c r="H391" s="129">
        <v>30201130</v>
      </c>
      <c r="I391" s="133">
        <v>31800</v>
      </c>
      <c r="J391" s="131">
        <v>0.1</v>
      </c>
      <c r="K391" s="129">
        <v>1</v>
      </c>
      <c r="M391" s="1613"/>
      <c r="N391" s="1734"/>
    </row>
    <row r="392" spans="2:14">
      <c r="B392" s="1610"/>
      <c r="C392" s="1610"/>
      <c r="D392" s="1610"/>
      <c r="E392" s="129">
        <v>30201081</v>
      </c>
      <c r="F392" s="129" t="s">
        <v>607</v>
      </c>
      <c r="G392" s="1610"/>
      <c r="H392" s="129">
        <v>30201131</v>
      </c>
      <c r="I392" s="133">
        <v>31800</v>
      </c>
      <c r="J392" s="131">
        <v>0.1</v>
      </c>
      <c r="K392" s="129">
        <v>1</v>
      </c>
      <c r="M392" s="1613"/>
      <c r="N392" s="1734"/>
    </row>
    <row r="393" spans="2:14">
      <c r="B393" s="1609"/>
      <c r="C393" s="1609"/>
      <c r="D393" s="1609"/>
      <c r="E393" s="129">
        <v>30201083</v>
      </c>
      <c r="F393" s="129" t="s">
        <v>608</v>
      </c>
      <c r="G393" s="1609"/>
      <c r="H393" s="129">
        <v>30201132</v>
      </c>
      <c r="I393" s="133">
        <v>34200</v>
      </c>
      <c r="J393" s="131">
        <v>0.1</v>
      </c>
      <c r="K393" s="129">
        <v>1</v>
      </c>
      <c r="M393" s="1614"/>
      <c r="N393" s="1752"/>
    </row>
    <row r="394" spans="2:14" ht="33">
      <c r="B394" s="1608" t="s">
        <v>165</v>
      </c>
      <c r="C394" s="135">
        <v>1</v>
      </c>
      <c r="D394" s="1608" t="s">
        <v>173</v>
      </c>
      <c r="E394" s="129">
        <v>67044185</v>
      </c>
      <c r="F394" s="130" t="s">
        <v>609</v>
      </c>
      <c r="G394" s="130" t="s">
        <v>609</v>
      </c>
      <c r="H394" s="129">
        <v>30208621</v>
      </c>
      <c r="I394" s="133">
        <v>19900</v>
      </c>
      <c r="J394" s="129">
        <v>13</v>
      </c>
      <c r="K394" s="129">
        <v>5</v>
      </c>
      <c r="L394" s="129">
        <f>I394*5</f>
        <v>99500</v>
      </c>
      <c r="M394" s="130" t="s">
        <v>610</v>
      </c>
      <c r="N394" s="136">
        <v>20250102868</v>
      </c>
    </row>
    <row r="395" spans="2:14">
      <c r="B395" s="1608"/>
      <c r="C395" s="1608">
        <v>2</v>
      </c>
      <c r="D395" s="1608"/>
      <c r="E395" s="129">
        <v>60001057</v>
      </c>
      <c r="F395" s="130" t="s">
        <v>611</v>
      </c>
      <c r="G395" s="1608" t="s">
        <v>612</v>
      </c>
      <c r="H395" s="129">
        <v>30173255</v>
      </c>
      <c r="I395" s="133">
        <v>6900</v>
      </c>
      <c r="J395" s="129">
        <v>13</v>
      </c>
      <c r="K395" s="1608">
        <v>5</v>
      </c>
      <c r="L395" s="1608">
        <f>I395*5</f>
        <v>34500</v>
      </c>
      <c r="M395" s="1612" t="s">
        <v>613</v>
      </c>
      <c r="N395" s="1668">
        <v>20250102869</v>
      </c>
    </row>
    <row r="396" spans="2:14">
      <c r="B396" s="1608"/>
      <c r="C396" s="1608"/>
      <c r="D396" s="1608"/>
      <c r="E396" s="129">
        <v>60001053</v>
      </c>
      <c r="F396" s="130" t="s">
        <v>614</v>
      </c>
      <c r="G396" s="1608"/>
      <c r="H396" s="129">
        <v>30173254</v>
      </c>
      <c r="I396" s="133">
        <v>7900</v>
      </c>
      <c r="J396" s="129">
        <v>13</v>
      </c>
      <c r="K396" s="1608"/>
      <c r="L396" s="1608"/>
      <c r="M396" s="1612"/>
      <c r="N396" s="1668"/>
    </row>
    <row r="397" spans="2:14">
      <c r="B397" s="1608"/>
      <c r="C397" s="1608"/>
      <c r="D397" s="1608"/>
      <c r="E397" s="129">
        <v>60001050</v>
      </c>
      <c r="F397" s="130" t="s">
        <v>615</v>
      </c>
      <c r="G397" s="1608"/>
      <c r="H397" s="129">
        <v>30173253</v>
      </c>
      <c r="I397" s="133">
        <v>7900</v>
      </c>
      <c r="J397" s="129">
        <v>13</v>
      </c>
      <c r="K397" s="1608"/>
      <c r="L397" s="1608"/>
      <c r="M397" s="1612"/>
      <c r="N397" s="1668"/>
    </row>
    <row r="398" spans="2:14">
      <c r="B398" s="1608"/>
      <c r="C398" s="1608"/>
      <c r="D398" s="1608"/>
      <c r="E398" s="129">
        <v>60001046</v>
      </c>
      <c r="F398" s="130" t="s">
        <v>616</v>
      </c>
      <c r="G398" s="1608"/>
      <c r="H398" s="129">
        <v>30173252</v>
      </c>
      <c r="I398" s="133">
        <v>7900</v>
      </c>
      <c r="J398" s="129">
        <v>13</v>
      </c>
      <c r="K398" s="1608"/>
      <c r="L398" s="1608"/>
      <c r="M398" s="1612"/>
      <c r="N398" s="1668"/>
    </row>
    <row r="399" spans="2:14">
      <c r="B399" s="1608"/>
      <c r="C399" s="1608"/>
      <c r="D399" s="1608"/>
      <c r="E399" s="129">
        <v>60001093</v>
      </c>
      <c r="F399" s="130" t="s">
        <v>617</v>
      </c>
      <c r="G399" s="1608"/>
      <c r="H399" s="129">
        <v>30173251</v>
      </c>
      <c r="I399" s="133">
        <v>7900</v>
      </c>
      <c r="J399" s="129">
        <v>13</v>
      </c>
      <c r="K399" s="1608"/>
      <c r="L399" s="1608"/>
      <c r="M399" s="1612"/>
      <c r="N399" s="1668"/>
    </row>
    <row r="400" spans="2:14">
      <c r="B400" s="1608"/>
      <c r="C400" s="1608"/>
      <c r="D400" s="1608"/>
      <c r="E400" s="129">
        <v>60001039</v>
      </c>
      <c r="F400" s="130" t="s">
        <v>618</v>
      </c>
      <c r="G400" s="1608"/>
      <c r="H400" s="129">
        <v>30173250</v>
      </c>
      <c r="I400" s="133">
        <v>7900</v>
      </c>
      <c r="J400" s="129">
        <v>13</v>
      </c>
      <c r="K400" s="1608"/>
      <c r="L400" s="1608"/>
      <c r="M400" s="1612"/>
      <c r="N400" s="1668"/>
    </row>
    <row r="401" spans="2:14">
      <c r="B401" s="1608"/>
      <c r="C401" s="1608"/>
      <c r="D401" s="1608"/>
      <c r="E401" s="129">
        <v>60001096</v>
      </c>
      <c r="F401" s="130" t="s">
        <v>619</v>
      </c>
      <c r="G401" s="1608"/>
      <c r="H401" s="129">
        <v>30173249</v>
      </c>
      <c r="I401" s="133">
        <v>7900</v>
      </c>
      <c r="J401" s="129">
        <v>13</v>
      </c>
      <c r="K401" s="1608"/>
      <c r="L401" s="1608"/>
      <c r="M401" s="1612"/>
      <c r="N401" s="1668"/>
    </row>
    <row r="402" spans="2:14">
      <c r="B402" s="1608"/>
      <c r="C402" s="1608"/>
      <c r="D402" s="1608"/>
      <c r="E402" s="129">
        <v>75182284</v>
      </c>
      <c r="F402" s="130" t="s">
        <v>620</v>
      </c>
      <c r="G402" s="1608"/>
      <c r="H402" s="129">
        <v>30214841</v>
      </c>
      <c r="I402" s="133">
        <v>7900</v>
      </c>
      <c r="J402" s="129">
        <v>13</v>
      </c>
      <c r="K402" s="1608"/>
      <c r="L402" s="1608"/>
      <c r="M402" s="1612"/>
      <c r="N402" s="1668"/>
    </row>
    <row r="403" spans="2:14">
      <c r="B403" s="1608"/>
      <c r="C403" s="1608"/>
      <c r="D403" s="1608"/>
      <c r="E403" s="129">
        <v>75182306</v>
      </c>
      <c r="F403" s="130" t="s">
        <v>621</v>
      </c>
      <c r="G403" s="1608"/>
      <c r="H403" s="129">
        <v>30214843</v>
      </c>
      <c r="I403" s="133">
        <v>7900</v>
      </c>
      <c r="J403" s="129">
        <v>13</v>
      </c>
      <c r="K403" s="1608"/>
      <c r="L403" s="1608"/>
      <c r="M403" s="1612"/>
      <c r="N403" s="1668"/>
    </row>
    <row r="404" spans="2:14">
      <c r="B404" s="1608"/>
      <c r="C404" s="1608">
        <v>3</v>
      </c>
      <c r="D404" s="1608" t="s">
        <v>622</v>
      </c>
      <c r="E404" s="129">
        <v>42911388</v>
      </c>
      <c r="F404" s="130" t="s">
        <v>623</v>
      </c>
      <c r="G404" s="1608" t="s">
        <v>624</v>
      </c>
      <c r="H404" s="129">
        <v>30203825</v>
      </c>
      <c r="I404" s="133">
        <v>35300</v>
      </c>
      <c r="J404" s="129">
        <v>13</v>
      </c>
      <c r="K404" s="1608">
        <v>5</v>
      </c>
      <c r="L404" s="1608">
        <f>I404*5</f>
        <v>176500</v>
      </c>
      <c r="M404" s="1612" t="s">
        <v>625</v>
      </c>
      <c r="N404" s="1668">
        <v>20250102870</v>
      </c>
    </row>
    <row r="405" spans="2:14">
      <c r="B405" s="1608"/>
      <c r="C405" s="1608"/>
      <c r="D405" s="1608"/>
      <c r="E405" s="129">
        <v>42911387</v>
      </c>
      <c r="F405" s="130" t="s">
        <v>626</v>
      </c>
      <c r="G405" s="1608"/>
      <c r="H405" s="129">
        <v>30203826</v>
      </c>
      <c r="I405" s="133">
        <v>42600</v>
      </c>
      <c r="J405" s="129">
        <v>13</v>
      </c>
      <c r="K405" s="1608"/>
      <c r="L405" s="1608"/>
      <c r="M405" s="1612"/>
      <c r="N405" s="1668"/>
    </row>
    <row r="406" spans="2:14">
      <c r="B406" s="1608"/>
      <c r="C406" s="1608"/>
      <c r="D406" s="1608"/>
      <c r="E406" s="129">
        <v>42911386</v>
      </c>
      <c r="F406" s="130" t="s">
        <v>627</v>
      </c>
      <c r="G406" s="1608"/>
      <c r="H406" s="129">
        <v>30203828</v>
      </c>
      <c r="I406" s="133">
        <v>54300</v>
      </c>
      <c r="J406" s="129">
        <v>13</v>
      </c>
      <c r="K406" s="1608"/>
      <c r="L406" s="1608"/>
      <c r="M406" s="1612"/>
      <c r="N406" s="1668"/>
    </row>
    <row r="407" spans="2:14">
      <c r="B407" s="1608"/>
      <c r="C407" s="1608"/>
      <c r="D407" s="1608"/>
      <c r="E407" s="129">
        <v>42911375</v>
      </c>
      <c r="F407" s="130" t="s">
        <v>628</v>
      </c>
      <c r="G407" s="1608"/>
      <c r="H407" s="129">
        <v>30203830</v>
      </c>
      <c r="I407" s="133">
        <v>64900</v>
      </c>
      <c r="J407" s="129">
        <v>13</v>
      </c>
      <c r="K407" s="1608"/>
      <c r="L407" s="1608"/>
      <c r="M407" s="1612"/>
      <c r="N407" s="1668"/>
    </row>
    <row r="408" spans="2:14">
      <c r="B408" s="1608"/>
      <c r="C408" s="1608"/>
      <c r="D408" s="1608"/>
      <c r="E408" s="129">
        <v>42027300</v>
      </c>
      <c r="F408" s="130" t="s">
        <v>629</v>
      </c>
      <c r="G408" s="1608"/>
      <c r="H408" s="129">
        <v>30203816</v>
      </c>
      <c r="I408" s="133">
        <v>31300</v>
      </c>
      <c r="J408" s="129">
        <v>13</v>
      </c>
      <c r="K408" s="1608"/>
      <c r="L408" s="1608"/>
      <c r="M408" s="1612"/>
      <c r="N408" s="1668"/>
    </row>
    <row r="409" spans="2:14">
      <c r="B409" s="1608"/>
      <c r="C409" s="1608"/>
      <c r="D409" s="1608"/>
      <c r="E409" s="129">
        <v>42027296</v>
      </c>
      <c r="F409" s="130" t="s">
        <v>630</v>
      </c>
      <c r="G409" s="1608"/>
      <c r="H409" s="129">
        <v>30203819</v>
      </c>
      <c r="I409" s="133">
        <v>35600</v>
      </c>
      <c r="J409" s="129">
        <v>13</v>
      </c>
      <c r="K409" s="1608"/>
      <c r="L409" s="1608"/>
      <c r="M409" s="1612"/>
      <c r="N409" s="1668"/>
    </row>
    <row r="410" spans="2:14">
      <c r="B410" s="1608"/>
      <c r="C410" s="1608"/>
      <c r="D410" s="1608"/>
      <c r="E410" s="129">
        <v>46626412</v>
      </c>
      <c r="F410" s="130" t="s">
        <v>631</v>
      </c>
      <c r="G410" s="1608"/>
      <c r="H410" s="129">
        <v>30205976</v>
      </c>
      <c r="I410" s="133">
        <v>28900</v>
      </c>
      <c r="J410" s="129">
        <v>13</v>
      </c>
      <c r="K410" s="1608"/>
      <c r="L410" s="1608"/>
      <c r="M410" s="1612"/>
      <c r="N410" s="1668"/>
    </row>
    <row r="411" spans="2:14">
      <c r="B411" s="1608"/>
      <c r="C411" s="1608"/>
      <c r="D411" s="1608"/>
      <c r="E411" s="129">
        <v>46626414</v>
      </c>
      <c r="F411" s="130" t="s">
        <v>632</v>
      </c>
      <c r="G411" s="1608"/>
      <c r="H411" s="129">
        <v>30205977</v>
      </c>
      <c r="I411" s="133">
        <v>32900</v>
      </c>
      <c r="J411" s="129">
        <v>13</v>
      </c>
      <c r="K411" s="1608"/>
      <c r="L411" s="1608"/>
      <c r="M411" s="1612"/>
      <c r="N411" s="1668"/>
    </row>
    <row r="412" spans="2:14">
      <c r="B412" s="1608"/>
      <c r="C412" s="1608"/>
      <c r="D412" s="1608"/>
      <c r="E412" s="129">
        <v>71229445</v>
      </c>
      <c r="F412" s="130" t="s">
        <v>633</v>
      </c>
      <c r="G412" s="1608"/>
      <c r="H412" s="129">
        <v>30210160</v>
      </c>
      <c r="I412" s="133">
        <v>39900</v>
      </c>
      <c r="J412" s="129">
        <v>13</v>
      </c>
      <c r="K412" s="1608"/>
      <c r="L412" s="1608"/>
      <c r="M412" s="1612"/>
      <c r="N412" s="1668"/>
    </row>
    <row r="413" spans="2:14">
      <c r="B413" s="1608"/>
      <c r="C413" s="1608"/>
      <c r="D413" s="1608"/>
      <c r="E413" s="129">
        <v>71229441</v>
      </c>
      <c r="F413" s="130" t="s">
        <v>634</v>
      </c>
      <c r="G413" s="1608"/>
      <c r="H413" s="129">
        <v>30210161</v>
      </c>
      <c r="I413" s="133">
        <v>45300</v>
      </c>
      <c r="J413" s="129">
        <v>13</v>
      </c>
      <c r="K413" s="1608"/>
      <c r="L413" s="1608"/>
      <c r="M413" s="1612"/>
      <c r="N413" s="1668"/>
    </row>
    <row r="414" spans="2:14">
      <c r="B414" s="1608"/>
      <c r="C414" s="1608"/>
      <c r="D414" s="1608"/>
      <c r="E414" s="129">
        <v>71360519</v>
      </c>
      <c r="F414" s="130" t="s">
        <v>635</v>
      </c>
      <c r="G414" s="1608"/>
      <c r="H414" s="129">
        <v>30206357</v>
      </c>
      <c r="I414" s="133">
        <v>32400</v>
      </c>
      <c r="J414" s="129">
        <v>13</v>
      </c>
      <c r="K414" s="1608"/>
      <c r="L414" s="1608"/>
      <c r="M414" s="1612"/>
      <c r="N414" s="1668"/>
    </row>
    <row r="415" spans="2:14">
      <c r="B415" s="1608"/>
      <c r="C415" s="1608"/>
      <c r="D415" s="1608"/>
      <c r="E415" s="129">
        <v>71360523</v>
      </c>
      <c r="F415" s="130" t="s">
        <v>636</v>
      </c>
      <c r="G415" s="1608"/>
      <c r="H415" s="129">
        <v>30206360</v>
      </c>
      <c r="I415" s="133">
        <v>37800</v>
      </c>
      <c r="J415" s="129">
        <v>13</v>
      </c>
      <c r="K415" s="1608"/>
      <c r="L415" s="1608"/>
      <c r="M415" s="1612"/>
      <c r="N415" s="1668"/>
    </row>
    <row r="416" spans="2:14">
      <c r="B416" s="1608"/>
      <c r="C416" s="1608"/>
      <c r="D416" s="1608"/>
      <c r="E416" s="129">
        <v>70053538</v>
      </c>
      <c r="F416" s="130" t="s">
        <v>637</v>
      </c>
      <c r="G416" s="1608"/>
      <c r="H416" s="129">
        <v>30206361</v>
      </c>
      <c r="I416" s="133">
        <v>76700</v>
      </c>
      <c r="J416" s="129">
        <v>13</v>
      </c>
      <c r="K416" s="1608"/>
      <c r="L416" s="1608"/>
      <c r="M416" s="1612"/>
      <c r="N416" s="1668"/>
    </row>
    <row r="417" spans="2:14">
      <c r="B417" s="1608"/>
      <c r="C417" s="1608"/>
      <c r="D417" s="1608"/>
      <c r="E417" s="129">
        <v>70053474</v>
      </c>
      <c r="F417" s="130" t="s">
        <v>638</v>
      </c>
      <c r="G417" s="1608"/>
      <c r="H417" s="129">
        <v>30206362</v>
      </c>
      <c r="I417" s="133">
        <v>94000</v>
      </c>
      <c r="J417" s="129">
        <v>13</v>
      </c>
      <c r="K417" s="1608"/>
      <c r="L417" s="1608"/>
      <c r="M417" s="1612"/>
      <c r="N417" s="1668"/>
    </row>
    <row r="418" spans="2:14">
      <c r="B418" s="1608"/>
      <c r="C418" s="1608"/>
      <c r="D418" s="1608"/>
      <c r="E418" s="129">
        <v>70053589</v>
      </c>
      <c r="F418" s="130" t="s">
        <v>639</v>
      </c>
      <c r="G418" s="1608"/>
      <c r="H418" s="129">
        <v>30206363</v>
      </c>
      <c r="I418" s="133">
        <v>88500</v>
      </c>
      <c r="J418" s="129">
        <v>13</v>
      </c>
      <c r="K418" s="1608"/>
      <c r="L418" s="1608"/>
      <c r="M418" s="1612"/>
      <c r="N418" s="1668"/>
    </row>
    <row r="419" spans="2:14">
      <c r="B419" s="1608"/>
      <c r="C419" s="1608"/>
      <c r="D419" s="1608"/>
      <c r="E419" s="129">
        <v>70053629</v>
      </c>
      <c r="F419" s="130" t="s">
        <v>640</v>
      </c>
      <c r="G419" s="1608"/>
      <c r="H419" s="129">
        <v>30206365</v>
      </c>
      <c r="I419" s="133">
        <v>117700</v>
      </c>
      <c r="J419" s="129">
        <v>13</v>
      </c>
      <c r="K419" s="1608"/>
      <c r="L419" s="1608"/>
      <c r="M419" s="1612"/>
      <c r="N419" s="1668"/>
    </row>
    <row r="420" spans="2:14">
      <c r="B420" s="1608"/>
      <c r="C420" s="1608"/>
      <c r="D420" s="1608"/>
      <c r="E420" s="129">
        <v>70053551</v>
      </c>
      <c r="F420" s="130" t="s">
        <v>641</v>
      </c>
      <c r="G420" s="1608"/>
      <c r="H420" s="129">
        <v>30206367</v>
      </c>
      <c r="I420" s="133">
        <v>60500</v>
      </c>
      <c r="J420" s="129">
        <v>13</v>
      </c>
      <c r="K420" s="1608"/>
      <c r="L420" s="1608"/>
      <c r="M420" s="1612"/>
      <c r="N420" s="1668"/>
    </row>
    <row r="421" spans="2:14">
      <c r="B421" s="1608"/>
      <c r="C421" s="1608"/>
      <c r="D421" s="1608"/>
      <c r="E421" s="129">
        <v>70053466</v>
      </c>
      <c r="F421" s="130" t="s">
        <v>642</v>
      </c>
      <c r="G421" s="1608"/>
      <c r="H421" s="129">
        <v>30206368</v>
      </c>
      <c r="I421" s="133">
        <v>76700</v>
      </c>
      <c r="J421" s="129">
        <v>13</v>
      </c>
      <c r="K421" s="1608"/>
      <c r="L421" s="1608"/>
      <c r="M421" s="1612"/>
      <c r="N421" s="1668"/>
    </row>
    <row r="422" spans="2:14">
      <c r="B422" s="1608"/>
      <c r="C422" s="1608"/>
      <c r="D422" s="1608"/>
      <c r="E422" s="129">
        <v>70053584</v>
      </c>
      <c r="F422" s="130" t="s">
        <v>643</v>
      </c>
      <c r="G422" s="1608"/>
      <c r="H422" s="129">
        <v>30206370</v>
      </c>
      <c r="I422" s="133">
        <v>73400</v>
      </c>
      <c r="J422" s="129">
        <v>13</v>
      </c>
      <c r="K422" s="1608"/>
      <c r="L422" s="1608"/>
      <c r="M422" s="1612"/>
      <c r="N422" s="1668"/>
    </row>
    <row r="423" spans="2:14">
      <c r="B423" s="1608"/>
      <c r="C423" s="1608"/>
      <c r="D423" s="1608"/>
      <c r="E423" s="129">
        <v>70053630</v>
      </c>
      <c r="F423" s="130" t="s">
        <v>644</v>
      </c>
      <c r="G423" s="1608"/>
      <c r="H423" s="129">
        <v>30206371</v>
      </c>
      <c r="I423" s="133">
        <v>102600</v>
      </c>
      <c r="J423" s="129">
        <v>13</v>
      </c>
      <c r="K423" s="1608"/>
      <c r="L423" s="1608"/>
      <c r="M423" s="1612"/>
      <c r="N423" s="1668"/>
    </row>
    <row r="424" spans="2:14">
      <c r="B424" s="1608"/>
      <c r="C424" s="1608"/>
      <c r="D424" s="1608"/>
      <c r="E424" s="129">
        <v>70053554</v>
      </c>
      <c r="F424" s="130" t="s">
        <v>645</v>
      </c>
      <c r="G424" s="1608"/>
      <c r="H424" s="129">
        <v>30206373</v>
      </c>
      <c r="I424" s="133">
        <v>60500</v>
      </c>
      <c r="J424" s="129">
        <v>13</v>
      </c>
      <c r="K424" s="1608"/>
      <c r="L424" s="1608"/>
      <c r="M424" s="1612"/>
      <c r="N424" s="1668"/>
    </row>
    <row r="425" spans="2:14">
      <c r="B425" s="1608"/>
      <c r="C425" s="1608"/>
      <c r="D425" s="1608"/>
      <c r="E425" s="129">
        <v>70053483</v>
      </c>
      <c r="F425" s="130" t="s">
        <v>646</v>
      </c>
      <c r="G425" s="1608"/>
      <c r="H425" s="129">
        <v>30206375</v>
      </c>
      <c r="I425" s="133">
        <v>76700</v>
      </c>
      <c r="J425" s="129">
        <v>13</v>
      </c>
      <c r="K425" s="1608"/>
      <c r="L425" s="1608"/>
      <c r="M425" s="1612"/>
      <c r="N425" s="1668"/>
    </row>
    <row r="426" spans="2:14">
      <c r="B426" s="1608"/>
      <c r="C426" s="1608"/>
      <c r="D426" s="1608"/>
      <c r="E426" s="129">
        <v>70053587</v>
      </c>
      <c r="F426" s="130" t="s">
        <v>647</v>
      </c>
      <c r="G426" s="1608"/>
      <c r="H426" s="129">
        <v>30206377</v>
      </c>
      <c r="I426" s="133">
        <v>71300</v>
      </c>
      <c r="J426" s="129">
        <v>13</v>
      </c>
      <c r="K426" s="1608"/>
      <c r="L426" s="1608"/>
      <c r="M426" s="1612"/>
      <c r="N426" s="1668"/>
    </row>
    <row r="427" spans="2:14">
      <c r="B427" s="1608"/>
      <c r="C427" s="1608"/>
      <c r="D427" s="1608"/>
      <c r="E427" s="129">
        <v>70053631</v>
      </c>
      <c r="F427" s="130" t="s">
        <v>648</v>
      </c>
      <c r="G427" s="1608"/>
      <c r="H427" s="129">
        <v>30206381</v>
      </c>
      <c r="I427" s="133">
        <v>98300</v>
      </c>
      <c r="J427" s="129">
        <v>13</v>
      </c>
      <c r="K427" s="1608"/>
      <c r="L427" s="1608"/>
      <c r="M427" s="1612"/>
      <c r="N427" s="1668"/>
    </row>
    <row r="428" spans="2:14">
      <c r="B428" s="1608"/>
      <c r="C428" s="1608">
        <v>4</v>
      </c>
      <c r="D428" s="1608" t="s">
        <v>166</v>
      </c>
      <c r="E428" s="129">
        <v>30173887</v>
      </c>
      <c r="F428" s="130" t="s">
        <v>167</v>
      </c>
      <c r="G428" s="1608" t="s">
        <v>168</v>
      </c>
      <c r="H428" s="129">
        <v>30204890</v>
      </c>
      <c r="I428" s="133">
        <v>49900</v>
      </c>
      <c r="J428" s="131">
        <v>0.05</v>
      </c>
      <c r="K428" s="129">
        <v>5</v>
      </c>
      <c r="L428" s="133">
        <v>299500</v>
      </c>
      <c r="M428" s="1612" t="s">
        <v>169</v>
      </c>
      <c r="N428" s="1668">
        <v>20250102871</v>
      </c>
    </row>
    <row r="429" spans="2:14">
      <c r="B429" s="1608"/>
      <c r="C429" s="1608"/>
      <c r="D429" s="1608"/>
      <c r="E429" s="129">
        <v>30173888</v>
      </c>
      <c r="F429" s="130" t="s">
        <v>170</v>
      </c>
      <c r="G429" s="1608"/>
      <c r="H429" s="129">
        <v>30204892</v>
      </c>
      <c r="I429" s="133">
        <v>49900</v>
      </c>
      <c r="J429" s="131">
        <v>0.05</v>
      </c>
      <c r="K429" s="129">
        <v>5</v>
      </c>
      <c r="L429" s="133">
        <v>299500</v>
      </c>
      <c r="M429" s="1612"/>
      <c r="N429" s="1668"/>
    </row>
    <row r="430" spans="2:14">
      <c r="B430" s="1608"/>
      <c r="C430" s="1608"/>
      <c r="D430" s="1608"/>
      <c r="E430" s="129">
        <v>30173890</v>
      </c>
      <c r="F430" s="130" t="s">
        <v>171</v>
      </c>
      <c r="G430" s="1608"/>
      <c r="H430" s="129">
        <v>30204894</v>
      </c>
      <c r="I430" s="133">
        <v>39900</v>
      </c>
      <c r="J430" s="131">
        <v>0.05</v>
      </c>
      <c r="K430" s="129">
        <v>5</v>
      </c>
      <c r="L430" s="133">
        <v>249500</v>
      </c>
      <c r="M430" s="1612"/>
      <c r="N430" s="1668"/>
    </row>
    <row r="431" spans="2:14">
      <c r="B431" s="1608"/>
      <c r="C431" s="1608"/>
      <c r="D431" s="1608"/>
      <c r="E431" s="129">
        <v>30173893</v>
      </c>
      <c r="F431" s="130" t="s">
        <v>172</v>
      </c>
      <c r="G431" s="1608"/>
      <c r="H431" s="129">
        <v>30204895</v>
      </c>
      <c r="I431" s="133">
        <v>39900</v>
      </c>
      <c r="J431" s="131">
        <v>0.05</v>
      </c>
      <c r="K431" s="129">
        <v>5</v>
      </c>
      <c r="L431" s="133">
        <v>249500</v>
      </c>
      <c r="M431" s="1612"/>
      <c r="N431" s="1668"/>
    </row>
    <row r="432" spans="2:14">
      <c r="B432" s="1661" t="s">
        <v>264</v>
      </c>
      <c r="C432" s="1661">
        <v>1</v>
      </c>
      <c r="D432" s="1661" t="s">
        <v>265</v>
      </c>
      <c r="E432" s="138">
        <v>71220928</v>
      </c>
      <c r="F432" s="139" t="s">
        <v>649</v>
      </c>
      <c r="G432" s="1475" t="s">
        <v>650</v>
      </c>
      <c r="H432" s="140">
        <v>30210943</v>
      </c>
      <c r="I432" s="141">
        <v>8900</v>
      </c>
      <c r="J432" s="142">
        <v>0.1</v>
      </c>
      <c r="K432" s="139">
        <v>5</v>
      </c>
      <c r="L432" s="141">
        <v>89000</v>
      </c>
      <c r="M432" s="1475" t="s">
        <v>651</v>
      </c>
      <c r="N432" s="1668">
        <v>20250102872</v>
      </c>
    </row>
    <row r="433" spans="2:14">
      <c r="B433" s="1661"/>
      <c r="C433" s="1661"/>
      <c r="D433" s="1661"/>
      <c r="E433" s="143">
        <v>68764398</v>
      </c>
      <c r="F433" s="144" t="s">
        <v>652</v>
      </c>
      <c r="G433" s="1475"/>
      <c r="H433" s="145">
        <v>30215111</v>
      </c>
      <c r="I433" s="146">
        <v>15900</v>
      </c>
      <c r="J433" s="147">
        <v>0.1</v>
      </c>
      <c r="K433" s="144">
        <v>5</v>
      </c>
      <c r="L433" s="146">
        <v>159000</v>
      </c>
      <c r="M433" s="1475"/>
      <c r="N433" s="1668"/>
    </row>
    <row r="434" spans="2:14">
      <c r="B434" s="1661"/>
      <c r="C434" s="1661"/>
      <c r="D434" s="1661"/>
      <c r="E434" s="143">
        <v>70752251</v>
      </c>
      <c r="F434" s="144" t="s">
        <v>653</v>
      </c>
      <c r="G434" s="1475"/>
      <c r="H434" s="145">
        <v>30215112</v>
      </c>
      <c r="I434" s="146">
        <v>12900</v>
      </c>
      <c r="J434" s="147">
        <v>0.1</v>
      </c>
      <c r="K434" s="144">
        <v>5</v>
      </c>
      <c r="L434" s="146">
        <v>129000</v>
      </c>
      <c r="M434" s="1475"/>
      <c r="N434" s="1668"/>
    </row>
    <row r="435" spans="2:14">
      <c r="B435" s="1661"/>
      <c r="C435" s="1661"/>
      <c r="D435" s="1661"/>
      <c r="E435" s="143">
        <v>66281110</v>
      </c>
      <c r="F435" s="144" t="s">
        <v>654</v>
      </c>
      <c r="G435" s="1475"/>
      <c r="H435" s="145">
        <v>30204153</v>
      </c>
      <c r="I435" s="146">
        <v>21500</v>
      </c>
      <c r="J435" s="147">
        <v>0.1</v>
      </c>
      <c r="K435" s="144">
        <v>5</v>
      </c>
      <c r="L435" s="146">
        <v>215000</v>
      </c>
      <c r="M435" s="1475"/>
      <c r="N435" s="1668"/>
    </row>
    <row r="436" spans="2:14">
      <c r="B436" s="1661"/>
      <c r="C436" s="1661"/>
      <c r="D436" s="1661"/>
      <c r="E436" s="143">
        <v>71220655</v>
      </c>
      <c r="F436" s="144" t="s">
        <v>655</v>
      </c>
      <c r="G436" s="1475"/>
      <c r="H436" s="148">
        <v>30215114</v>
      </c>
      <c r="I436" s="149">
        <v>32900</v>
      </c>
      <c r="J436" s="150">
        <v>0.1</v>
      </c>
      <c r="K436" s="151">
        <v>5</v>
      </c>
      <c r="L436" s="149">
        <v>329000</v>
      </c>
      <c r="M436" s="1475"/>
      <c r="N436" s="1668"/>
    </row>
    <row r="437" spans="2:14">
      <c r="B437" s="1661"/>
      <c r="C437" s="1661">
        <v>2</v>
      </c>
      <c r="D437" s="1661" t="s">
        <v>286</v>
      </c>
      <c r="E437" s="152">
        <v>30203660</v>
      </c>
      <c r="F437" s="153" t="s">
        <v>291</v>
      </c>
      <c r="G437" s="1444" t="s">
        <v>656</v>
      </c>
      <c r="H437" s="84">
        <v>30163421</v>
      </c>
      <c r="I437" s="155">
        <v>59900</v>
      </c>
      <c r="J437" s="156">
        <v>0.13</v>
      </c>
      <c r="K437" s="157">
        <v>5</v>
      </c>
      <c r="L437" s="155">
        <v>299500</v>
      </c>
      <c r="M437" s="1444" t="s">
        <v>289</v>
      </c>
      <c r="N437" s="1461">
        <v>20250102873</v>
      </c>
    </row>
    <row r="438" spans="2:14">
      <c r="B438" s="1661"/>
      <c r="C438" s="1661"/>
      <c r="D438" s="1661"/>
      <c r="E438" s="158">
        <v>30164117</v>
      </c>
      <c r="F438" s="159" t="s">
        <v>292</v>
      </c>
      <c r="G438" s="1444"/>
      <c r="H438" s="84">
        <v>30211955</v>
      </c>
      <c r="I438" s="155">
        <v>19900</v>
      </c>
      <c r="J438" s="156">
        <v>0.13</v>
      </c>
      <c r="K438" s="157">
        <v>5</v>
      </c>
      <c r="L438" s="155">
        <v>99500</v>
      </c>
      <c r="M438" s="1444"/>
      <c r="N438" s="1461"/>
    </row>
    <row r="439" spans="2:14">
      <c r="B439" s="1661"/>
      <c r="C439" s="1661"/>
      <c r="D439" s="1661"/>
      <c r="E439" s="158">
        <v>30205340</v>
      </c>
      <c r="F439" s="153" t="s">
        <v>296</v>
      </c>
      <c r="G439" s="1444"/>
      <c r="H439" s="84">
        <v>30207276</v>
      </c>
      <c r="I439" s="155">
        <v>26900</v>
      </c>
      <c r="J439" s="156">
        <v>0.13</v>
      </c>
      <c r="K439" s="157">
        <v>5</v>
      </c>
      <c r="L439" s="155">
        <v>134500</v>
      </c>
      <c r="M439" s="1444"/>
      <c r="N439" s="1461"/>
    </row>
    <row r="440" spans="2:14">
      <c r="B440" s="1661"/>
      <c r="C440" s="1661"/>
      <c r="D440" s="1661"/>
      <c r="E440" s="158">
        <v>72598519</v>
      </c>
      <c r="F440" s="153" t="s">
        <v>297</v>
      </c>
      <c r="G440" s="1444"/>
      <c r="H440" s="84">
        <v>30213230</v>
      </c>
      <c r="I440" s="155">
        <v>29900</v>
      </c>
      <c r="J440" s="156">
        <v>0.13</v>
      </c>
      <c r="K440" s="157">
        <v>5</v>
      </c>
      <c r="L440" s="155">
        <v>149500</v>
      </c>
      <c r="M440" s="1444"/>
      <c r="N440" s="1461"/>
    </row>
    <row r="441" spans="2:14">
      <c r="B441" s="1661"/>
      <c r="C441" s="1661"/>
      <c r="D441" s="1661"/>
      <c r="E441" s="158">
        <v>30206692</v>
      </c>
      <c r="F441" s="153" t="s">
        <v>295</v>
      </c>
      <c r="G441" s="1444"/>
      <c r="H441" s="84">
        <v>30208325</v>
      </c>
      <c r="I441" s="155">
        <v>36900</v>
      </c>
      <c r="J441" s="156">
        <v>0.13</v>
      </c>
      <c r="K441" s="157">
        <v>5</v>
      </c>
      <c r="L441" s="155">
        <v>184500</v>
      </c>
      <c r="M441" s="1444"/>
      <c r="N441" s="1461"/>
    </row>
    <row r="442" spans="2:14">
      <c r="B442" s="1661"/>
      <c r="C442" s="1661"/>
      <c r="D442" s="1661"/>
      <c r="E442" s="152">
        <v>30211935</v>
      </c>
      <c r="F442" s="153" t="s">
        <v>287</v>
      </c>
      <c r="G442" s="1444"/>
      <c r="H442" s="84">
        <v>30211935</v>
      </c>
      <c r="I442" s="155">
        <v>14300</v>
      </c>
      <c r="J442" s="156">
        <v>0.13</v>
      </c>
      <c r="K442" s="157">
        <v>5</v>
      </c>
      <c r="L442" s="155">
        <v>71500</v>
      </c>
      <c r="M442" s="1444"/>
      <c r="N442" s="1461"/>
    </row>
    <row r="443" spans="2:14">
      <c r="B443" s="1661"/>
      <c r="C443" s="1661"/>
      <c r="D443" s="1661"/>
      <c r="E443" s="152">
        <v>30202366</v>
      </c>
      <c r="F443" s="153" t="s">
        <v>290</v>
      </c>
      <c r="G443" s="1444"/>
      <c r="H443" s="84">
        <v>30204166</v>
      </c>
      <c r="I443" s="155">
        <v>19900</v>
      </c>
      <c r="J443" s="156">
        <v>0.13</v>
      </c>
      <c r="K443" s="157">
        <v>5</v>
      </c>
      <c r="L443" s="155">
        <v>99500</v>
      </c>
      <c r="M443" s="1444"/>
      <c r="N443" s="1461"/>
    </row>
    <row r="444" spans="2:14">
      <c r="B444" s="1661"/>
      <c r="C444" s="1661"/>
      <c r="D444" s="1661"/>
      <c r="E444" s="152">
        <v>74027977</v>
      </c>
      <c r="F444" s="159" t="s">
        <v>657</v>
      </c>
      <c r="G444" s="1444"/>
      <c r="H444" s="84">
        <v>30215126</v>
      </c>
      <c r="I444" s="155">
        <v>15900</v>
      </c>
      <c r="J444" s="156">
        <v>0.13</v>
      </c>
      <c r="K444" s="157">
        <v>5</v>
      </c>
      <c r="L444" s="155">
        <v>79500</v>
      </c>
      <c r="M444" s="1444"/>
      <c r="N444" s="1461"/>
    </row>
    <row r="445" spans="2:14">
      <c r="B445" s="1661"/>
      <c r="C445" s="1661"/>
      <c r="D445" s="1661"/>
      <c r="E445" s="158">
        <v>71123621</v>
      </c>
      <c r="F445" s="159" t="s">
        <v>293</v>
      </c>
      <c r="G445" s="1444"/>
      <c r="H445" s="84">
        <v>30211956</v>
      </c>
      <c r="I445" s="155">
        <v>19900</v>
      </c>
      <c r="J445" s="156">
        <v>0.13</v>
      </c>
      <c r="K445" s="157">
        <v>5</v>
      </c>
      <c r="L445" s="155">
        <v>99500</v>
      </c>
      <c r="M445" s="1444"/>
      <c r="N445" s="1461"/>
    </row>
    <row r="446" spans="2:14" ht="66">
      <c r="B446" s="1661"/>
      <c r="C446" s="143">
        <v>3</v>
      </c>
      <c r="D446" s="144" t="s">
        <v>658</v>
      </c>
      <c r="E446" s="144">
        <v>75169865</v>
      </c>
      <c r="F446" s="160" t="s">
        <v>659</v>
      </c>
      <c r="G446" s="154" t="s">
        <v>660</v>
      </c>
      <c r="H446" s="38">
        <v>30215127</v>
      </c>
      <c r="I446" s="161">
        <v>7500</v>
      </c>
      <c r="J446" s="162">
        <v>0.1</v>
      </c>
      <c r="K446" s="157">
        <v>5</v>
      </c>
      <c r="L446" s="155">
        <v>37500</v>
      </c>
      <c r="M446" s="154" t="s">
        <v>661</v>
      </c>
      <c r="N446" s="69">
        <v>20250102874</v>
      </c>
    </row>
    <row r="447" spans="2:14" ht="66">
      <c r="B447" s="1661"/>
      <c r="C447" s="163">
        <v>4</v>
      </c>
      <c r="D447" s="164" t="s">
        <v>658</v>
      </c>
      <c r="E447" s="144">
        <v>75172091</v>
      </c>
      <c r="F447" s="144" t="s">
        <v>662</v>
      </c>
      <c r="G447" s="165" t="s">
        <v>663</v>
      </c>
      <c r="H447" s="148">
        <v>30215129</v>
      </c>
      <c r="I447" s="149">
        <v>10500</v>
      </c>
      <c r="J447" s="150">
        <v>0.1</v>
      </c>
      <c r="K447" s="151">
        <v>5</v>
      </c>
      <c r="L447" s="166">
        <v>52500</v>
      </c>
      <c r="M447" s="165" t="s">
        <v>664</v>
      </c>
      <c r="N447" s="167">
        <v>20250102875</v>
      </c>
    </row>
    <row r="448" spans="2:14">
      <c r="B448" s="1661"/>
      <c r="C448" s="1662">
        <v>5</v>
      </c>
      <c r="D448" s="1476" t="s">
        <v>315</v>
      </c>
      <c r="E448" s="143">
        <v>73983470</v>
      </c>
      <c r="F448" s="160" t="s">
        <v>665</v>
      </c>
      <c r="G448" s="1444" t="s">
        <v>666</v>
      </c>
      <c r="H448" s="38">
        <v>30215130</v>
      </c>
      <c r="I448" s="161">
        <v>17900</v>
      </c>
      <c r="J448" s="162">
        <v>0.08</v>
      </c>
      <c r="K448" s="157">
        <v>5</v>
      </c>
      <c r="L448" s="161">
        <v>89500</v>
      </c>
      <c r="M448" s="1444" t="s">
        <v>667</v>
      </c>
      <c r="N448" s="1461">
        <v>20250102876</v>
      </c>
    </row>
    <row r="449" spans="2:14">
      <c r="B449" s="1661"/>
      <c r="C449" s="1662"/>
      <c r="D449" s="1476"/>
      <c r="E449" s="143">
        <v>73983464</v>
      </c>
      <c r="F449" s="160" t="s">
        <v>668</v>
      </c>
      <c r="G449" s="1444"/>
      <c r="H449" s="38">
        <v>30215131</v>
      </c>
      <c r="I449" s="161">
        <v>19500</v>
      </c>
      <c r="J449" s="162">
        <v>0.08</v>
      </c>
      <c r="K449" s="157">
        <v>5</v>
      </c>
      <c r="L449" s="161">
        <v>97500</v>
      </c>
      <c r="M449" s="1444"/>
      <c r="N449" s="1461"/>
    </row>
    <row r="450" spans="2:14">
      <c r="B450" s="1661"/>
      <c r="C450" s="1662"/>
      <c r="D450" s="1476"/>
      <c r="E450" s="143">
        <v>73983439</v>
      </c>
      <c r="F450" s="160" t="s">
        <v>669</v>
      </c>
      <c r="G450" s="1444"/>
      <c r="H450" s="38">
        <v>30215132</v>
      </c>
      <c r="I450" s="161">
        <v>21900</v>
      </c>
      <c r="J450" s="162">
        <v>0.08</v>
      </c>
      <c r="K450" s="157">
        <v>5</v>
      </c>
      <c r="L450" s="161">
        <v>109500</v>
      </c>
      <c r="M450" s="1444"/>
      <c r="N450" s="1461"/>
    </row>
    <row r="451" spans="2:14">
      <c r="B451" s="1661"/>
      <c r="C451" s="1662"/>
      <c r="D451" s="1476"/>
      <c r="E451" s="143">
        <v>73983523</v>
      </c>
      <c r="F451" s="160" t="s">
        <v>670</v>
      </c>
      <c r="G451" s="1444"/>
      <c r="H451" s="38">
        <v>30215133</v>
      </c>
      <c r="I451" s="161">
        <v>22700</v>
      </c>
      <c r="J451" s="162">
        <v>0.08</v>
      </c>
      <c r="K451" s="157">
        <v>5</v>
      </c>
      <c r="L451" s="161">
        <v>113500</v>
      </c>
      <c r="M451" s="1444"/>
      <c r="N451" s="1461"/>
    </row>
    <row r="452" spans="2:14">
      <c r="B452" s="1661"/>
      <c r="C452" s="1662"/>
      <c r="D452" s="1476"/>
      <c r="E452" s="143">
        <v>73983539</v>
      </c>
      <c r="F452" s="160" t="s">
        <v>671</v>
      </c>
      <c r="G452" s="1444"/>
      <c r="H452" s="38">
        <v>30215134</v>
      </c>
      <c r="I452" s="161">
        <v>22700</v>
      </c>
      <c r="J452" s="162">
        <v>0.08</v>
      </c>
      <c r="K452" s="157">
        <v>5</v>
      </c>
      <c r="L452" s="161">
        <v>113500</v>
      </c>
      <c r="M452" s="1444"/>
      <c r="N452" s="1461"/>
    </row>
    <row r="453" spans="2:14">
      <c r="B453" s="1661"/>
      <c r="C453" s="1661">
        <v>6</v>
      </c>
      <c r="D453" s="1475" t="s">
        <v>299</v>
      </c>
      <c r="E453" s="143">
        <v>74049699</v>
      </c>
      <c r="F453" s="160" t="s">
        <v>672</v>
      </c>
      <c r="G453" s="1444" t="s">
        <v>673</v>
      </c>
      <c r="H453" s="38">
        <v>30215135</v>
      </c>
      <c r="I453" s="161">
        <v>15900</v>
      </c>
      <c r="J453" s="162">
        <v>0.08</v>
      </c>
      <c r="K453" s="157">
        <v>5</v>
      </c>
      <c r="L453" s="161">
        <v>79500</v>
      </c>
      <c r="M453" s="1444" t="s">
        <v>674</v>
      </c>
      <c r="N453" s="1461">
        <v>20250102877</v>
      </c>
    </row>
    <row r="454" spans="2:14">
      <c r="B454" s="1661"/>
      <c r="C454" s="1661"/>
      <c r="D454" s="1475"/>
      <c r="E454" s="143">
        <v>74049548</v>
      </c>
      <c r="F454" s="160" t="s">
        <v>675</v>
      </c>
      <c r="G454" s="1444"/>
      <c r="H454" s="38">
        <v>30215136</v>
      </c>
      <c r="I454" s="161">
        <v>20900</v>
      </c>
      <c r="J454" s="162">
        <v>0.08</v>
      </c>
      <c r="K454" s="157">
        <v>5</v>
      </c>
      <c r="L454" s="161">
        <v>104500</v>
      </c>
      <c r="M454" s="1444"/>
      <c r="N454" s="1461"/>
    </row>
    <row r="455" spans="2:14">
      <c r="B455" s="1661"/>
      <c r="C455" s="1661"/>
      <c r="D455" s="1475"/>
      <c r="E455" s="143">
        <v>74049601</v>
      </c>
      <c r="F455" s="160" t="s">
        <v>676</v>
      </c>
      <c r="G455" s="1444"/>
      <c r="H455" s="38">
        <v>30215138</v>
      </c>
      <c r="I455" s="161">
        <v>20900</v>
      </c>
      <c r="J455" s="162">
        <v>0.08</v>
      </c>
      <c r="K455" s="157">
        <v>5</v>
      </c>
      <c r="L455" s="161">
        <v>104500</v>
      </c>
      <c r="M455" s="1444"/>
      <c r="N455" s="1461"/>
    </row>
    <row r="456" spans="2:14">
      <c r="B456" s="1661"/>
      <c r="C456" s="1661"/>
      <c r="D456" s="1475"/>
      <c r="E456" s="143">
        <v>74049634</v>
      </c>
      <c r="F456" s="160" t="s">
        <v>677</v>
      </c>
      <c r="G456" s="1444"/>
      <c r="H456" s="38">
        <v>30215139</v>
      </c>
      <c r="I456" s="161">
        <v>21900</v>
      </c>
      <c r="J456" s="162">
        <v>0.08</v>
      </c>
      <c r="K456" s="157">
        <v>5</v>
      </c>
      <c r="L456" s="161">
        <v>109500</v>
      </c>
      <c r="M456" s="1444"/>
      <c r="N456" s="1461"/>
    </row>
    <row r="457" spans="2:14">
      <c r="B457" s="1661"/>
      <c r="C457" s="1661"/>
      <c r="D457" s="1475"/>
      <c r="E457" s="143">
        <v>74049427</v>
      </c>
      <c r="F457" s="160" t="s">
        <v>678</v>
      </c>
      <c r="G457" s="1444"/>
      <c r="H457" s="38">
        <v>30215140</v>
      </c>
      <c r="I457" s="161">
        <v>21900</v>
      </c>
      <c r="J457" s="162">
        <v>0.08</v>
      </c>
      <c r="K457" s="157">
        <v>5</v>
      </c>
      <c r="L457" s="161">
        <v>109500</v>
      </c>
      <c r="M457" s="1444"/>
      <c r="N457" s="1461"/>
    </row>
    <row r="458" spans="2:14">
      <c r="B458" s="1661"/>
      <c r="C458" s="1661">
        <v>7</v>
      </c>
      <c r="D458" s="1475" t="s">
        <v>307</v>
      </c>
      <c r="E458" s="143">
        <v>74058085</v>
      </c>
      <c r="F458" s="144" t="s">
        <v>679</v>
      </c>
      <c r="G458" s="1476" t="s">
        <v>680</v>
      </c>
      <c r="H458" s="145">
        <v>30215142</v>
      </c>
      <c r="I458" s="146">
        <v>18900</v>
      </c>
      <c r="J458" s="147">
        <v>0.08</v>
      </c>
      <c r="K458" s="144">
        <v>5</v>
      </c>
      <c r="L458" s="146">
        <v>94500</v>
      </c>
      <c r="M458" s="1476" t="s">
        <v>681</v>
      </c>
      <c r="N458" s="1734">
        <v>20250102878</v>
      </c>
    </row>
    <row r="459" spans="2:14">
      <c r="B459" s="1661"/>
      <c r="C459" s="1661"/>
      <c r="D459" s="1475"/>
      <c r="E459" s="143">
        <v>74058087</v>
      </c>
      <c r="F459" s="144" t="s">
        <v>682</v>
      </c>
      <c r="G459" s="1475"/>
      <c r="H459" s="145">
        <v>30215144</v>
      </c>
      <c r="I459" s="146">
        <v>18900</v>
      </c>
      <c r="J459" s="147">
        <v>0.08</v>
      </c>
      <c r="K459" s="144">
        <v>5</v>
      </c>
      <c r="L459" s="146">
        <v>94500</v>
      </c>
      <c r="M459" s="1475"/>
      <c r="N459" s="1668"/>
    </row>
    <row r="460" spans="2:14">
      <c r="B460" s="1661"/>
      <c r="C460" s="1661"/>
      <c r="D460" s="1475"/>
      <c r="E460" s="143">
        <v>74058129</v>
      </c>
      <c r="F460" s="144" t="s">
        <v>683</v>
      </c>
      <c r="G460" s="1475"/>
      <c r="H460" s="145">
        <v>30215145</v>
      </c>
      <c r="I460" s="146">
        <v>18900</v>
      </c>
      <c r="J460" s="147">
        <v>0.08</v>
      </c>
      <c r="K460" s="144">
        <v>5</v>
      </c>
      <c r="L460" s="146">
        <v>94500</v>
      </c>
      <c r="M460" s="1475"/>
      <c r="N460" s="1668"/>
    </row>
    <row r="461" spans="2:14">
      <c r="B461" s="1661"/>
      <c r="C461" s="1661"/>
      <c r="D461" s="1475"/>
      <c r="E461" s="143">
        <v>74057603</v>
      </c>
      <c r="F461" s="144" t="s">
        <v>684</v>
      </c>
      <c r="G461" s="1475"/>
      <c r="H461" s="145">
        <v>30215146</v>
      </c>
      <c r="I461" s="146">
        <v>15700</v>
      </c>
      <c r="J461" s="147">
        <v>0.08</v>
      </c>
      <c r="K461" s="144">
        <v>5</v>
      </c>
      <c r="L461" s="146">
        <v>78500</v>
      </c>
      <c r="M461" s="1475"/>
      <c r="N461" s="1668"/>
    </row>
    <row r="462" spans="2:14">
      <c r="B462" s="1661"/>
      <c r="C462" s="1661"/>
      <c r="D462" s="1475"/>
      <c r="E462" s="143">
        <v>74058123</v>
      </c>
      <c r="F462" s="144" t="s">
        <v>685</v>
      </c>
      <c r="G462" s="1475"/>
      <c r="H462" s="145">
        <v>30215147</v>
      </c>
      <c r="I462" s="146">
        <v>15700</v>
      </c>
      <c r="J462" s="147">
        <v>0.08</v>
      </c>
      <c r="K462" s="144">
        <v>5</v>
      </c>
      <c r="L462" s="146">
        <v>78500</v>
      </c>
      <c r="M462" s="1475"/>
      <c r="N462" s="1668"/>
    </row>
    <row r="463" spans="2:14">
      <c r="B463" s="1661"/>
      <c r="C463" s="1661">
        <v>8</v>
      </c>
      <c r="D463" s="1475" t="s">
        <v>686</v>
      </c>
      <c r="E463" s="143">
        <v>71315774</v>
      </c>
      <c r="F463" s="164" t="s">
        <v>687</v>
      </c>
      <c r="G463" s="1475" t="s">
        <v>688</v>
      </c>
      <c r="H463" s="145">
        <v>30208365</v>
      </c>
      <c r="I463" s="146">
        <v>11500</v>
      </c>
      <c r="J463" s="147">
        <v>0.1</v>
      </c>
      <c r="K463" s="144">
        <v>5</v>
      </c>
      <c r="L463" s="146">
        <v>57500</v>
      </c>
      <c r="M463" s="1475" t="s">
        <v>689</v>
      </c>
      <c r="N463" s="1668">
        <v>20250102879</v>
      </c>
    </row>
    <row r="464" spans="2:14">
      <c r="B464" s="1661"/>
      <c r="C464" s="1661"/>
      <c r="D464" s="1475"/>
      <c r="E464" s="143">
        <v>71315798</v>
      </c>
      <c r="F464" s="164" t="s">
        <v>690</v>
      </c>
      <c r="G464" s="1475"/>
      <c r="H464" s="145">
        <v>30213242</v>
      </c>
      <c r="I464" s="146">
        <v>27900</v>
      </c>
      <c r="J464" s="147">
        <v>0.1</v>
      </c>
      <c r="K464" s="144">
        <v>5</v>
      </c>
      <c r="L464" s="146">
        <v>139500</v>
      </c>
      <c r="M464" s="1475"/>
      <c r="N464" s="1668"/>
    </row>
    <row r="465" spans="2:14">
      <c r="B465" s="1661"/>
      <c r="C465" s="1661"/>
      <c r="D465" s="1475"/>
      <c r="E465" s="143">
        <v>71315799</v>
      </c>
      <c r="F465" s="164" t="s">
        <v>691</v>
      </c>
      <c r="G465" s="1475"/>
      <c r="H465" s="145">
        <v>30211969</v>
      </c>
      <c r="I465" s="146">
        <v>11500</v>
      </c>
      <c r="J465" s="147">
        <v>0.1</v>
      </c>
      <c r="K465" s="144">
        <v>5</v>
      </c>
      <c r="L465" s="146">
        <v>57500</v>
      </c>
      <c r="M465" s="1475"/>
      <c r="N465" s="1668"/>
    </row>
    <row r="466" spans="2:14">
      <c r="B466" s="1661"/>
      <c r="C466" s="1661"/>
      <c r="D466" s="1475"/>
      <c r="E466" s="143">
        <v>75277694</v>
      </c>
      <c r="F466" s="164" t="s">
        <v>692</v>
      </c>
      <c r="G466" s="1475"/>
      <c r="H466" s="148">
        <v>30215148</v>
      </c>
      <c r="I466" s="149">
        <v>27900</v>
      </c>
      <c r="J466" s="147">
        <v>0.1</v>
      </c>
      <c r="K466" s="144">
        <v>5</v>
      </c>
      <c r="L466" s="146">
        <v>139500</v>
      </c>
      <c r="M466" s="1475"/>
      <c r="N466" s="1668"/>
    </row>
    <row r="467" spans="2:14">
      <c r="B467" s="1661" t="s">
        <v>331</v>
      </c>
      <c r="C467" s="1661">
        <v>1</v>
      </c>
      <c r="D467" s="1661" t="s">
        <v>693</v>
      </c>
      <c r="E467" s="143">
        <v>30105386</v>
      </c>
      <c r="F467" s="168" t="s">
        <v>694</v>
      </c>
      <c r="G467" s="1444" t="s">
        <v>695</v>
      </c>
      <c r="H467" s="38">
        <v>30215149</v>
      </c>
      <c r="I467" s="161">
        <v>14900</v>
      </c>
      <c r="J467" s="147">
        <v>0.1</v>
      </c>
      <c r="K467" s="144">
        <v>5</v>
      </c>
      <c r="L467" s="146">
        <v>74500</v>
      </c>
      <c r="M467" s="1475" t="s">
        <v>696</v>
      </c>
      <c r="N467" s="1668">
        <v>20250102880</v>
      </c>
    </row>
    <row r="468" spans="2:14">
      <c r="B468" s="1661"/>
      <c r="C468" s="1661"/>
      <c r="D468" s="1661"/>
      <c r="E468" s="143">
        <v>30154048</v>
      </c>
      <c r="F468" s="169" t="s">
        <v>697</v>
      </c>
      <c r="G468" s="1444"/>
      <c r="H468" s="38">
        <v>30215150</v>
      </c>
      <c r="I468" s="161">
        <v>19900</v>
      </c>
      <c r="J468" s="147">
        <v>0.1</v>
      </c>
      <c r="K468" s="144">
        <v>5</v>
      </c>
      <c r="L468" s="146">
        <v>99500</v>
      </c>
      <c r="M468" s="1475"/>
      <c r="N468" s="1668"/>
    </row>
    <row r="469" spans="2:14">
      <c r="B469" s="1661"/>
      <c r="C469" s="1661"/>
      <c r="D469" s="1661"/>
      <c r="E469" s="143">
        <v>30154047</v>
      </c>
      <c r="F469" s="169" t="s">
        <v>698</v>
      </c>
      <c r="G469" s="1444"/>
      <c r="H469" s="38">
        <v>30215151</v>
      </c>
      <c r="I469" s="161">
        <v>20900</v>
      </c>
      <c r="J469" s="147">
        <v>0.1</v>
      </c>
      <c r="K469" s="144">
        <v>5</v>
      </c>
      <c r="L469" s="146">
        <v>104500</v>
      </c>
      <c r="M469" s="1475"/>
      <c r="N469" s="1668"/>
    </row>
    <row r="470" spans="2:14">
      <c r="B470" s="1661"/>
      <c r="C470" s="1661"/>
      <c r="D470" s="1661"/>
      <c r="E470" s="143">
        <v>30202339</v>
      </c>
      <c r="F470" s="169" t="s">
        <v>699</v>
      </c>
      <c r="G470" s="1444"/>
      <c r="H470" s="38">
        <v>30215152</v>
      </c>
      <c r="I470" s="170">
        <v>24900</v>
      </c>
      <c r="J470" s="171">
        <v>0.1</v>
      </c>
      <c r="K470" s="144">
        <v>5</v>
      </c>
      <c r="L470" s="146">
        <v>124500</v>
      </c>
      <c r="M470" s="1475"/>
      <c r="N470" s="1668"/>
    </row>
    <row r="471" spans="2:14">
      <c r="B471" s="1661"/>
      <c r="C471" s="1661"/>
      <c r="D471" s="1661"/>
      <c r="E471" s="143">
        <v>30052533</v>
      </c>
      <c r="F471" s="169" t="s">
        <v>700</v>
      </c>
      <c r="G471" s="1444"/>
      <c r="H471" s="38">
        <v>30215153</v>
      </c>
      <c r="I471" s="170">
        <v>25900</v>
      </c>
      <c r="J471" s="171">
        <v>0.1</v>
      </c>
      <c r="K471" s="144">
        <v>5</v>
      </c>
      <c r="L471" s="146">
        <v>129500</v>
      </c>
      <c r="M471" s="1475"/>
      <c r="N471" s="1668"/>
    </row>
    <row r="472" spans="2:14">
      <c r="B472" s="1661"/>
      <c r="C472" s="1661">
        <v>2</v>
      </c>
      <c r="D472" s="1661" t="s">
        <v>346</v>
      </c>
      <c r="E472" s="143">
        <v>10177524</v>
      </c>
      <c r="F472" s="172" t="s">
        <v>701</v>
      </c>
      <c r="G472" s="1443" t="s">
        <v>348</v>
      </c>
      <c r="H472" s="173">
        <v>30213249</v>
      </c>
      <c r="I472" s="170">
        <v>28900</v>
      </c>
      <c r="J472" s="171">
        <v>0.15</v>
      </c>
      <c r="K472" s="144">
        <v>5</v>
      </c>
      <c r="L472" s="146">
        <v>144500</v>
      </c>
      <c r="M472" s="1475" t="s">
        <v>349</v>
      </c>
      <c r="N472" s="1668">
        <v>20250102881</v>
      </c>
    </row>
    <row r="473" spans="2:14">
      <c r="B473" s="1661"/>
      <c r="C473" s="1661"/>
      <c r="D473" s="1661"/>
      <c r="E473" s="143">
        <v>30107419</v>
      </c>
      <c r="F473" s="160" t="s">
        <v>702</v>
      </c>
      <c r="G473" s="1443"/>
      <c r="H473" s="173">
        <v>30203516</v>
      </c>
      <c r="I473" s="170">
        <v>20900</v>
      </c>
      <c r="J473" s="171">
        <v>0.15</v>
      </c>
      <c r="K473" s="144">
        <v>5</v>
      </c>
      <c r="L473" s="146">
        <v>104500</v>
      </c>
      <c r="M473" s="1475"/>
      <c r="N473" s="1668"/>
    </row>
    <row r="474" spans="2:14" ht="66">
      <c r="B474" s="1661"/>
      <c r="C474" s="138">
        <v>3</v>
      </c>
      <c r="D474" s="139" t="s">
        <v>360</v>
      </c>
      <c r="E474" s="144">
        <v>47972361</v>
      </c>
      <c r="F474" s="160" t="s">
        <v>703</v>
      </c>
      <c r="G474" s="157" t="s">
        <v>703</v>
      </c>
      <c r="H474" s="38">
        <v>30215154</v>
      </c>
      <c r="I474" s="170">
        <v>23900</v>
      </c>
      <c r="J474" s="171">
        <v>0.15</v>
      </c>
      <c r="K474" s="144">
        <v>5</v>
      </c>
      <c r="L474" s="146">
        <v>119500</v>
      </c>
      <c r="M474" s="174" t="s">
        <v>704</v>
      </c>
      <c r="N474" s="136">
        <v>20250102882</v>
      </c>
    </row>
    <row r="475" spans="2:14">
      <c r="B475" s="1661"/>
      <c r="C475" s="1662">
        <v>4</v>
      </c>
      <c r="D475" s="1662" t="s">
        <v>332</v>
      </c>
      <c r="E475" s="143">
        <v>72437920</v>
      </c>
      <c r="F475" s="144" t="s">
        <v>705</v>
      </c>
      <c r="G475" s="1476" t="s">
        <v>706</v>
      </c>
      <c r="H475" s="145">
        <v>30215155</v>
      </c>
      <c r="I475" s="175">
        <v>9900</v>
      </c>
      <c r="J475" s="176">
        <v>0.1</v>
      </c>
      <c r="K475" s="144">
        <v>5</v>
      </c>
      <c r="L475" s="146">
        <v>54500</v>
      </c>
      <c r="M475" s="1476" t="s">
        <v>705</v>
      </c>
      <c r="N475" s="1668">
        <v>20250103883</v>
      </c>
    </row>
    <row r="476" spans="2:14">
      <c r="B476" s="1661"/>
      <c r="C476" s="1662"/>
      <c r="D476" s="1662"/>
      <c r="E476" s="143">
        <v>74722328</v>
      </c>
      <c r="F476" s="144" t="s">
        <v>707</v>
      </c>
      <c r="G476" s="1476"/>
      <c r="H476" s="145">
        <v>30215156</v>
      </c>
      <c r="I476" s="177">
        <v>10900</v>
      </c>
      <c r="J476" s="171">
        <v>0.1</v>
      </c>
      <c r="K476" s="144">
        <v>5</v>
      </c>
      <c r="L476" s="146">
        <v>44500</v>
      </c>
      <c r="M476" s="1476"/>
      <c r="N476" s="1668"/>
    </row>
    <row r="477" spans="2:14">
      <c r="B477" s="1661"/>
      <c r="C477" s="1661">
        <v>5</v>
      </c>
      <c r="D477" s="1661" t="s">
        <v>332</v>
      </c>
      <c r="E477" s="143">
        <v>74721286</v>
      </c>
      <c r="F477" s="144" t="s">
        <v>334</v>
      </c>
      <c r="G477" s="1661" t="s">
        <v>334</v>
      </c>
      <c r="H477" s="145">
        <v>30215157</v>
      </c>
      <c r="I477" s="178">
        <v>8900</v>
      </c>
      <c r="J477" s="171">
        <v>0.1</v>
      </c>
      <c r="K477" s="144">
        <v>5</v>
      </c>
      <c r="L477" s="146">
        <v>44500</v>
      </c>
      <c r="M477" s="1661" t="s">
        <v>334</v>
      </c>
      <c r="N477" s="1751">
        <v>20250103884</v>
      </c>
    </row>
    <row r="478" spans="2:14">
      <c r="B478" s="1661"/>
      <c r="C478" s="1661"/>
      <c r="D478" s="1661"/>
      <c r="E478" s="143">
        <v>74051382</v>
      </c>
      <c r="F478" s="144" t="s">
        <v>708</v>
      </c>
      <c r="G478" s="1661"/>
      <c r="H478" s="145">
        <v>30215158</v>
      </c>
      <c r="I478" s="178">
        <v>8900</v>
      </c>
      <c r="J478" s="171">
        <v>0.1</v>
      </c>
      <c r="K478" s="144">
        <v>5</v>
      </c>
      <c r="L478" s="146">
        <v>44500</v>
      </c>
      <c r="M478" s="1661"/>
      <c r="N478" s="1751"/>
    </row>
    <row r="479" spans="2:14">
      <c r="B479" s="1661"/>
      <c r="C479" s="1661">
        <v>6</v>
      </c>
      <c r="D479" s="1661" t="s">
        <v>352</v>
      </c>
      <c r="E479" s="143">
        <v>70736169</v>
      </c>
      <c r="F479" s="179" t="s">
        <v>709</v>
      </c>
      <c r="G479" s="1475" t="s">
        <v>710</v>
      </c>
      <c r="H479" s="180">
        <v>30215159</v>
      </c>
      <c r="I479" s="178">
        <v>15800</v>
      </c>
      <c r="J479" s="171">
        <v>0.1</v>
      </c>
      <c r="K479" s="144">
        <v>5</v>
      </c>
      <c r="L479" s="146">
        <v>79000</v>
      </c>
      <c r="M479" s="1475" t="s">
        <v>711</v>
      </c>
      <c r="N479" s="1668">
        <v>20250103885</v>
      </c>
    </row>
    <row r="480" spans="2:14">
      <c r="B480" s="1661"/>
      <c r="C480" s="1661"/>
      <c r="D480" s="1661"/>
      <c r="E480" s="143">
        <v>72164163</v>
      </c>
      <c r="F480" s="179" t="s">
        <v>712</v>
      </c>
      <c r="G480" s="1475"/>
      <c r="H480" s="180">
        <v>30215160</v>
      </c>
      <c r="I480" s="178">
        <v>16800</v>
      </c>
      <c r="J480" s="171">
        <v>0.1</v>
      </c>
      <c r="K480" s="144">
        <v>5</v>
      </c>
      <c r="L480" s="146">
        <v>84000</v>
      </c>
      <c r="M480" s="1475"/>
      <c r="N480" s="1668"/>
    </row>
    <row r="481" spans="2:14">
      <c r="B481" s="1661"/>
      <c r="C481" s="1661"/>
      <c r="D481" s="1661"/>
      <c r="E481" s="143">
        <v>64037448</v>
      </c>
      <c r="F481" s="179" t="s">
        <v>713</v>
      </c>
      <c r="G481" s="1475"/>
      <c r="H481" s="180">
        <v>30198008</v>
      </c>
      <c r="I481" s="178">
        <v>15800</v>
      </c>
      <c r="J481" s="171">
        <v>0.1</v>
      </c>
      <c r="K481" s="144">
        <v>5</v>
      </c>
      <c r="L481" s="146">
        <v>79000</v>
      </c>
      <c r="M481" s="1475"/>
      <c r="N481" s="1668"/>
    </row>
    <row r="482" spans="2:14">
      <c r="B482" s="1661"/>
      <c r="C482" s="1661"/>
      <c r="D482" s="1661"/>
      <c r="E482" s="143">
        <v>70088852</v>
      </c>
      <c r="F482" s="179" t="s">
        <v>714</v>
      </c>
      <c r="G482" s="1475"/>
      <c r="H482" s="180">
        <v>30215161</v>
      </c>
      <c r="I482" s="146">
        <v>19800</v>
      </c>
      <c r="J482" s="147">
        <v>0.1</v>
      </c>
      <c r="K482" s="144">
        <v>5</v>
      </c>
      <c r="L482" s="146">
        <v>99000</v>
      </c>
      <c r="M482" s="1475"/>
      <c r="N482" s="1668"/>
    </row>
    <row r="483" spans="2:14">
      <c r="B483" s="1661"/>
      <c r="C483" s="1661"/>
      <c r="D483" s="1661"/>
      <c r="E483" s="143">
        <v>70575837</v>
      </c>
      <c r="F483" s="179" t="s">
        <v>715</v>
      </c>
      <c r="G483" s="1475"/>
      <c r="H483" s="180">
        <v>30215162</v>
      </c>
      <c r="I483" s="146">
        <v>21800</v>
      </c>
      <c r="J483" s="147">
        <v>0.1</v>
      </c>
      <c r="K483" s="144">
        <v>5</v>
      </c>
      <c r="L483" s="146">
        <v>109000</v>
      </c>
      <c r="M483" s="1475"/>
      <c r="N483" s="1668"/>
    </row>
    <row r="484" spans="2:14" ht="66">
      <c r="B484" s="1748" t="s">
        <v>185</v>
      </c>
      <c r="C484" s="157">
        <v>1</v>
      </c>
      <c r="D484" s="157" t="s">
        <v>186</v>
      </c>
      <c r="E484" s="157">
        <v>30175108</v>
      </c>
      <c r="F484" s="157" t="s">
        <v>716</v>
      </c>
      <c r="G484" s="157" t="s">
        <v>716</v>
      </c>
      <c r="H484" s="157">
        <v>30202097</v>
      </c>
      <c r="I484" s="161">
        <v>19900</v>
      </c>
      <c r="J484" s="162">
        <v>0.15</v>
      </c>
      <c r="K484" s="157">
        <v>5</v>
      </c>
      <c r="L484" s="161">
        <v>99500</v>
      </c>
      <c r="M484" s="154" t="s">
        <v>717</v>
      </c>
      <c r="N484" s="136">
        <v>20250103886</v>
      </c>
    </row>
    <row r="485" spans="2:14">
      <c r="B485" s="1748"/>
      <c r="C485" s="1748">
        <v>2</v>
      </c>
      <c r="D485" s="1748" t="s">
        <v>189</v>
      </c>
      <c r="E485" s="157">
        <v>30211670</v>
      </c>
      <c r="F485" s="157" t="s">
        <v>718</v>
      </c>
      <c r="G485" s="1748" t="s">
        <v>719</v>
      </c>
      <c r="H485" s="157">
        <v>30215010</v>
      </c>
      <c r="I485" s="161">
        <v>9900</v>
      </c>
      <c r="J485" s="162">
        <v>0.13</v>
      </c>
      <c r="K485" s="1748">
        <v>5</v>
      </c>
      <c r="L485" s="1749">
        <v>49500</v>
      </c>
      <c r="M485" s="1750" t="s">
        <v>720</v>
      </c>
      <c r="N485" s="1747">
        <v>20250103887</v>
      </c>
    </row>
    <row r="486" spans="2:14">
      <c r="B486" s="1748"/>
      <c r="C486" s="1748"/>
      <c r="D486" s="1748"/>
      <c r="E486" s="157">
        <v>30214388</v>
      </c>
      <c r="F486" s="157" t="s">
        <v>721</v>
      </c>
      <c r="G486" s="1748"/>
      <c r="H486" s="157">
        <v>30215033</v>
      </c>
      <c r="I486" s="161">
        <v>19900</v>
      </c>
      <c r="J486" s="162">
        <v>0.13</v>
      </c>
      <c r="K486" s="1748"/>
      <c r="L486" s="1749"/>
      <c r="M486" s="1750"/>
      <c r="N486" s="1747"/>
    </row>
    <row r="487" spans="2:14" ht="33">
      <c r="B487" s="1748"/>
      <c r="C487" s="157">
        <v>3</v>
      </c>
      <c r="D487" s="157" t="s">
        <v>722</v>
      </c>
      <c r="E487" s="157">
        <v>30172315</v>
      </c>
      <c r="F487" s="157" t="s">
        <v>723</v>
      </c>
      <c r="G487" s="157" t="s">
        <v>723</v>
      </c>
      <c r="H487" s="157">
        <v>30212179</v>
      </c>
      <c r="I487" s="161">
        <v>29900</v>
      </c>
      <c r="J487" s="162">
        <v>0.1</v>
      </c>
      <c r="K487" s="157">
        <v>5</v>
      </c>
      <c r="L487" s="161">
        <v>149500</v>
      </c>
      <c r="M487" s="154" t="s">
        <v>724</v>
      </c>
      <c r="N487" s="136">
        <v>20250103888</v>
      </c>
    </row>
    <row r="488" spans="2:14" ht="33">
      <c r="B488" s="1748"/>
      <c r="C488" s="157">
        <v>4</v>
      </c>
      <c r="D488" s="157" t="s">
        <v>722</v>
      </c>
      <c r="E488" s="157">
        <v>30172328</v>
      </c>
      <c r="F488" s="157" t="s">
        <v>725</v>
      </c>
      <c r="G488" s="157" t="s">
        <v>725</v>
      </c>
      <c r="H488" s="157">
        <v>30210918</v>
      </c>
      <c r="I488" s="161">
        <v>27900</v>
      </c>
      <c r="J488" s="162">
        <v>0.1</v>
      </c>
      <c r="K488" s="157">
        <v>5</v>
      </c>
      <c r="L488" s="161">
        <v>139500</v>
      </c>
      <c r="M488" s="154" t="s">
        <v>726</v>
      </c>
      <c r="N488" s="136">
        <v>20250103889</v>
      </c>
    </row>
    <row r="489" spans="2:14">
      <c r="B489" s="1748"/>
      <c r="C489" s="1748">
        <v>5</v>
      </c>
      <c r="D489" s="1748" t="s">
        <v>194</v>
      </c>
      <c r="E489" s="157">
        <v>67333031</v>
      </c>
      <c r="F489" s="157" t="s">
        <v>727</v>
      </c>
      <c r="G489" s="1748" t="s">
        <v>728</v>
      </c>
      <c r="H489" s="157">
        <v>30207032</v>
      </c>
      <c r="I489" s="161">
        <v>20900</v>
      </c>
      <c r="J489" s="162">
        <v>0.13</v>
      </c>
      <c r="K489" s="1748">
        <v>5</v>
      </c>
      <c r="L489" s="1749">
        <v>104500</v>
      </c>
      <c r="M489" s="1750" t="s">
        <v>729</v>
      </c>
      <c r="N489" s="1747">
        <v>20250103890</v>
      </c>
    </row>
    <row r="490" spans="2:14">
      <c r="B490" s="1748"/>
      <c r="C490" s="1748"/>
      <c r="D490" s="1748"/>
      <c r="E490" s="157">
        <v>72269778</v>
      </c>
      <c r="F490" s="157" t="s">
        <v>730</v>
      </c>
      <c r="G490" s="1748"/>
      <c r="H490" s="157">
        <v>30210047</v>
      </c>
      <c r="I490" s="161">
        <v>9900</v>
      </c>
      <c r="J490" s="162">
        <v>0.13</v>
      </c>
      <c r="K490" s="1748"/>
      <c r="L490" s="1749"/>
      <c r="M490" s="1750"/>
      <c r="N490" s="1747"/>
    </row>
    <row r="491" spans="2:14">
      <c r="B491" s="1748"/>
      <c r="C491" s="1748"/>
      <c r="D491" s="1748"/>
      <c r="E491" s="157">
        <v>72269775</v>
      </c>
      <c r="F491" s="157" t="s">
        <v>731</v>
      </c>
      <c r="G491" s="1748"/>
      <c r="H491" s="157">
        <v>30210048</v>
      </c>
      <c r="I491" s="161">
        <v>9900</v>
      </c>
      <c r="J491" s="162">
        <v>0.13</v>
      </c>
      <c r="K491" s="1748"/>
      <c r="L491" s="1749"/>
      <c r="M491" s="1750"/>
      <c r="N491" s="1747"/>
    </row>
    <row r="492" spans="2:14">
      <c r="B492" s="1748"/>
      <c r="C492" s="1748"/>
      <c r="D492" s="1748"/>
      <c r="E492" s="157">
        <v>64405892</v>
      </c>
      <c r="F492" s="157" t="s">
        <v>732</v>
      </c>
      <c r="G492" s="1748"/>
      <c r="H492" s="157">
        <v>30195298</v>
      </c>
      <c r="I492" s="161">
        <v>10900</v>
      </c>
      <c r="J492" s="162">
        <v>0.13</v>
      </c>
      <c r="K492" s="1748"/>
      <c r="L492" s="1749"/>
      <c r="M492" s="1750"/>
      <c r="N492" s="1747"/>
    </row>
    <row r="493" spans="2:14">
      <c r="B493" s="1748"/>
      <c r="C493" s="1748"/>
      <c r="D493" s="1748"/>
      <c r="E493" s="157">
        <v>64405898</v>
      </c>
      <c r="F493" s="157" t="s">
        <v>733</v>
      </c>
      <c r="G493" s="1748"/>
      <c r="H493" s="157">
        <v>30195300</v>
      </c>
      <c r="I493" s="161">
        <v>10900</v>
      </c>
      <c r="J493" s="162">
        <v>0.13</v>
      </c>
      <c r="K493" s="1748"/>
      <c r="L493" s="1749"/>
      <c r="M493" s="1750"/>
      <c r="N493" s="1747"/>
    </row>
    <row r="494" spans="2:14">
      <c r="B494" s="1748"/>
      <c r="C494" s="1748"/>
      <c r="D494" s="1748"/>
      <c r="E494" s="157">
        <v>64405895</v>
      </c>
      <c r="F494" s="157" t="s">
        <v>734</v>
      </c>
      <c r="G494" s="1748"/>
      <c r="H494" s="157">
        <v>30195301</v>
      </c>
      <c r="I494" s="161">
        <v>10900</v>
      </c>
      <c r="J494" s="162">
        <v>0.13</v>
      </c>
      <c r="K494" s="1748"/>
      <c r="L494" s="1749"/>
      <c r="M494" s="1750"/>
      <c r="N494" s="1747"/>
    </row>
    <row r="495" spans="2:14">
      <c r="B495" s="1748"/>
      <c r="C495" s="1748"/>
      <c r="D495" s="1748"/>
      <c r="E495" s="157">
        <v>64405889</v>
      </c>
      <c r="F495" s="157" t="s">
        <v>735</v>
      </c>
      <c r="G495" s="1748"/>
      <c r="H495" s="157">
        <v>30195302</v>
      </c>
      <c r="I495" s="161">
        <v>10900</v>
      </c>
      <c r="J495" s="162">
        <v>0.13</v>
      </c>
      <c r="K495" s="1748"/>
      <c r="L495" s="1749"/>
      <c r="M495" s="1750"/>
      <c r="N495" s="1747"/>
    </row>
    <row r="496" spans="2:14">
      <c r="B496" s="1748"/>
      <c r="C496" s="1748">
        <v>6</v>
      </c>
      <c r="D496" s="1748" t="s">
        <v>212</v>
      </c>
      <c r="E496" s="157">
        <v>30214737</v>
      </c>
      <c r="F496" s="157" t="s">
        <v>736</v>
      </c>
      <c r="G496" s="1748" t="s">
        <v>737</v>
      </c>
      <c r="H496" s="157">
        <v>30215058</v>
      </c>
      <c r="I496" s="161">
        <v>8900</v>
      </c>
      <c r="J496" s="162">
        <v>0.17</v>
      </c>
      <c r="K496" s="1748">
        <v>5</v>
      </c>
      <c r="L496" s="1749">
        <v>44500</v>
      </c>
      <c r="M496" s="1750" t="s">
        <v>738</v>
      </c>
      <c r="N496" s="1747">
        <v>20250103891</v>
      </c>
    </row>
    <row r="497" spans="2:14">
      <c r="B497" s="1748"/>
      <c r="C497" s="1748"/>
      <c r="D497" s="1748"/>
      <c r="E497" s="157">
        <v>30214740</v>
      </c>
      <c r="F497" s="157" t="s">
        <v>739</v>
      </c>
      <c r="G497" s="1748"/>
      <c r="H497" s="157">
        <v>30215063</v>
      </c>
      <c r="I497" s="161">
        <v>14900</v>
      </c>
      <c r="J497" s="162">
        <v>0.17</v>
      </c>
      <c r="K497" s="1748"/>
      <c r="L497" s="1749"/>
      <c r="M497" s="1750"/>
      <c r="N497" s="1747"/>
    </row>
    <row r="498" spans="2:14">
      <c r="B498" s="1748"/>
      <c r="C498" s="1748"/>
      <c r="D498" s="1748"/>
      <c r="E498" s="157">
        <v>30214741</v>
      </c>
      <c r="F498" s="157" t="s">
        <v>740</v>
      </c>
      <c r="G498" s="1748"/>
      <c r="H498" s="157">
        <v>30215067</v>
      </c>
      <c r="I498" s="161">
        <v>19900</v>
      </c>
      <c r="J498" s="162">
        <v>0.17</v>
      </c>
      <c r="K498" s="1748"/>
      <c r="L498" s="1749"/>
      <c r="M498" s="1750"/>
      <c r="N498" s="1747"/>
    </row>
    <row r="499" spans="2:14">
      <c r="B499" s="181"/>
      <c r="C499" s="1748">
        <v>1</v>
      </c>
      <c r="D499" s="1748" t="s">
        <v>222</v>
      </c>
      <c r="E499" s="157">
        <v>30192573</v>
      </c>
      <c r="F499" s="157" t="s">
        <v>741</v>
      </c>
      <c r="G499" s="1748" t="s">
        <v>742</v>
      </c>
      <c r="H499" s="157">
        <v>30207782</v>
      </c>
      <c r="I499" s="161">
        <v>10900</v>
      </c>
      <c r="J499" s="162">
        <v>0.15</v>
      </c>
      <c r="K499" s="1748">
        <v>5</v>
      </c>
      <c r="L499" s="1749">
        <v>54500</v>
      </c>
      <c r="M499" s="1750" t="s">
        <v>743</v>
      </c>
      <c r="N499" s="1747">
        <v>20250103892</v>
      </c>
    </row>
    <row r="500" spans="2:14">
      <c r="B500" s="1616" t="s">
        <v>221</v>
      </c>
      <c r="C500" s="1748"/>
      <c r="D500" s="1748"/>
      <c r="E500" s="157">
        <v>30159110</v>
      </c>
      <c r="F500" s="157" t="s">
        <v>744</v>
      </c>
      <c r="G500" s="1748"/>
      <c r="H500" s="157">
        <v>30207784</v>
      </c>
      <c r="I500" s="161">
        <v>19900</v>
      </c>
      <c r="J500" s="162">
        <v>0.15</v>
      </c>
      <c r="K500" s="1748"/>
      <c r="L500" s="1749"/>
      <c r="M500" s="1750"/>
      <c r="N500" s="1747"/>
    </row>
    <row r="501" spans="2:14">
      <c r="B501" s="1616"/>
      <c r="C501" s="1748"/>
      <c r="D501" s="1748"/>
      <c r="E501" s="157">
        <v>30193916</v>
      </c>
      <c r="F501" s="157" t="s">
        <v>745</v>
      </c>
      <c r="G501" s="1748"/>
      <c r="H501" s="157">
        <v>30207785</v>
      </c>
      <c r="I501" s="161">
        <v>35900</v>
      </c>
      <c r="J501" s="162">
        <v>0.15</v>
      </c>
      <c r="K501" s="1748"/>
      <c r="L501" s="1749"/>
      <c r="M501" s="1750"/>
      <c r="N501" s="1747"/>
    </row>
    <row r="502" spans="2:14">
      <c r="B502" s="1616"/>
      <c r="C502" s="157">
        <v>2</v>
      </c>
      <c r="D502" s="157" t="s">
        <v>231</v>
      </c>
      <c r="E502" s="157">
        <v>68855415</v>
      </c>
      <c r="F502" s="157" t="s">
        <v>746</v>
      </c>
      <c r="G502" s="157" t="s">
        <v>746</v>
      </c>
      <c r="H502" s="157">
        <v>30215074</v>
      </c>
      <c r="I502" s="161">
        <v>19900</v>
      </c>
      <c r="J502" s="162">
        <v>0.15</v>
      </c>
      <c r="K502" s="157">
        <v>5</v>
      </c>
      <c r="L502" s="161">
        <v>99500</v>
      </c>
      <c r="M502" s="154" t="s">
        <v>747</v>
      </c>
      <c r="N502" s="136">
        <v>20250103893</v>
      </c>
    </row>
    <row r="503" spans="2:14">
      <c r="B503" s="1616"/>
      <c r="C503" s="1748">
        <v>3</v>
      </c>
      <c r="D503" s="1748" t="s">
        <v>239</v>
      </c>
      <c r="E503" s="157">
        <v>55017674</v>
      </c>
      <c r="F503" s="157" t="s">
        <v>748</v>
      </c>
      <c r="G503" s="1748" t="s">
        <v>748</v>
      </c>
      <c r="H503" s="157">
        <v>30157959</v>
      </c>
      <c r="I503" s="161">
        <v>18900</v>
      </c>
      <c r="J503" s="162">
        <v>0.15</v>
      </c>
      <c r="K503" s="1748">
        <v>5</v>
      </c>
      <c r="L503" s="1749">
        <v>94500</v>
      </c>
      <c r="M503" s="1750" t="s">
        <v>749</v>
      </c>
      <c r="N503" s="1747">
        <v>20250103894</v>
      </c>
    </row>
    <row r="504" spans="2:14">
      <c r="B504" s="1616"/>
      <c r="C504" s="1748"/>
      <c r="D504" s="1748"/>
      <c r="E504" s="157">
        <v>55017628</v>
      </c>
      <c r="F504" s="157" t="s">
        <v>750</v>
      </c>
      <c r="G504" s="1748"/>
      <c r="H504" s="157">
        <v>30188519</v>
      </c>
      <c r="I504" s="161">
        <v>22900</v>
      </c>
      <c r="J504" s="162">
        <v>0.15</v>
      </c>
      <c r="K504" s="1748"/>
      <c r="L504" s="1749"/>
      <c r="M504" s="1750"/>
      <c r="N504" s="1747"/>
    </row>
    <row r="505" spans="2:14">
      <c r="B505" s="1616"/>
      <c r="C505" s="1748"/>
      <c r="D505" s="1748"/>
      <c r="E505" s="157">
        <v>55017642</v>
      </c>
      <c r="F505" s="157" t="s">
        <v>751</v>
      </c>
      <c r="G505" s="1748"/>
      <c r="H505" s="157">
        <v>30188518</v>
      </c>
      <c r="I505" s="161">
        <v>25900</v>
      </c>
      <c r="J505" s="162">
        <v>0.15</v>
      </c>
      <c r="K505" s="1748"/>
      <c r="L505" s="1749"/>
      <c r="M505" s="1750"/>
      <c r="N505" s="1747"/>
    </row>
    <row r="506" spans="2:14">
      <c r="B506" s="1616"/>
      <c r="C506" s="1748">
        <v>4</v>
      </c>
      <c r="D506" s="1748" t="s">
        <v>239</v>
      </c>
      <c r="E506" s="157">
        <v>57667113</v>
      </c>
      <c r="F506" s="157" t="s">
        <v>752</v>
      </c>
      <c r="G506" s="1443" t="s">
        <v>752</v>
      </c>
      <c r="H506" s="157">
        <v>30180776</v>
      </c>
      <c r="I506" s="161">
        <v>17900</v>
      </c>
      <c r="J506" s="162">
        <v>0.15</v>
      </c>
      <c r="K506" s="1443">
        <v>5</v>
      </c>
      <c r="L506" s="1474">
        <v>89500</v>
      </c>
      <c r="M506" s="1444" t="s">
        <v>753</v>
      </c>
      <c r="N506" s="1461">
        <v>20250103895</v>
      </c>
    </row>
    <row r="507" spans="2:14">
      <c r="B507" s="1616"/>
      <c r="C507" s="1748"/>
      <c r="D507" s="1748"/>
      <c r="E507" s="157">
        <v>60062308</v>
      </c>
      <c r="F507" s="157" t="s">
        <v>754</v>
      </c>
      <c r="G507" s="1443"/>
      <c r="H507" s="157">
        <v>30179628</v>
      </c>
      <c r="I507" s="161">
        <v>22900</v>
      </c>
      <c r="J507" s="162">
        <v>0.15</v>
      </c>
      <c r="K507" s="1443"/>
      <c r="L507" s="1474"/>
      <c r="M507" s="1444"/>
      <c r="N507" s="1461"/>
    </row>
    <row r="508" spans="2:14">
      <c r="B508" s="1616"/>
      <c r="C508" s="1748"/>
      <c r="D508" s="1748"/>
      <c r="E508" s="157">
        <v>58961684</v>
      </c>
      <c r="F508" s="157" t="s">
        <v>755</v>
      </c>
      <c r="G508" s="1443"/>
      <c r="H508" s="182">
        <v>30190253</v>
      </c>
      <c r="I508" s="161">
        <v>22900</v>
      </c>
      <c r="J508" s="162">
        <v>0.15</v>
      </c>
      <c r="K508" s="1443"/>
      <c r="L508" s="1474"/>
      <c r="M508" s="1444"/>
      <c r="N508" s="1461"/>
    </row>
    <row r="509" spans="2:14">
      <c r="B509" s="1616"/>
      <c r="C509" s="1748">
        <v>5</v>
      </c>
      <c r="D509" s="1748" t="s">
        <v>756</v>
      </c>
      <c r="E509" s="157">
        <v>66762802</v>
      </c>
      <c r="F509" s="1748" t="s">
        <v>757</v>
      </c>
      <c r="G509" s="1444" t="s">
        <v>758</v>
      </c>
      <c r="H509" s="182">
        <v>30205848</v>
      </c>
      <c r="I509" s="161">
        <v>19900</v>
      </c>
      <c r="J509" s="162">
        <v>0.15</v>
      </c>
      <c r="K509" s="1443">
        <v>5</v>
      </c>
      <c r="L509" s="1474">
        <v>99500</v>
      </c>
      <c r="M509" s="1444" t="s">
        <v>759</v>
      </c>
      <c r="N509" s="1461">
        <v>20250103913</v>
      </c>
    </row>
    <row r="510" spans="2:14">
      <c r="B510" s="1616"/>
      <c r="C510" s="1748"/>
      <c r="D510" s="1748"/>
      <c r="E510" s="157">
        <v>66762800</v>
      </c>
      <c r="F510" s="1748"/>
      <c r="G510" s="1444"/>
      <c r="H510" s="182">
        <v>30205850</v>
      </c>
      <c r="I510" s="161">
        <v>26900</v>
      </c>
      <c r="J510" s="162">
        <v>0.15</v>
      </c>
      <c r="K510" s="1443"/>
      <c r="L510" s="1474"/>
      <c r="M510" s="1444"/>
      <c r="N510" s="1461"/>
    </row>
    <row r="511" spans="2:14">
      <c r="B511" s="1616"/>
      <c r="C511" s="1748"/>
      <c r="D511" s="1748"/>
      <c r="E511" s="157">
        <v>66762799</v>
      </c>
      <c r="F511" s="1748"/>
      <c r="G511" s="1444"/>
      <c r="H511" s="182">
        <v>30205851</v>
      </c>
      <c r="I511" s="161">
        <v>49900</v>
      </c>
      <c r="J511" s="162">
        <v>0.15</v>
      </c>
      <c r="K511" s="1443"/>
      <c r="L511" s="1474"/>
      <c r="M511" s="1444"/>
      <c r="N511" s="1461"/>
    </row>
    <row r="512" spans="2:14">
      <c r="B512" s="1616"/>
      <c r="C512" s="1748">
        <v>6</v>
      </c>
      <c r="D512" s="1748" t="s">
        <v>234</v>
      </c>
      <c r="E512" s="40">
        <v>72126890</v>
      </c>
      <c r="F512" s="92" t="s">
        <v>760</v>
      </c>
      <c r="G512" s="1750" t="s">
        <v>761</v>
      </c>
      <c r="H512" s="157">
        <v>30215078</v>
      </c>
      <c r="I512" s="161">
        <v>19900</v>
      </c>
      <c r="J512" s="162">
        <v>0.17</v>
      </c>
      <c r="K512" s="1748">
        <v>5</v>
      </c>
      <c r="L512" s="1749">
        <v>99500</v>
      </c>
      <c r="M512" s="1750" t="s">
        <v>762</v>
      </c>
      <c r="N512" s="1747">
        <v>20250103896</v>
      </c>
    </row>
    <row r="513" spans="2:14">
      <c r="B513" s="1616"/>
      <c r="C513" s="1748"/>
      <c r="D513" s="1748"/>
      <c r="E513" s="40">
        <v>72126885</v>
      </c>
      <c r="F513" s="92" t="s">
        <v>763</v>
      </c>
      <c r="G513" s="1750"/>
      <c r="H513" s="157">
        <v>30215079</v>
      </c>
      <c r="I513" s="161">
        <v>29900</v>
      </c>
      <c r="J513" s="162">
        <v>0.17</v>
      </c>
      <c r="K513" s="1748"/>
      <c r="L513" s="1749"/>
      <c r="M513" s="1750"/>
      <c r="N513" s="1747"/>
    </row>
    <row r="514" spans="2:14">
      <c r="B514" s="1616"/>
      <c r="C514" s="1748"/>
      <c r="D514" s="1748"/>
      <c r="E514" s="40">
        <v>72126877</v>
      </c>
      <c r="F514" s="92" t="s">
        <v>764</v>
      </c>
      <c r="G514" s="1750"/>
      <c r="H514" s="157">
        <v>30215080</v>
      </c>
      <c r="I514" s="161">
        <v>69900</v>
      </c>
      <c r="J514" s="162">
        <v>0.17</v>
      </c>
      <c r="K514" s="1748"/>
      <c r="L514" s="1749"/>
      <c r="M514" s="1750"/>
      <c r="N514" s="1747"/>
    </row>
    <row r="515" spans="2:14" ht="66">
      <c r="B515" s="1616"/>
      <c r="C515" s="157">
        <v>7</v>
      </c>
      <c r="D515" s="157" t="s">
        <v>248</v>
      </c>
      <c r="E515" s="157">
        <v>30205938</v>
      </c>
      <c r="F515" s="157" t="s">
        <v>765</v>
      </c>
      <c r="G515" s="157" t="s">
        <v>765</v>
      </c>
      <c r="H515" s="182">
        <v>30205947</v>
      </c>
      <c r="I515" s="161">
        <v>3900</v>
      </c>
      <c r="J515" s="162">
        <v>0.15</v>
      </c>
      <c r="K515" s="157">
        <v>5</v>
      </c>
      <c r="L515" s="161">
        <v>19500</v>
      </c>
      <c r="M515" s="154" t="s">
        <v>766</v>
      </c>
      <c r="N515" s="136">
        <v>20250103914</v>
      </c>
    </row>
    <row r="516" spans="2:14">
      <c r="B516" s="1616"/>
      <c r="C516" s="1748">
        <v>8</v>
      </c>
      <c r="D516" s="1748" t="s">
        <v>248</v>
      </c>
      <c r="E516" s="157">
        <v>30166411</v>
      </c>
      <c r="F516" s="157" t="s">
        <v>767</v>
      </c>
      <c r="G516" s="1748" t="s">
        <v>767</v>
      </c>
      <c r="H516" s="182">
        <v>30215082</v>
      </c>
      <c r="I516" s="161">
        <v>21500</v>
      </c>
      <c r="J516" s="162">
        <v>0.15</v>
      </c>
      <c r="K516" s="1748">
        <v>5</v>
      </c>
      <c r="L516" s="1749">
        <v>107500</v>
      </c>
      <c r="M516" s="1750" t="s">
        <v>768</v>
      </c>
      <c r="N516" s="1747">
        <v>20250103915</v>
      </c>
    </row>
    <row r="517" spans="2:14">
      <c r="B517" s="1616"/>
      <c r="C517" s="1748"/>
      <c r="D517" s="1748"/>
      <c r="E517" s="157">
        <v>30047346</v>
      </c>
      <c r="F517" s="157" t="s">
        <v>769</v>
      </c>
      <c r="G517" s="1748"/>
      <c r="H517" s="182">
        <v>30215083</v>
      </c>
      <c r="I517" s="161">
        <v>23900</v>
      </c>
      <c r="J517" s="162">
        <v>0.15</v>
      </c>
      <c r="K517" s="1748"/>
      <c r="L517" s="1749"/>
      <c r="M517" s="1750"/>
      <c r="N517" s="1747"/>
    </row>
    <row r="518" spans="2:14">
      <c r="B518" s="1616"/>
      <c r="C518" s="1748"/>
      <c r="D518" s="1748"/>
      <c r="E518" s="157">
        <v>30197526</v>
      </c>
      <c r="F518" s="157" t="s">
        <v>770</v>
      </c>
      <c r="G518" s="1748"/>
      <c r="H518" s="182">
        <v>30197784</v>
      </c>
      <c r="I518" s="161">
        <v>24900</v>
      </c>
      <c r="J518" s="162">
        <v>0.15</v>
      </c>
      <c r="K518" s="1748"/>
      <c r="L518" s="1749"/>
      <c r="M518" s="1750"/>
      <c r="N518" s="1747"/>
    </row>
    <row r="519" spans="2:14">
      <c r="B519" s="1616"/>
      <c r="C519" s="1748"/>
      <c r="D519" s="1748"/>
      <c r="E519" s="157">
        <v>30166410</v>
      </c>
      <c r="F519" s="157" t="s">
        <v>771</v>
      </c>
      <c r="G519" s="1748"/>
      <c r="H519" s="182">
        <v>30215084</v>
      </c>
      <c r="I519" s="161">
        <v>25500</v>
      </c>
      <c r="J519" s="162">
        <v>0.15</v>
      </c>
      <c r="K519" s="1748"/>
      <c r="L519" s="1749"/>
      <c r="M519" s="1750"/>
      <c r="N519" s="1747"/>
    </row>
    <row r="520" spans="2:14">
      <c r="B520" s="1616"/>
      <c r="C520" s="1748"/>
      <c r="D520" s="1748"/>
      <c r="E520" s="157">
        <v>30181850</v>
      </c>
      <c r="F520" s="157" t="s">
        <v>772</v>
      </c>
      <c r="G520" s="1748"/>
      <c r="H520" s="182">
        <v>30197783</v>
      </c>
      <c r="I520" s="161">
        <v>25900</v>
      </c>
      <c r="J520" s="162">
        <v>0.15</v>
      </c>
      <c r="K520" s="1748"/>
      <c r="L520" s="1749"/>
      <c r="M520" s="1750"/>
      <c r="N520" s="1747"/>
    </row>
    <row r="521" spans="2:14">
      <c r="B521" s="1448" t="s">
        <v>137</v>
      </c>
      <c r="C521" s="1448">
        <v>1</v>
      </c>
      <c r="D521" s="1462" t="s">
        <v>773</v>
      </c>
      <c r="E521" s="183">
        <v>30059335</v>
      </c>
      <c r="F521" s="183" t="s">
        <v>774</v>
      </c>
      <c r="G521" s="1689" t="s">
        <v>775</v>
      </c>
      <c r="H521" s="184">
        <v>30210106</v>
      </c>
      <c r="I521" s="185">
        <v>8900</v>
      </c>
      <c r="J521" s="186">
        <v>0.1</v>
      </c>
      <c r="K521" s="1745">
        <v>3</v>
      </c>
      <c r="L521" s="1746">
        <v>26700</v>
      </c>
      <c r="M521" s="1689" t="s">
        <v>776</v>
      </c>
      <c r="N521" s="1668">
        <v>20250103899</v>
      </c>
    </row>
    <row r="522" spans="2:14">
      <c r="B522" s="1448"/>
      <c r="C522" s="1448"/>
      <c r="D522" s="1462"/>
      <c r="E522" s="187">
        <v>30214402</v>
      </c>
      <c r="F522" s="187" t="s">
        <v>777</v>
      </c>
      <c r="G522" s="1689"/>
      <c r="H522" s="188">
        <v>30214404</v>
      </c>
      <c r="I522" s="189">
        <v>8900</v>
      </c>
      <c r="J522" s="190">
        <v>0.1</v>
      </c>
      <c r="K522" s="1745"/>
      <c r="L522" s="1746"/>
      <c r="M522" s="1689"/>
      <c r="N522" s="1668"/>
    </row>
    <row r="523" spans="2:14">
      <c r="B523" s="1448"/>
      <c r="C523" s="1448"/>
      <c r="D523" s="1462"/>
      <c r="E523" s="187">
        <v>30214403</v>
      </c>
      <c r="F523" s="187" t="s">
        <v>778</v>
      </c>
      <c r="G523" s="1689"/>
      <c r="H523" s="62">
        <v>30214406</v>
      </c>
      <c r="I523" s="189">
        <v>9900</v>
      </c>
      <c r="J523" s="190">
        <v>0.1</v>
      </c>
      <c r="K523" s="1745"/>
      <c r="L523" s="1746"/>
      <c r="M523" s="1689"/>
      <c r="N523" s="1668"/>
    </row>
    <row r="524" spans="2:14">
      <c r="B524" s="1448"/>
      <c r="C524" s="1448"/>
      <c r="D524" s="1462"/>
      <c r="E524" s="187">
        <v>30210093</v>
      </c>
      <c r="F524" s="187" t="s">
        <v>779</v>
      </c>
      <c r="G524" s="1689"/>
      <c r="H524" s="62">
        <v>30210094</v>
      </c>
      <c r="I524" s="189">
        <v>10900</v>
      </c>
      <c r="J524" s="190">
        <v>0.1</v>
      </c>
      <c r="K524" s="1745"/>
      <c r="L524" s="1746"/>
      <c r="M524" s="1689"/>
      <c r="N524" s="1668"/>
    </row>
    <row r="525" spans="2:14">
      <c r="B525" s="1448"/>
      <c r="C525" s="1448"/>
      <c r="D525" s="1462"/>
      <c r="E525" s="187">
        <v>30150365</v>
      </c>
      <c r="F525" s="187" t="s">
        <v>780</v>
      </c>
      <c r="G525" s="1689"/>
      <c r="H525" s="62">
        <v>30214407</v>
      </c>
      <c r="I525" s="189">
        <v>12900</v>
      </c>
      <c r="J525" s="190">
        <v>0.1</v>
      </c>
      <c r="K525" s="1745"/>
      <c r="L525" s="1746"/>
      <c r="M525" s="1689"/>
      <c r="N525" s="1668"/>
    </row>
    <row r="526" spans="2:14">
      <c r="B526" s="1448"/>
      <c r="C526" s="1448"/>
      <c r="D526" s="1462"/>
      <c r="E526" s="187">
        <v>30150384</v>
      </c>
      <c r="F526" s="187" t="s">
        <v>781</v>
      </c>
      <c r="G526" s="1689"/>
      <c r="H526" s="191">
        <v>30214408</v>
      </c>
      <c r="I526" s="192">
        <v>12900</v>
      </c>
      <c r="J526" s="193">
        <v>0.1</v>
      </c>
      <c r="K526" s="1745"/>
      <c r="L526" s="1746"/>
      <c r="M526" s="1689"/>
      <c r="N526" s="1668"/>
    </row>
    <row r="527" spans="2:14" ht="25.5" customHeight="1">
      <c r="B527" s="1448"/>
      <c r="C527" s="1448">
        <v>2</v>
      </c>
      <c r="D527" s="1528" t="s">
        <v>147</v>
      </c>
      <c r="E527" s="194">
        <v>30070057</v>
      </c>
      <c r="F527" s="195" t="s">
        <v>782</v>
      </c>
      <c r="G527" s="1529" t="s">
        <v>783</v>
      </c>
      <c r="H527" s="46">
        <v>30214457</v>
      </c>
      <c r="I527" s="48">
        <v>9900</v>
      </c>
      <c r="J527" s="49">
        <v>0.1</v>
      </c>
      <c r="K527" s="1528">
        <v>3</v>
      </c>
      <c r="L527" s="1530">
        <v>29700</v>
      </c>
      <c r="M527" s="1528" t="s">
        <v>784</v>
      </c>
      <c r="N527" s="1461">
        <v>20250103900</v>
      </c>
    </row>
    <row r="528" spans="2:14">
      <c r="B528" s="1448"/>
      <c r="C528" s="1448"/>
      <c r="D528" s="1528"/>
      <c r="E528" s="196">
        <v>30170715</v>
      </c>
      <c r="F528" s="197" t="s">
        <v>785</v>
      </c>
      <c r="G528" s="1529"/>
      <c r="H528" s="46">
        <v>30170936</v>
      </c>
      <c r="I528" s="48">
        <v>14900</v>
      </c>
      <c r="J528" s="49">
        <v>0.1</v>
      </c>
      <c r="K528" s="1528"/>
      <c r="L528" s="1530"/>
      <c r="M528" s="1528"/>
      <c r="N528" s="1461"/>
    </row>
    <row r="529" spans="2:14">
      <c r="B529" s="1448"/>
      <c r="C529" s="1448"/>
      <c r="D529" s="1528"/>
      <c r="E529" s="196">
        <v>30214456</v>
      </c>
      <c r="F529" s="197" t="s">
        <v>786</v>
      </c>
      <c r="G529" s="1529"/>
      <c r="H529" s="46">
        <v>30214456</v>
      </c>
      <c r="I529" s="48">
        <v>13900</v>
      </c>
      <c r="J529" s="49">
        <v>0.1</v>
      </c>
      <c r="K529" s="1528"/>
      <c r="L529" s="1530"/>
      <c r="M529" s="1528"/>
      <c r="N529" s="1461"/>
    </row>
    <row r="530" spans="2:14">
      <c r="B530" s="1448"/>
      <c r="C530" s="1448"/>
      <c r="D530" s="1528"/>
      <c r="E530" s="196">
        <v>42757996</v>
      </c>
      <c r="F530" s="197" t="s">
        <v>787</v>
      </c>
      <c r="G530" s="1529"/>
      <c r="H530" s="46">
        <v>30214453</v>
      </c>
      <c r="I530" s="48">
        <v>14900</v>
      </c>
      <c r="J530" s="49">
        <v>0.1</v>
      </c>
      <c r="K530" s="1528"/>
      <c r="L530" s="1530"/>
      <c r="M530" s="1528"/>
      <c r="N530" s="1461"/>
    </row>
    <row r="531" spans="2:14">
      <c r="B531" s="1448"/>
      <c r="C531" s="1448"/>
      <c r="D531" s="1528"/>
      <c r="E531" s="196">
        <v>11130360</v>
      </c>
      <c r="F531" s="197" t="s">
        <v>788</v>
      </c>
      <c r="G531" s="1529"/>
      <c r="H531" s="46">
        <v>30183380</v>
      </c>
      <c r="I531" s="48">
        <v>13900</v>
      </c>
      <c r="J531" s="49">
        <v>0.1</v>
      </c>
      <c r="K531" s="1528"/>
      <c r="L531" s="1530"/>
      <c r="M531" s="1528"/>
      <c r="N531" s="1461"/>
    </row>
    <row r="532" spans="2:14">
      <c r="B532" s="1448"/>
      <c r="C532" s="1448">
        <v>3</v>
      </c>
      <c r="D532" s="1524" t="s">
        <v>158</v>
      </c>
      <c r="E532" s="199">
        <v>30206804</v>
      </c>
      <c r="F532" s="200" t="s">
        <v>789</v>
      </c>
      <c r="G532" s="1464" t="s">
        <v>789</v>
      </c>
      <c r="H532" s="201">
        <v>30206804</v>
      </c>
      <c r="I532" s="202">
        <v>15800</v>
      </c>
      <c r="J532" s="203">
        <v>0.15</v>
      </c>
      <c r="K532" s="1524">
        <v>5</v>
      </c>
      <c r="L532" s="1526">
        <v>79000</v>
      </c>
      <c r="M532" s="1527" t="s">
        <v>790</v>
      </c>
      <c r="N532" s="1461">
        <v>20250103916</v>
      </c>
    </row>
    <row r="533" spans="2:14">
      <c r="B533" s="1448"/>
      <c r="C533" s="1448"/>
      <c r="D533" s="1524"/>
      <c r="E533" s="204">
        <v>30214757</v>
      </c>
      <c r="F533" s="205" t="s">
        <v>791</v>
      </c>
      <c r="G533" s="1464"/>
      <c r="H533" s="201">
        <v>30214757</v>
      </c>
      <c r="I533" s="202">
        <v>16800</v>
      </c>
      <c r="J533" s="203">
        <v>0.15</v>
      </c>
      <c r="K533" s="1524"/>
      <c r="L533" s="1526"/>
      <c r="M533" s="1527"/>
      <c r="N533" s="1461"/>
    </row>
    <row r="534" spans="2:14">
      <c r="B534" s="1448"/>
      <c r="C534" s="1448"/>
      <c r="D534" s="1524"/>
      <c r="E534" s="204">
        <v>30214769</v>
      </c>
      <c r="F534" s="205" t="s">
        <v>792</v>
      </c>
      <c r="G534" s="1464"/>
      <c r="H534" s="201">
        <v>30214769</v>
      </c>
      <c r="I534" s="202">
        <v>24800</v>
      </c>
      <c r="J534" s="203">
        <v>0.15</v>
      </c>
      <c r="K534" s="1524"/>
      <c r="L534" s="1526"/>
      <c r="M534" s="1527"/>
      <c r="N534" s="1461"/>
    </row>
    <row r="535" spans="2:14">
      <c r="B535" s="1448"/>
      <c r="C535" s="1448"/>
      <c r="D535" s="1524"/>
      <c r="E535" s="204">
        <v>30214764</v>
      </c>
      <c r="F535" s="205" t="s">
        <v>793</v>
      </c>
      <c r="G535" s="1464"/>
      <c r="H535" s="201">
        <v>30214764</v>
      </c>
      <c r="I535" s="202">
        <v>29800</v>
      </c>
      <c r="J535" s="203">
        <v>0.15</v>
      </c>
      <c r="K535" s="1524"/>
      <c r="L535" s="1526"/>
      <c r="M535" s="1527"/>
      <c r="N535" s="1461"/>
    </row>
    <row r="536" spans="2:14" ht="15.75" customHeight="1">
      <c r="B536" s="1448"/>
      <c r="C536" s="1448"/>
      <c r="D536" s="1524"/>
      <c r="E536" s="204">
        <v>30214762</v>
      </c>
      <c r="F536" s="205" t="s">
        <v>794</v>
      </c>
      <c r="G536" s="1464"/>
      <c r="H536" s="201">
        <v>30214762</v>
      </c>
      <c r="I536" s="202">
        <v>32800</v>
      </c>
      <c r="J536" s="203">
        <v>0.15</v>
      </c>
      <c r="K536" s="1524"/>
      <c r="L536" s="1526"/>
      <c r="M536" s="1527"/>
      <c r="N536" s="1445"/>
    </row>
    <row r="537" spans="2:14" ht="16.5" customHeight="1">
      <c r="B537" s="1448" t="s">
        <v>795</v>
      </c>
      <c r="C537" s="1448">
        <v>1</v>
      </c>
      <c r="D537" s="1448" t="s">
        <v>257</v>
      </c>
      <c r="E537" s="183">
        <v>30031592</v>
      </c>
      <c r="F537" s="206" t="s">
        <v>796</v>
      </c>
      <c r="G537" s="1738" t="s">
        <v>796</v>
      </c>
      <c r="H537" s="30">
        <v>30209124</v>
      </c>
      <c r="I537" s="207">
        <v>14200</v>
      </c>
      <c r="J537" s="208">
        <v>0.15</v>
      </c>
      <c r="K537" s="1588">
        <v>10</v>
      </c>
      <c r="L537" s="1741">
        <v>142000</v>
      </c>
      <c r="M537" s="1743" t="s">
        <v>797</v>
      </c>
      <c r="N537" s="1461">
        <v>20250103901</v>
      </c>
    </row>
    <row r="538" spans="2:14">
      <c r="B538" s="1448"/>
      <c r="C538" s="1448"/>
      <c r="D538" s="1448"/>
      <c r="E538" s="187">
        <v>30031602</v>
      </c>
      <c r="F538" s="209" t="s">
        <v>798</v>
      </c>
      <c r="G538" s="1738"/>
      <c r="H538" s="30">
        <v>30206992</v>
      </c>
      <c r="I538" s="207">
        <v>14900</v>
      </c>
      <c r="J538" s="208">
        <v>0.15</v>
      </c>
      <c r="K538" s="1588"/>
      <c r="L538" s="1741"/>
      <c r="M538" s="1743"/>
      <c r="N538" s="1461"/>
    </row>
    <row r="539" spans="2:14">
      <c r="B539" s="1448"/>
      <c r="C539" s="1448"/>
      <c r="D539" s="1448"/>
      <c r="E539" s="187">
        <v>30194159</v>
      </c>
      <c r="F539" s="209" t="s">
        <v>799</v>
      </c>
      <c r="G539" s="1738"/>
      <c r="H539" s="30">
        <v>30206993</v>
      </c>
      <c r="I539" s="207">
        <v>16200</v>
      </c>
      <c r="J539" s="208">
        <v>0.15</v>
      </c>
      <c r="K539" s="1588"/>
      <c r="L539" s="1741"/>
      <c r="M539" s="1743"/>
      <c r="N539" s="1461"/>
    </row>
    <row r="540" spans="2:14">
      <c r="B540" s="1448"/>
      <c r="C540" s="1448"/>
      <c r="D540" s="1448"/>
      <c r="E540" s="187">
        <v>30206736</v>
      </c>
      <c r="F540" s="209" t="s">
        <v>800</v>
      </c>
      <c r="G540" s="1738"/>
      <c r="H540" s="30">
        <v>30206994</v>
      </c>
      <c r="I540" s="207">
        <v>15900</v>
      </c>
      <c r="J540" s="208">
        <v>0.15</v>
      </c>
      <c r="K540" s="1588"/>
      <c r="L540" s="1741"/>
      <c r="M540" s="1743"/>
      <c r="N540" s="1461"/>
    </row>
    <row r="541" spans="2:14">
      <c r="B541" s="1448"/>
      <c r="C541" s="1448"/>
      <c r="D541" s="1448"/>
      <c r="E541" s="187">
        <v>30032107</v>
      </c>
      <c r="F541" s="209" t="s">
        <v>801</v>
      </c>
      <c r="G541" s="1738"/>
      <c r="H541" s="30">
        <v>30207724</v>
      </c>
      <c r="I541" s="207">
        <v>17200</v>
      </c>
      <c r="J541" s="208">
        <v>0.15</v>
      </c>
      <c r="K541" s="1588"/>
      <c r="L541" s="1741"/>
      <c r="M541" s="1743"/>
      <c r="N541" s="1461"/>
    </row>
    <row r="542" spans="2:14">
      <c r="B542" s="1448"/>
      <c r="C542" s="1448"/>
      <c r="D542" s="1448"/>
      <c r="E542" s="187">
        <v>30206737</v>
      </c>
      <c r="F542" s="209" t="s">
        <v>802</v>
      </c>
      <c r="G542" s="1739"/>
      <c r="H542" s="210">
        <v>30206997</v>
      </c>
      <c r="I542" s="211">
        <v>23200</v>
      </c>
      <c r="J542" s="212">
        <v>0.15</v>
      </c>
      <c r="K542" s="1740"/>
      <c r="L542" s="1742"/>
      <c r="M542" s="1744"/>
      <c r="N542" s="1461"/>
    </row>
    <row r="543" spans="2:14" ht="17.25" customHeight="1">
      <c r="B543" s="1610" t="s">
        <v>477</v>
      </c>
      <c r="C543" s="1610">
        <v>1</v>
      </c>
      <c r="D543" s="1610" t="s">
        <v>803</v>
      </c>
      <c r="E543" s="129">
        <v>56709957</v>
      </c>
      <c r="F543" s="213" t="s">
        <v>804</v>
      </c>
      <c r="G543" s="1454" t="s">
        <v>805</v>
      </c>
      <c r="H543" s="30">
        <v>30215068</v>
      </c>
      <c r="I543" s="30">
        <v>14500</v>
      </c>
      <c r="J543" s="64">
        <v>6.7931034482758612E-2</v>
      </c>
      <c r="K543" s="30">
        <v>10</v>
      </c>
      <c r="L543" s="30">
        <f t="shared" ref="L543:L580" si="3">I543*10</f>
        <v>145000</v>
      </c>
      <c r="M543" s="1735" t="s">
        <v>806</v>
      </c>
      <c r="N543" s="1461">
        <v>20250103917</v>
      </c>
    </row>
    <row r="544" spans="2:14">
      <c r="B544" s="1608"/>
      <c r="C544" s="1608"/>
      <c r="D544" s="1608"/>
      <c r="E544" s="129">
        <v>52288885</v>
      </c>
      <c r="F544" s="213" t="s">
        <v>807</v>
      </c>
      <c r="G544" s="1454"/>
      <c r="H544" s="30">
        <v>30215066</v>
      </c>
      <c r="I544" s="30">
        <v>10800</v>
      </c>
      <c r="J544" s="64">
        <v>6.3425925925925886E-2</v>
      </c>
      <c r="K544" s="30">
        <v>10</v>
      </c>
      <c r="L544" s="30">
        <f t="shared" si="3"/>
        <v>108000</v>
      </c>
      <c r="M544" s="1735"/>
      <c r="N544" s="1461"/>
    </row>
    <row r="545" spans="2:14" ht="18" customHeight="1">
      <c r="B545" s="1608"/>
      <c r="C545" s="1608">
        <v>2</v>
      </c>
      <c r="D545" s="1608" t="s">
        <v>808</v>
      </c>
      <c r="E545" s="129" t="s">
        <v>809</v>
      </c>
      <c r="F545" s="213" t="s">
        <v>810</v>
      </c>
      <c r="G545" s="1454" t="s">
        <v>810</v>
      </c>
      <c r="H545" s="30">
        <v>30209997</v>
      </c>
      <c r="I545" s="30">
        <v>11900</v>
      </c>
      <c r="J545" s="64">
        <v>7.999999999999996E-2</v>
      </c>
      <c r="K545" s="30">
        <v>10</v>
      </c>
      <c r="L545" s="30">
        <f t="shared" si="3"/>
        <v>119000</v>
      </c>
      <c r="M545" s="1735" t="s">
        <v>811</v>
      </c>
      <c r="N545" s="1461">
        <v>20250103918</v>
      </c>
    </row>
    <row r="546" spans="2:14">
      <c r="B546" s="1608"/>
      <c r="C546" s="1610"/>
      <c r="D546" s="1610"/>
      <c r="E546" s="129" t="s">
        <v>812</v>
      </c>
      <c r="F546" s="213" t="s">
        <v>813</v>
      </c>
      <c r="G546" s="1454"/>
      <c r="H546" s="30">
        <v>30210000</v>
      </c>
      <c r="I546" s="30">
        <v>19900</v>
      </c>
      <c r="J546" s="64">
        <v>7.999999999999996E-2</v>
      </c>
      <c r="K546" s="30">
        <v>10</v>
      </c>
      <c r="L546" s="30">
        <f t="shared" si="3"/>
        <v>199000</v>
      </c>
      <c r="M546" s="1735"/>
      <c r="N546" s="1461"/>
    </row>
    <row r="547" spans="2:14">
      <c r="B547" s="1608"/>
      <c r="C547" s="1609"/>
      <c r="D547" s="1609"/>
      <c r="E547" s="129" t="s">
        <v>814</v>
      </c>
      <c r="F547" s="213" t="s">
        <v>815</v>
      </c>
      <c r="G547" s="1454"/>
      <c r="H547" s="30">
        <v>30183990</v>
      </c>
      <c r="I547" s="30">
        <v>14900</v>
      </c>
      <c r="J547" s="64">
        <v>7.999999999999996E-2</v>
      </c>
      <c r="K547" s="30">
        <v>10</v>
      </c>
      <c r="L547" s="30">
        <f t="shared" si="3"/>
        <v>149000</v>
      </c>
      <c r="M547" s="1735"/>
      <c r="N547" s="1461"/>
    </row>
    <row r="548" spans="2:14">
      <c r="B548" s="1608"/>
      <c r="C548" s="1608">
        <v>3</v>
      </c>
      <c r="D548" s="1608" t="s">
        <v>816</v>
      </c>
      <c r="E548" s="129" t="s">
        <v>817</v>
      </c>
      <c r="F548" s="130" t="s">
        <v>818</v>
      </c>
      <c r="G548" s="1613" t="s">
        <v>818</v>
      </c>
      <c r="H548" s="214">
        <v>30213384</v>
      </c>
      <c r="I548" s="214">
        <v>17900</v>
      </c>
      <c r="J548" s="215">
        <v>7.999999999999996E-2</v>
      </c>
      <c r="K548" s="214">
        <v>11</v>
      </c>
      <c r="L548" s="214">
        <f t="shared" si="3"/>
        <v>179000</v>
      </c>
      <c r="M548" s="1736" t="s">
        <v>819</v>
      </c>
      <c r="N548" s="1445">
        <v>20250103919</v>
      </c>
    </row>
    <row r="549" spans="2:14">
      <c r="B549" s="1608"/>
      <c r="C549" s="1610"/>
      <c r="D549" s="1610"/>
      <c r="E549" s="129" t="s">
        <v>820</v>
      </c>
      <c r="F549" s="130" t="s">
        <v>821</v>
      </c>
      <c r="G549" s="1613"/>
      <c r="H549" s="129">
        <v>30206971</v>
      </c>
      <c r="I549" s="129">
        <v>15900</v>
      </c>
      <c r="J549" s="131">
        <v>7.999999999999996E-2</v>
      </c>
      <c r="K549" s="129">
        <v>10</v>
      </c>
      <c r="L549" s="129">
        <f t="shared" si="3"/>
        <v>159000</v>
      </c>
      <c r="M549" s="1736"/>
      <c r="N549" s="1446"/>
    </row>
    <row r="550" spans="2:14">
      <c r="B550" s="1608"/>
      <c r="C550" s="1610"/>
      <c r="D550" s="1610"/>
      <c r="E550" s="129" t="s">
        <v>822</v>
      </c>
      <c r="F550" s="130" t="s">
        <v>823</v>
      </c>
      <c r="G550" s="1613"/>
      <c r="H550" s="129">
        <v>30206977</v>
      </c>
      <c r="I550" s="129">
        <v>21900</v>
      </c>
      <c r="J550" s="131">
        <v>7.999999999999996E-2</v>
      </c>
      <c r="K550" s="129">
        <v>10</v>
      </c>
      <c r="L550" s="129">
        <f t="shared" si="3"/>
        <v>219000</v>
      </c>
      <c r="M550" s="1736"/>
      <c r="N550" s="1446"/>
    </row>
    <row r="551" spans="2:14" ht="33">
      <c r="B551" s="1608"/>
      <c r="C551" s="1610"/>
      <c r="D551" s="1610"/>
      <c r="E551" s="129" t="s">
        <v>824</v>
      </c>
      <c r="F551" s="130" t="s">
        <v>825</v>
      </c>
      <c r="G551" s="1613"/>
      <c r="H551" s="129">
        <v>30206975</v>
      </c>
      <c r="I551" s="129">
        <v>19900</v>
      </c>
      <c r="J551" s="131">
        <v>7.999999999999996E-2</v>
      </c>
      <c r="K551" s="129">
        <v>10</v>
      </c>
      <c r="L551" s="129">
        <f t="shared" si="3"/>
        <v>199000</v>
      </c>
      <c r="M551" s="1736"/>
      <c r="N551" s="1446"/>
    </row>
    <row r="552" spans="2:14" ht="33">
      <c r="B552" s="1608"/>
      <c r="C552" s="1609"/>
      <c r="D552" s="1609"/>
      <c r="E552" s="129" t="s">
        <v>826</v>
      </c>
      <c r="F552" s="130" t="s">
        <v>827</v>
      </c>
      <c r="G552" s="1614"/>
      <c r="H552" s="129">
        <v>30206976</v>
      </c>
      <c r="I552" s="129">
        <v>21900</v>
      </c>
      <c r="J552" s="131">
        <v>7.999999999999996E-2</v>
      </c>
      <c r="K552" s="129">
        <v>10</v>
      </c>
      <c r="L552" s="129">
        <f t="shared" si="3"/>
        <v>219000</v>
      </c>
      <c r="M552" s="1737"/>
      <c r="N552" s="1447"/>
    </row>
    <row r="553" spans="2:14">
      <c r="B553" s="1608"/>
      <c r="C553" s="1608">
        <v>4</v>
      </c>
      <c r="D553" s="1608" t="s">
        <v>828</v>
      </c>
      <c r="E553" s="129">
        <v>10022567</v>
      </c>
      <c r="F553" s="130" t="s">
        <v>829</v>
      </c>
      <c r="G553" s="1612" t="s">
        <v>829</v>
      </c>
      <c r="H553" s="129">
        <v>30215065</v>
      </c>
      <c r="I553" s="129">
        <v>9500</v>
      </c>
      <c r="J553" s="131">
        <v>9.9999999999999978E-2</v>
      </c>
      <c r="K553" s="129">
        <v>10</v>
      </c>
      <c r="L553" s="129">
        <f t="shared" si="3"/>
        <v>95000</v>
      </c>
      <c r="M553" s="1612" t="s">
        <v>830</v>
      </c>
      <c r="N553" s="1734">
        <v>20250103920</v>
      </c>
    </row>
    <row r="554" spans="2:14">
      <c r="B554" s="1608"/>
      <c r="C554" s="1608"/>
      <c r="D554" s="1610"/>
      <c r="E554" s="129">
        <v>10021576</v>
      </c>
      <c r="F554" s="130" t="s">
        <v>831</v>
      </c>
      <c r="G554" s="1612"/>
      <c r="H554" s="129">
        <v>30215064</v>
      </c>
      <c r="I554" s="129">
        <v>17900</v>
      </c>
      <c r="J554" s="131">
        <v>9.9999999999999978E-2</v>
      </c>
      <c r="K554" s="129">
        <v>10</v>
      </c>
      <c r="L554" s="129">
        <f t="shared" si="3"/>
        <v>179000</v>
      </c>
      <c r="M554" s="1612"/>
      <c r="N554" s="1668"/>
    </row>
    <row r="555" spans="2:14">
      <c r="B555" s="1608"/>
      <c r="C555" s="1608"/>
      <c r="D555" s="1610"/>
      <c r="E555" s="129">
        <v>10225829</v>
      </c>
      <c r="F555" s="130" t="s">
        <v>832</v>
      </c>
      <c r="G555" s="1612"/>
      <c r="H555" s="129">
        <v>30210813</v>
      </c>
      <c r="I555" s="129">
        <v>12900</v>
      </c>
      <c r="J555" s="131">
        <v>9.9999999999999978E-2</v>
      </c>
      <c r="K555" s="129">
        <v>10</v>
      </c>
      <c r="L555" s="129">
        <f t="shared" si="3"/>
        <v>129000</v>
      </c>
      <c r="M555" s="1612"/>
      <c r="N555" s="1668"/>
    </row>
    <row r="556" spans="2:14">
      <c r="B556" s="1608"/>
      <c r="C556" s="1608"/>
      <c r="D556" s="1610"/>
      <c r="E556" s="129">
        <v>65551073</v>
      </c>
      <c r="F556" s="130" t="s">
        <v>833</v>
      </c>
      <c r="G556" s="1612"/>
      <c r="H556" s="129">
        <v>30215062</v>
      </c>
      <c r="I556" s="129">
        <v>16500</v>
      </c>
      <c r="J556" s="131">
        <v>9.9999999999999978E-2</v>
      </c>
      <c r="K556" s="129">
        <v>10</v>
      </c>
      <c r="L556" s="129">
        <f t="shared" si="3"/>
        <v>165000</v>
      </c>
      <c r="M556" s="1612"/>
      <c r="N556" s="1668"/>
    </row>
    <row r="557" spans="2:14">
      <c r="B557" s="1608"/>
      <c r="C557" s="1608"/>
      <c r="D557" s="1609"/>
      <c r="E557" s="129">
        <v>62286962</v>
      </c>
      <c r="F557" s="130" t="s">
        <v>834</v>
      </c>
      <c r="G557" s="1612"/>
      <c r="H557" s="129">
        <v>30215061</v>
      </c>
      <c r="I557" s="129">
        <v>15500</v>
      </c>
      <c r="J557" s="131">
        <v>9.9999999999999978E-2</v>
      </c>
      <c r="K557" s="129">
        <v>10</v>
      </c>
      <c r="L557" s="129">
        <f t="shared" si="3"/>
        <v>155000</v>
      </c>
      <c r="M557" s="1612"/>
      <c r="N557" s="1668"/>
    </row>
    <row r="558" spans="2:14">
      <c r="B558" s="1608"/>
      <c r="C558" s="1608">
        <v>5</v>
      </c>
      <c r="D558" s="1608" t="s">
        <v>816</v>
      </c>
      <c r="E558" s="129" t="s">
        <v>835</v>
      </c>
      <c r="F558" s="130" t="s">
        <v>836</v>
      </c>
      <c r="G558" s="1612" t="s">
        <v>836</v>
      </c>
      <c r="H558" s="129">
        <v>30215060</v>
      </c>
      <c r="I558" s="129">
        <v>19900</v>
      </c>
      <c r="J558" s="131">
        <v>7.999999999999996E-2</v>
      </c>
      <c r="K558" s="129">
        <v>10</v>
      </c>
      <c r="L558" s="129">
        <f t="shared" si="3"/>
        <v>199000</v>
      </c>
      <c r="M558" s="1612" t="s">
        <v>837</v>
      </c>
      <c r="N558" s="1668">
        <v>20250103921</v>
      </c>
    </row>
    <row r="559" spans="2:14">
      <c r="B559" s="1608"/>
      <c r="C559" s="1610"/>
      <c r="D559" s="1610"/>
      <c r="E559" s="129" t="s">
        <v>838</v>
      </c>
      <c r="F559" s="130" t="s">
        <v>839</v>
      </c>
      <c r="G559" s="1612"/>
      <c r="H559" s="129">
        <v>30215059</v>
      </c>
      <c r="I559" s="129">
        <v>19900</v>
      </c>
      <c r="J559" s="131">
        <v>7.999999999999996E-2</v>
      </c>
      <c r="K559" s="129">
        <v>10</v>
      </c>
      <c r="L559" s="129">
        <f t="shared" si="3"/>
        <v>199000</v>
      </c>
      <c r="M559" s="1612"/>
      <c r="N559" s="1668"/>
    </row>
    <row r="560" spans="2:14">
      <c r="B560" s="1608"/>
      <c r="C560" s="1609"/>
      <c r="D560" s="1609"/>
      <c r="E560" s="129" t="s">
        <v>840</v>
      </c>
      <c r="F560" s="130" t="s">
        <v>841</v>
      </c>
      <c r="G560" s="1612"/>
      <c r="H560" s="129">
        <v>30215057</v>
      </c>
      <c r="I560" s="129">
        <v>21900</v>
      </c>
      <c r="J560" s="131">
        <v>7.999999999999996E-2</v>
      </c>
      <c r="K560" s="129">
        <v>10</v>
      </c>
      <c r="L560" s="129">
        <f t="shared" si="3"/>
        <v>219000</v>
      </c>
      <c r="M560" s="1612"/>
      <c r="N560" s="1668"/>
    </row>
    <row r="561" spans="2:14">
      <c r="B561" s="1608"/>
      <c r="C561" s="1608">
        <v>6</v>
      </c>
      <c r="D561" s="1608" t="s">
        <v>816</v>
      </c>
      <c r="E561" s="129" t="s">
        <v>842</v>
      </c>
      <c r="F561" s="130" t="s">
        <v>843</v>
      </c>
      <c r="G561" s="1612"/>
      <c r="H561" s="129">
        <v>30215054</v>
      </c>
      <c r="I561" s="129">
        <v>17900</v>
      </c>
      <c r="J561" s="131">
        <v>7.999999999999996E-2</v>
      </c>
      <c r="K561" s="129">
        <v>10</v>
      </c>
      <c r="L561" s="129">
        <f t="shared" si="3"/>
        <v>179000</v>
      </c>
      <c r="M561" s="1612"/>
      <c r="N561" s="1668"/>
    </row>
    <row r="562" spans="2:14">
      <c r="B562" s="1608"/>
      <c r="C562" s="1609"/>
      <c r="D562" s="1609"/>
      <c r="E562" s="129" t="s">
        <v>844</v>
      </c>
      <c r="F562" s="130" t="s">
        <v>845</v>
      </c>
      <c r="G562" s="1612"/>
      <c r="H562" s="129">
        <v>30195137</v>
      </c>
      <c r="I562" s="129">
        <v>15900</v>
      </c>
      <c r="J562" s="131">
        <v>7.999999999999996E-2</v>
      </c>
      <c r="K562" s="129">
        <v>10</v>
      </c>
      <c r="L562" s="129">
        <f t="shared" si="3"/>
        <v>159000</v>
      </c>
      <c r="M562" s="1612"/>
      <c r="N562" s="1668"/>
    </row>
    <row r="563" spans="2:14" ht="23.25" customHeight="1">
      <c r="B563" s="1608"/>
      <c r="C563" s="1608">
        <v>7</v>
      </c>
      <c r="D563" s="1608" t="s">
        <v>846</v>
      </c>
      <c r="E563" s="129">
        <v>67820216</v>
      </c>
      <c r="F563" s="130" t="s">
        <v>847</v>
      </c>
      <c r="G563" s="1612" t="s">
        <v>847</v>
      </c>
      <c r="H563" s="129">
        <v>30215028</v>
      </c>
      <c r="I563" s="129">
        <v>45900</v>
      </c>
      <c r="J563" s="131">
        <v>9.9999999999999978E-2</v>
      </c>
      <c r="K563" s="129">
        <v>10</v>
      </c>
      <c r="L563" s="129">
        <f t="shared" si="3"/>
        <v>459000</v>
      </c>
      <c r="M563" s="1612" t="s">
        <v>848</v>
      </c>
      <c r="N563" s="1668">
        <v>20250103922</v>
      </c>
    </row>
    <row r="564" spans="2:14">
      <c r="B564" s="1608"/>
      <c r="C564" s="1608"/>
      <c r="D564" s="1610"/>
      <c r="E564" s="129">
        <v>67820217</v>
      </c>
      <c r="F564" s="130" t="s">
        <v>849</v>
      </c>
      <c r="G564" s="1612"/>
      <c r="H564" s="129">
        <v>30215027</v>
      </c>
      <c r="I564" s="129">
        <v>65900</v>
      </c>
      <c r="J564" s="131">
        <v>9.9999999999999978E-2</v>
      </c>
      <c r="K564" s="129">
        <v>10</v>
      </c>
      <c r="L564" s="129">
        <f t="shared" si="3"/>
        <v>659000</v>
      </c>
      <c r="M564" s="1612"/>
      <c r="N564" s="1668"/>
    </row>
    <row r="565" spans="2:14">
      <c r="B565" s="1608"/>
      <c r="C565" s="1608"/>
      <c r="D565" s="1610"/>
      <c r="E565" s="129">
        <v>67820215</v>
      </c>
      <c r="F565" s="130" t="s">
        <v>850</v>
      </c>
      <c r="G565" s="1612"/>
      <c r="H565" s="129">
        <v>30215026</v>
      </c>
      <c r="I565" s="129">
        <v>85900</v>
      </c>
      <c r="J565" s="131">
        <v>9.9999999999999978E-2</v>
      </c>
      <c r="K565" s="129">
        <v>10</v>
      </c>
      <c r="L565" s="129">
        <f t="shared" si="3"/>
        <v>859000</v>
      </c>
      <c r="M565" s="1612"/>
      <c r="N565" s="1668"/>
    </row>
    <row r="566" spans="2:14">
      <c r="B566" s="1608"/>
      <c r="C566" s="1608"/>
      <c r="D566" s="1610"/>
      <c r="E566" s="129">
        <v>30170043</v>
      </c>
      <c r="F566" s="130" t="s">
        <v>851</v>
      </c>
      <c r="G566" s="1612"/>
      <c r="H566" s="129">
        <v>30170043</v>
      </c>
      <c r="I566" s="129">
        <v>14900</v>
      </c>
      <c r="J566" s="131">
        <v>9.9999999999999978E-2</v>
      </c>
      <c r="K566" s="129">
        <v>10</v>
      </c>
      <c r="L566" s="129">
        <f t="shared" si="3"/>
        <v>149000</v>
      </c>
      <c r="M566" s="1612"/>
      <c r="N566" s="1668"/>
    </row>
    <row r="567" spans="2:14">
      <c r="B567" s="1608"/>
      <c r="C567" s="1608"/>
      <c r="D567" s="1609"/>
      <c r="E567" s="129">
        <v>30162395</v>
      </c>
      <c r="F567" s="130" t="s">
        <v>852</v>
      </c>
      <c r="G567" s="1612"/>
      <c r="H567" s="129">
        <v>30162395</v>
      </c>
      <c r="I567" s="129">
        <v>23900</v>
      </c>
      <c r="J567" s="131">
        <v>9.9999999999999978E-2</v>
      </c>
      <c r="K567" s="129">
        <v>10</v>
      </c>
      <c r="L567" s="129">
        <f t="shared" si="3"/>
        <v>239000</v>
      </c>
      <c r="M567" s="1612"/>
      <c r="N567" s="1668"/>
    </row>
    <row r="568" spans="2:14" ht="20.25" customHeight="1">
      <c r="B568" s="1608"/>
      <c r="C568" s="1608">
        <v>8</v>
      </c>
      <c r="D568" s="1608" t="s">
        <v>853</v>
      </c>
      <c r="E568" s="129">
        <v>72680132</v>
      </c>
      <c r="F568" s="130" t="s">
        <v>854</v>
      </c>
      <c r="G568" s="1612" t="s">
        <v>854</v>
      </c>
      <c r="H568" s="129">
        <v>30215051</v>
      </c>
      <c r="I568" s="129">
        <v>14500</v>
      </c>
      <c r="J568" s="131">
        <v>9.9999999999999978E-2</v>
      </c>
      <c r="K568" s="129">
        <v>10</v>
      </c>
      <c r="L568" s="129">
        <f t="shared" si="3"/>
        <v>145000</v>
      </c>
      <c r="M568" s="1612" t="s">
        <v>855</v>
      </c>
      <c r="N568" s="1668">
        <v>20250103923</v>
      </c>
    </row>
    <row r="569" spans="2:14">
      <c r="B569" s="1608"/>
      <c r="C569" s="1608"/>
      <c r="D569" s="1610"/>
      <c r="E569" s="129">
        <v>72680129</v>
      </c>
      <c r="F569" s="130" t="s">
        <v>856</v>
      </c>
      <c r="G569" s="1612"/>
      <c r="H569" s="129">
        <v>30215050</v>
      </c>
      <c r="I569" s="129">
        <v>14500</v>
      </c>
      <c r="J569" s="131">
        <v>9.9999999999999978E-2</v>
      </c>
      <c r="K569" s="129">
        <v>10</v>
      </c>
      <c r="L569" s="129">
        <f t="shared" si="3"/>
        <v>145000</v>
      </c>
      <c r="M569" s="1612"/>
      <c r="N569" s="1668"/>
    </row>
    <row r="570" spans="2:14">
      <c r="B570" s="1608"/>
      <c r="C570" s="1608"/>
      <c r="D570" s="1609"/>
      <c r="E570" s="129">
        <v>72680126</v>
      </c>
      <c r="F570" s="130" t="s">
        <v>857</v>
      </c>
      <c r="G570" s="1612"/>
      <c r="H570" s="129">
        <v>30215049</v>
      </c>
      <c r="I570" s="129">
        <v>14900</v>
      </c>
      <c r="J570" s="131">
        <v>9.9999999999999978E-2</v>
      </c>
      <c r="K570" s="129">
        <v>10</v>
      </c>
      <c r="L570" s="129">
        <f t="shared" si="3"/>
        <v>149000</v>
      </c>
      <c r="M570" s="1612"/>
      <c r="N570" s="1668"/>
    </row>
    <row r="571" spans="2:14">
      <c r="B571" s="1608"/>
      <c r="C571" s="1608">
        <v>9</v>
      </c>
      <c r="D571" s="1608" t="s">
        <v>858</v>
      </c>
      <c r="E571" s="129">
        <v>57752563</v>
      </c>
      <c r="F571" s="130" t="s">
        <v>859</v>
      </c>
      <c r="G571" s="1612" t="s">
        <v>860</v>
      </c>
      <c r="H571" s="129">
        <v>30215023</v>
      </c>
      <c r="I571" s="129">
        <v>95000</v>
      </c>
      <c r="J571" s="131">
        <v>7.2526315789473661E-2</v>
      </c>
      <c r="K571" s="129">
        <v>10</v>
      </c>
      <c r="L571" s="129">
        <f t="shared" si="3"/>
        <v>950000</v>
      </c>
      <c r="M571" s="1612" t="s">
        <v>861</v>
      </c>
      <c r="N571" s="1668">
        <v>20250103924</v>
      </c>
    </row>
    <row r="572" spans="2:14">
      <c r="B572" s="1608"/>
      <c r="C572" s="1608"/>
      <c r="D572" s="1610"/>
      <c r="E572" s="129">
        <v>57752576</v>
      </c>
      <c r="F572" s="130" t="s">
        <v>862</v>
      </c>
      <c r="G572" s="1612"/>
      <c r="H572" s="129">
        <v>30215022</v>
      </c>
      <c r="I572" s="129">
        <v>105000</v>
      </c>
      <c r="J572" s="131">
        <v>6.5714285714285725E-2</v>
      </c>
      <c r="K572" s="129">
        <v>10</v>
      </c>
      <c r="L572" s="129">
        <f t="shared" si="3"/>
        <v>1050000</v>
      </c>
      <c r="M572" s="1612"/>
      <c r="N572" s="1668"/>
    </row>
    <row r="573" spans="2:14">
      <c r="B573" s="1608"/>
      <c r="C573" s="1608"/>
      <c r="D573" s="1610"/>
      <c r="E573" s="129">
        <v>57752573</v>
      </c>
      <c r="F573" s="130" t="s">
        <v>863</v>
      </c>
      <c r="G573" s="1612"/>
      <c r="H573" s="129">
        <v>30215021</v>
      </c>
      <c r="I573" s="129">
        <v>115000</v>
      </c>
      <c r="J573" s="131">
        <v>6.8695652173913047E-2</v>
      </c>
      <c r="K573" s="129">
        <v>10</v>
      </c>
      <c r="L573" s="129">
        <f t="shared" si="3"/>
        <v>1150000</v>
      </c>
      <c r="M573" s="1612"/>
      <c r="N573" s="1668"/>
    </row>
    <row r="574" spans="2:14">
      <c r="B574" s="1608"/>
      <c r="C574" s="1608"/>
      <c r="D574" s="1610"/>
      <c r="E574" s="129">
        <v>57752570</v>
      </c>
      <c r="F574" s="130" t="s">
        <v>864</v>
      </c>
      <c r="G574" s="1612"/>
      <c r="H574" s="129">
        <v>30215020</v>
      </c>
      <c r="I574" s="129">
        <v>155000</v>
      </c>
      <c r="J574" s="131">
        <v>7.6774193548387104E-2</v>
      </c>
      <c r="K574" s="129">
        <v>10</v>
      </c>
      <c r="L574" s="129">
        <f t="shared" si="3"/>
        <v>1550000</v>
      </c>
      <c r="M574" s="1612"/>
      <c r="N574" s="1668"/>
    </row>
    <row r="575" spans="2:14">
      <c r="B575" s="1608"/>
      <c r="C575" s="1608"/>
      <c r="D575" s="1609"/>
      <c r="E575" s="129">
        <v>73193433</v>
      </c>
      <c r="F575" s="130" t="s">
        <v>865</v>
      </c>
      <c r="G575" s="1612"/>
      <c r="H575" s="129">
        <v>30215019</v>
      </c>
      <c r="I575" s="129">
        <v>175000</v>
      </c>
      <c r="J575" s="131">
        <v>7.9428571428571404E-2</v>
      </c>
      <c r="K575" s="129">
        <v>10</v>
      </c>
      <c r="L575" s="129">
        <f t="shared" si="3"/>
        <v>1750000</v>
      </c>
      <c r="M575" s="1612"/>
      <c r="N575" s="1668"/>
    </row>
    <row r="576" spans="2:14">
      <c r="B576" s="1608"/>
      <c r="C576" s="1608">
        <v>10</v>
      </c>
      <c r="D576" s="1608" t="s">
        <v>828</v>
      </c>
      <c r="E576" s="129">
        <v>46684266</v>
      </c>
      <c r="F576" s="130" t="s">
        <v>866</v>
      </c>
      <c r="G576" s="1612" t="s">
        <v>866</v>
      </c>
      <c r="H576" s="129">
        <v>30215017</v>
      </c>
      <c r="I576" s="129">
        <v>10900</v>
      </c>
      <c r="J576" s="131">
        <v>9.9999999999999978E-2</v>
      </c>
      <c r="K576" s="129">
        <v>10</v>
      </c>
      <c r="L576" s="129">
        <f t="shared" si="3"/>
        <v>109000</v>
      </c>
      <c r="M576" s="1612" t="s">
        <v>867</v>
      </c>
      <c r="N576" s="1668">
        <v>20250103925</v>
      </c>
    </row>
    <row r="577" spans="2:14">
      <c r="B577" s="1608"/>
      <c r="C577" s="1608"/>
      <c r="D577" s="1610"/>
      <c r="E577" s="129">
        <v>11079967</v>
      </c>
      <c r="F577" s="130" t="s">
        <v>868</v>
      </c>
      <c r="G577" s="1612"/>
      <c r="H577" s="129">
        <v>30212312</v>
      </c>
      <c r="I577" s="129">
        <v>15900</v>
      </c>
      <c r="J577" s="131">
        <v>9.9999999999999978E-2</v>
      </c>
      <c r="K577" s="129">
        <v>10</v>
      </c>
      <c r="L577" s="129">
        <f t="shared" si="3"/>
        <v>159000</v>
      </c>
      <c r="M577" s="1612"/>
      <c r="N577" s="1668"/>
    </row>
    <row r="578" spans="2:14">
      <c r="B578" s="1608"/>
      <c r="C578" s="1608"/>
      <c r="D578" s="1610"/>
      <c r="E578" s="129">
        <v>46684268</v>
      </c>
      <c r="F578" s="130" t="s">
        <v>869</v>
      </c>
      <c r="G578" s="1612"/>
      <c r="H578" s="129">
        <v>30215015</v>
      </c>
      <c r="I578" s="129">
        <v>29500</v>
      </c>
      <c r="J578" s="131">
        <v>9.9999999999999978E-2</v>
      </c>
      <c r="K578" s="129">
        <v>10</v>
      </c>
      <c r="L578" s="129">
        <f t="shared" si="3"/>
        <v>295000</v>
      </c>
      <c r="M578" s="1612"/>
      <c r="N578" s="1668"/>
    </row>
    <row r="579" spans="2:14">
      <c r="B579" s="1608"/>
      <c r="C579" s="1608"/>
      <c r="D579" s="1610"/>
      <c r="E579" s="129">
        <v>11079959</v>
      </c>
      <c r="F579" s="130" t="s">
        <v>870</v>
      </c>
      <c r="G579" s="1612"/>
      <c r="H579" s="129">
        <v>30212313</v>
      </c>
      <c r="I579" s="129">
        <v>15500</v>
      </c>
      <c r="J579" s="131">
        <v>9.9999999999999978E-2</v>
      </c>
      <c r="K579" s="129">
        <v>10</v>
      </c>
      <c r="L579" s="129">
        <f t="shared" si="3"/>
        <v>155000</v>
      </c>
      <c r="M579" s="1612"/>
      <c r="N579" s="1668"/>
    </row>
    <row r="580" spans="2:14">
      <c r="B580" s="1608"/>
      <c r="C580" s="1608"/>
      <c r="D580" s="1609"/>
      <c r="E580" s="129">
        <v>46541574</v>
      </c>
      <c r="F580" s="130" t="s">
        <v>871</v>
      </c>
      <c r="G580" s="1612"/>
      <c r="H580" s="129">
        <v>30209961</v>
      </c>
      <c r="I580" s="129">
        <v>28500</v>
      </c>
      <c r="J580" s="131">
        <v>9.9999999999999978E-2</v>
      </c>
      <c r="K580" s="129">
        <v>10</v>
      </c>
      <c r="L580" s="129">
        <f t="shared" si="3"/>
        <v>285000</v>
      </c>
      <c r="M580" s="1612"/>
      <c r="N580" s="1668"/>
    </row>
    <row r="581" spans="2:14" ht="17.25" customHeight="1">
      <c r="B581" s="1697" t="s">
        <v>417</v>
      </c>
      <c r="C581" s="137">
        <v>1</v>
      </c>
      <c r="D581" s="129" t="s">
        <v>439</v>
      </c>
      <c r="E581" s="129">
        <v>68914769</v>
      </c>
      <c r="F581" s="130" t="s">
        <v>872</v>
      </c>
      <c r="G581" s="130" t="s">
        <v>873</v>
      </c>
      <c r="H581" s="129">
        <v>30197706</v>
      </c>
      <c r="I581" s="129">
        <v>9900</v>
      </c>
      <c r="J581" s="131">
        <v>0.1</v>
      </c>
      <c r="K581" s="129">
        <v>10</v>
      </c>
      <c r="L581" s="133">
        <v>100000</v>
      </c>
      <c r="M581" s="130" t="s">
        <v>874</v>
      </c>
      <c r="N581" s="136">
        <v>20250103926</v>
      </c>
    </row>
    <row r="582" spans="2:14">
      <c r="B582" s="1677"/>
      <c r="C582" s="1692">
        <v>2</v>
      </c>
      <c r="D582" s="129" t="s">
        <v>875</v>
      </c>
      <c r="E582" s="129">
        <v>10690814</v>
      </c>
      <c r="F582" s="130" t="s">
        <v>876</v>
      </c>
      <c r="G582" s="1612" t="s">
        <v>876</v>
      </c>
      <c r="H582" s="129">
        <v>30173564</v>
      </c>
      <c r="I582" s="129">
        <v>10690</v>
      </c>
      <c r="J582" s="131">
        <v>0.1</v>
      </c>
      <c r="K582" s="129">
        <v>10</v>
      </c>
      <c r="L582" s="133">
        <v>100000</v>
      </c>
      <c r="M582" s="1612" t="s">
        <v>877</v>
      </c>
      <c r="N582" s="1668">
        <v>20250103927</v>
      </c>
    </row>
    <row r="583" spans="2:14">
      <c r="B583" s="1677"/>
      <c r="C583" s="1692"/>
      <c r="D583" s="129" t="s">
        <v>875</v>
      </c>
      <c r="E583" s="129">
        <v>40449524</v>
      </c>
      <c r="F583" s="130" t="s">
        <v>878</v>
      </c>
      <c r="G583" s="1612"/>
      <c r="H583" s="129">
        <v>30174948</v>
      </c>
      <c r="I583" s="129">
        <v>12190</v>
      </c>
      <c r="J583" s="131">
        <v>0.1</v>
      </c>
      <c r="K583" s="129">
        <v>10</v>
      </c>
      <c r="L583" s="133">
        <v>100000</v>
      </c>
      <c r="M583" s="1612"/>
      <c r="N583" s="1668"/>
    </row>
    <row r="584" spans="2:14">
      <c r="B584" s="1677"/>
      <c r="C584" s="1692"/>
      <c r="D584" s="129" t="s">
        <v>875</v>
      </c>
      <c r="E584" s="129">
        <v>44683002</v>
      </c>
      <c r="F584" s="130" t="s">
        <v>879</v>
      </c>
      <c r="G584" s="1612"/>
      <c r="H584" s="129">
        <v>30173133</v>
      </c>
      <c r="I584" s="129">
        <v>7590</v>
      </c>
      <c r="J584" s="131">
        <v>0.1</v>
      </c>
      <c r="K584" s="129">
        <v>10</v>
      </c>
      <c r="L584" s="133">
        <v>100000</v>
      </c>
      <c r="M584" s="1612"/>
      <c r="N584" s="1668"/>
    </row>
    <row r="585" spans="2:14">
      <c r="B585" s="1677"/>
      <c r="C585" s="1692"/>
      <c r="D585" s="129" t="s">
        <v>875</v>
      </c>
      <c r="E585" s="129">
        <v>44682991</v>
      </c>
      <c r="F585" s="130" t="s">
        <v>880</v>
      </c>
      <c r="G585" s="1612"/>
      <c r="H585" s="129">
        <v>30175839</v>
      </c>
      <c r="I585" s="129">
        <v>15000</v>
      </c>
      <c r="J585" s="131">
        <v>0.1</v>
      </c>
      <c r="K585" s="129">
        <v>10</v>
      </c>
      <c r="L585" s="133">
        <v>100000</v>
      </c>
      <c r="M585" s="1612"/>
      <c r="N585" s="1668"/>
    </row>
    <row r="586" spans="2:14" ht="16.5" customHeight="1">
      <c r="B586" s="1677"/>
      <c r="C586" s="1692">
        <v>3</v>
      </c>
      <c r="D586" s="129" t="s">
        <v>418</v>
      </c>
      <c r="E586" s="129">
        <v>30169842</v>
      </c>
      <c r="F586" s="130" t="s">
        <v>881</v>
      </c>
      <c r="G586" s="1612" t="s">
        <v>881</v>
      </c>
      <c r="H586" s="129">
        <v>30173314</v>
      </c>
      <c r="I586" s="129">
        <v>12100</v>
      </c>
      <c r="J586" s="131">
        <v>0.1</v>
      </c>
      <c r="K586" s="129">
        <v>10</v>
      </c>
      <c r="L586" s="133">
        <v>100000</v>
      </c>
      <c r="M586" s="1612" t="s">
        <v>882</v>
      </c>
      <c r="N586" s="1668">
        <v>20250103928</v>
      </c>
    </row>
    <row r="587" spans="2:14" ht="33">
      <c r="B587" s="1677"/>
      <c r="C587" s="1692"/>
      <c r="D587" s="129" t="s">
        <v>418</v>
      </c>
      <c r="E587" s="129">
        <v>30169781</v>
      </c>
      <c r="F587" s="130" t="s">
        <v>883</v>
      </c>
      <c r="G587" s="1612"/>
      <c r="H587" s="129">
        <v>30170969</v>
      </c>
      <c r="I587" s="129">
        <v>12100</v>
      </c>
      <c r="J587" s="131">
        <v>0.1</v>
      </c>
      <c r="K587" s="129">
        <v>10</v>
      </c>
      <c r="L587" s="133">
        <v>100000</v>
      </c>
      <c r="M587" s="1612"/>
      <c r="N587" s="1668"/>
    </row>
    <row r="588" spans="2:14">
      <c r="B588" s="1677"/>
      <c r="C588" s="1692"/>
      <c r="D588" s="129" t="s">
        <v>418</v>
      </c>
      <c r="E588" s="129">
        <v>60949168</v>
      </c>
      <c r="F588" s="130" t="s">
        <v>884</v>
      </c>
      <c r="G588" s="1612"/>
      <c r="H588" s="129">
        <v>30174964</v>
      </c>
      <c r="I588" s="129">
        <v>15200</v>
      </c>
      <c r="J588" s="131">
        <v>0.1</v>
      </c>
      <c r="K588" s="129">
        <v>10</v>
      </c>
      <c r="L588" s="133">
        <v>100000</v>
      </c>
      <c r="M588" s="1612"/>
      <c r="N588" s="1668"/>
    </row>
    <row r="589" spans="2:14">
      <c r="B589" s="1677"/>
      <c r="C589" s="1692"/>
      <c r="D589" s="129" t="s">
        <v>418</v>
      </c>
      <c r="E589" s="129">
        <v>30152545</v>
      </c>
      <c r="F589" s="130" t="s">
        <v>885</v>
      </c>
      <c r="G589" s="1612"/>
      <c r="H589" s="129">
        <v>30155246</v>
      </c>
      <c r="I589" s="129">
        <v>16300</v>
      </c>
      <c r="J589" s="131">
        <v>0.1</v>
      </c>
      <c r="K589" s="129">
        <v>10</v>
      </c>
      <c r="L589" s="133">
        <v>100000</v>
      </c>
      <c r="M589" s="1612"/>
      <c r="N589" s="1668"/>
    </row>
    <row r="590" spans="2:14">
      <c r="B590" s="1677"/>
      <c r="C590" s="1692"/>
      <c r="D590" s="129" t="s">
        <v>418</v>
      </c>
      <c r="E590" s="129">
        <v>30136013</v>
      </c>
      <c r="F590" s="130" t="s">
        <v>886</v>
      </c>
      <c r="G590" s="1612"/>
      <c r="H590" s="129">
        <v>30205044</v>
      </c>
      <c r="I590" s="129">
        <v>9600</v>
      </c>
      <c r="J590" s="131">
        <v>0.1</v>
      </c>
      <c r="K590" s="129">
        <v>10</v>
      </c>
      <c r="L590" s="133">
        <v>100000</v>
      </c>
      <c r="M590" s="1612"/>
      <c r="N590" s="1668"/>
    </row>
    <row r="591" spans="2:14">
      <c r="B591" s="1677"/>
      <c r="C591" s="1692"/>
      <c r="D591" s="129" t="s">
        <v>418</v>
      </c>
      <c r="E591" s="129">
        <v>30175898</v>
      </c>
      <c r="F591" s="130" t="s">
        <v>887</v>
      </c>
      <c r="G591" s="1612"/>
      <c r="H591" s="129">
        <v>30205045</v>
      </c>
      <c r="I591" s="129">
        <v>10990</v>
      </c>
      <c r="J591" s="131">
        <v>0.1</v>
      </c>
      <c r="K591" s="129">
        <v>10</v>
      </c>
      <c r="L591" s="133">
        <v>100000</v>
      </c>
      <c r="M591" s="1612"/>
      <c r="N591" s="1668"/>
    </row>
    <row r="592" spans="2:14" ht="16.5" customHeight="1">
      <c r="B592" s="1677"/>
      <c r="C592" s="1692">
        <v>4</v>
      </c>
      <c r="D592" s="129" t="s">
        <v>439</v>
      </c>
      <c r="E592" s="129">
        <v>70189257</v>
      </c>
      <c r="F592" s="130" t="s">
        <v>888</v>
      </c>
      <c r="G592" s="1612" t="s">
        <v>888</v>
      </c>
      <c r="H592" s="129">
        <v>30215006</v>
      </c>
      <c r="I592" s="129">
        <v>12900</v>
      </c>
      <c r="J592" s="131">
        <v>0.1</v>
      </c>
      <c r="K592" s="129">
        <v>10</v>
      </c>
      <c r="L592" s="133">
        <v>100000</v>
      </c>
      <c r="M592" s="1612" t="s">
        <v>889</v>
      </c>
      <c r="N592" s="1668">
        <v>20250103929</v>
      </c>
    </row>
    <row r="593" spans="2:14">
      <c r="B593" s="1677"/>
      <c r="C593" s="1692"/>
      <c r="D593" s="129" t="s">
        <v>439</v>
      </c>
      <c r="E593" s="129">
        <v>70189255</v>
      </c>
      <c r="F593" s="130" t="s">
        <v>890</v>
      </c>
      <c r="G593" s="1612"/>
      <c r="H593" s="129">
        <v>30215005</v>
      </c>
      <c r="I593" s="129">
        <v>12900</v>
      </c>
      <c r="J593" s="131">
        <v>0.1</v>
      </c>
      <c r="K593" s="129">
        <v>10</v>
      </c>
      <c r="L593" s="133">
        <v>100000</v>
      </c>
      <c r="M593" s="1612"/>
      <c r="N593" s="1668"/>
    </row>
    <row r="594" spans="2:14">
      <c r="B594" s="1677"/>
      <c r="C594" s="1692"/>
      <c r="D594" s="129" t="s">
        <v>439</v>
      </c>
      <c r="E594" s="129">
        <v>70190068</v>
      </c>
      <c r="F594" s="130" t="s">
        <v>891</v>
      </c>
      <c r="G594" s="1612"/>
      <c r="H594" s="129">
        <v>30215004</v>
      </c>
      <c r="I594" s="129">
        <v>24900</v>
      </c>
      <c r="J594" s="131">
        <v>0.1</v>
      </c>
      <c r="K594" s="129">
        <v>10</v>
      </c>
      <c r="L594" s="133">
        <v>100000</v>
      </c>
      <c r="M594" s="1612"/>
      <c r="N594" s="1668"/>
    </row>
    <row r="595" spans="2:14">
      <c r="B595" s="1677"/>
      <c r="C595" s="1692"/>
      <c r="D595" s="129" t="s">
        <v>439</v>
      </c>
      <c r="E595" s="129">
        <v>70190070</v>
      </c>
      <c r="F595" s="130" t="s">
        <v>892</v>
      </c>
      <c r="G595" s="1612"/>
      <c r="H595" s="129">
        <v>30215003</v>
      </c>
      <c r="I595" s="129">
        <v>24900</v>
      </c>
      <c r="J595" s="131">
        <v>0.1</v>
      </c>
      <c r="K595" s="129">
        <v>10</v>
      </c>
      <c r="L595" s="133">
        <v>100000</v>
      </c>
      <c r="M595" s="1612"/>
      <c r="N595" s="1668"/>
    </row>
    <row r="596" spans="2:14">
      <c r="B596" s="1677"/>
      <c r="C596" s="1692"/>
      <c r="D596" s="129" t="s">
        <v>439</v>
      </c>
      <c r="E596" s="129">
        <v>70184433</v>
      </c>
      <c r="F596" s="130" t="s">
        <v>893</v>
      </c>
      <c r="G596" s="1612"/>
      <c r="H596" s="129">
        <v>30215002</v>
      </c>
      <c r="I596" s="129">
        <v>12900</v>
      </c>
      <c r="J596" s="131">
        <v>0.1</v>
      </c>
      <c r="K596" s="129">
        <v>10</v>
      </c>
      <c r="L596" s="133">
        <v>100000</v>
      </c>
      <c r="M596" s="1612"/>
      <c r="N596" s="1668"/>
    </row>
    <row r="597" spans="2:14">
      <c r="B597" s="1677"/>
      <c r="C597" s="1692"/>
      <c r="D597" s="129" t="s">
        <v>439</v>
      </c>
      <c r="E597" s="129">
        <v>70184437</v>
      </c>
      <c r="F597" s="130" t="s">
        <v>894</v>
      </c>
      <c r="G597" s="1612"/>
      <c r="H597" s="129">
        <v>30215001</v>
      </c>
      <c r="I597" s="129">
        <v>12900</v>
      </c>
      <c r="J597" s="131">
        <v>0.1</v>
      </c>
      <c r="K597" s="129">
        <v>10</v>
      </c>
      <c r="L597" s="133">
        <v>100000</v>
      </c>
      <c r="M597" s="1612"/>
      <c r="N597" s="1668"/>
    </row>
    <row r="598" spans="2:14">
      <c r="B598" s="1677"/>
      <c r="C598" s="1692"/>
      <c r="D598" s="129" t="s">
        <v>439</v>
      </c>
      <c r="E598" s="129">
        <v>70184428</v>
      </c>
      <c r="F598" s="130" t="s">
        <v>895</v>
      </c>
      <c r="G598" s="1612"/>
      <c r="H598" s="129">
        <v>30215000</v>
      </c>
      <c r="I598" s="129">
        <v>14900</v>
      </c>
      <c r="J598" s="131">
        <v>0.1</v>
      </c>
      <c r="K598" s="129">
        <v>10</v>
      </c>
      <c r="L598" s="133">
        <v>100000</v>
      </c>
      <c r="M598" s="1612"/>
      <c r="N598" s="1668"/>
    </row>
    <row r="599" spans="2:14">
      <c r="B599" s="1677"/>
      <c r="C599" s="1692"/>
      <c r="D599" s="129" t="s">
        <v>439</v>
      </c>
      <c r="E599" s="129">
        <v>70184495</v>
      </c>
      <c r="F599" s="130" t="s">
        <v>896</v>
      </c>
      <c r="G599" s="1612"/>
      <c r="H599" s="129">
        <v>30214999</v>
      </c>
      <c r="I599" s="129">
        <v>14900</v>
      </c>
      <c r="J599" s="131">
        <v>0.1</v>
      </c>
      <c r="K599" s="129">
        <v>10</v>
      </c>
      <c r="L599" s="133">
        <v>100000</v>
      </c>
      <c r="M599" s="1612"/>
      <c r="N599" s="1668"/>
    </row>
    <row r="600" spans="2:14" ht="18" customHeight="1">
      <c r="B600" s="1677"/>
      <c r="C600" s="1692">
        <v>5</v>
      </c>
      <c r="D600" s="129" t="s">
        <v>875</v>
      </c>
      <c r="E600" s="129">
        <v>48631865</v>
      </c>
      <c r="F600" s="130" t="s">
        <v>897</v>
      </c>
      <c r="G600" s="1612" t="s">
        <v>897</v>
      </c>
      <c r="H600" s="129">
        <v>30214998</v>
      </c>
      <c r="I600" s="129">
        <v>18500</v>
      </c>
      <c r="J600" s="131">
        <v>0.1</v>
      </c>
      <c r="K600" s="129">
        <v>10</v>
      </c>
      <c r="L600" s="133">
        <v>100000</v>
      </c>
      <c r="M600" s="1612" t="s">
        <v>898</v>
      </c>
      <c r="N600" s="1668">
        <v>20250103930</v>
      </c>
    </row>
    <row r="601" spans="2:14">
      <c r="B601" s="1677"/>
      <c r="C601" s="1692"/>
      <c r="D601" s="129" t="s">
        <v>875</v>
      </c>
      <c r="E601" s="129">
        <v>48631904</v>
      </c>
      <c r="F601" s="130" t="s">
        <v>899</v>
      </c>
      <c r="G601" s="1612"/>
      <c r="H601" s="129">
        <v>30214997</v>
      </c>
      <c r="I601" s="129">
        <v>17900</v>
      </c>
      <c r="J601" s="131">
        <v>0.1</v>
      </c>
      <c r="K601" s="129">
        <v>10</v>
      </c>
      <c r="L601" s="133">
        <v>100000</v>
      </c>
      <c r="M601" s="1612"/>
      <c r="N601" s="1668"/>
    </row>
    <row r="602" spans="2:14">
      <c r="B602" s="1677"/>
      <c r="C602" s="1692"/>
      <c r="D602" s="129" t="s">
        <v>875</v>
      </c>
      <c r="E602" s="129">
        <v>48631899</v>
      </c>
      <c r="F602" s="130" t="s">
        <v>900</v>
      </c>
      <c r="G602" s="1612"/>
      <c r="H602" s="129">
        <v>30214996</v>
      </c>
      <c r="I602" s="129">
        <v>17900</v>
      </c>
      <c r="J602" s="131">
        <v>0.1</v>
      </c>
      <c r="K602" s="129">
        <v>10</v>
      </c>
      <c r="L602" s="133">
        <v>100000</v>
      </c>
      <c r="M602" s="1612"/>
      <c r="N602" s="1668"/>
    </row>
    <row r="603" spans="2:14">
      <c r="B603" s="1677"/>
      <c r="C603" s="1692"/>
      <c r="D603" s="129" t="s">
        <v>875</v>
      </c>
      <c r="E603" s="129">
        <v>48631852</v>
      </c>
      <c r="F603" s="130" t="s">
        <v>901</v>
      </c>
      <c r="G603" s="1612"/>
      <c r="H603" s="129">
        <v>30214994</v>
      </c>
      <c r="I603" s="129">
        <v>18500</v>
      </c>
      <c r="J603" s="131">
        <v>0.1</v>
      </c>
      <c r="K603" s="129">
        <v>10</v>
      </c>
      <c r="L603" s="133">
        <v>100000</v>
      </c>
      <c r="M603" s="1612"/>
      <c r="N603" s="1668"/>
    </row>
    <row r="604" spans="2:14" ht="19.5" customHeight="1">
      <c r="B604" s="1677"/>
      <c r="C604" s="1692">
        <v>6</v>
      </c>
      <c r="D604" s="129" t="s">
        <v>902</v>
      </c>
      <c r="E604" s="129">
        <v>30214710</v>
      </c>
      <c r="F604" s="130" t="s">
        <v>903</v>
      </c>
      <c r="G604" s="1612" t="s">
        <v>904</v>
      </c>
      <c r="H604" s="129">
        <v>30214993</v>
      </c>
      <c r="I604" s="129">
        <v>14500</v>
      </c>
      <c r="J604" s="131">
        <v>0.1</v>
      </c>
      <c r="K604" s="129">
        <v>10</v>
      </c>
      <c r="L604" s="133">
        <v>100000</v>
      </c>
      <c r="M604" s="1612" t="s">
        <v>905</v>
      </c>
      <c r="N604" s="1668">
        <v>20250103931</v>
      </c>
    </row>
    <row r="605" spans="2:14">
      <c r="B605" s="1677"/>
      <c r="C605" s="1692"/>
      <c r="D605" s="129" t="s">
        <v>902</v>
      </c>
      <c r="E605" s="129">
        <v>48595249</v>
      </c>
      <c r="F605" s="130" t="s">
        <v>470</v>
      </c>
      <c r="G605" s="1612"/>
      <c r="H605" s="129">
        <v>30214992</v>
      </c>
      <c r="I605" s="129">
        <v>12900</v>
      </c>
      <c r="J605" s="131">
        <v>0.1</v>
      </c>
      <c r="K605" s="129">
        <v>10</v>
      </c>
      <c r="L605" s="133">
        <v>100000</v>
      </c>
      <c r="M605" s="1612"/>
      <c r="N605" s="1668"/>
    </row>
    <row r="606" spans="2:14">
      <c r="B606" s="1677"/>
      <c r="C606" s="1692"/>
      <c r="D606" s="129" t="s">
        <v>902</v>
      </c>
      <c r="E606" s="129">
        <v>30213451</v>
      </c>
      <c r="F606" s="130" t="s">
        <v>473</v>
      </c>
      <c r="G606" s="1612"/>
      <c r="H606" s="129">
        <v>30213466</v>
      </c>
      <c r="I606" s="129">
        <v>11500</v>
      </c>
      <c r="J606" s="131">
        <v>0.1</v>
      </c>
      <c r="K606" s="129">
        <v>10</v>
      </c>
      <c r="L606" s="133">
        <v>100000</v>
      </c>
      <c r="M606" s="1612"/>
      <c r="N606" s="1668"/>
    </row>
    <row r="607" spans="2:14">
      <c r="B607" s="1677"/>
      <c r="C607" s="1692"/>
      <c r="D607" s="129" t="s">
        <v>902</v>
      </c>
      <c r="E607" s="129">
        <v>48594586</v>
      </c>
      <c r="F607" s="130" t="s">
        <v>474</v>
      </c>
      <c r="G607" s="1612"/>
      <c r="H607" s="129">
        <v>30213446</v>
      </c>
      <c r="I607" s="129">
        <v>22500</v>
      </c>
      <c r="J607" s="131">
        <v>0.1</v>
      </c>
      <c r="K607" s="129">
        <v>10</v>
      </c>
      <c r="L607" s="133">
        <v>100000</v>
      </c>
      <c r="M607" s="1612"/>
      <c r="N607" s="1668"/>
    </row>
    <row r="608" spans="2:14">
      <c r="B608" s="1677"/>
      <c r="C608" s="1692"/>
      <c r="D608" s="129" t="s">
        <v>902</v>
      </c>
      <c r="E608" s="129">
        <v>48595128</v>
      </c>
      <c r="F608" s="130" t="s">
        <v>475</v>
      </c>
      <c r="G608" s="1612"/>
      <c r="H608" s="129">
        <v>30214991</v>
      </c>
      <c r="I608" s="129">
        <v>12500</v>
      </c>
      <c r="J608" s="131">
        <v>0.1</v>
      </c>
      <c r="K608" s="129">
        <v>10</v>
      </c>
      <c r="L608" s="133">
        <v>100000</v>
      </c>
      <c r="M608" s="1612"/>
      <c r="N608" s="1668"/>
    </row>
    <row r="609" spans="1:14">
      <c r="B609" s="1677"/>
      <c r="C609" s="1692"/>
      <c r="D609" s="216" t="s">
        <v>902</v>
      </c>
      <c r="E609" s="216">
        <v>48594745</v>
      </c>
      <c r="F609" s="217" t="s">
        <v>906</v>
      </c>
      <c r="G609" s="1612"/>
      <c r="H609" s="216">
        <v>30214989</v>
      </c>
      <c r="I609" s="216">
        <v>20900</v>
      </c>
      <c r="J609" s="218">
        <v>0.1</v>
      </c>
      <c r="K609" s="216">
        <v>10</v>
      </c>
      <c r="L609" s="219">
        <v>100000</v>
      </c>
      <c r="M609" s="1612"/>
      <c r="N609" s="1668"/>
    </row>
    <row r="610" spans="1:14" ht="18" customHeight="1">
      <c r="A610" s="127"/>
      <c r="B610" s="1733"/>
      <c r="C610" s="220">
        <v>7</v>
      </c>
      <c r="D610" s="30" t="s">
        <v>907</v>
      </c>
      <c r="E610" s="30">
        <v>30210662</v>
      </c>
      <c r="F610" s="31" t="s">
        <v>908</v>
      </c>
      <c r="G610" s="221" t="s">
        <v>908</v>
      </c>
      <c r="H610" s="30">
        <v>30215012</v>
      </c>
      <c r="I610" s="222">
        <v>10500</v>
      </c>
      <c r="J610" s="64">
        <v>0.1</v>
      </c>
      <c r="K610" s="30">
        <v>10</v>
      </c>
      <c r="L610" s="35">
        <v>100000</v>
      </c>
      <c r="M610" s="33" t="s">
        <v>909</v>
      </c>
      <c r="N610" s="223">
        <v>20250103932</v>
      </c>
    </row>
    <row r="611" spans="1:14" ht="18" customHeight="1">
      <c r="A611" s="127"/>
      <c r="B611" s="1721" t="s">
        <v>910</v>
      </c>
      <c r="C611" s="225">
        <v>1</v>
      </c>
      <c r="D611" s="225" t="s">
        <v>911</v>
      </c>
      <c r="E611" s="226">
        <v>30164968</v>
      </c>
      <c r="F611" s="227" t="s">
        <v>912</v>
      </c>
      <c r="G611" s="228" t="s">
        <v>913</v>
      </c>
      <c r="H611" s="226">
        <v>30209852</v>
      </c>
      <c r="I611" s="229">
        <v>8900</v>
      </c>
      <c r="J611" s="230">
        <v>0.15</v>
      </c>
      <c r="K611" s="231">
        <v>10</v>
      </c>
      <c r="L611" s="232">
        <v>89000</v>
      </c>
      <c r="M611" s="233" t="s">
        <v>914</v>
      </c>
      <c r="N611" s="234">
        <v>20241230857</v>
      </c>
    </row>
    <row r="612" spans="1:14" ht="18" customHeight="1">
      <c r="A612" s="127"/>
      <c r="B612" s="1731"/>
      <c r="C612" s="1732">
        <v>2</v>
      </c>
      <c r="D612" s="1732" t="s">
        <v>915</v>
      </c>
      <c r="E612" s="118">
        <v>30032257</v>
      </c>
      <c r="F612" s="235" t="s">
        <v>916</v>
      </c>
      <c r="G612" s="1512" t="s">
        <v>917</v>
      </c>
      <c r="H612" s="118">
        <v>30201984</v>
      </c>
      <c r="I612" s="236">
        <v>13900</v>
      </c>
      <c r="J612" s="1714">
        <v>0.1</v>
      </c>
      <c r="K612" s="1715">
        <v>10</v>
      </c>
      <c r="L612" s="239">
        <v>139000</v>
      </c>
      <c r="M612" s="1729" t="s">
        <v>917</v>
      </c>
      <c r="N612" s="1700">
        <v>20250103902</v>
      </c>
    </row>
    <row r="613" spans="1:14" ht="18" customHeight="1">
      <c r="A613" s="127"/>
      <c r="B613" s="1731"/>
      <c r="C613" s="1732"/>
      <c r="D613" s="1732"/>
      <c r="E613" s="240">
        <v>30171005</v>
      </c>
      <c r="F613" s="241" t="s">
        <v>918</v>
      </c>
      <c r="G613" s="1512"/>
      <c r="H613" s="242">
        <v>30215007</v>
      </c>
      <c r="I613" s="236">
        <v>9500</v>
      </c>
      <c r="J613" s="1714"/>
      <c r="K613" s="1715"/>
      <c r="L613" s="239">
        <v>95000</v>
      </c>
      <c r="M613" s="1729"/>
      <c r="N613" s="1700"/>
    </row>
    <row r="614" spans="1:14" ht="18" customHeight="1">
      <c r="A614" s="127"/>
      <c r="B614" s="1731"/>
      <c r="C614" s="1702">
        <v>3</v>
      </c>
      <c r="D614" s="1727" t="s">
        <v>919</v>
      </c>
      <c r="E614" s="118">
        <v>74053687</v>
      </c>
      <c r="F614" s="241" t="s">
        <v>920</v>
      </c>
      <c r="G614" s="1454" t="s">
        <v>921</v>
      </c>
      <c r="H614" s="243">
        <v>30215009</v>
      </c>
      <c r="I614" s="236">
        <v>9900</v>
      </c>
      <c r="J614" s="1714">
        <v>0.12</v>
      </c>
      <c r="K614" s="1715">
        <v>10</v>
      </c>
      <c r="L614" s="239">
        <v>99000</v>
      </c>
      <c r="M614" s="1730" t="s">
        <v>922</v>
      </c>
      <c r="N614" s="1700">
        <v>20250103903</v>
      </c>
    </row>
    <row r="615" spans="1:14" ht="18" customHeight="1">
      <c r="A615" s="127"/>
      <c r="B615" s="1731"/>
      <c r="C615" s="1702"/>
      <c r="D615" s="1727"/>
      <c r="E615" s="118">
        <v>74053681</v>
      </c>
      <c r="F615" s="241" t="s">
        <v>923</v>
      </c>
      <c r="G615" s="1454"/>
      <c r="H615" s="243">
        <v>30215011</v>
      </c>
      <c r="I615" s="236">
        <v>8900</v>
      </c>
      <c r="J615" s="1714"/>
      <c r="K615" s="1715"/>
      <c r="L615" s="239">
        <v>89000</v>
      </c>
      <c r="M615" s="1730"/>
      <c r="N615" s="1700"/>
    </row>
    <row r="616" spans="1:14" ht="18" customHeight="1">
      <c r="A616" s="127"/>
      <c r="B616" s="1731"/>
      <c r="C616" s="1702"/>
      <c r="D616" s="1727"/>
      <c r="E616" s="118">
        <v>74053681</v>
      </c>
      <c r="F616" s="241" t="s">
        <v>924</v>
      </c>
      <c r="G616" s="1454"/>
      <c r="H616" s="238">
        <v>30215013</v>
      </c>
      <c r="I616" s="236">
        <v>10900</v>
      </c>
      <c r="J616" s="1714"/>
      <c r="K616" s="1715"/>
      <c r="L616" s="239">
        <v>109000</v>
      </c>
      <c r="M616" s="1730"/>
      <c r="N616" s="1700"/>
    </row>
    <row r="617" spans="1:14" ht="18" customHeight="1">
      <c r="A617" s="127"/>
      <c r="B617" s="1721"/>
      <c r="C617" s="1702">
        <v>4</v>
      </c>
      <c r="D617" s="1727" t="s">
        <v>925</v>
      </c>
      <c r="E617" s="244">
        <v>30208802</v>
      </c>
      <c r="F617" s="245" t="s">
        <v>926</v>
      </c>
      <c r="G617" s="1728" t="s">
        <v>927</v>
      </c>
      <c r="H617" s="246"/>
      <c r="I617" s="247"/>
      <c r="J617" s="248"/>
      <c r="K617" s="246"/>
      <c r="L617" s="249"/>
      <c r="M617" s="1728" t="s">
        <v>927</v>
      </c>
      <c r="N617" s="1700">
        <v>20250103904</v>
      </c>
    </row>
    <row r="618" spans="1:14" ht="18" customHeight="1">
      <c r="A618" s="127"/>
      <c r="B618" s="1731"/>
      <c r="C618" s="1703"/>
      <c r="D618" s="1716"/>
      <c r="E618" s="118">
        <v>30208856</v>
      </c>
      <c r="F618" s="241" t="s">
        <v>928</v>
      </c>
      <c r="G618" s="1728"/>
      <c r="H618" s="238">
        <v>30215014</v>
      </c>
      <c r="I618" s="236">
        <v>14900</v>
      </c>
      <c r="J618" s="237">
        <v>0.12</v>
      </c>
      <c r="K618" s="238">
        <v>10</v>
      </c>
      <c r="L618" s="239">
        <v>149000</v>
      </c>
      <c r="M618" s="1728"/>
      <c r="N618" s="1710"/>
    </row>
    <row r="619" spans="1:14" ht="18" customHeight="1">
      <c r="A619" s="127"/>
      <c r="B619" s="1731"/>
      <c r="C619" s="1703"/>
      <c r="D619" s="1716"/>
      <c r="E619" s="118">
        <v>30208857</v>
      </c>
      <c r="F619" s="241" t="s">
        <v>929</v>
      </c>
      <c r="G619" s="1728"/>
      <c r="H619" s="238">
        <v>30215016</v>
      </c>
      <c r="I619" s="236">
        <v>19900</v>
      </c>
      <c r="J619" s="237">
        <v>0.12</v>
      </c>
      <c r="K619" s="238">
        <v>5</v>
      </c>
      <c r="L619" s="239">
        <v>99500</v>
      </c>
      <c r="M619" s="1728"/>
      <c r="N619" s="1701"/>
    </row>
    <row r="620" spans="1:14" ht="18" customHeight="1">
      <c r="A620" s="127"/>
      <c r="B620" s="1731"/>
      <c r="C620" s="1702">
        <v>5</v>
      </c>
      <c r="D620" s="1727" t="s">
        <v>930</v>
      </c>
      <c r="E620" s="118">
        <v>30183942</v>
      </c>
      <c r="F620" s="241" t="s">
        <v>931</v>
      </c>
      <c r="G620" s="1514" t="s">
        <v>932</v>
      </c>
      <c r="H620" s="240">
        <v>30215018</v>
      </c>
      <c r="I620" s="236">
        <v>29200</v>
      </c>
      <c r="J620" s="1714">
        <v>0.1</v>
      </c>
      <c r="K620" s="1715">
        <v>5</v>
      </c>
      <c r="L620" s="239">
        <v>146000</v>
      </c>
      <c r="M620" s="1454" t="s">
        <v>933</v>
      </c>
      <c r="N620" s="1700">
        <v>20250103905</v>
      </c>
    </row>
    <row r="621" spans="1:14" ht="18" customHeight="1">
      <c r="A621" s="127"/>
      <c r="B621" s="1731"/>
      <c r="C621" s="1704"/>
      <c r="D621" s="1717"/>
      <c r="E621" s="118">
        <v>30183862</v>
      </c>
      <c r="F621" s="241" t="s">
        <v>934</v>
      </c>
      <c r="G621" s="1513"/>
      <c r="H621" s="240">
        <v>30215025</v>
      </c>
      <c r="I621" s="236">
        <v>21700</v>
      </c>
      <c r="J621" s="1715"/>
      <c r="K621" s="1715"/>
      <c r="L621" s="239">
        <v>108500</v>
      </c>
      <c r="M621" s="1454"/>
      <c r="N621" s="1701"/>
    </row>
    <row r="622" spans="1:14" ht="18" customHeight="1">
      <c r="A622" s="127"/>
      <c r="B622" s="1731"/>
      <c r="C622" s="1703">
        <v>6</v>
      </c>
      <c r="D622" s="1716" t="s">
        <v>935</v>
      </c>
      <c r="E622" s="118">
        <v>30208816</v>
      </c>
      <c r="F622" s="241" t="s">
        <v>936</v>
      </c>
      <c r="G622" s="1512" t="s">
        <v>937</v>
      </c>
      <c r="H622" s="240">
        <v>30208816</v>
      </c>
      <c r="I622" s="236">
        <v>13900</v>
      </c>
      <c r="J622" s="1714">
        <v>0.12</v>
      </c>
      <c r="K622" s="238">
        <v>5</v>
      </c>
      <c r="L622" s="239">
        <v>69500</v>
      </c>
      <c r="M622" s="1454" t="s">
        <v>937</v>
      </c>
      <c r="N622" s="1700">
        <v>20250103906</v>
      </c>
    </row>
    <row r="623" spans="1:14" ht="18" customHeight="1">
      <c r="A623" s="127"/>
      <c r="B623" s="1731"/>
      <c r="C623" s="1703"/>
      <c r="D623" s="1716"/>
      <c r="E623" s="118">
        <v>30208819</v>
      </c>
      <c r="F623" s="241" t="s">
        <v>938</v>
      </c>
      <c r="G623" s="1514"/>
      <c r="H623" s="240">
        <v>30208819</v>
      </c>
      <c r="I623" s="236">
        <v>19900</v>
      </c>
      <c r="J623" s="1715"/>
      <c r="K623" s="238">
        <v>5</v>
      </c>
      <c r="L623" s="239">
        <v>99500</v>
      </c>
      <c r="M623" s="1454"/>
      <c r="N623" s="1710"/>
    </row>
    <row r="624" spans="1:14" ht="18" customHeight="1">
      <c r="A624" s="127"/>
      <c r="B624" s="1731"/>
      <c r="C624" s="1703"/>
      <c r="D624" s="1716"/>
      <c r="E624" s="118">
        <v>30208814</v>
      </c>
      <c r="F624" s="241" t="s">
        <v>939</v>
      </c>
      <c r="G624" s="1514"/>
      <c r="H624" s="240">
        <v>30208814</v>
      </c>
      <c r="I624" s="236">
        <v>19900</v>
      </c>
      <c r="J624" s="1715"/>
      <c r="K624" s="238">
        <v>5</v>
      </c>
      <c r="L624" s="239">
        <v>99500</v>
      </c>
      <c r="M624" s="1454"/>
      <c r="N624" s="1710"/>
    </row>
    <row r="625" spans="1:14" ht="18" customHeight="1">
      <c r="A625" s="127"/>
      <c r="B625" s="1731"/>
      <c r="C625" s="1703"/>
      <c r="D625" s="1716"/>
      <c r="E625" s="118">
        <v>30152273</v>
      </c>
      <c r="F625" s="241" t="s">
        <v>940</v>
      </c>
      <c r="G625" s="1514"/>
      <c r="H625" s="240">
        <v>30152273</v>
      </c>
      <c r="I625" s="236">
        <v>7500</v>
      </c>
      <c r="J625" s="1715"/>
      <c r="K625" s="238">
        <v>10</v>
      </c>
      <c r="L625" s="239">
        <v>75000</v>
      </c>
      <c r="M625" s="1454"/>
      <c r="N625" s="1710"/>
    </row>
    <row r="626" spans="1:14" ht="18" customHeight="1">
      <c r="A626" s="127"/>
      <c r="B626" s="1731"/>
      <c r="C626" s="1704"/>
      <c r="D626" s="1717"/>
      <c r="E626" s="118">
        <v>30152275</v>
      </c>
      <c r="F626" s="241" t="s">
        <v>941</v>
      </c>
      <c r="G626" s="1513"/>
      <c r="H626" s="240">
        <v>30152275</v>
      </c>
      <c r="I626" s="236">
        <v>11900</v>
      </c>
      <c r="J626" s="1715"/>
      <c r="K626" s="238">
        <v>10</v>
      </c>
      <c r="L626" s="239">
        <v>119000</v>
      </c>
      <c r="M626" s="1454"/>
      <c r="N626" s="1701"/>
    </row>
    <row r="627" spans="1:14" ht="18" customHeight="1">
      <c r="A627" s="127"/>
      <c r="B627" s="1721" t="s">
        <v>942</v>
      </c>
      <c r="C627" s="1703">
        <v>1</v>
      </c>
      <c r="D627" s="1716" t="s">
        <v>404</v>
      </c>
      <c r="E627" s="118">
        <v>71318988</v>
      </c>
      <c r="F627" s="241" t="s">
        <v>943</v>
      </c>
      <c r="G627" s="1722" t="s">
        <v>944</v>
      </c>
      <c r="H627" s="251">
        <v>30215075</v>
      </c>
      <c r="I627" s="236">
        <v>7900</v>
      </c>
      <c r="J627" s="237">
        <v>0.1</v>
      </c>
      <c r="K627" s="238">
        <v>10</v>
      </c>
      <c r="L627" s="239">
        <v>79000</v>
      </c>
      <c r="M627" s="1454" t="s">
        <v>944</v>
      </c>
      <c r="N627" s="1700">
        <v>20250103907</v>
      </c>
    </row>
    <row r="628" spans="1:14" ht="18" customHeight="1">
      <c r="A628" s="127"/>
      <c r="B628" s="1721"/>
      <c r="C628" s="1703"/>
      <c r="D628" s="1716"/>
      <c r="E628" s="118">
        <v>71318987</v>
      </c>
      <c r="F628" s="241" t="s">
        <v>945</v>
      </c>
      <c r="G628" s="1723"/>
      <c r="H628" s="252">
        <v>30215076</v>
      </c>
      <c r="I628" s="236">
        <v>11900</v>
      </c>
      <c r="J628" s="237">
        <v>0.1</v>
      </c>
      <c r="K628" s="238">
        <v>10</v>
      </c>
      <c r="L628" s="239">
        <v>119000</v>
      </c>
      <c r="M628" s="1454"/>
      <c r="N628" s="1710"/>
    </row>
    <row r="629" spans="1:14" ht="18" customHeight="1">
      <c r="A629" s="127"/>
      <c r="B629" s="1721"/>
      <c r="C629" s="1704"/>
      <c r="D629" s="1717"/>
      <c r="E629" s="118">
        <v>71318986</v>
      </c>
      <c r="F629" s="241" t="s">
        <v>946</v>
      </c>
      <c r="G629" s="1724"/>
      <c r="H629" s="119">
        <v>30215077</v>
      </c>
      <c r="I629" s="236">
        <v>19800</v>
      </c>
      <c r="J629" s="237">
        <v>0.1</v>
      </c>
      <c r="K629" s="238">
        <v>5</v>
      </c>
      <c r="L629" s="239">
        <v>99000</v>
      </c>
      <c r="M629" s="1454"/>
      <c r="N629" s="1701"/>
    </row>
    <row r="630" spans="1:14" ht="18" customHeight="1">
      <c r="A630" s="127"/>
      <c r="B630" s="1721"/>
      <c r="C630" s="1703">
        <v>2</v>
      </c>
      <c r="D630" s="1716" t="s">
        <v>947</v>
      </c>
      <c r="E630" s="118">
        <v>30139095</v>
      </c>
      <c r="F630" s="241" t="s">
        <v>948</v>
      </c>
      <c r="G630" s="1512" t="s">
        <v>949</v>
      </c>
      <c r="H630" s="118">
        <v>30215039</v>
      </c>
      <c r="I630" s="236">
        <v>14900</v>
      </c>
      <c r="J630" s="237">
        <v>0.1</v>
      </c>
      <c r="K630" s="238">
        <v>10</v>
      </c>
      <c r="L630" s="239">
        <v>149000</v>
      </c>
      <c r="M630" s="1726" t="s">
        <v>949</v>
      </c>
      <c r="N630" s="1700">
        <v>20250103908</v>
      </c>
    </row>
    <row r="631" spans="1:14" ht="18" customHeight="1">
      <c r="A631" s="127"/>
      <c r="B631" s="1721"/>
      <c r="C631" s="1725"/>
      <c r="D631" s="1717"/>
      <c r="E631" s="118">
        <v>30206414</v>
      </c>
      <c r="F631" s="241" t="s">
        <v>950</v>
      </c>
      <c r="G631" s="1513"/>
      <c r="H631" s="118">
        <v>30215041</v>
      </c>
      <c r="I631" s="236">
        <v>12900</v>
      </c>
      <c r="J631" s="237">
        <v>0.1</v>
      </c>
      <c r="K631" s="238">
        <v>10</v>
      </c>
      <c r="L631" s="239">
        <v>129000</v>
      </c>
      <c r="M631" s="1726"/>
      <c r="N631" s="1701"/>
    </row>
    <row r="632" spans="1:14" ht="18" customHeight="1">
      <c r="A632" s="127"/>
      <c r="B632" s="224" t="s">
        <v>252</v>
      </c>
      <c r="C632" s="1703">
        <v>3</v>
      </c>
      <c r="D632" s="1716" t="s">
        <v>951</v>
      </c>
      <c r="E632" s="118">
        <v>30207171</v>
      </c>
      <c r="F632" s="241" t="s">
        <v>952</v>
      </c>
      <c r="G632" s="1512" t="s">
        <v>953</v>
      </c>
      <c r="H632" s="118">
        <v>30215042</v>
      </c>
      <c r="I632" s="1718">
        <v>12900</v>
      </c>
      <c r="J632" s="1714">
        <v>0.1</v>
      </c>
      <c r="K632" s="1715">
        <v>10</v>
      </c>
      <c r="L632" s="239">
        <v>129000</v>
      </c>
      <c r="M632" s="1454" t="s">
        <v>953</v>
      </c>
      <c r="N632" s="1700">
        <v>20250103909</v>
      </c>
    </row>
    <row r="633" spans="1:14" ht="18" customHeight="1">
      <c r="A633" s="127"/>
      <c r="B633" s="224" t="s">
        <v>252</v>
      </c>
      <c r="C633" s="1703"/>
      <c r="D633" s="1716"/>
      <c r="E633" s="118">
        <v>30207173</v>
      </c>
      <c r="F633" s="241" t="s">
        <v>954</v>
      </c>
      <c r="G633" s="1514"/>
      <c r="H633" s="118">
        <v>30215044</v>
      </c>
      <c r="I633" s="1719"/>
      <c r="J633" s="1715"/>
      <c r="K633" s="1715"/>
      <c r="L633" s="239">
        <v>129000</v>
      </c>
      <c r="M633" s="1454"/>
      <c r="N633" s="1710"/>
    </row>
    <row r="634" spans="1:14" ht="18" customHeight="1">
      <c r="A634" s="127"/>
      <c r="B634" s="224" t="s">
        <v>252</v>
      </c>
      <c r="C634" s="1704"/>
      <c r="D634" s="1717"/>
      <c r="E634" s="118">
        <v>30207174</v>
      </c>
      <c r="F634" s="241" t="s">
        <v>955</v>
      </c>
      <c r="G634" s="1513"/>
      <c r="H634" s="118">
        <v>30215045</v>
      </c>
      <c r="I634" s="1720"/>
      <c r="J634" s="1715"/>
      <c r="K634" s="1715"/>
      <c r="L634" s="239">
        <v>129000</v>
      </c>
      <c r="M634" s="1454"/>
      <c r="N634" s="1701"/>
    </row>
    <row r="635" spans="1:14" ht="18" customHeight="1">
      <c r="A635" s="127"/>
      <c r="B635" s="1711" t="s">
        <v>221</v>
      </c>
      <c r="C635" s="1703">
        <v>1</v>
      </c>
      <c r="D635" s="1706" t="s">
        <v>956</v>
      </c>
      <c r="E635" s="118">
        <v>73985902</v>
      </c>
      <c r="F635" s="241" t="s">
        <v>957</v>
      </c>
      <c r="G635" s="1512" t="s">
        <v>958</v>
      </c>
      <c r="H635" s="118">
        <v>30215069</v>
      </c>
      <c r="I635" s="236">
        <v>13900</v>
      </c>
      <c r="J635" s="1714">
        <v>0.1</v>
      </c>
      <c r="K635" s="238">
        <v>10</v>
      </c>
      <c r="L635" s="239">
        <v>139000</v>
      </c>
      <c r="M635" s="1709" t="s">
        <v>959</v>
      </c>
      <c r="N635" s="1700">
        <v>20250103910</v>
      </c>
    </row>
    <row r="636" spans="1:14" ht="18" customHeight="1">
      <c r="A636" s="127"/>
      <c r="B636" s="1712"/>
      <c r="C636" s="1703"/>
      <c r="D636" s="1706"/>
      <c r="E636" s="118">
        <v>47445696</v>
      </c>
      <c r="F636" s="241" t="s">
        <v>960</v>
      </c>
      <c r="G636" s="1513"/>
      <c r="H636" s="118">
        <v>30215048</v>
      </c>
      <c r="I636" s="236">
        <v>19800</v>
      </c>
      <c r="J636" s="1715"/>
      <c r="K636" s="238">
        <v>5</v>
      </c>
      <c r="L636" s="239">
        <v>99000</v>
      </c>
      <c r="M636" s="1709"/>
      <c r="N636" s="1701"/>
    </row>
    <row r="637" spans="1:14" ht="18" customHeight="1">
      <c r="A637" s="127"/>
      <c r="B637" s="1712"/>
      <c r="C637" s="1702">
        <v>2</v>
      </c>
      <c r="D637" s="1705" t="s">
        <v>411</v>
      </c>
      <c r="E637" s="244">
        <v>30211500</v>
      </c>
      <c r="F637" s="245" t="s">
        <v>961</v>
      </c>
      <c r="G637" s="1512" t="s">
        <v>962</v>
      </c>
      <c r="H637" s="244"/>
      <c r="I637" s="247">
        <v>32900</v>
      </c>
      <c r="J637" s="248">
        <v>0.1</v>
      </c>
      <c r="K637" s="246">
        <v>5</v>
      </c>
      <c r="L637" s="249">
        <v>164500</v>
      </c>
      <c r="M637" s="1708" t="s">
        <v>963</v>
      </c>
      <c r="N637" s="1700">
        <v>20250103911</v>
      </c>
    </row>
    <row r="638" spans="1:14" ht="18" customHeight="1">
      <c r="A638" s="127"/>
      <c r="B638" s="1712"/>
      <c r="C638" s="1703"/>
      <c r="D638" s="1706"/>
      <c r="E638" s="118">
        <v>30211511</v>
      </c>
      <c r="F638" s="241" t="s">
        <v>964</v>
      </c>
      <c r="G638" s="1514"/>
      <c r="H638" s="118">
        <v>30215070</v>
      </c>
      <c r="I638" s="236">
        <v>9900</v>
      </c>
      <c r="J638" s="237">
        <v>0.1</v>
      </c>
      <c r="K638" s="238">
        <v>10</v>
      </c>
      <c r="L638" s="239">
        <v>99000</v>
      </c>
      <c r="M638" s="1709"/>
      <c r="N638" s="1710"/>
    </row>
    <row r="639" spans="1:14" ht="18" customHeight="1">
      <c r="A639" s="127"/>
      <c r="B639" s="1712"/>
      <c r="C639" s="1703"/>
      <c r="D639" s="1706"/>
      <c r="E639" s="118">
        <v>30211525</v>
      </c>
      <c r="F639" s="241" t="s">
        <v>965</v>
      </c>
      <c r="G639" s="1514"/>
      <c r="H639" s="118">
        <v>30215072</v>
      </c>
      <c r="I639" s="236">
        <v>7900</v>
      </c>
      <c r="J639" s="237">
        <v>0.1</v>
      </c>
      <c r="K639" s="238">
        <v>10</v>
      </c>
      <c r="L639" s="239">
        <v>79000</v>
      </c>
      <c r="M639" s="1709"/>
      <c r="N639" s="1710"/>
    </row>
    <row r="640" spans="1:14" ht="18" customHeight="1">
      <c r="A640" s="127"/>
      <c r="B640" s="1713"/>
      <c r="C640" s="1704"/>
      <c r="D640" s="1707"/>
      <c r="E640" s="118">
        <v>30211528</v>
      </c>
      <c r="F640" s="241" t="s">
        <v>966</v>
      </c>
      <c r="G640" s="1513"/>
      <c r="H640" s="118">
        <v>30215073</v>
      </c>
      <c r="I640" s="236">
        <v>7900</v>
      </c>
      <c r="J640" s="237">
        <v>0.1</v>
      </c>
      <c r="K640" s="238">
        <v>10</v>
      </c>
      <c r="L640" s="239">
        <v>79000</v>
      </c>
      <c r="M640" s="1709"/>
      <c r="N640" s="1701"/>
    </row>
    <row r="641" spans="1:14">
      <c r="A641" s="127"/>
      <c r="B641" s="253"/>
      <c r="C641" s="253"/>
      <c r="D641" s="127"/>
      <c r="E641" s="127"/>
      <c r="F641" s="128"/>
      <c r="G641" s="254"/>
      <c r="H641" s="127"/>
      <c r="I641" s="127"/>
      <c r="J641" s="255"/>
      <c r="K641" s="127"/>
      <c r="L641" s="256"/>
      <c r="M641" s="254"/>
      <c r="N641" s="127"/>
    </row>
    <row r="642" spans="1:14" ht="31.5">
      <c r="B642" s="1442" t="s">
        <v>967</v>
      </c>
      <c r="C642" s="1442"/>
      <c r="D642" s="1442"/>
      <c r="E642" s="1442"/>
      <c r="F642" s="1442"/>
      <c r="G642" s="1442"/>
      <c r="H642" s="1442"/>
      <c r="I642" s="1442"/>
      <c r="J642" s="1442"/>
      <c r="K642" s="1442"/>
      <c r="L642" s="1442"/>
      <c r="M642" s="1442"/>
      <c r="N642" s="1442"/>
    </row>
    <row r="643" spans="1:14" ht="31.5">
      <c r="B643" s="15" t="s">
        <v>968</v>
      </c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</row>
    <row r="644" spans="1:14" ht="20.25">
      <c r="B644" s="16" t="s">
        <v>22</v>
      </c>
      <c r="C644" s="16"/>
      <c r="D644" s="16"/>
      <c r="E644" s="17"/>
      <c r="F644" s="17"/>
      <c r="G644" s="17"/>
      <c r="H644" s="18"/>
      <c r="I644" s="19"/>
      <c r="J644" s="20"/>
      <c r="K644" s="1695" t="s">
        <v>3</v>
      </c>
      <c r="L644" s="1696"/>
      <c r="M644" s="21" t="s">
        <v>23</v>
      </c>
      <c r="N644" s="19"/>
    </row>
    <row r="645" spans="1:14" ht="17.25">
      <c r="B645" s="22" t="s">
        <v>24</v>
      </c>
      <c r="C645" s="257" t="s">
        <v>25</v>
      </c>
      <c r="D645" s="257" t="s">
        <v>26</v>
      </c>
      <c r="E645" s="258" t="s">
        <v>9</v>
      </c>
      <c r="F645" s="22" t="s">
        <v>10</v>
      </c>
      <c r="G645" s="257" t="s">
        <v>27</v>
      </c>
      <c r="H645" s="259" t="s">
        <v>28</v>
      </c>
      <c r="I645" s="260" t="s">
        <v>13</v>
      </c>
      <c r="J645" s="261" t="s">
        <v>29</v>
      </c>
      <c r="K645" s="260" t="s">
        <v>30</v>
      </c>
      <c r="L645" s="260" t="s">
        <v>16</v>
      </c>
      <c r="M645" s="262" t="s">
        <v>31</v>
      </c>
      <c r="N645" s="263" t="s">
        <v>18</v>
      </c>
    </row>
    <row r="646" spans="1:14" ht="33">
      <c r="B646" s="1697" t="s">
        <v>910</v>
      </c>
      <c r="C646" s="45">
        <v>1</v>
      </c>
      <c r="D646" s="45" t="s">
        <v>969</v>
      </c>
      <c r="E646" s="264">
        <v>30158391</v>
      </c>
      <c r="F646" s="265" t="s">
        <v>970</v>
      </c>
      <c r="G646" s="266" t="s">
        <v>971</v>
      </c>
      <c r="H646" s="267">
        <v>30215927</v>
      </c>
      <c r="I646" s="268">
        <v>19900</v>
      </c>
      <c r="J646" s="269">
        <v>0.15</v>
      </c>
      <c r="K646" s="268">
        <v>5</v>
      </c>
      <c r="L646" s="268">
        <v>99500</v>
      </c>
      <c r="M646" s="266" t="s">
        <v>972</v>
      </c>
      <c r="N646" s="34">
        <v>20250108934</v>
      </c>
    </row>
    <row r="647" spans="1:14">
      <c r="B647" s="1677"/>
      <c r="C647" s="1610">
        <v>2</v>
      </c>
      <c r="D647" s="1610" t="s">
        <v>915</v>
      </c>
      <c r="E647" s="214">
        <v>10044995</v>
      </c>
      <c r="F647" s="213" t="s">
        <v>973</v>
      </c>
      <c r="G647" s="1454" t="s">
        <v>974</v>
      </c>
      <c r="H647" s="30">
        <v>30206817</v>
      </c>
      <c r="I647" s="35">
        <v>9900</v>
      </c>
      <c r="J647" s="1699">
        <v>0.1</v>
      </c>
      <c r="K647" s="30">
        <v>10</v>
      </c>
      <c r="L647" s="35">
        <v>99000</v>
      </c>
      <c r="M647" s="1454" t="s">
        <v>975</v>
      </c>
      <c r="N647" s="1445">
        <v>20250108935</v>
      </c>
    </row>
    <row r="648" spans="1:14">
      <c r="B648" s="1677"/>
      <c r="C648" s="1609"/>
      <c r="D648" s="1609"/>
      <c r="E648" s="129">
        <v>10050749</v>
      </c>
      <c r="F648" s="213" t="s">
        <v>976</v>
      </c>
      <c r="G648" s="1448"/>
      <c r="H648" s="30">
        <v>30160461</v>
      </c>
      <c r="I648" s="35">
        <v>9900</v>
      </c>
      <c r="J648" s="1699"/>
      <c r="K648" s="30">
        <v>10</v>
      </c>
      <c r="L648" s="35">
        <v>99000</v>
      </c>
      <c r="M648" s="1448"/>
      <c r="N648" s="1447"/>
    </row>
    <row r="649" spans="1:14">
      <c r="B649" s="1677"/>
      <c r="C649" s="1608">
        <v>3</v>
      </c>
      <c r="D649" s="1608" t="s">
        <v>935</v>
      </c>
      <c r="E649" s="129">
        <v>30207161</v>
      </c>
      <c r="F649" s="213" t="s">
        <v>977</v>
      </c>
      <c r="G649" s="1454" t="s">
        <v>978</v>
      </c>
      <c r="H649" s="30">
        <v>30207161</v>
      </c>
      <c r="I649" s="35">
        <v>56500</v>
      </c>
      <c r="J649" s="64">
        <v>0.12</v>
      </c>
      <c r="K649" s="30">
        <v>5</v>
      </c>
      <c r="L649" s="35">
        <v>282500</v>
      </c>
      <c r="M649" s="1454" t="s">
        <v>979</v>
      </c>
      <c r="N649" s="1461">
        <v>20250108936</v>
      </c>
    </row>
    <row r="650" spans="1:14">
      <c r="B650" s="1677"/>
      <c r="C650" s="1610"/>
      <c r="D650" s="1610"/>
      <c r="E650" s="129">
        <v>30207163</v>
      </c>
      <c r="F650" s="213" t="s">
        <v>980</v>
      </c>
      <c r="G650" s="1448"/>
      <c r="H650" s="30">
        <v>30207163</v>
      </c>
      <c r="I650" s="35">
        <v>69900</v>
      </c>
      <c r="J650" s="64">
        <v>0.12</v>
      </c>
      <c r="K650" s="30">
        <v>5</v>
      </c>
      <c r="L650" s="35">
        <v>349500</v>
      </c>
      <c r="M650" s="1454"/>
      <c r="N650" s="1461"/>
    </row>
    <row r="651" spans="1:14">
      <c r="B651" s="1677"/>
      <c r="C651" s="1610"/>
      <c r="D651" s="1610"/>
      <c r="E651" s="129">
        <v>30152278</v>
      </c>
      <c r="F651" s="213" t="s">
        <v>981</v>
      </c>
      <c r="G651" s="1448"/>
      <c r="H651" s="30">
        <v>30152278</v>
      </c>
      <c r="I651" s="35">
        <v>39900</v>
      </c>
      <c r="J651" s="64">
        <v>0.12</v>
      </c>
      <c r="K651" s="30">
        <v>5</v>
      </c>
      <c r="L651" s="35">
        <v>199500</v>
      </c>
      <c r="M651" s="1454"/>
      <c r="N651" s="1461"/>
    </row>
    <row r="652" spans="1:14">
      <c r="B652" s="1698"/>
      <c r="C652" s="1609"/>
      <c r="D652" s="1609"/>
      <c r="E652" s="129">
        <v>30158742</v>
      </c>
      <c r="F652" s="213" t="s">
        <v>982</v>
      </c>
      <c r="G652" s="1448"/>
      <c r="H652" s="30">
        <v>30158742</v>
      </c>
      <c r="I652" s="35">
        <v>50900</v>
      </c>
      <c r="J652" s="64">
        <v>0.12</v>
      </c>
      <c r="K652" s="30">
        <v>5</v>
      </c>
      <c r="L652" s="35">
        <v>254500</v>
      </c>
      <c r="M652" s="1454"/>
      <c r="N652" s="1461"/>
    </row>
    <row r="653" spans="1:14">
      <c r="B653" s="1608" t="s">
        <v>942</v>
      </c>
      <c r="C653" s="1608">
        <v>1</v>
      </c>
      <c r="D653" s="1608" t="s">
        <v>404</v>
      </c>
      <c r="E653" s="129">
        <v>72088932</v>
      </c>
      <c r="F653" s="213" t="s">
        <v>983</v>
      </c>
      <c r="G653" s="1454" t="s">
        <v>984</v>
      </c>
      <c r="H653" s="30">
        <v>30215343</v>
      </c>
      <c r="I653" s="35">
        <v>12900</v>
      </c>
      <c r="J653" s="64">
        <v>0.1</v>
      </c>
      <c r="K653" s="30">
        <v>10</v>
      </c>
      <c r="L653" s="35">
        <v>129000</v>
      </c>
      <c r="M653" s="1454" t="s">
        <v>985</v>
      </c>
      <c r="N653" s="1461">
        <v>20250108937</v>
      </c>
    </row>
    <row r="654" spans="1:14">
      <c r="B654" s="1610"/>
      <c r="C654" s="1610"/>
      <c r="D654" s="1610"/>
      <c r="E654" s="129">
        <v>72088931</v>
      </c>
      <c r="F654" s="213" t="s">
        <v>986</v>
      </c>
      <c r="G654" s="1448"/>
      <c r="H654" s="30">
        <v>30215344</v>
      </c>
      <c r="I654" s="35">
        <v>11900</v>
      </c>
      <c r="J654" s="64">
        <v>0.1</v>
      </c>
      <c r="K654" s="30">
        <v>10</v>
      </c>
      <c r="L654" s="35">
        <v>119000</v>
      </c>
      <c r="M654" s="1448"/>
      <c r="N654" s="1461"/>
    </row>
    <row r="655" spans="1:14">
      <c r="B655" s="1610"/>
      <c r="C655" s="1610"/>
      <c r="D655" s="1610"/>
      <c r="E655" s="129">
        <v>72088930</v>
      </c>
      <c r="F655" s="213" t="s">
        <v>987</v>
      </c>
      <c r="G655" s="1448"/>
      <c r="H655" s="30">
        <v>30215345</v>
      </c>
      <c r="I655" s="35">
        <v>11900</v>
      </c>
      <c r="J655" s="64">
        <v>0.1</v>
      </c>
      <c r="K655" s="30">
        <v>10</v>
      </c>
      <c r="L655" s="35">
        <v>119000</v>
      </c>
      <c r="M655" s="1448"/>
      <c r="N655" s="1461"/>
    </row>
    <row r="656" spans="1:14">
      <c r="B656" s="1610"/>
      <c r="C656" s="1609"/>
      <c r="D656" s="1609"/>
      <c r="E656" s="129">
        <v>72088929</v>
      </c>
      <c r="F656" s="213" t="s">
        <v>988</v>
      </c>
      <c r="G656" s="1448"/>
      <c r="H656" s="30">
        <v>30215347</v>
      </c>
      <c r="I656" s="35">
        <v>12900</v>
      </c>
      <c r="J656" s="64">
        <v>0.1</v>
      </c>
      <c r="K656" s="30">
        <v>10</v>
      </c>
      <c r="L656" s="35">
        <v>129000</v>
      </c>
      <c r="M656" s="1448"/>
      <c r="N656" s="1461"/>
    </row>
    <row r="657" spans="2:15">
      <c r="B657" s="1610"/>
      <c r="C657" s="1608">
        <v>2</v>
      </c>
      <c r="D657" s="1608" t="s">
        <v>951</v>
      </c>
      <c r="E657" s="129">
        <v>30113176</v>
      </c>
      <c r="F657" s="213" t="s">
        <v>989</v>
      </c>
      <c r="G657" s="1454" t="s">
        <v>990</v>
      </c>
      <c r="H657" s="30">
        <v>30215346</v>
      </c>
      <c r="I657" s="35">
        <v>15900</v>
      </c>
      <c r="J657" s="64">
        <v>0.1</v>
      </c>
      <c r="K657" s="30">
        <v>5</v>
      </c>
      <c r="L657" s="35">
        <v>79500</v>
      </c>
      <c r="M657" s="1454" t="s">
        <v>991</v>
      </c>
      <c r="N657" s="1461">
        <v>20250108938</v>
      </c>
    </row>
    <row r="658" spans="2:15">
      <c r="B658" s="1610"/>
      <c r="C658" s="1610"/>
      <c r="D658" s="1610"/>
      <c r="E658" s="129">
        <v>30208831</v>
      </c>
      <c r="F658" s="213" t="s">
        <v>992</v>
      </c>
      <c r="G658" s="1448"/>
      <c r="H658" s="30">
        <v>30215348</v>
      </c>
      <c r="I658" s="35">
        <v>16500</v>
      </c>
      <c r="J658" s="64">
        <v>0.1</v>
      </c>
      <c r="K658" s="30">
        <v>5</v>
      </c>
      <c r="L658" s="35">
        <v>82500</v>
      </c>
      <c r="M658" s="1454"/>
      <c r="N658" s="1461"/>
    </row>
    <row r="659" spans="2:15">
      <c r="B659" s="1609"/>
      <c r="C659" s="1609"/>
      <c r="D659" s="1609"/>
      <c r="E659" s="129">
        <v>30196870</v>
      </c>
      <c r="F659" s="213" t="s">
        <v>993</v>
      </c>
      <c r="G659" s="1448"/>
      <c r="H659" s="30">
        <v>30201316</v>
      </c>
      <c r="I659" s="35">
        <v>14900</v>
      </c>
      <c r="J659" s="64">
        <v>0.1</v>
      </c>
      <c r="K659" s="30">
        <v>5</v>
      </c>
      <c r="L659" s="35">
        <v>74500</v>
      </c>
      <c r="M659" s="1454"/>
      <c r="N659" s="1461"/>
    </row>
    <row r="660" spans="2:15" ht="33">
      <c r="B660" s="1692" t="s">
        <v>221</v>
      </c>
      <c r="C660" s="129">
        <v>1</v>
      </c>
      <c r="D660" s="129" t="s">
        <v>956</v>
      </c>
      <c r="E660" s="129">
        <v>48873155</v>
      </c>
      <c r="F660" s="213" t="s">
        <v>994</v>
      </c>
      <c r="G660" s="31" t="s">
        <v>995</v>
      </c>
      <c r="H660" s="30">
        <v>30144349</v>
      </c>
      <c r="I660" s="35">
        <v>13300</v>
      </c>
      <c r="J660" s="64">
        <v>0.1</v>
      </c>
      <c r="K660" s="30">
        <v>10</v>
      </c>
      <c r="L660" s="35">
        <v>133000</v>
      </c>
      <c r="M660" s="31" t="s">
        <v>995</v>
      </c>
      <c r="N660" s="69">
        <v>20250108939</v>
      </c>
    </row>
    <row r="661" spans="2:15">
      <c r="B661" s="1693"/>
      <c r="C661" s="1608">
        <v>2</v>
      </c>
      <c r="D661" s="1608" t="s">
        <v>411</v>
      </c>
      <c r="E661" s="129">
        <v>30211468</v>
      </c>
      <c r="F661" s="213" t="s">
        <v>996</v>
      </c>
      <c r="G661" s="1454" t="s">
        <v>997</v>
      </c>
      <c r="H661" s="30">
        <v>30215349</v>
      </c>
      <c r="I661" s="35">
        <v>28900</v>
      </c>
      <c r="J661" s="64">
        <v>0.1</v>
      </c>
      <c r="K661" s="30">
        <v>5</v>
      </c>
      <c r="L661" s="35">
        <v>144500</v>
      </c>
      <c r="M661" s="1454" t="s">
        <v>998</v>
      </c>
      <c r="N661" s="1461">
        <v>20250108940</v>
      </c>
    </row>
    <row r="662" spans="2:15">
      <c r="B662" s="1693"/>
      <c r="C662" s="1610"/>
      <c r="D662" s="1610"/>
      <c r="E662" s="270">
        <v>30211471</v>
      </c>
      <c r="F662" s="271" t="s">
        <v>999</v>
      </c>
      <c r="G662" s="1454"/>
      <c r="H662" s="272">
        <v>30215350</v>
      </c>
      <c r="I662" s="273">
        <v>28900</v>
      </c>
      <c r="J662" s="274">
        <v>0.1</v>
      </c>
      <c r="K662" s="272">
        <v>5</v>
      </c>
      <c r="L662" s="273">
        <v>144500</v>
      </c>
      <c r="M662" s="1454"/>
      <c r="N662" s="1461"/>
    </row>
    <row r="663" spans="2:15">
      <c r="B663" s="1693"/>
      <c r="C663" s="1610"/>
      <c r="D663" s="1610"/>
      <c r="E663" s="270">
        <v>30211475</v>
      </c>
      <c r="F663" s="271" t="s">
        <v>1000</v>
      </c>
      <c r="G663" s="1454"/>
      <c r="H663" s="272">
        <v>30215351</v>
      </c>
      <c r="I663" s="273">
        <v>21900</v>
      </c>
      <c r="J663" s="274">
        <v>0.1</v>
      </c>
      <c r="K663" s="272">
        <v>5</v>
      </c>
      <c r="L663" s="273">
        <v>109500</v>
      </c>
      <c r="M663" s="1454"/>
      <c r="N663" s="1461"/>
    </row>
    <row r="664" spans="2:15">
      <c r="B664" s="1693"/>
      <c r="C664" s="1611"/>
      <c r="D664" s="1611"/>
      <c r="E664" s="275">
        <v>30211477</v>
      </c>
      <c r="F664" s="276" t="s">
        <v>1001</v>
      </c>
      <c r="G664" s="1454"/>
      <c r="H664" s="272">
        <v>30215353</v>
      </c>
      <c r="I664" s="273">
        <v>32900</v>
      </c>
      <c r="J664" s="274">
        <v>0.1</v>
      </c>
      <c r="K664" s="272">
        <v>5</v>
      </c>
      <c r="L664" s="273">
        <v>164500</v>
      </c>
      <c r="M664" s="1454"/>
      <c r="N664" s="1461"/>
    </row>
    <row r="665" spans="2:15" ht="33">
      <c r="B665" s="1694"/>
      <c r="C665" s="132">
        <v>3</v>
      </c>
      <c r="D665" s="132" t="s">
        <v>1002</v>
      </c>
      <c r="E665" s="277">
        <v>48406275</v>
      </c>
      <c r="F665" s="278" t="s">
        <v>1003</v>
      </c>
      <c r="G665" s="33" t="s">
        <v>1004</v>
      </c>
      <c r="H665" s="30">
        <v>30216140</v>
      </c>
      <c r="I665" s="35">
        <v>4900</v>
      </c>
      <c r="J665" s="64">
        <v>0.1</v>
      </c>
      <c r="K665" s="30">
        <v>10</v>
      </c>
      <c r="L665" s="35">
        <v>69000</v>
      </c>
      <c r="M665" s="33" t="s">
        <v>1005</v>
      </c>
      <c r="N665" s="34">
        <v>20250108941</v>
      </c>
    </row>
    <row r="666" spans="2:15">
      <c r="B666" s="1690" t="s">
        <v>32</v>
      </c>
      <c r="C666" s="1654">
        <v>1</v>
      </c>
      <c r="D666" s="1654" t="s">
        <v>1006</v>
      </c>
      <c r="E666" s="279"/>
      <c r="F666" s="280" t="s">
        <v>1007</v>
      </c>
      <c r="G666" s="1448" t="s">
        <v>1008</v>
      </c>
      <c r="H666" s="30">
        <v>30215395</v>
      </c>
      <c r="I666" s="35">
        <v>129000</v>
      </c>
      <c r="J666" s="64">
        <v>0.06</v>
      </c>
      <c r="K666" s="30">
        <v>1</v>
      </c>
      <c r="L666" s="35"/>
      <c r="M666" s="1448" t="s">
        <v>1008</v>
      </c>
      <c r="N666" s="1461">
        <v>20250108942</v>
      </c>
      <c r="O666" s="4" t="s">
        <v>1009</v>
      </c>
    </row>
    <row r="667" spans="2:15">
      <c r="B667" s="1634"/>
      <c r="C667" s="1611"/>
      <c r="D667" s="1611"/>
      <c r="F667" s="213" t="s">
        <v>1010</v>
      </c>
      <c r="G667" s="1448"/>
      <c r="H667" s="30">
        <v>30215396</v>
      </c>
      <c r="I667" s="35">
        <v>209000</v>
      </c>
      <c r="J667" s="64">
        <v>0.06</v>
      </c>
      <c r="K667" s="30">
        <v>1</v>
      </c>
      <c r="L667" s="30"/>
      <c r="M667" s="1448"/>
      <c r="N667" s="1461"/>
    </row>
    <row r="668" spans="2:15">
      <c r="B668" s="1634"/>
      <c r="C668" s="1448">
        <v>2</v>
      </c>
      <c r="D668" s="1448" t="s">
        <v>33</v>
      </c>
      <c r="E668" s="30"/>
      <c r="F668" s="278" t="s">
        <v>34</v>
      </c>
      <c r="G668" s="1454" t="s">
        <v>35</v>
      </c>
      <c r="H668" s="30">
        <v>30212257</v>
      </c>
      <c r="I668" s="30">
        <v>145000</v>
      </c>
      <c r="J668" s="30">
        <v>7</v>
      </c>
      <c r="K668" s="30">
        <v>1</v>
      </c>
      <c r="L668" s="30"/>
      <c r="M668" s="1454" t="s">
        <v>36</v>
      </c>
      <c r="N668" s="1461">
        <v>20250108943</v>
      </c>
    </row>
    <row r="669" spans="2:15">
      <c r="B669" s="1634"/>
      <c r="C669" s="1448"/>
      <c r="D669" s="1448"/>
      <c r="E669" s="30"/>
      <c r="F669" s="278" t="s">
        <v>37</v>
      </c>
      <c r="G669" s="1454"/>
      <c r="H669" s="30">
        <v>30212992</v>
      </c>
      <c r="I669" s="35">
        <v>69900</v>
      </c>
      <c r="J669" s="30">
        <v>7</v>
      </c>
      <c r="K669" s="30">
        <v>1</v>
      </c>
      <c r="L669" s="30"/>
      <c r="M669" s="1454"/>
      <c r="N669" s="1461"/>
    </row>
    <row r="670" spans="2:15">
      <c r="B670" s="1634"/>
      <c r="C670" s="1448"/>
      <c r="D670" s="1448"/>
      <c r="E670" s="30"/>
      <c r="F670" s="278" t="s">
        <v>37</v>
      </c>
      <c r="G670" s="1454"/>
      <c r="H670" s="30">
        <v>30213192</v>
      </c>
      <c r="I670" s="35">
        <v>59900</v>
      </c>
      <c r="J670" s="30">
        <v>7</v>
      </c>
      <c r="K670" s="30">
        <v>1</v>
      </c>
      <c r="L670" s="30"/>
      <c r="M670" s="1454"/>
      <c r="N670" s="1461"/>
    </row>
    <row r="671" spans="2:15">
      <c r="B671" s="1634"/>
      <c r="C671" s="1448"/>
      <c r="D671" s="1448"/>
      <c r="E671" s="30"/>
      <c r="F671" s="278" t="s">
        <v>38</v>
      </c>
      <c r="G671" s="1454"/>
      <c r="H671" s="30">
        <v>30212357</v>
      </c>
      <c r="I671" s="30"/>
      <c r="J671" s="30">
        <v>7</v>
      </c>
      <c r="K671" s="30">
        <v>1</v>
      </c>
      <c r="L671" s="30"/>
      <c r="M671" s="1454"/>
      <c r="N671" s="1461"/>
    </row>
    <row r="672" spans="2:15">
      <c r="B672" s="1634"/>
      <c r="C672" s="1448"/>
      <c r="D672" s="1448"/>
      <c r="E672" s="30"/>
      <c r="F672" s="278" t="s">
        <v>39</v>
      </c>
      <c r="G672" s="1454"/>
      <c r="H672" s="30">
        <v>30212329</v>
      </c>
      <c r="I672" s="30"/>
      <c r="J672" s="30">
        <v>7</v>
      </c>
      <c r="K672" s="30">
        <v>1</v>
      </c>
      <c r="M672" s="1454"/>
      <c r="N672" s="1461"/>
    </row>
    <row r="673" spans="2:14">
      <c r="B673" s="1634"/>
      <c r="C673" s="1448"/>
      <c r="D673" s="1448"/>
      <c r="E673" s="30"/>
      <c r="F673" s="278" t="s">
        <v>40</v>
      </c>
      <c r="G673" s="1454"/>
      <c r="H673" s="30">
        <v>30212314</v>
      </c>
      <c r="I673" s="30"/>
      <c r="J673" s="30">
        <v>7</v>
      </c>
      <c r="K673" s="30">
        <v>1</v>
      </c>
      <c r="L673" s="30"/>
      <c r="M673" s="1454"/>
      <c r="N673" s="1461"/>
    </row>
    <row r="674" spans="2:14">
      <c r="B674" s="1634"/>
      <c r="C674" s="1448"/>
      <c r="D674" s="1448"/>
      <c r="E674" s="30"/>
      <c r="F674" s="278" t="s">
        <v>41</v>
      </c>
      <c r="G674" s="1454"/>
      <c r="H674" s="30">
        <v>30212166</v>
      </c>
      <c r="I674" s="30"/>
      <c r="J674" s="30">
        <v>7</v>
      </c>
      <c r="K674" s="30">
        <v>1</v>
      </c>
      <c r="L674" s="30"/>
      <c r="M674" s="1454"/>
      <c r="N674" s="1461"/>
    </row>
    <row r="675" spans="2:14">
      <c r="B675" s="1634"/>
      <c r="C675" s="1448"/>
      <c r="D675" s="1448"/>
      <c r="E675" s="30"/>
      <c r="F675" s="278" t="s">
        <v>42</v>
      </c>
      <c r="G675" s="1454"/>
      <c r="H675" s="30">
        <v>30212188</v>
      </c>
      <c r="I675" s="30"/>
      <c r="J675" s="30">
        <v>7</v>
      </c>
      <c r="K675" s="30">
        <v>1</v>
      </c>
      <c r="L675" s="30"/>
      <c r="M675" s="1454"/>
      <c r="N675" s="1461"/>
    </row>
    <row r="676" spans="2:14">
      <c r="B676" s="1634"/>
      <c r="C676" s="1448"/>
      <c r="D676" s="1448"/>
      <c r="E676" s="30"/>
      <c r="F676" s="278" t="s">
        <v>43</v>
      </c>
      <c r="G676" s="1454"/>
      <c r="H676" s="30">
        <v>30212302</v>
      </c>
      <c r="I676" s="30"/>
      <c r="J676" s="30">
        <v>7</v>
      </c>
      <c r="K676" s="30">
        <v>1</v>
      </c>
      <c r="L676" s="30"/>
      <c r="M676" s="1454"/>
      <c r="N676" s="1461"/>
    </row>
    <row r="677" spans="2:14">
      <c r="B677" s="1634"/>
      <c r="C677" s="1448"/>
      <c r="D677" s="1448"/>
      <c r="E677" s="30"/>
      <c r="F677" s="278" t="s">
        <v>44</v>
      </c>
      <c r="G677" s="1454"/>
      <c r="H677" s="30">
        <v>30212138</v>
      </c>
      <c r="I677" s="30"/>
      <c r="J677" s="30">
        <v>7</v>
      </c>
      <c r="K677" s="30">
        <v>1</v>
      </c>
      <c r="L677" s="30"/>
      <c r="M677" s="1454"/>
      <c r="N677" s="1461"/>
    </row>
    <row r="678" spans="2:14">
      <c r="B678" s="1634"/>
      <c r="C678" s="1448"/>
      <c r="D678" s="1448"/>
      <c r="E678" s="30"/>
      <c r="F678" s="278" t="s">
        <v>45</v>
      </c>
      <c r="G678" s="1454"/>
      <c r="H678" s="30">
        <v>30212206</v>
      </c>
      <c r="I678" s="30"/>
      <c r="J678" s="30">
        <v>7</v>
      </c>
      <c r="K678" s="30">
        <v>1</v>
      </c>
      <c r="L678" s="30"/>
      <c r="M678" s="1454"/>
      <c r="N678" s="1461"/>
    </row>
    <row r="679" spans="2:14">
      <c r="B679" s="1634"/>
      <c r="C679" s="1448"/>
      <c r="D679" s="1448"/>
      <c r="E679" s="30"/>
      <c r="F679" s="278" t="s">
        <v>46</v>
      </c>
      <c r="G679" s="1454"/>
      <c r="H679" s="30">
        <v>30212350</v>
      </c>
      <c r="I679" s="30"/>
      <c r="J679" s="30">
        <v>7</v>
      </c>
      <c r="K679" s="30">
        <v>1</v>
      </c>
      <c r="L679" s="30"/>
      <c r="M679" s="1454"/>
      <c r="N679" s="1461"/>
    </row>
    <row r="680" spans="2:14">
      <c r="B680" s="1634"/>
      <c r="C680" s="1448"/>
      <c r="D680" s="1448"/>
      <c r="E680" s="30"/>
      <c r="F680" s="278" t="s">
        <v>47</v>
      </c>
      <c r="G680" s="1454"/>
      <c r="H680" s="30">
        <v>30212198</v>
      </c>
      <c r="I680" s="30"/>
      <c r="J680" s="30">
        <v>7</v>
      </c>
      <c r="K680" s="30">
        <v>1</v>
      </c>
      <c r="L680" s="30"/>
      <c r="M680" s="1454"/>
      <c r="N680" s="1461"/>
    </row>
    <row r="681" spans="2:14">
      <c r="B681" s="1634"/>
      <c r="C681" s="1448"/>
      <c r="D681" s="1448"/>
      <c r="E681" s="30"/>
      <c r="F681" s="278" t="s">
        <v>48</v>
      </c>
      <c r="G681" s="1454"/>
      <c r="H681" s="30">
        <v>30212249</v>
      </c>
      <c r="I681" s="30"/>
      <c r="J681" s="30">
        <v>7</v>
      </c>
      <c r="K681" s="30">
        <v>1</v>
      </c>
      <c r="L681" s="30"/>
      <c r="M681" s="1454"/>
      <c r="N681" s="1461"/>
    </row>
    <row r="682" spans="2:14">
      <c r="B682" s="1634"/>
      <c r="C682" s="1448"/>
      <c r="D682" s="1448"/>
      <c r="E682" s="30"/>
      <c r="F682" s="278" t="s">
        <v>49</v>
      </c>
      <c r="G682" s="1454"/>
      <c r="H682" s="30">
        <v>30212181</v>
      </c>
      <c r="I682" s="30"/>
      <c r="J682" s="30">
        <v>7</v>
      </c>
      <c r="K682" s="30">
        <v>1</v>
      </c>
      <c r="L682" s="30"/>
      <c r="M682" s="1454"/>
      <c r="N682" s="1461"/>
    </row>
    <row r="683" spans="2:14">
      <c r="B683" s="1634"/>
      <c r="C683" s="1448"/>
      <c r="D683" s="1448"/>
      <c r="E683" s="30"/>
      <c r="F683" s="278" t="s">
        <v>50</v>
      </c>
      <c r="G683" s="1454"/>
      <c r="H683" s="30">
        <v>30212178</v>
      </c>
      <c r="I683" s="30"/>
      <c r="J683" s="30">
        <v>7</v>
      </c>
      <c r="K683" s="30">
        <v>1</v>
      </c>
      <c r="L683" s="30"/>
      <c r="M683" s="1454"/>
      <c r="N683" s="1461"/>
    </row>
    <row r="684" spans="2:14">
      <c r="B684" s="1634"/>
      <c r="C684" s="1448"/>
      <c r="D684" s="1448"/>
      <c r="E684" s="30"/>
      <c r="F684" s="278" t="s">
        <v>51</v>
      </c>
      <c r="G684" s="1454"/>
      <c r="H684" s="30">
        <v>30212346</v>
      </c>
      <c r="I684" s="30"/>
      <c r="J684" s="30">
        <v>7</v>
      </c>
      <c r="K684" s="30">
        <v>1</v>
      </c>
      <c r="L684" s="30"/>
      <c r="M684" s="1454"/>
      <c r="N684" s="1461"/>
    </row>
    <row r="685" spans="2:14">
      <c r="B685" s="1634"/>
      <c r="C685" s="1448"/>
      <c r="D685" s="1448"/>
      <c r="E685" s="30"/>
      <c r="F685" s="278" t="s">
        <v>52</v>
      </c>
      <c r="G685" s="1454"/>
      <c r="H685" s="30">
        <v>30212300</v>
      </c>
      <c r="I685" s="30"/>
      <c r="J685" s="30">
        <v>7</v>
      </c>
      <c r="K685" s="30">
        <v>1</v>
      </c>
      <c r="L685" s="30"/>
      <c r="M685" s="1454"/>
      <c r="N685" s="1461"/>
    </row>
    <row r="686" spans="2:14">
      <c r="B686" s="1634"/>
      <c r="C686" s="1448"/>
      <c r="D686" s="1448"/>
      <c r="E686" s="30"/>
      <c r="F686" s="278" t="s">
        <v>53</v>
      </c>
      <c r="G686" s="1454"/>
      <c r="H686" s="30">
        <v>30212191</v>
      </c>
      <c r="I686" s="30"/>
      <c r="J686" s="30">
        <v>7</v>
      </c>
      <c r="K686" s="30">
        <v>1</v>
      </c>
      <c r="L686" s="30"/>
      <c r="M686" s="1454"/>
      <c r="N686" s="1461"/>
    </row>
    <row r="687" spans="2:14">
      <c r="B687" s="1634"/>
      <c r="C687" s="1448">
        <v>3</v>
      </c>
      <c r="D687" s="1448" t="s">
        <v>54</v>
      </c>
      <c r="E687" s="30"/>
      <c r="F687" s="278" t="s">
        <v>55</v>
      </c>
      <c r="G687" s="1454" t="s">
        <v>56</v>
      </c>
      <c r="H687" s="30">
        <v>30209572</v>
      </c>
      <c r="I687" s="35">
        <v>9900</v>
      </c>
      <c r="J687" s="30">
        <v>6</v>
      </c>
      <c r="K687" s="30">
        <v>1</v>
      </c>
      <c r="L687" s="30"/>
      <c r="M687" s="1454" t="s">
        <v>57</v>
      </c>
      <c r="N687" s="1461">
        <v>20250108944</v>
      </c>
    </row>
    <row r="688" spans="2:14">
      <c r="B688" s="1634"/>
      <c r="C688" s="1448"/>
      <c r="D688" s="1448"/>
      <c r="E688" s="30"/>
      <c r="F688" s="278" t="s">
        <v>58</v>
      </c>
      <c r="G688" s="1454"/>
      <c r="H688" s="30">
        <v>30209570</v>
      </c>
      <c r="I688" s="35">
        <v>27900</v>
      </c>
      <c r="J688" s="30">
        <v>6</v>
      </c>
      <c r="K688" s="30">
        <v>1</v>
      </c>
      <c r="L688" s="30"/>
      <c r="M688" s="1454"/>
      <c r="N688" s="1461"/>
    </row>
    <row r="689" spans="2:14" ht="33">
      <c r="B689" s="1634"/>
      <c r="C689" s="1448"/>
      <c r="D689" s="1448"/>
      <c r="E689" s="30"/>
      <c r="F689" s="278" t="s">
        <v>59</v>
      </c>
      <c r="G689" s="1454"/>
      <c r="H689" s="30">
        <v>30209574</v>
      </c>
      <c r="I689" s="35">
        <v>29900</v>
      </c>
      <c r="J689" s="30">
        <v>6</v>
      </c>
      <c r="K689" s="30">
        <v>1</v>
      </c>
      <c r="L689" s="30"/>
      <c r="M689" s="1454"/>
      <c r="N689" s="1461"/>
    </row>
    <row r="690" spans="2:14">
      <c r="B690" s="1634"/>
      <c r="C690" s="1448"/>
      <c r="D690" s="1448"/>
      <c r="E690" s="30"/>
      <c r="F690" s="278" t="s">
        <v>60</v>
      </c>
      <c r="G690" s="1454"/>
      <c r="H690" s="30">
        <v>30209575</v>
      </c>
      <c r="I690" s="35">
        <v>43900</v>
      </c>
      <c r="J690" s="30">
        <v>6</v>
      </c>
      <c r="K690" s="30">
        <v>1</v>
      </c>
      <c r="L690" s="30"/>
      <c r="M690" s="1454"/>
      <c r="N690" s="1461"/>
    </row>
    <row r="691" spans="2:14">
      <c r="B691" s="1634"/>
      <c r="C691" s="1448"/>
      <c r="D691" s="1448"/>
      <c r="E691" s="30"/>
      <c r="F691" s="278" t="s">
        <v>61</v>
      </c>
      <c r="G691" s="1454"/>
      <c r="H691" s="30">
        <v>30209571</v>
      </c>
      <c r="I691" s="35">
        <v>44900</v>
      </c>
      <c r="J691" s="30">
        <v>6</v>
      </c>
      <c r="K691" s="30">
        <v>1</v>
      </c>
      <c r="L691" s="30"/>
      <c r="M691" s="1454"/>
      <c r="N691" s="1461"/>
    </row>
    <row r="692" spans="2:14">
      <c r="B692" s="1634"/>
      <c r="C692" s="1448"/>
      <c r="D692" s="1448"/>
      <c r="E692" s="30"/>
      <c r="F692" s="278" t="s">
        <v>62</v>
      </c>
      <c r="G692" s="1454"/>
      <c r="H692" s="30">
        <v>30209576</v>
      </c>
      <c r="I692" s="35">
        <v>58900</v>
      </c>
      <c r="J692" s="30">
        <v>6</v>
      </c>
      <c r="K692" s="30">
        <v>1</v>
      </c>
      <c r="L692" s="30"/>
      <c r="M692" s="1454"/>
      <c r="N692" s="1461"/>
    </row>
    <row r="693" spans="2:14">
      <c r="B693" s="1634"/>
      <c r="C693" s="1448"/>
      <c r="D693" s="1448"/>
      <c r="E693" s="30"/>
      <c r="F693" s="278" t="s">
        <v>63</v>
      </c>
      <c r="G693" s="1454"/>
      <c r="H693" s="30">
        <v>30212529</v>
      </c>
      <c r="I693" s="35">
        <v>79000</v>
      </c>
      <c r="J693" s="30">
        <v>6</v>
      </c>
      <c r="K693" s="30">
        <v>1</v>
      </c>
      <c r="L693" s="30"/>
      <c r="M693" s="1454"/>
      <c r="N693" s="1461"/>
    </row>
    <row r="694" spans="2:14">
      <c r="B694" s="1634"/>
      <c r="C694" s="1448"/>
      <c r="D694" s="1448"/>
      <c r="E694" s="30"/>
      <c r="F694" s="278" t="s">
        <v>64</v>
      </c>
      <c r="G694" s="1454"/>
      <c r="H694" s="30">
        <v>30209578</v>
      </c>
      <c r="I694" s="35">
        <v>99000</v>
      </c>
      <c r="J694" s="30">
        <v>6</v>
      </c>
      <c r="K694" s="30">
        <v>1</v>
      </c>
      <c r="L694" s="30"/>
      <c r="M694" s="1454"/>
      <c r="N694" s="1461"/>
    </row>
    <row r="695" spans="2:14">
      <c r="B695" s="1634"/>
      <c r="C695" s="1448">
        <v>4</v>
      </c>
      <c r="D695" s="1448" t="s">
        <v>65</v>
      </c>
      <c r="E695" s="30"/>
      <c r="F695" s="278" t="s">
        <v>66</v>
      </c>
      <c r="G695" s="1454" t="s">
        <v>67</v>
      </c>
      <c r="H695" s="30">
        <v>30209602</v>
      </c>
      <c r="I695" s="35">
        <v>9900</v>
      </c>
      <c r="J695" s="30">
        <v>6</v>
      </c>
      <c r="K695" s="30">
        <v>1</v>
      </c>
      <c r="L695" s="30"/>
      <c r="M695" s="1454" t="s">
        <v>68</v>
      </c>
      <c r="N695" s="1461">
        <v>20250108945</v>
      </c>
    </row>
    <row r="696" spans="2:14">
      <c r="B696" s="1634"/>
      <c r="C696" s="1448"/>
      <c r="D696" s="1448"/>
      <c r="E696" s="30"/>
      <c r="F696" s="278" t="s">
        <v>69</v>
      </c>
      <c r="G696" s="1454"/>
      <c r="H696" s="30">
        <v>30209604</v>
      </c>
      <c r="I696" s="35">
        <v>12900</v>
      </c>
      <c r="J696" s="30">
        <v>6</v>
      </c>
      <c r="K696" s="30">
        <v>1</v>
      </c>
      <c r="L696" s="30"/>
      <c r="M696" s="1454"/>
      <c r="N696" s="1461"/>
    </row>
    <row r="697" spans="2:14">
      <c r="B697" s="1634"/>
      <c r="C697" s="1448"/>
      <c r="D697" s="1448"/>
      <c r="E697" s="30"/>
      <c r="F697" s="278" t="s">
        <v>70</v>
      </c>
      <c r="G697" s="1454"/>
      <c r="H697" s="30">
        <v>30209605</v>
      </c>
      <c r="I697" s="35">
        <v>15900</v>
      </c>
      <c r="J697" s="30">
        <v>6</v>
      </c>
      <c r="K697" s="30">
        <v>1</v>
      </c>
      <c r="L697" s="30"/>
      <c r="M697" s="1454"/>
      <c r="N697" s="1461"/>
    </row>
    <row r="698" spans="2:14">
      <c r="B698" s="1634"/>
      <c r="C698" s="1448"/>
      <c r="D698" s="1448"/>
      <c r="E698" s="30"/>
      <c r="F698" s="278" t="s">
        <v>71</v>
      </c>
      <c r="G698" s="1454"/>
      <c r="H698" s="30">
        <v>30209606</v>
      </c>
      <c r="I698" s="35">
        <v>16900</v>
      </c>
      <c r="J698" s="30">
        <v>6</v>
      </c>
      <c r="K698" s="30">
        <v>1</v>
      </c>
      <c r="L698" s="30"/>
      <c r="M698" s="1454"/>
      <c r="N698" s="1461"/>
    </row>
    <row r="699" spans="2:14">
      <c r="B699" s="1634"/>
      <c r="C699" s="1448"/>
      <c r="D699" s="1448"/>
      <c r="E699" s="30"/>
      <c r="F699" s="278" t="s">
        <v>72</v>
      </c>
      <c r="G699" s="1454"/>
      <c r="H699" s="30">
        <v>30212530</v>
      </c>
      <c r="I699" s="35">
        <v>26900</v>
      </c>
      <c r="J699" s="30">
        <v>6</v>
      </c>
      <c r="K699" s="30">
        <v>1</v>
      </c>
      <c r="L699" s="30"/>
      <c r="M699" s="1454"/>
      <c r="N699" s="1461"/>
    </row>
    <row r="700" spans="2:14">
      <c r="B700" s="1634"/>
      <c r="C700" s="1448"/>
      <c r="D700" s="1448"/>
      <c r="E700" s="30"/>
      <c r="F700" s="278" t="s">
        <v>73</v>
      </c>
      <c r="G700" s="1454"/>
      <c r="H700" s="30">
        <v>30212531</v>
      </c>
      <c r="I700" s="35">
        <v>28900</v>
      </c>
      <c r="J700" s="30">
        <v>6</v>
      </c>
      <c r="K700" s="30">
        <v>1</v>
      </c>
      <c r="L700" s="30"/>
      <c r="M700" s="1454"/>
      <c r="N700" s="1461"/>
    </row>
    <row r="701" spans="2:14">
      <c r="B701" s="1634"/>
      <c r="C701" s="1448"/>
      <c r="D701" s="1448"/>
      <c r="E701" s="30"/>
      <c r="F701" s="278" t="s">
        <v>74</v>
      </c>
      <c r="G701" s="1454"/>
      <c r="H701" s="30">
        <v>30212532</v>
      </c>
      <c r="I701" s="35">
        <v>29900</v>
      </c>
      <c r="J701" s="30">
        <v>6</v>
      </c>
      <c r="K701" s="30">
        <v>1</v>
      </c>
      <c r="L701" s="30"/>
      <c r="M701" s="1454"/>
      <c r="N701" s="1461"/>
    </row>
    <row r="702" spans="2:14" ht="33">
      <c r="B702" s="1634"/>
      <c r="C702" s="1448"/>
      <c r="D702" s="1448"/>
      <c r="E702" s="30"/>
      <c r="F702" s="278" t="s">
        <v>75</v>
      </c>
      <c r="G702" s="1454"/>
      <c r="H702" s="30">
        <v>30209611</v>
      </c>
      <c r="I702" s="35">
        <v>23900</v>
      </c>
      <c r="J702" s="30">
        <v>6</v>
      </c>
      <c r="K702" s="30">
        <v>1</v>
      </c>
      <c r="L702" s="30"/>
      <c r="M702" s="1454"/>
      <c r="N702" s="1461"/>
    </row>
    <row r="703" spans="2:14" ht="33">
      <c r="B703" s="1634"/>
      <c r="C703" s="1448"/>
      <c r="D703" s="1448"/>
      <c r="E703" s="30"/>
      <c r="F703" s="278" t="s">
        <v>76</v>
      </c>
      <c r="G703" s="1454"/>
      <c r="H703" s="30">
        <v>30209612</v>
      </c>
      <c r="I703" s="35">
        <v>23900</v>
      </c>
      <c r="J703" s="30">
        <v>6</v>
      </c>
      <c r="K703" s="30">
        <v>1</v>
      </c>
      <c r="L703" s="30"/>
      <c r="M703" s="1454"/>
      <c r="N703" s="1461"/>
    </row>
    <row r="704" spans="2:14">
      <c r="B704" s="1634"/>
      <c r="C704" s="1448"/>
      <c r="D704" s="1448"/>
      <c r="E704" s="30"/>
      <c r="F704" s="278" t="s">
        <v>77</v>
      </c>
      <c r="G704" s="1454"/>
      <c r="H704" s="30">
        <v>30209613</v>
      </c>
      <c r="I704" s="35">
        <v>26900</v>
      </c>
      <c r="J704" s="30">
        <v>6</v>
      </c>
      <c r="K704" s="30">
        <v>1</v>
      </c>
      <c r="L704" s="30"/>
      <c r="M704" s="1454"/>
      <c r="N704" s="1461"/>
    </row>
    <row r="705" spans="2:14">
      <c r="B705" s="1634"/>
      <c r="C705" s="1448"/>
      <c r="D705" s="1448"/>
      <c r="E705" s="30"/>
      <c r="F705" s="278" t="s">
        <v>78</v>
      </c>
      <c r="G705" s="1454"/>
      <c r="H705" s="30">
        <v>30212533</v>
      </c>
      <c r="I705" s="35">
        <v>36900</v>
      </c>
      <c r="J705" s="30">
        <v>6</v>
      </c>
      <c r="K705" s="30">
        <v>1</v>
      </c>
      <c r="L705" s="30"/>
      <c r="M705" s="1454"/>
      <c r="N705" s="1461"/>
    </row>
    <row r="706" spans="2:14">
      <c r="B706" s="1634"/>
      <c r="C706" s="1448"/>
      <c r="D706" s="1448"/>
      <c r="E706" s="30"/>
      <c r="F706" s="278" t="s">
        <v>79</v>
      </c>
      <c r="G706" s="1454"/>
      <c r="H706" s="30">
        <v>30209614</v>
      </c>
      <c r="I706" s="35">
        <v>43900</v>
      </c>
      <c r="J706" s="30">
        <v>6</v>
      </c>
      <c r="K706" s="30">
        <v>1</v>
      </c>
      <c r="L706" s="30"/>
      <c r="M706" s="1454"/>
      <c r="N706" s="1461"/>
    </row>
    <row r="707" spans="2:14" ht="33" customHeight="1">
      <c r="B707" s="1634"/>
      <c r="C707" s="1448">
        <v>5</v>
      </c>
      <c r="D707" s="1451" t="s">
        <v>80</v>
      </c>
      <c r="E707" s="30"/>
      <c r="F707" s="278" t="s">
        <v>81</v>
      </c>
      <c r="G707" s="1454" t="s">
        <v>82</v>
      </c>
      <c r="H707" s="30">
        <v>30215955</v>
      </c>
      <c r="I707" s="35"/>
      <c r="J707" s="30">
        <v>6</v>
      </c>
      <c r="K707" s="30">
        <v>1</v>
      </c>
      <c r="L707" s="30"/>
      <c r="M707" s="1454" t="s">
        <v>83</v>
      </c>
      <c r="N707" s="1461">
        <v>20250108946</v>
      </c>
    </row>
    <row r="708" spans="2:14">
      <c r="B708" s="1634"/>
      <c r="C708" s="1448"/>
      <c r="D708" s="1452"/>
      <c r="E708" s="30"/>
      <c r="F708" s="278" t="s">
        <v>1011</v>
      </c>
      <c r="G708" s="1454"/>
      <c r="H708" s="30">
        <v>30212029</v>
      </c>
      <c r="I708" s="35"/>
      <c r="J708" s="30">
        <v>6</v>
      </c>
      <c r="K708" s="30">
        <v>1</v>
      </c>
      <c r="L708" s="30"/>
      <c r="M708" s="1454"/>
      <c r="N708" s="1461"/>
    </row>
    <row r="709" spans="2:14">
      <c r="B709" s="1634"/>
      <c r="C709" s="1448"/>
      <c r="D709" s="1452"/>
      <c r="E709" s="30"/>
      <c r="F709" s="278" t="s">
        <v>85</v>
      </c>
      <c r="G709" s="1454"/>
      <c r="H709" s="30">
        <v>30212030</v>
      </c>
      <c r="I709" s="35"/>
      <c r="J709" s="30">
        <v>6</v>
      </c>
      <c r="K709" s="30">
        <v>1</v>
      </c>
      <c r="L709" s="30"/>
      <c r="M709" s="1454"/>
      <c r="N709" s="1461"/>
    </row>
    <row r="710" spans="2:14">
      <c r="B710" s="1634"/>
      <c r="C710" s="1448"/>
      <c r="D710" s="1452"/>
      <c r="E710" s="30"/>
      <c r="F710" s="278" t="s">
        <v>86</v>
      </c>
      <c r="G710" s="1454"/>
      <c r="H710" s="30">
        <v>30212031</v>
      </c>
      <c r="I710" s="35"/>
      <c r="J710" s="30">
        <v>6</v>
      </c>
      <c r="K710" s="30">
        <v>1</v>
      </c>
      <c r="L710" s="30"/>
      <c r="M710" s="1454"/>
      <c r="N710" s="1461"/>
    </row>
    <row r="711" spans="2:14">
      <c r="B711" s="1634"/>
      <c r="C711" s="1448"/>
      <c r="D711" s="1452"/>
      <c r="E711" s="30"/>
      <c r="F711" s="278" t="s">
        <v>87</v>
      </c>
      <c r="G711" s="1454"/>
      <c r="H711" s="30">
        <v>30212032</v>
      </c>
      <c r="I711" s="35"/>
      <c r="J711" s="30">
        <v>6</v>
      </c>
      <c r="K711" s="30">
        <v>1</v>
      </c>
      <c r="L711" s="30"/>
      <c r="M711" s="1454"/>
      <c r="N711" s="1461"/>
    </row>
    <row r="712" spans="2:14">
      <c r="B712" s="1634"/>
      <c r="C712" s="1448"/>
      <c r="D712" s="1452"/>
      <c r="E712" s="30"/>
      <c r="F712" s="278" t="s">
        <v>88</v>
      </c>
      <c r="G712" s="1454"/>
      <c r="H712" s="30">
        <v>30212033</v>
      </c>
      <c r="I712" s="35"/>
      <c r="J712" s="30">
        <v>6</v>
      </c>
      <c r="K712" s="30">
        <v>1</v>
      </c>
      <c r="L712" s="30"/>
      <c r="M712" s="1454"/>
      <c r="N712" s="1461"/>
    </row>
    <row r="713" spans="2:14">
      <c r="B713" s="1634"/>
      <c r="C713" s="1448"/>
      <c r="D713" s="1452"/>
      <c r="E713" s="30"/>
      <c r="F713" s="278" t="s">
        <v>1012</v>
      </c>
      <c r="G713" s="1454"/>
      <c r="H713" s="30">
        <v>30215961</v>
      </c>
      <c r="I713" s="35"/>
      <c r="J713" s="30">
        <v>6</v>
      </c>
      <c r="K713" s="30">
        <v>1</v>
      </c>
      <c r="L713" s="30"/>
      <c r="M713" s="1454"/>
      <c r="N713" s="1461"/>
    </row>
    <row r="714" spans="2:14">
      <c r="B714" s="1634"/>
      <c r="C714" s="1448"/>
      <c r="D714" s="1452"/>
      <c r="E714" s="30"/>
      <c r="F714" s="278" t="s">
        <v>1013</v>
      </c>
      <c r="G714" s="1454"/>
      <c r="H714" s="30">
        <v>30215960</v>
      </c>
      <c r="I714" s="35"/>
      <c r="J714" s="30">
        <v>6</v>
      </c>
      <c r="K714" s="30">
        <v>1</v>
      </c>
      <c r="L714" s="30"/>
      <c r="M714" s="1454"/>
      <c r="N714" s="1461"/>
    </row>
    <row r="715" spans="2:14">
      <c r="B715" s="1634"/>
      <c r="C715" s="1448"/>
      <c r="D715" s="1452"/>
      <c r="E715" s="30"/>
      <c r="F715" s="278" t="s">
        <v>91</v>
      </c>
      <c r="G715" s="1454"/>
      <c r="H715" s="30">
        <v>30212026</v>
      </c>
      <c r="I715" s="35"/>
      <c r="J715" s="30">
        <v>6</v>
      </c>
      <c r="K715" s="30">
        <v>1</v>
      </c>
      <c r="L715" s="30"/>
      <c r="M715" s="1454"/>
      <c r="N715" s="1461"/>
    </row>
    <row r="716" spans="2:14">
      <c r="B716" s="1634"/>
      <c r="C716" s="1448"/>
      <c r="D716" s="1452"/>
      <c r="E716" s="30"/>
      <c r="F716" s="278" t="s">
        <v>1014</v>
      </c>
      <c r="G716" s="1454"/>
      <c r="H716" s="30">
        <v>30215956</v>
      </c>
      <c r="I716" s="35"/>
      <c r="J716" s="30">
        <v>6</v>
      </c>
      <c r="K716" s="30">
        <v>1</v>
      </c>
      <c r="L716" s="30"/>
      <c r="M716" s="1454"/>
      <c r="N716" s="1461"/>
    </row>
    <row r="717" spans="2:14">
      <c r="B717" s="1634"/>
      <c r="C717" s="1448"/>
      <c r="D717" s="1452"/>
      <c r="E717" s="30"/>
      <c r="F717" s="278" t="s">
        <v>1015</v>
      </c>
      <c r="G717" s="1454"/>
      <c r="H717" s="30">
        <v>30215959</v>
      </c>
      <c r="I717" s="35"/>
      <c r="J717" s="30">
        <v>6</v>
      </c>
      <c r="K717" s="30">
        <v>1</v>
      </c>
      <c r="L717" s="30"/>
      <c r="M717" s="1454"/>
      <c r="N717" s="1461"/>
    </row>
    <row r="718" spans="2:14">
      <c r="B718" s="1634"/>
      <c r="C718" s="1448"/>
      <c r="D718" s="1452"/>
      <c r="E718" s="30"/>
      <c r="F718" s="278" t="s">
        <v>92</v>
      </c>
      <c r="G718" s="1454"/>
      <c r="H718" s="30">
        <v>30212027</v>
      </c>
      <c r="I718" s="35"/>
      <c r="J718" s="30">
        <v>6</v>
      </c>
      <c r="K718" s="30">
        <v>1</v>
      </c>
      <c r="L718" s="30"/>
      <c r="M718" s="1454"/>
      <c r="N718" s="1461"/>
    </row>
    <row r="719" spans="2:14">
      <c r="B719" s="1634"/>
      <c r="C719" s="1448"/>
      <c r="D719" s="1452"/>
      <c r="E719" s="30"/>
      <c r="F719" s="278" t="s">
        <v>1016</v>
      </c>
      <c r="G719" s="1454"/>
      <c r="H719" s="30">
        <v>30215957</v>
      </c>
      <c r="I719" s="35"/>
      <c r="J719" s="30">
        <v>6</v>
      </c>
      <c r="K719" s="30">
        <v>1</v>
      </c>
      <c r="L719" s="30"/>
      <c r="M719" s="1454"/>
      <c r="N719" s="1461"/>
    </row>
    <row r="720" spans="2:14">
      <c r="B720" s="1634"/>
      <c r="C720" s="1448"/>
      <c r="D720" s="1453"/>
      <c r="E720" s="30"/>
      <c r="F720" s="278" t="s">
        <v>90</v>
      </c>
      <c r="G720" s="1454"/>
      <c r="H720" s="30">
        <v>30212028</v>
      </c>
      <c r="I720" s="35"/>
      <c r="J720" s="30">
        <v>6</v>
      </c>
      <c r="K720" s="30">
        <v>1</v>
      </c>
      <c r="L720" s="30"/>
      <c r="M720" s="1454"/>
      <c r="N720" s="1461"/>
    </row>
    <row r="721" spans="2:14">
      <c r="B721" s="1634"/>
      <c r="C721" s="1448"/>
      <c r="D721" s="1451" t="s">
        <v>1017</v>
      </c>
      <c r="E721" s="30"/>
      <c r="F721" s="278" t="s">
        <v>1018</v>
      </c>
      <c r="G721" s="1454" t="s">
        <v>1019</v>
      </c>
      <c r="H721" s="30">
        <v>30215874</v>
      </c>
      <c r="I721" s="35"/>
      <c r="J721" s="30">
        <v>6</v>
      </c>
      <c r="K721" s="30">
        <v>1</v>
      </c>
      <c r="L721" s="30"/>
      <c r="M721" s="1454" t="s">
        <v>1019</v>
      </c>
      <c r="N721" s="1461">
        <v>20250108947</v>
      </c>
    </row>
    <row r="722" spans="2:14">
      <c r="B722" s="1634"/>
      <c r="C722" s="1448"/>
      <c r="D722" s="1452"/>
      <c r="E722" s="30"/>
      <c r="F722" s="278" t="s">
        <v>1020</v>
      </c>
      <c r="G722" s="1454"/>
      <c r="H722" s="30">
        <v>30215875</v>
      </c>
      <c r="I722" s="35"/>
      <c r="J722" s="30">
        <v>6</v>
      </c>
      <c r="K722" s="30">
        <v>1</v>
      </c>
      <c r="L722" s="30"/>
      <c r="M722" s="1454"/>
      <c r="N722" s="1461"/>
    </row>
    <row r="723" spans="2:14">
      <c r="B723" s="1634"/>
      <c r="C723" s="1448"/>
      <c r="D723" s="1452"/>
      <c r="E723" s="30"/>
      <c r="F723" s="278" t="s">
        <v>1021</v>
      </c>
      <c r="G723" s="1454"/>
      <c r="H723" s="30">
        <v>30215863</v>
      </c>
      <c r="I723" s="35"/>
      <c r="J723" s="30">
        <v>6</v>
      </c>
      <c r="K723" s="30">
        <v>1</v>
      </c>
      <c r="L723" s="30"/>
      <c r="M723" s="1454"/>
      <c r="N723" s="1461"/>
    </row>
    <row r="724" spans="2:14">
      <c r="B724" s="1634"/>
      <c r="C724" s="1448"/>
      <c r="D724" s="1452"/>
      <c r="E724" s="30"/>
      <c r="F724" s="278" t="s">
        <v>1022</v>
      </c>
      <c r="G724" s="1454"/>
      <c r="H724" s="30">
        <v>30215864</v>
      </c>
      <c r="I724" s="35"/>
      <c r="J724" s="30">
        <v>6</v>
      </c>
      <c r="K724" s="30">
        <v>1</v>
      </c>
      <c r="L724" s="30"/>
      <c r="M724" s="1454"/>
      <c r="N724" s="1461"/>
    </row>
    <row r="725" spans="2:14">
      <c r="B725" s="1634"/>
      <c r="C725" s="1448"/>
      <c r="D725" s="1452"/>
      <c r="E725" s="30"/>
      <c r="F725" s="278" t="s">
        <v>1023</v>
      </c>
      <c r="G725" s="1454"/>
      <c r="H725" s="30">
        <v>30215865</v>
      </c>
      <c r="I725" s="35"/>
      <c r="J725" s="30">
        <v>6</v>
      </c>
      <c r="K725" s="30">
        <v>1</v>
      </c>
      <c r="L725" s="30"/>
      <c r="M725" s="1454"/>
      <c r="N725" s="1461"/>
    </row>
    <row r="726" spans="2:14">
      <c r="B726" s="1634"/>
      <c r="C726" s="1448"/>
      <c r="D726" s="1452"/>
      <c r="E726" s="30"/>
      <c r="F726" s="278" t="s">
        <v>1024</v>
      </c>
      <c r="G726" s="1454"/>
      <c r="H726" s="30">
        <v>30215866</v>
      </c>
      <c r="I726" s="35"/>
      <c r="J726" s="30">
        <v>6</v>
      </c>
      <c r="K726" s="30">
        <v>1</v>
      </c>
      <c r="L726" s="30"/>
      <c r="M726" s="1454"/>
      <c r="N726" s="1461"/>
    </row>
    <row r="727" spans="2:14">
      <c r="B727" s="1634"/>
      <c r="C727" s="1448"/>
      <c r="D727" s="1452"/>
      <c r="E727" s="30"/>
      <c r="F727" s="278" t="s">
        <v>1025</v>
      </c>
      <c r="G727" s="1454"/>
      <c r="H727" s="30">
        <v>30215868</v>
      </c>
      <c r="I727" s="35"/>
      <c r="J727" s="30">
        <v>6</v>
      </c>
      <c r="K727" s="30">
        <v>1</v>
      </c>
      <c r="L727" s="30"/>
      <c r="M727" s="1454"/>
      <c r="N727" s="1461"/>
    </row>
    <row r="728" spans="2:14">
      <c r="B728" s="1634"/>
      <c r="C728" s="1448"/>
      <c r="D728" s="1452"/>
      <c r="E728" s="30"/>
      <c r="F728" s="278" t="s">
        <v>1026</v>
      </c>
      <c r="G728" s="1454"/>
      <c r="H728" s="30">
        <v>30215869</v>
      </c>
      <c r="I728" s="35"/>
      <c r="J728" s="30">
        <v>6</v>
      </c>
      <c r="K728" s="30">
        <v>1</v>
      </c>
      <c r="L728" s="30"/>
      <c r="M728" s="1454"/>
      <c r="N728" s="1461"/>
    </row>
    <row r="729" spans="2:14">
      <c r="B729" s="1634"/>
      <c r="C729" s="1448"/>
      <c r="D729" s="1452"/>
      <c r="E729" s="30"/>
      <c r="F729" s="278" t="s">
        <v>1027</v>
      </c>
      <c r="G729" s="1454"/>
      <c r="H729" s="30">
        <v>30215870</v>
      </c>
      <c r="I729" s="35"/>
      <c r="J729" s="30">
        <v>6</v>
      </c>
      <c r="K729" s="30">
        <v>1</v>
      </c>
      <c r="L729" s="30"/>
      <c r="M729" s="1454"/>
      <c r="N729" s="1461"/>
    </row>
    <row r="730" spans="2:14">
      <c r="B730" s="1634"/>
      <c r="C730" s="1448"/>
      <c r="D730" s="1452"/>
      <c r="E730" s="30"/>
      <c r="F730" s="278" t="s">
        <v>1028</v>
      </c>
      <c r="G730" s="1454"/>
      <c r="H730" s="30">
        <v>30215871</v>
      </c>
      <c r="I730" s="35"/>
      <c r="J730" s="30">
        <v>6</v>
      </c>
      <c r="K730" s="30">
        <v>1</v>
      </c>
      <c r="L730" s="30"/>
      <c r="M730" s="1454"/>
      <c r="N730" s="1461"/>
    </row>
    <row r="731" spans="2:14">
      <c r="B731" s="1634"/>
      <c r="C731" s="1448"/>
      <c r="D731" s="1452"/>
      <c r="E731" s="30"/>
      <c r="F731" s="278" t="s">
        <v>1029</v>
      </c>
      <c r="G731" s="1454"/>
      <c r="H731" s="30">
        <v>30215872</v>
      </c>
      <c r="I731" s="35"/>
      <c r="J731" s="30">
        <v>6</v>
      </c>
      <c r="K731" s="30">
        <v>1</v>
      </c>
      <c r="L731" s="30"/>
      <c r="M731" s="1454"/>
      <c r="N731" s="1461"/>
    </row>
    <row r="732" spans="2:14">
      <c r="B732" s="1634"/>
      <c r="C732" s="1448"/>
      <c r="D732" s="1453"/>
      <c r="E732" s="30"/>
      <c r="F732" s="278" t="s">
        <v>1030</v>
      </c>
      <c r="G732" s="1454"/>
      <c r="H732" s="30">
        <v>30215873</v>
      </c>
      <c r="I732" s="35"/>
      <c r="J732" s="30">
        <v>6</v>
      </c>
      <c r="K732" s="30">
        <v>1</v>
      </c>
      <c r="L732" s="30"/>
      <c r="M732" s="1454"/>
      <c r="N732" s="1461"/>
    </row>
    <row r="733" spans="2:14">
      <c r="B733" s="1634"/>
      <c r="C733" s="1448"/>
      <c r="D733" s="1451" t="s">
        <v>1031</v>
      </c>
      <c r="E733" s="30"/>
      <c r="F733" s="278" t="s">
        <v>1032</v>
      </c>
      <c r="G733" s="1454" t="s">
        <v>1033</v>
      </c>
      <c r="H733" s="30">
        <v>30215876</v>
      </c>
      <c r="I733" s="35"/>
      <c r="J733" s="30">
        <v>6</v>
      </c>
      <c r="K733" s="30">
        <v>1</v>
      </c>
      <c r="L733" s="30"/>
      <c r="M733" s="1454" t="s">
        <v>1033</v>
      </c>
      <c r="N733" s="1461">
        <v>20250108948</v>
      </c>
    </row>
    <row r="734" spans="2:14">
      <c r="B734" s="1634"/>
      <c r="C734" s="1448"/>
      <c r="D734" s="1452"/>
      <c r="E734" s="30"/>
      <c r="F734" s="278" t="s">
        <v>1034</v>
      </c>
      <c r="G734" s="1454"/>
      <c r="H734" s="30">
        <v>30215877</v>
      </c>
      <c r="I734" s="35"/>
      <c r="J734" s="30">
        <v>6</v>
      </c>
      <c r="K734" s="30">
        <v>1</v>
      </c>
      <c r="L734" s="30"/>
      <c r="M734" s="1454"/>
      <c r="N734" s="1461"/>
    </row>
    <row r="735" spans="2:14">
      <c r="B735" s="1634"/>
      <c r="C735" s="1448"/>
      <c r="D735" s="1452"/>
      <c r="E735" s="30"/>
      <c r="F735" s="278" t="s">
        <v>1035</v>
      </c>
      <c r="G735" s="1454"/>
      <c r="H735" s="30">
        <v>30215878</v>
      </c>
      <c r="I735" s="35"/>
      <c r="J735" s="30">
        <v>6</v>
      </c>
      <c r="K735" s="30">
        <v>1</v>
      </c>
      <c r="L735" s="30"/>
      <c r="M735" s="1454"/>
      <c r="N735" s="1461"/>
    </row>
    <row r="736" spans="2:14">
      <c r="B736" s="1634"/>
      <c r="C736" s="1448"/>
      <c r="D736" s="1452"/>
      <c r="E736" s="30"/>
      <c r="F736" s="278" t="s">
        <v>1036</v>
      </c>
      <c r="G736" s="1454"/>
      <c r="H736" s="30">
        <v>30215879</v>
      </c>
      <c r="I736" s="35"/>
      <c r="J736" s="30">
        <v>6</v>
      </c>
      <c r="K736" s="30">
        <v>1</v>
      </c>
      <c r="L736" s="30"/>
      <c r="M736" s="1454"/>
      <c r="N736" s="1461"/>
    </row>
    <row r="737" spans="2:14">
      <c r="B737" s="1634"/>
      <c r="C737" s="1448"/>
      <c r="D737" s="1452"/>
      <c r="E737" s="30"/>
      <c r="F737" s="278" t="s">
        <v>1037</v>
      </c>
      <c r="G737" s="1454"/>
      <c r="H737" s="30">
        <v>30215880</v>
      </c>
      <c r="I737" s="35"/>
      <c r="J737" s="30">
        <v>6</v>
      </c>
      <c r="K737" s="30">
        <v>1</v>
      </c>
      <c r="L737" s="30"/>
      <c r="M737" s="1454"/>
      <c r="N737" s="1461"/>
    </row>
    <row r="738" spans="2:14">
      <c r="B738" s="1634"/>
      <c r="C738" s="1448"/>
      <c r="D738" s="1452"/>
      <c r="E738" s="30"/>
      <c r="F738" s="278" t="s">
        <v>1038</v>
      </c>
      <c r="G738" s="1454"/>
      <c r="H738" s="30">
        <v>30216425</v>
      </c>
      <c r="I738" s="35"/>
      <c r="J738" s="30">
        <v>6</v>
      </c>
      <c r="K738" s="30">
        <v>1</v>
      </c>
      <c r="L738" s="30"/>
      <c r="M738" s="1454"/>
      <c r="N738" s="1461"/>
    </row>
    <row r="739" spans="2:14">
      <c r="B739" s="1634"/>
      <c r="C739" s="1448"/>
      <c r="D739" s="1452"/>
      <c r="E739" s="30"/>
      <c r="F739" s="278" t="s">
        <v>1039</v>
      </c>
      <c r="G739" s="1454"/>
      <c r="H739" s="30">
        <v>30215883</v>
      </c>
      <c r="I739" s="35"/>
      <c r="J739" s="30">
        <v>6</v>
      </c>
      <c r="K739" s="30">
        <v>1</v>
      </c>
      <c r="L739" s="30"/>
      <c r="M739" s="1454"/>
      <c r="N739" s="1461"/>
    </row>
    <row r="740" spans="2:14">
      <c r="B740" s="1634"/>
      <c r="C740" s="1448"/>
      <c r="D740" s="1452"/>
      <c r="E740" s="30"/>
      <c r="F740" s="278" t="s">
        <v>1040</v>
      </c>
      <c r="G740" s="1454"/>
      <c r="H740" s="30">
        <v>76301260</v>
      </c>
      <c r="I740" s="35"/>
      <c r="J740" s="30">
        <v>6</v>
      </c>
      <c r="K740" s="30">
        <v>1</v>
      </c>
      <c r="L740" s="30"/>
      <c r="M740" s="1454"/>
      <c r="N740" s="1461"/>
    </row>
    <row r="741" spans="2:14">
      <c r="B741" s="1634"/>
      <c r="C741" s="1448"/>
      <c r="D741" s="1452"/>
      <c r="E741" s="30"/>
      <c r="F741" s="278" t="s">
        <v>1041</v>
      </c>
      <c r="G741" s="1454"/>
      <c r="H741" s="30">
        <v>76301262</v>
      </c>
      <c r="I741" s="35"/>
      <c r="J741" s="30">
        <v>6</v>
      </c>
      <c r="K741" s="30">
        <v>1</v>
      </c>
      <c r="L741" s="30"/>
      <c r="M741" s="1454"/>
      <c r="N741" s="1461"/>
    </row>
    <row r="742" spans="2:14">
      <c r="B742" s="1634"/>
      <c r="C742" s="1448"/>
      <c r="D742" s="1453"/>
      <c r="E742" s="30"/>
      <c r="F742" s="278" t="s">
        <v>1042</v>
      </c>
      <c r="G742" s="1454"/>
      <c r="H742" s="30">
        <v>76301266</v>
      </c>
      <c r="I742" s="35"/>
      <c r="J742" s="30">
        <v>6</v>
      </c>
      <c r="K742" s="30">
        <v>1</v>
      </c>
      <c r="L742" s="30"/>
      <c r="M742" s="1454"/>
      <c r="N742" s="1461"/>
    </row>
    <row r="743" spans="2:14">
      <c r="B743" s="1634"/>
      <c r="C743" s="1448">
        <v>6</v>
      </c>
      <c r="D743" s="1448" t="s">
        <v>93</v>
      </c>
      <c r="E743" s="30"/>
      <c r="F743" s="278" t="s">
        <v>104</v>
      </c>
      <c r="G743" s="1448" t="s">
        <v>95</v>
      </c>
      <c r="H743" s="30">
        <v>73080054</v>
      </c>
      <c r="I743" s="35"/>
      <c r="J743" s="30">
        <v>6</v>
      </c>
      <c r="K743" s="30">
        <v>1</v>
      </c>
      <c r="L743" s="30"/>
      <c r="M743" s="1454" t="s">
        <v>95</v>
      </c>
      <c r="N743" s="1461">
        <v>20250108949</v>
      </c>
    </row>
    <row r="744" spans="2:14">
      <c r="B744" s="1634"/>
      <c r="C744" s="1448"/>
      <c r="D744" s="1448"/>
      <c r="E744" s="30"/>
      <c r="F744" s="278" t="s">
        <v>103</v>
      </c>
      <c r="G744" s="1448"/>
      <c r="H744" s="30">
        <v>30215897</v>
      </c>
      <c r="I744" s="35"/>
      <c r="J744" s="30">
        <v>6</v>
      </c>
      <c r="K744" s="30">
        <v>1</v>
      </c>
      <c r="L744" s="30"/>
      <c r="M744" s="1454"/>
      <c r="N744" s="1461"/>
    </row>
    <row r="745" spans="2:14">
      <c r="B745" s="1634"/>
      <c r="C745" s="1448"/>
      <c r="D745" s="1448"/>
      <c r="E745" s="30"/>
      <c r="F745" s="278" t="s">
        <v>1043</v>
      </c>
      <c r="G745" s="1448"/>
      <c r="H745" s="30">
        <v>30215896</v>
      </c>
      <c r="I745" s="35"/>
      <c r="J745" s="30">
        <v>6</v>
      </c>
      <c r="K745" s="30">
        <v>1</v>
      </c>
      <c r="L745" s="30"/>
      <c r="M745" s="1454"/>
      <c r="N745" s="1461"/>
    </row>
    <row r="746" spans="2:14">
      <c r="B746" s="1634"/>
      <c r="C746" s="1448"/>
      <c r="D746" s="1448"/>
      <c r="E746" s="30"/>
      <c r="F746" s="278" t="s">
        <v>1044</v>
      </c>
      <c r="G746" s="1448"/>
      <c r="H746" s="30">
        <v>30215895</v>
      </c>
      <c r="I746" s="35"/>
      <c r="J746" s="30">
        <v>6</v>
      </c>
      <c r="K746" s="30">
        <v>1</v>
      </c>
      <c r="L746" s="30"/>
      <c r="M746" s="1454"/>
      <c r="N746" s="1461"/>
    </row>
    <row r="747" spans="2:14">
      <c r="B747" s="1634"/>
      <c r="C747" s="1448"/>
      <c r="D747" s="1448"/>
      <c r="E747" s="30"/>
      <c r="F747" s="278" t="s">
        <v>105</v>
      </c>
      <c r="G747" s="1448"/>
      <c r="H747" s="30">
        <v>30211994</v>
      </c>
      <c r="I747" s="35"/>
      <c r="J747" s="30">
        <v>6</v>
      </c>
      <c r="K747" s="30">
        <v>1</v>
      </c>
      <c r="L747" s="30"/>
      <c r="M747" s="1454"/>
      <c r="N747" s="1461"/>
    </row>
    <row r="748" spans="2:14">
      <c r="B748" s="1634"/>
      <c r="C748" s="1448"/>
      <c r="D748" s="1448"/>
      <c r="E748" s="30"/>
      <c r="F748" s="278" t="s">
        <v>99</v>
      </c>
      <c r="G748" s="1448"/>
      <c r="H748" s="30">
        <v>30211993</v>
      </c>
      <c r="I748" s="35"/>
      <c r="J748" s="30">
        <v>6</v>
      </c>
      <c r="K748" s="30">
        <v>1</v>
      </c>
      <c r="L748" s="30"/>
      <c r="M748" s="1454"/>
      <c r="N748" s="1461"/>
    </row>
    <row r="749" spans="2:14">
      <c r="B749" s="1634"/>
      <c r="C749" s="1448"/>
      <c r="D749" s="1448"/>
      <c r="E749" s="30"/>
      <c r="F749" s="278" t="s">
        <v>102</v>
      </c>
      <c r="G749" s="1448"/>
      <c r="H749" s="30">
        <v>30210471</v>
      </c>
      <c r="I749" s="35"/>
      <c r="J749" s="30">
        <v>6</v>
      </c>
      <c r="K749" s="30">
        <v>1</v>
      </c>
      <c r="L749" s="30"/>
      <c r="M749" s="1454"/>
      <c r="N749" s="1461"/>
    </row>
    <row r="750" spans="2:14">
      <c r="B750" s="1634"/>
      <c r="C750" s="1448"/>
      <c r="D750" s="1448"/>
      <c r="E750" s="30"/>
      <c r="F750" s="278" t="s">
        <v>100</v>
      </c>
      <c r="G750" s="1448"/>
      <c r="H750" s="30">
        <v>30207516</v>
      </c>
      <c r="I750" s="35"/>
      <c r="J750" s="30">
        <v>6</v>
      </c>
      <c r="K750" s="30">
        <v>1</v>
      </c>
      <c r="L750" s="30"/>
      <c r="M750" s="1454"/>
      <c r="N750" s="1461"/>
    </row>
    <row r="751" spans="2:14">
      <c r="B751" s="1634"/>
      <c r="C751" s="1448"/>
      <c r="D751" s="1448"/>
      <c r="E751" s="30"/>
      <c r="F751" s="278" t="s">
        <v>101</v>
      </c>
      <c r="G751" s="1448"/>
      <c r="H751" s="30">
        <v>30207515</v>
      </c>
      <c r="I751" s="35"/>
      <c r="J751" s="30">
        <v>6</v>
      </c>
      <c r="K751" s="30">
        <v>1</v>
      </c>
      <c r="L751" s="30"/>
      <c r="M751" s="1454"/>
      <c r="N751" s="1461"/>
    </row>
    <row r="752" spans="2:14">
      <c r="B752" s="1634"/>
      <c r="C752" s="1448"/>
      <c r="D752" s="1448"/>
      <c r="E752" s="30"/>
      <c r="F752" s="278" t="s">
        <v>1045</v>
      </c>
      <c r="G752" s="1448"/>
      <c r="H752" s="30">
        <v>30207514</v>
      </c>
      <c r="I752" s="35"/>
      <c r="J752" s="30">
        <v>6</v>
      </c>
      <c r="K752" s="30">
        <v>1</v>
      </c>
      <c r="L752" s="30"/>
      <c r="M752" s="1454"/>
      <c r="N752" s="1461"/>
    </row>
    <row r="753" spans="2:14">
      <c r="B753" s="1634"/>
      <c r="C753" s="1448"/>
      <c r="D753" s="1448"/>
      <c r="E753" s="30"/>
      <c r="F753" s="278" t="s">
        <v>1046</v>
      </c>
      <c r="G753" s="1448"/>
      <c r="H753" s="30">
        <v>30207513</v>
      </c>
      <c r="I753" s="35"/>
      <c r="J753" s="30">
        <v>6</v>
      </c>
      <c r="K753" s="30">
        <v>1</v>
      </c>
      <c r="L753" s="30"/>
      <c r="M753" s="1454"/>
      <c r="N753" s="1461"/>
    </row>
    <row r="754" spans="2:14">
      <c r="B754" s="1634"/>
      <c r="C754" s="1448"/>
      <c r="D754" s="1448"/>
      <c r="E754" s="30"/>
      <c r="F754" s="278" t="s">
        <v>96</v>
      </c>
      <c r="G754" s="1448"/>
      <c r="H754" s="30">
        <v>30207512</v>
      </c>
      <c r="I754" s="35"/>
      <c r="J754" s="30">
        <v>6</v>
      </c>
      <c r="K754" s="30">
        <v>1</v>
      </c>
      <c r="L754" s="30"/>
      <c r="M754" s="1454"/>
      <c r="N754" s="1461"/>
    </row>
    <row r="755" spans="2:14">
      <c r="B755" s="1634"/>
      <c r="C755" s="1448"/>
      <c r="D755" s="1448"/>
      <c r="E755" s="30"/>
      <c r="F755" s="278" t="s">
        <v>94</v>
      </c>
      <c r="G755" s="1448"/>
      <c r="H755" s="30">
        <v>30207511</v>
      </c>
      <c r="I755" s="35"/>
      <c r="J755" s="30">
        <v>6</v>
      </c>
      <c r="K755" s="30">
        <v>1</v>
      </c>
      <c r="L755" s="30"/>
      <c r="M755" s="1454"/>
      <c r="N755" s="1461"/>
    </row>
    <row r="756" spans="2:14">
      <c r="B756" s="1634"/>
      <c r="C756" s="1448"/>
      <c r="D756" s="1448"/>
      <c r="E756" s="30"/>
      <c r="F756" s="278" t="s">
        <v>97</v>
      </c>
      <c r="G756" s="1448"/>
      <c r="H756" s="30">
        <v>30207510</v>
      </c>
      <c r="I756" s="35"/>
      <c r="J756" s="30">
        <v>6</v>
      </c>
      <c r="K756" s="30">
        <v>1</v>
      </c>
      <c r="L756" s="30"/>
      <c r="M756" s="1454"/>
      <c r="N756" s="1461"/>
    </row>
    <row r="757" spans="2:14">
      <c r="B757" s="1634"/>
      <c r="C757" s="1448"/>
      <c r="D757" s="1448"/>
      <c r="E757" s="30"/>
      <c r="F757" s="278" t="s">
        <v>98</v>
      </c>
      <c r="G757" s="1448"/>
      <c r="H757" s="30">
        <v>30207509</v>
      </c>
      <c r="I757" s="35"/>
      <c r="J757" s="30">
        <v>6</v>
      </c>
      <c r="K757" s="30">
        <v>1</v>
      </c>
      <c r="L757" s="30"/>
      <c r="M757" s="1454"/>
      <c r="N757" s="1461"/>
    </row>
    <row r="758" spans="2:14">
      <c r="B758" s="1634"/>
      <c r="C758" s="1448">
        <v>7</v>
      </c>
      <c r="D758" s="1448" t="s">
        <v>106</v>
      </c>
      <c r="E758" s="30"/>
      <c r="F758" s="278" t="s">
        <v>107</v>
      </c>
      <c r="G758" s="1454" t="s">
        <v>108</v>
      </c>
      <c r="H758" s="30">
        <v>30212010</v>
      </c>
      <c r="I758" s="35"/>
      <c r="J758" s="30">
        <v>6</v>
      </c>
      <c r="K758" s="30">
        <v>1</v>
      </c>
      <c r="L758" s="30"/>
      <c r="M758" s="1454" t="s">
        <v>108</v>
      </c>
      <c r="N758" s="1461">
        <v>20250108950</v>
      </c>
    </row>
    <row r="759" spans="2:14">
      <c r="B759" s="1634"/>
      <c r="C759" s="1448"/>
      <c r="D759" s="1448"/>
      <c r="E759" s="30"/>
      <c r="F759" s="278" t="s">
        <v>109</v>
      </c>
      <c r="G759" s="1454"/>
      <c r="H759" s="30">
        <v>30212011</v>
      </c>
      <c r="I759" s="35"/>
      <c r="J759" s="30">
        <v>6</v>
      </c>
      <c r="K759" s="30">
        <v>1</v>
      </c>
      <c r="L759" s="30"/>
      <c r="M759" s="1454"/>
      <c r="N759" s="1461"/>
    </row>
    <row r="760" spans="2:14">
      <c r="B760" s="1634"/>
      <c r="C760" s="1448"/>
      <c r="D760" s="1448"/>
      <c r="E760" s="30"/>
      <c r="F760" s="278" t="s">
        <v>110</v>
      </c>
      <c r="G760" s="1454"/>
      <c r="H760" s="30">
        <v>30207631</v>
      </c>
      <c r="I760" s="35"/>
      <c r="J760" s="30">
        <v>6</v>
      </c>
      <c r="K760" s="30">
        <v>1</v>
      </c>
      <c r="L760" s="30"/>
      <c r="M760" s="1454"/>
      <c r="N760" s="1461"/>
    </row>
    <row r="761" spans="2:14">
      <c r="B761" s="1634"/>
      <c r="C761" s="1448"/>
      <c r="D761" s="1448"/>
      <c r="E761" s="30"/>
      <c r="F761" s="278" t="s">
        <v>111</v>
      </c>
      <c r="G761" s="1454"/>
      <c r="H761" s="30">
        <v>30212014</v>
      </c>
      <c r="I761" s="35"/>
      <c r="J761" s="30">
        <v>6</v>
      </c>
      <c r="K761" s="30">
        <v>1</v>
      </c>
      <c r="L761" s="30"/>
      <c r="M761" s="1454"/>
      <c r="N761" s="1461"/>
    </row>
    <row r="762" spans="2:14">
      <c r="B762" s="1634"/>
      <c r="C762" s="1448"/>
      <c r="D762" s="1448"/>
      <c r="E762" s="30"/>
      <c r="F762" s="278" t="s">
        <v>1047</v>
      </c>
      <c r="G762" s="1454"/>
      <c r="H762" s="30">
        <v>30215952</v>
      </c>
      <c r="I762" s="35"/>
      <c r="J762" s="30">
        <v>6</v>
      </c>
      <c r="K762" s="30">
        <v>1</v>
      </c>
      <c r="L762" s="30"/>
      <c r="M762" s="1454"/>
      <c r="N762" s="1461"/>
    </row>
    <row r="763" spans="2:14">
      <c r="B763" s="1634"/>
      <c r="C763" s="1448"/>
      <c r="D763" s="1448"/>
      <c r="E763" s="30"/>
      <c r="F763" s="278" t="s">
        <v>112</v>
      </c>
      <c r="G763" s="1454"/>
      <c r="H763" s="30">
        <v>30212007</v>
      </c>
      <c r="I763" s="35"/>
      <c r="J763" s="30">
        <v>6</v>
      </c>
      <c r="K763" s="30">
        <v>1</v>
      </c>
      <c r="L763" s="30"/>
      <c r="M763" s="1454"/>
      <c r="N763" s="1461"/>
    </row>
    <row r="764" spans="2:14">
      <c r="B764" s="1634"/>
      <c r="C764" s="1448"/>
      <c r="D764" s="1448"/>
      <c r="E764" s="30"/>
      <c r="F764" s="278" t="s">
        <v>113</v>
      </c>
      <c r="G764" s="1454"/>
      <c r="H764" s="30">
        <v>30212006</v>
      </c>
      <c r="I764" s="35"/>
      <c r="J764" s="30">
        <v>6</v>
      </c>
      <c r="K764" s="30">
        <v>1</v>
      </c>
      <c r="L764" s="30"/>
      <c r="M764" s="1454"/>
      <c r="N764" s="1461"/>
    </row>
    <row r="765" spans="2:14">
      <c r="B765" s="1634"/>
      <c r="C765" s="1448"/>
      <c r="D765" s="1448"/>
      <c r="E765" s="30"/>
      <c r="F765" s="278" t="s">
        <v>114</v>
      </c>
      <c r="G765" s="1454"/>
      <c r="H765" s="30">
        <v>30212012</v>
      </c>
      <c r="I765" s="35"/>
      <c r="J765" s="30">
        <v>6</v>
      </c>
      <c r="K765" s="30">
        <v>1</v>
      </c>
      <c r="L765" s="30"/>
      <c r="M765" s="1454"/>
      <c r="N765" s="1461"/>
    </row>
    <row r="766" spans="2:14">
      <c r="B766" s="1634"/>
      <c r="C766" s="1448"/>
      <c r="D766" s="1448"/>
      <c r="E766" s="30"/>
      <c r="F766" s="278" t="s">
        <v>115</v>
      </c>
      <c r="G766" s="1454"/>
      <c r="H766" s="30">
        <v>30212013</v>
      </c>
      <c r="I766" s="35"/>
      <c r="J766" s="30">
        <v>6</v>
      </c>
      <c r="K766" s="30">
        <v>1</v>
      </c>
      <c r="L766" s="30"/>
      <c r="M766" s="1454"/>
      <c r="N766" s="1461"/>
    </row>
    <row r="767" spans="2:14">
      <c r="B767" s="1634"/>
      <c r="C767" s="1448"/>
      <c r="D767" s="1448"/>
      <c r="E767" s="30"/>
      <c r="F767" s="278" t="s">
        <v>116</v>
      </c>
      <c r="G767" s="1454"/>
      <c r="H767" s="30">
        <v>30212008</v>
      </c>
      <c r="I767" s="35"/>
      <c r="J767" s="30">
        <v>6</v>
      </c>
      <c r="K767" s="30">
        <v>1</v>
      </c>
      <c r="L767" s="30"/>
      <c r="M767" s="1454"/>
      <c r="N767" s="1461"/>
    </row>
    <row r="768" spans="2:14">
      <c r="B768" s="1634"/>
      <c r="C768" s="1448"/>
      <c r="D768" s="1448"/>
      <c r="E768" s="30"/>
      <c r="F768" s="278" t="s">
        <v>117</v>
      </c>
      <c r="G768" s="1454"/>
      <c r="H768" s="30">
        <v>30212009</v>
      </c>
      <c r="I768" s="35"/>
      <c r="J768" s="30">
        <v>6</v>
      </c>
      <c r="K768" s="30">
        <v>1</v>
      </c>
      <c r="L768" s="30"/>
      <c r="M768" s="1454"/>
      <c r="N768" s="1461"/>
    </row>
    <row r="769" spans="2:14">
      <c r="B769" s="1634"/>
      <c r="C769" s="1448"/>
      <c r="D769" s="1448"/>
      <c r="E769" s="30"/>
      <c r="F769" s="278" t="s">
        <v>1048</v>
      </c>
      <c r="G769" s="1454"/>
      <c r="H769" s="30">
        <v>30215953</v>
      </c>
      <c r="I769" s="35"/>
      <c r="J769" s="30">
        <v>6</v>
      </c>
      <c r="K769" s="30">
        <v>1</v>
      </c>
      <c r="L769" s="30"/>
      <c r="M769" s="1454"/>
      <c r="N769" s="1461"/>
    </row>
    <row r="770" spans="2:14">
      <c r="B770" s="1634"/>
      <c r="C770" s="1448"/>
      <c r="D770" s="1448"/>
      <c r="E770" s="30"/>
      <c r="F770" s="278" t="s">
        <v>1049</v>
      </c>
      <c r="G770" s="1454"/>
      <c r="H770" s="30">
        <v>30215949</v>
      </c>
      <c r="I770" s="35"/>
      <c r="J770" s="30">
        <v>6</v>
      </c>
      <c r="K770" s="30">
        <v>1</v>
      </c>
      <c r="L770" s="30"/>
      <c r="M770" s="1454"/>
      <c r="N770" s="1461"/>
    </row>
    <row r="771" spans="2:14">
      <c r="B771" s="1634"/>
      <c r="C771" s="1448"/>
      <c r="D771" s="1448"/>
      <c r="E771" s="30"/>
      <c r="F771" s="278" t="s">
        <v>1050</v>
      </c>
      <c r="G771" s="1454"/>
      <c r="H771" s="30">
        <v>30215950</v>
      </c>
      <c r="I771" s="35"/>
      <c r="J771" s="30">
        <v>6</v>
      </c>
      <c r="K771" s="30">
        <v>1</v>
      </c>
      <c r="L771" s="30"/>
      <c r="M771" s="1454"/>
      <c r="N771" s="1461"/>
    </row>
    <row r="772" spans="2:14">
      <c r="B772" s="1634"/>
      <c r="C772" s="1448"/>
      <c r="D772" s="1448"/>
      <c r="E772" s="30"/>
      <c r="F772" s="278" t="s">
        <v>1051</v>
      </c>
      <c r="G772" s="1454"/>
      <c r="H772" s="30">
        <v>30215951</v>
      </c>
      <c r="I772" s="35"/>
      <c r="J772" s="30">
        <v>6</v>
      </c>
      <c r="K772" s="30">
        <v>1</v>
      </c>
      <c r="L772" s="30"/>
      <c r="M772" s="1454"/>
      <c r="N772" s="1461"/>
    </row>
    <row r="773" spans="2:14">
      <c r="B773" s="1634"/>
      <c r="C773" s="1448">
        <v>8</v>
      </c>
      <c r="D773" s="1448" t="s">
        <v>118</v>
      </c>
      <c r="E773" s="30"/>
      <c r="F773" s="278" t="s">
        <v>119</v>
      </c>
      <c r="G773" s="1454" t="s">
        <v>120</v>
      </c>
      <c r="H773" s="30">
        <v>30211488</v>
      </c>
      <c r="I773" s="35">
        <v>17900</v>
      </c>
      <c r="J773" s="30">
        <v>6</v>
      </c>
      <c r="K773" s="30">
        <v>1</v>
      </c>
      <c r="L773" s="30"/>
      <c r="M773" s="1454" t="s">
        <v>120</v>
      </c>
      <c r="N773" s="1461">
        <v>20250108951</v>
      </c>
    </row>
    <row r="774" spans="2:14">
      <c r="B774" s="1634"/>
      <c r="C774" s="1448"/>
      <c r="D774" s="1448"/>
      <c r="E774" s="30"/>
      <c r="F774" s="278" t="s">
        <v>121</v>
      </c>
      <c r="G774" s="1454"/>
      <c r="H774" s="30">
        <v>30211489</v>
      </c>
      <c r="I774" s="35">
        <v>17900</v>
      </c>
      <c r="J774" s="30">
        <v>6</v>
      </c>
      <c r="K774" s="30">
        <v>1</v>
      </c>
      <c r="L774" s="30"/>
      <c r="M774" s="1454"/>
      <c r="N774" s="1461"/>
    </row>
    <row r="775" spans="2:14">
      <c r="B775" s="1634"/>
      <c r="C775" s="1448"/>
      <c r="D775" s="1448"/>
      <c r="E775" s="30"/>
      <c r="F775" s="278" t="s">
        <v>122</v>
      </c>
      <c r="G775" s="1454"/>
      <c r="H775" s="30">
        <v>30211490</v>
      </c>
      <c r="I775" s="35">
        <v>20900</v>
      </c>
      <c r="J775" s="30">
        <v>6</v>
      </c>
      <c r="K775" s="30">
        <v>1</v>
      </c>
      <c r="L775" s="30"/>
      <c r="M775" s="1454"/>
      <c r="N775" s="1461"/>
    </row>
    <row r="776" spans="2:14" ht="33">
      <c r="B776" s="1634"/>
      <c r="C776" s="1448">
        <v>9</v>
      </c>
      <c r="D776" s="1448" t="s">
        <v>123</v>
      </c>
      <c r="E776" s="30"/>
      <c r="F776" s="278" t="s">
        <v>124</v>
      </c>
      <c r="G776" s="1454" t="s">
        <v>125</v>
      </c>
      <c r="H776" s="30">
        <v>30211492</v>
      </c>
      <c r="I776" s="35">
        <v>39900</v>
      </c>
      <c r="J776" s="30">
        <v>6</v>
      </c>
      <c r="K776" s="30">
        <v>1</v>
      </c>
      <c r="L776" s="30"/>
      <c r="M776" s="1454" t="s">
        <v>125</v>
      </c>
      <c r="N776" s="1461">
        <v>20250108952</v>
      </c>
    </row>
    <row r="777" spans="2:14">
      <c r="B777" s="1634"/>
      <c r="C777" s="1448"/>
      <c r="D777" s="1448"/>
      <c r="E777" s="30"/>
      <c r="F777" s="278" t="s">
        <v>126</v>
      </c>
      <c r="G777" s="1454"/>
      <c r="H777" s="30">
        <v>30211493</v>
      </c>
      <c r="I777" s="35">
        <v>39900</v>
      </c>
      <c r="J777" s="30">
        <v>6</v>
      </c>
      <c r="K777" s="30">
        <v>1</v>
      </c>
      <c r="L777" s="30"/>
      <c r="M777" s="1454"/>
      <c r="N777" s="1461"/>
    </row>
    <row r="778" spans="2:14">
      <c r="B778" s="1634"/>
      <c r="C778" s="1448">
        <v>10</v>
      </c>
      <c r="D778" s="1448" t="s">
        <v>127</v>
      </c>
      <c r="E778" s="30"/>
      <c r="F778" s="278" t="s">
        <v>128</v>
      </c>
      <c r="G778" s="1454" t="s">
        <v>129</v>
      </c>
      <c r="H778" s="30">
        <v>30211626</v>
      </c>
      <c r="I778" s="35">
        <v>16500</v>
      </c>
      <c r="J778" s="30">
        <v>6</v>
      </c>
      <c r="K778" s="30">
        <v>1</v>
      </c>
      <c r="L778" s="30"/>
      <c r="M778" s="1454" t="s">
        <v>129</v>
      </c>
      <c r="N778" s="1461">
        <v>20250108953</v>
      </c>
    </row>
    <row r="779" spans="2:14">
      <c r="B779" s="1634"/>
      <c r="C779" s="1448"/>
      <c r="D779" s="1448"/>
      <c r="E779" s="30"/>
      <c r="F779" s="278" t="s">
        <v>130</v>
      </c>
      <c r="G779" s="1454"/>
      <c r="H779" s="30">
        <v>30211495</v>
      </c>
      <c r="I779" s="35">
        <v>23900</v>
      </c>
      <c r="J779" s="30">
        <v>6</v>
      </c>
      <c r="K779" s="30">
        <v>1</v>
      </c>
      <c r="L779" s="30"/>
      <c r="M779" s="1454"/>
      <c r="N779" s="1461"/>
    </row>
    <row r="780" spans="2:14">
      <c r="B780" s="1634"/>
      <c r="C780" s="1448"/>
      <c r="D780" s="1448"/>
      <c r="E780" s="30"/>
      <c r="F780" s="278" t="s">
        <v>131</v>
      </c>
      <c r="G780" s="1454"/>
      <c r="H780" s="30">
        <v>30211497</v>
      </c>
      <c r="I780" s="35">
        <v>21500</v>
      </c>
      <c r="J780" s="30">
        <v>6</v>
      </c>
      <c r="K780" s="30">
        <v>1</v>
      </c>
      <c r="L780" s="30"/>
      <c r="M780" s="1454"/>
      <c r="N780" s="1461"/>
    </row>
    <row r="781" spans="2:14">
      <c r="B781" s="1634"/>
      <c r="C781" s="1448"/>
      <c r="D781" s="1448"/>
      <c r="E781" s="30"/>
      <c r="F781" s="278" t="s">
        <v>132</v>
      </c>
      <c r="G781" s="1454"/>
      <c r="H781" s="30">
        <v>30211498</v>
      </c>
      <c r="I781" s="35">
        <v>16900</v>
      </c>
      <c r="J781" s="30">
        <v>6</v>
      </c>
      <c r="K781" s="30">
        <v>1</v>
      </c>
      <c r="L781" s="30"/>
      <c r="M781" s="1454"/>
      <c r="N781" s="1461"/>
    </row>
    <row r="782" spans="2:14">
      <c r="B782" s="1634"/>
      <c r="C782" s="1448"/>
      <c r="D782" s="1448"/>
      <c r="E782" s="30"/>
      <c r="F782" s="278" t="s">
        <v>133</v>
      </c>
      <c r="G782" s="1454"/>
      <c r="H782" s="30">
        <v>30211499</v>
      </c>
      <c r="I782" s="35">
        <v>21900</v>
      </c>
      <c r="J782" s="30">
        <v>6</v>
      </c>
      <c r="K782" s="30">
        <v>1</v>
      </c>
      <c r="L782" s="30"/>
      <c r="M782" s="1454"/>
      <c r="N782" s="1461"/>
    </row>
    <row r="783" spans="2:14">
      <c r="B783" s="1634"/>
      <c r="C783" s="1448"/>
      <c r="D783" s="1448"/>
      <c r="E783" s="30"/>
      <c r="F783" s="278" t="s">
        <v>134</v>
      </c>
      <c r="G783" s="1454"/>
      <c r="H783" s="30">
        <v>30211501</v>
      </c>
      <c r="I783" s="35">
        <v>23900</v>
      </c>
      <c r="J783" s="30">
        <v>6</v>
      </c>
      <c r="K783" s="30">
        <v>1</v>
      </c>
      <c r="L783" s="30"/>
      <c r="M783" s="1454"/>
      <c r="N783" s="1461"/>
    </row>
    <row r="784" spans="2:14">
      <c r="B784" s="1634"/>
      <c r="C784" s="1448"/>
      <c r="D784" s="1448"/>
      <c r="E784" s="30"/>
      <c r="F784" s="278" t="s">
        <v>135</v>
      </c>
      <c r="G784" s="1454"/>
      <c r="H784" s="30">
        <v>30211502</v>
      </c>
      <c r="I784" s="35">
        <v>8900</v>
      </c>
      <c r="J784" s="30">
        <v>6</v>
      </c>
      <c r="K784" s="30">
        <v>1</v>
      </c>
      <c r="L784" s="30"/>
      <c r="M784" s="1454"/>
      <c r="N784" s="1461"/>
    </row>
    <row r="785" spans="2:14">
      <c r="B785" s="1691"/>
      <c r="C785" s="1448"/>
      <c r="D785" s="1448"/>
      <c r="E785" s="30"/>
      <c r="F785" s="278" t="s">
        <v>136</v>
      </c>
      <c r="G785" s="1454"/>
      <c r="H785" s="30">
        <v>30211503</v>
      </c>
      <c r="I785" s="35">
        <v>12900</v>
      </c>
      <c r="J785" s="30">
        <v>6</v>
      </c>
      <c r="K785" s="30">
        <v>1</v>
      </c>
      <c r="L785" s="30"/>
      <c r="M785" s="1454"/>
      <c r="N785" s="1461"/>
    </row>
    <row r="786" spans="2:14">
      <c r="B786" s="1628" t="s">
        <v>264</v>
      </c>
      <c r="C786" s="1628">
        <v>1</v>
      </c>
      <c r="D786" s="1689" t="s">
        <v>315</v>
      </c>
      <c r="E786" s="140">
        <v>71581822</v>
      </c>
      <c r="F786" s="281" t="s">
        <v>1052</v>
      </c>
      <c r="G786" s="1521" t="s">
        <v>1053</v>
      </c>
      <c r="H786" s="38">
        <v>30215357</v>
      </c>
      <c r="I786" s="41">
        <v>20900</v>
      </c>
      <c r="J786" s="42">
        <v>0.08</v>
      </c>
      <c r="K786" s="38">
        <v>5</v>
      </c>
      <c r="L786" s="41">
        <v>104500</v>
      </c>
      <c r="M786" s="1521" t="s">
        <v>1054</v>
      </c>
      <c r="N786" s="1461">
        <v>20250108954</v>
      </c>
    </row>
    <row r="787" spans="2:14">
      <c r="B787" s="1629"/>
      <c r="C787" s="1629"/>
      <c r="D787" s="1687"/>
      <c r="E787" s="145">
        <v>71581829</v>
      </c>
      <c r="F787" s="282" t="s">
        <v>1055</v>
      </c>
      <c r="G787" s="1521"/>
      <c r="H787" s="38">
        <v>30215358</v>
      </c>
      <c r="I787" s="41">
        <v>21900</v>
      </c>
      <c r="J787" s="42">
        <v>0.08</v>
      </c>
      <c r="K787" s="38">
        <v>5</v>
      </c>
      <c r="L787" s="41">
        <v>109500</v>
      </c>
      <c r="M787" s="1521"/>
      <c r="N787" s="1461"/>
    </row>
    <row r="788" spans="2:14">
      <c r="B788" s="1629"/>
      <c r="C788" s="1629"/>
      <c r="D788" s="1687"/>
      <c r="E788" s="145">
        <v>71581808</v>
      </c>
      <c r="F788" s="282" t="s">
        <v>1056</v>
      </c>
      <c r="G788" s="1521"/>
      <c r="H788" s="38">
        <v>30215359</v>
      </c>
      <c r="I788" s="41">
        <v>10900</v>
      </c>
      <c r="J788" s="42">
        <v>0.08</v>
      </c>
      <c r="K788" s="38">
        <v>5</v>
      </c>
      <c r="L788" s="41">
        <v>54500</v>
      </c>
      <c r="M788" s="1521"/>
      <c r="N788" s="1461"/>
    </row>
    <row r="789" spans="2:14">
      <c r="B789" s="1629"/>
      <c r="C789" s="1629"/>
      <c r="D789" s="1687"/>
      <c r="E789" s="145">
        <v>71582191</v>
      </c>
      <c r="F789" s="282" t="s">
        <v>1057</v>
      </c>
      <c r="G789" s="1521"/>
      <c r="H789" s="38">
        <v>30215360</v>
      </c>
      <c r="I789" s="41">
        <v>15900</v>
      </c>
      <c r="J789" s="42">
        <v>0.08</v>
      </c>
      <c r="K789" s="38">
        <v>5</v>
      </c>
      <c r="L789" s="41">
        <v>79500</v>
      </c>
      <c r="M789" s="1521"/>
      <c r="N789" s="1461"/>
    </row>
    <row r="790" spans="2:14">
      <c r="B790" s="1629"/>
      <c r="C790" s="1630"/>
      <c r="D790" s="1688"/>
      <c r="E790" s="145">
        <v>71582089</v>
      </c>
      <c r="F790" s="282" t="s">
        <v>1058</v>
      </c>
      <c r="G790" s="1521"/>
      <c r="H790" s="38">
        <v>30215361</v>
      </c>
      <c r="I790" s="41">
        <v>22900</v>
      </c>
      <c r="J790" s="42">
        <v>0.08</v>
      </c>
      <c r="K790" s="38">
        <v>5</v>
      </c>
      <c r="L790" s="41">
        <v>114500</v>
      </c>
      <c r="M790" s="1521"/>
      <c r="N790" s="1461"/>
    </row>
    <row r="791" spans="2:14">
      <c r="B791" s="1629"/>
      <c r="C791" s="1628">
        <v>2</v>
      </c>
      <c r="D791" s="1689" t="s">
        <v>299</v>
      </c>
      <c r="E791" s="145">
        <v>72088746</v>
      </c>
      <c r="F791" s="282" t="s">
        <v>1059</v>
      </c>
      <c r="G791" s="1521" t="s">
        <v>1060</v>
      </c>
      <c r="H791" s="38">
        <v>30215364</v>
      </c>
      <c r="I791" s="41">
        <v>21900</v>
      </c>
      <c r="J791" s="42">
        <v>0.08</v>
      </c>
      <c r="K791" s="38">
        <v>5</v>
      </c>
      <c r="L791" s="41">
        <v>109500</v>
      </c>
      <c r="M791" s="1521" t="s">
        <v>1061</v>
      </c>
      <c r="N791" s="1461">
        <v>20250108955</v>
      </c>
    </row>
    <row r="792" spans="2:14">
      <c r="B792" s="1629"/>
      <c r="C792" s="1629"/>
      <c r="D792" s="1687"/>
      <c r="E792" s="145">
        <v>72088743</v>
      </c>
      <c r="F792" s="282" t="s">
        <v>1062</v>
      </c>
      <c r="G792" s="1521"/>
      <c r="H792" s="38">
        <v>30215367</v>
      </c>
      <c r="I792" s="41">
        <v>21900</v>
      </c>
      <c r="J792" s="42">
        <v>0.08</v>
      </c>
      <c r="K792" s="38">
        <v>5</v>
      </c>
      <c r="L792" s="41">
        <v>109500</v>
      </c>
      <c r="M792" s="1521"/>
      <c r="N792" s="1461"/>
    </row>
    <row r="793" spans="2:14">
      <c r="B793" s="1629"/>
      <c r="C793" s="1629"/>
      <c r="D793" s="1687"/>
      <c r="E793" s="145">
        <v>72088759</v>
      </c>
      <c r="F793" s="282" t="s">
        <v>1063</v>
      </c>
      <c r="G793" s="1521"/>
      <c r="H793" s="38">
        <v>30215368</v>
      </c>
      <c r="I793" s="41">
        <v>21900</v>
      </c>
      <c r="J793" s="42">
        <v>0.08</v>
      </c>
      <c r="K793" s="38">
        <v>5</v>
      </c>
      <c r="L793" s="41">
        <v>109500</v>
      </c>
      <c r="M793" s="1521"/>
      <c r="N793" s="1461"/>
    </row>
    <row r="794" spans="2:14">
      <c r="B794" s="1629"/>
      <c r="C794" s="1629"/>
      <c r="D794" s="1687"/>
      <c r="E794" s="145">
        <v>72088727</v>
      </c>
      <c r="F794" s="282" t="s">
        <v>1064</v>
      </c>
      <c r="G794" s="1521"/>
      <c r="H794" s="38">
        <v>30215370</v>
      </c>
      <c r="I794" s="41">
        <v>21900</v>
      </c>
      <c r="J794" s="42">
        <v>0.08</v>
      </c>
      <c r="K794" s="38">
        <v>5</v>
      </c>
      <c r="L794" s="41">
        <v>109500</v>
      </c>
      <c r="M794" s="1521"/>
      <c r="N794" s="1461"/>
    </row>
    <row r="795" spans="2:14">
      <c r="B795" s="1629"/>
      <c r="C795" s="1630"/>
      <c r="D795" s="1688"/>
      <c r="E795" s="145">
        <v>72088752</v>
      </c>
      <c r="F795" s="282" t="s">
        <v>1065</v>
      </c>
      <c r="G795" s="1521"/>
      <c r="H795" s="38">
        <v>30215372</v>
      </c>
      <c r="I795" s="41">
        <v>20900</v>
      </c>
      <c r="J795" s="42">
        <v>0.08</v>
      </c>
      <c r="K795" s="38">
        <v>5</v>
      </c>
      <c r="L795" s="41">
        <v>104500</v>
      </c>
      <c r="M795" s="1521"/>
      <c r="N795" s="1461"/>
    </row>
    <row r="796" spans="2:14">
      <c r="B796" s="1629"/>
      <c r="C796" s="1628">
        <v>3</v>
      </c>
      <c r="D796" s="1689" t="s">
        <v>307</v>
      </c>
      <c r="E796" s="145">
        <v>72341110</v>
      </c>
      <c r="F796" s="282" t="s">
        <v>1066</v>
      </c>
      <c r="G796" s="1521" t="s">
        <v>1067</v>
      </c>
      <c r="H796" s="38">
        <v>30209886</v>
      </c>
      <c r="I796" s="41">
        <v>18500</v>
      </c>
      <c r="J796" s="42">
        <v>0.08</v>
      </c>
      <c r="K796" s="38">
        <v>5</v>
      </c>
      <c r="L796" s="41">
        <v>92500</v>
      </c>
      <c r="M796" s="1521" t="s">
        <v>1068</v>
      </c>
      <c r="N796" s="1461">
        <v>20250108956</v>
      </c>
    </row>
    <row r="797" spans="2:14">
      <c r="B797" s="1629"/>
      <c r="C797" s="1629"/>
      <c r="D797" s="1687"/>
      <c r="E797" s="145">
        <v>73015967</v>
      </c>
      <c r="F797" s="282" t="s">
        <v>1069</v>
      </c>
      <c r="G797" s="1521"/>
      <c r="H797" s="38">
        <v>30215374</v>
      </c>
      <c r="I797" s="41">
        <v>18700</v>
      </c>
      <c r="J797" s="42">
        <v>0.08</v>
      </c>
      <c r="K797" s="38">
        <v>5</v>
      </c>
      <c r="L797" s="41">
        <v>93500</v>
      </c>
      <c r="M797" s="1521"/>
      <c r="N797" s="1461"/>
    </row>
    <row r="798" spans="2:14">
      <c r="B798" s="1629"/>
      <c r="C798" s="1629"/>
      <c r="D798" s="1687"/>
      <c r="E798" s="145">
        <v>72341109</v>
      </c>
      <c r="F798" s="282" t="s">
        <v>1070</v>
      </c>
      <c r="G798" s="1521"/>
      <c r="H798" s="38">
        <v>30210973</v>
      </c>
      <c r="I798" s="41">
        <v>18500</v>
      </c>
      <c r="J798" s="42">
        <v>0.08</v>
      </c>
      <c r="K798" s="38">
        <v>5</v>
      </c>
      <c r="L798" s="41">
        <v>92500</v>
      </c>
      <c r="M798" s="1521"/>
      <c r="N798" s="1461"/>
    </row>
    <row r="799" spans="2:14">
      <c r="B799" s="1629"/>
      <c r="C799" s="1629"/>
      <c r="D799" s="1687"/>
      <c r="E799" s="145">
        <v>73015939</v>
      </c>
      <c r="F799" s="282" t="s">
        <v>1071</v>
      </c>
      <c r="G799" s="1521"/>
      <c r="H799" s="38">
        <v>30215375</v>
      </c>
      <c r="I799" s="41">
        <v>18700</v>
      </c>
      <c r="J799" s="42">
        <v>0.08</v>
      </c>
      <c r="K799" s="38">
        <v>5</v>
      </c>
      <c r="L799" s="41">
        <v>93500</v>
      </c>
      <c r="M799" s="1521"/>
      <c r="N799" s="1461"/>
    </row>
    <row r="800" spans="2:14">
      <c r="B800" s="1629"/>
      <c r="C800" s="1630"/>
      <c r="D800" s="1688"/>
      <c r="E800" s="145">
        <v>73015961</v>
      </c>
      <c r="F800" s="282" t="s">
        <v>1072</v>
      </c>
      <c r="G800" s="1521"/>
      <c r="H800" s="38">
        <v>30215376</v>
      </c>
      <c r="I800" s="41">
        <v>18500</v>
      </c>
      <c r="J800" s="42">
        <v>0.08</v>
      </c>
      <c r="K800" s="38">
        <v>5</v>
      </c>
      <c r="L800" s="41">
        <v>92500</v>
      </c>
      <c r="M800" s="1521"/>
      <c r="N800" s="1461"/>
    </row>
    <row r="801" spans="2:14">
      <c r="B801" s="1629"/>
      <c r="C801" s="1628">
        <v>4</v>
      </c>
      <c r="D801" s="1628" t="s">
        <v>286</v>
      </c>
      <c r="E801" s="283">
        <v>30203660</v>
      </c>
      <c r="F801" s="284" t="s">
        <v>291</v>
      </c>
      <c r="G801" s="1521" t="s">
        <v>656</v>
      </c>
      <c r="H801" s="38">
        <v>30204168</v>
      </c>
      <c r="I801" s="285">
        <v>59900</v>
      </c>
      <c r="J801" s="286">
        <v>0.13</v>
      </c>
      <c r="K801" s="38">
        <v>5</v>
      </c>
      <c r="L801" s="41">
        <v>299500</v>
      </c>
      <c r="M801" s="1521" t="s">
        <v>289</v>
      </c>
      <c r="N801" s="1461">
        <v>20250108957</v>
      </c>
    </row>
    <row r="802" spans="2:14">
      <c r="B802" s="1629"/>
      <c r="C802" s="1629"/>
      <c r="D802" s="1629"/>
      <c r="E802" s="287">
        <v>30164117</v>
      </c>
      <c r="F802" s="288" t="s">
        <v>292</v>
      </c>
      <c r="G802" s="1521"/>
      <c r="H802" s="38">
        <v>30164117</v>
      </c>
      <c r="I802" s="285">
        <v>19900</v>
      </c>
      <c r="J802" s="286">
        <v>0.13</v>
      </c>
      <c r="K802" s="38">
        <v>5</v>
      </c>
      <c r="L802" s="41">
        <v>99500</v>
      </c>
      <c r="M802" s="1521"/>
      <c r="N802" s="1461"/>
    </row>
    <row r="803" spans="2:14">
      <c r="B803" s="1629"/>
      <c r="C803" s="1629"/>
      <c r="D803" s="1629"/>
      <c r="E803" s="287">
        <v>30205340</v>
      </c>
      <c r="F803" s="284" t="s">
        <v>296</v>
      </c>
      <c r="G803" s="1521"/>
      <c r="H803" s="38">
        <v>30206683</v>
      </c>
      <c r="I803" s="285">
        <v>26900</v>
      </c>
      <c r="J803" s="286">
        <v>0.13</v>
      </c>
      <c r="K803" s="38">
        <v>5</v>
      </c>
      <c r="L803" s="41">
        <v>134500</v>
      </c>
      <c r="M803" s="1521"/>
      <c r="N803" s="1461"/>
    </row>
    <row r="804" spans="2:14">
      <c r="B804" s="1629"/>
      <c r="C804" s="1629"/>
      <c r="D804" s="1629"/>
      <c r="E804" s="287">
        <v>30205660</v>
      </c>
      <c r="F804" s="284" t="s">
        <v>1073</v>
      </c>
      <c r="G804" s="1521"/>
      <c r="H804" s="38">
        <v>30165751</v>
      </c>
      <c r="I804" s="285">
        <v>29900</v>
      </c>
      <c r="J804" s="286">
        <v>0.13</v>
      </c>
      <c r="K804" s="38">
        <v>5</v>
      </c>
      <c r="L804" s="41">
        <v>149500</v>
      </c>
      <c r="M804" s="1521"/>
      <c r="N804" s="1461"/>
    </row>
    <row r="805" spans="2:14">
      <c r="B805" s="1629"/>
      <c r="C805" s="1629"/>
      <c r="D805" s="1629"/>
      <c r="E805" s="287">
        <v>30206692</v>
      </c>
      <c r="F805" s="284" t="s">
        <v>295</v>
      </c>
      <c r="G805" s="1521"/>
      <c r="H805" s="84">
        <v>30215377</v>
      </c>
      <c r="I805" s="285">
        <v>36900</v>
      </c>
      <c r="J805" s="286">
        <v>0.13</v>
      </c>
      <c r="K805" s="38">
        <v>5</v>
      </c>
      <c r="L805" s="41">
        <v>184500</v>
      </c>
      <c r="M805" s="1521"/>
      <c r="N805" s="1461"/>
    </row>
    <row r="806" spans="2:14">
      <c r="B806" s="1629"/>
      <c r="C806" s="1629"/>
      <c r="D806" s="1629"/>
      <c r="E806" s="283">
        <v>30211935</v>
      </c>
      <c r="F806" s="284" t="s">
        <v>287</v>
      </c>
      <c r="G806" s="1521"/>
      <c r="H806" s="38">
        <v>30213229</v>
      </c>
      <c r="I806" s="285">
        <v>14300</v>
      </c>
      <c r="J806" s="286">
        <v>0.13</v>
      </c>
      <c r="K806" s="38">
        <v>5</v>
      </c>
      <c r="L806" s="41">
        <v>71500</v>
      </c>
      <c r="M806" s="1521"/>
      <c r="N806" s="1461"/>
    </row>
    <row r="807" spans="2:14">
      <c r="B807" s="1629"/>
      <c r="C807" s="1629"/>
      <c r="D807" s="1629"/>
      <c r="E807" s="283">
        <v>30202366</v>
      </c>
      <c r="F807" s="284" t="s">
        <v>290</v>
      </c>
      <c r="G807" s="1521"/>
      <c r="H807" s="38">
        <v>30203510</v>
      </c>
      <c r="I807" s="285">
        <v>19900</v>
      </c>
      <c r="J807" s="286">
        <v>0.13</v>
      </c>
      <c r="K807" s="38">
        <v>5</v>
      </c>
      <c r="L807" s="41">
        <v>99500</v>
      </c>
      <c r="M807" s="1521"/>
      <c r="N807" s="1461"/>
    </row>
    <row r="808" spans="2:14">
      <c r="B808" s="1629"/>
      <c r="C808" s="1629"/>
      <c r="D808" s="1629"/>
      <c r="E808" s="283">
        <v>74027977</v>
      </c>
      <c r="F808" s="288" t="s">
        <v>657</v>
      </c>
      <c r="G808" s="1521"/>
      <c r="H808" s="38">
        <v>30215378</v>
      </c>
      <c r="I808" s="285">
        <v>15900</v>
      </c>
      <c r="J808" s="286">
        <v>0.13</v>
      </c>
      <c r="K808" s="38">
        <v>5</v>
      </c>
      <c r="L808" s="41">
        <v>79500</v>
      </c>
      <c r="M808" s="1521"/>
      <c r="N808" s="1461"/>
    </row>
    <row r="809" spans="2:14">
      <c r="B809" s="1629"/>
      <c r="C809" s="1642"/>
      <c r="D809" s="1642"/>
      <c r="E809" s="287">
        <v>71123621</v>
      </c>
      <c r="F809" s="288" t="s">
        <v>293</v>
      </c>
      <c r="G809" s="1521"/>
      <c r="H809" s="38">
        <v>30213233</v>
      </c>
      <c r="I809" s="285">
        <v>19900</v>
      </c>
      <c r="J809" s="286">
        <v>0.13</v>
      </c>
      <c r="K809" s="38">
        <v>5</v>
      </c>
      <c r="L809" s="41">
        <v>99500</v>
      </c>
      <c r="M809" s="1521"/>
      <c r="N809" s="1461"/>
    </row>
    <row r="810" spans="2:14">
      <c r="B810" s="1629"/>
      <c r="C810" s="1687">
        <v>5</v>
      </c>
      <c r="D810" s="1687" t="s">
        <v>658</v>
      </c>
      <c r="E810" s="145">
        <v>72250554</v>
      </c>
      <c r="F810" s="282" t="s">
        <v>1074</v>
      </c>
      <c r="G810" s="1521" t="s">
        <v>1075</v>
      </c>
      <c r="H810" s="38">
        <v>30210930</v>
      </c>
      <c r="I810" s="41">
        <v>11300</v>
      </c>
      <c r="J810" s="42">
        <v>0.1</v>
      </c>
      <c r="K810" s="38">
        <v>5</v>
      </c>
      <c r="L810" s="41">
        <v>56500</v>
      </c>
      <c r="M810" s="1521" t="s">
        <v>1076</v>
      </c>
      <c r="N810" s="1461">
        <v>20250108958</v>
      </c>
    </row>
    <row r="811" spans="2:14">
      <c r="B811" s="1629"/>
      <c r="C811" s="1688"/>
      <c r="D811" s="1688"/>
      <c r="E811" s="145">
        <v>72250550</v>
      </c>
      <c r="F811" s="282" t="s">
        <v>1077</v>
      </c>
      <c r="G811" s="1521"/>
      <c r="H811" s="38">
        <v>30215380</v>
      </c>
      <c r="I811" s="41">
        <v>11300</v>
      </c>
      <c r="J811" s="42">
        <v>0.1</v>
      </c>
      <c r="K811" s="38">
        <v>5</v>
      </c>
      <c r="L811" s="41">
        <v>56500</v>
      </c>
      <c r="M811" s="1521"/>
      <c r="N811" s="1461"/>
    </row>
    <row r="812" spans="2:14">
      <c r="B812" s="1629"/>
      <c r="C812" s="1689">
        <v>6</v>
      </c>
      <c r="D812" s="1689" t="s">
        <v>658</v>
      </c>
      <c r="E812" s="145">
        <v>67984393</v>
      </c>
      <c r="F812" s="282" t="s">
        <v>1078</v>
      </c>
      <c r="G812" s="1521" t="s">
        <v>1079</v>
      </c>
      <c r="H812" s="38">
        <v>30215381</v>
      </c>
      <c r="I812" s="41">
        <v>13900</v>
      </c>
      <c r="J812" s="42">
        <v>0.1</v>
      </c>
      <c r="K812" s="38">
        <v>5</v>
      </c>
      <c r="L812" s="41">
        <v>69500</v>
      </c>
      <c r="M812" s="1521" t="s">
        <v>1080</v>
      </c>
      <c r="N812" s="1461">
        <v>20250108959</v>
      </c>
    </row>
    <row r="813" spans="2:14">
      <c r="B813" s="1629"/>
      <c r="C813" s="1687"/>
      <c r="D813" s="1687"/>
      <c r="E813" s="145">
        <v>67984397</v>
      </c>
      <c r="F813" s="282" t="s">
        <v>1081</v>
      </c>
      <c r="G813" s="1521"/>
      <c r="H813" s="38">
        <v>30215382</v>
      </c>
      <c r="I813" s="41">
        <v>13900</v>
      </c>
      <c r="J813" s="42">
        <v>0.1</v>
      </c>
      <c r="K813" s="38">
        <v>5</v>
      </c>
      <c r="L813" s="41">
        <v>69500</v>
      </c>
      <c r="M813" s="1521"/>
      <c r="N813" s="1461"/>
    </row>
    <row r="814" spans="2:14">
      <c r="B814" s="1629"/>
      <c r="C814" s="1687"/>
      <c r="D814" s="1687"/>
      <c r="E814" s="145">
        <v>67984395</v>
      </c>
      <c r="F814" s="282" t="s">
        <v>1082</v>
      </c>
      <c r="G814" s="1521"/>
      <c r="H814" s="38">
        <v>30215383</v>
      </c>
      <c r="I814" s="41">
        <v>13900</v>
      </c>
      <c r="J814" s="42">
        <v>0.1</v>
      </c>
      <c r="K814" s="38">
        <v>5</v>
      </c>
      <c r="L814" s="41">
        <v>69500</v>
      </c>
      <c r="M814" s="1521"/>
      <c r="N814" s="1461"/>
    </row>
    <row r="815" spans="2:14">
      <c r="B815" s="1629"/>
      <c r="C815" s="1688"/>
      <c r="D815" s="1688"/>
      <c r="E815" s="145">
        <v>67984394</v>
      </c>
      <c r="F815" s="282" t="s">
        <v>1083</v>
      </c>
      <c r="G815" s="1521"/>
      <c r="H815" s="38">
        <v>30215384</v>
      </c>
      <c r="I815" s="41">
        <v>13900</v>
      </c>
      <c r="J815" s="42">
        <v>0.1</v>
      </c>
      <c r="K815" s="38">
        <v>5</v>
      </c>
      <c r="L815" s="41">
        <v>69500</v>
      </c>
      <c r="M815" s="1521"/>
      <c r="N815" s="1461"/>
    </row>
    <row r="816" spans="2:14">
      <c r="B816" s="1629"/>
      <c r="C816" s="1628">
        <v>7</v>
      </c>
      <c r="D816" s="1628" t="s">
        <v>265</v>
      </c>
      <c r="E816" s="145">
        <v>71394672</v>
      </c>
      <c r="F816" s="282" t="s">
        <v>266</v>
      </c>
      <c r="G816" s="1521" t="s">
        <v>1084</v>
      </c>
      <c r="H816" s="38">
        <v>30210941</v>
      </c>
      <c r="I816" s="41">
        <v>7900</v>
      </c>
      <c r="J816" s="42">
        <v>0.1</v>
      </c>
      <c r="K816" s="38">
        <v>5</v>
      </c>
      <c r="L816" s="41">
        <v>39500</v>
      </c>
      <c r="M816" s="1521" t="s">
        <v>651</v>
      </c>
      <c r="N816" s="1461">
        <v>20250108960</v>
      </c>
    </row>
    <row r="817" spans="2:14">
      <c r="B817" s="1629"/>
      <c r="C817" s="1629"/>
      <c r="D817" s="1629"/>
      <c r="E817" s="145">
        <v>70752251</v>
      </c>
      <c r="F817" s="282" t="s">
        <v>653</v>
      </c>
      <c r="G817" s="1521"/>
      <c r="H817" s="38">
        <v>30215385</v>
      </c>
      <c r="I817" s="41">
        <v>12900</v>
      </c>
      <c r="J817" s="42">
        <v>0.1</v>
      </c>
      <c r="K817" s="38">
        <v>5</v>
      </c>
      <c r="L817" s="41">
        <v>64500</v>
      </c>
      <c r="M817" s="1521"/>
      <c r="N817" s="1461"/>
    </row>
    <row r="818" spans="2:14">
      <c r="B818" s="1629"/>
      <c r="C818" s="1629"/>
      <c r="D818" s="1629"/>
      <c r="E818" s="145">
        <v>71035823</v>
      </c>
      <c r="F818" s="282" t="s">
        <v>1085</v>
      </c>
      <c r="G818" s="1521"/>
      <c r="H818" s="38">
        <v>30215386</v>
      </c>
      <c r="I818" s="41">
        <v>35900</v>
      </c>
      <c r="J818" s="42">
        <v>0.1</v>
      </c>
      <c r="K818" s="38">
        <v>5</v>
      </c>
      <c r="L818" s="41">
        <v>179500</v>
      </c>
      <c r="M818" s="1521"/>
      <c r="N818" s="1461"/>
    </row>
    <row r="819" spans="2:14">
      <c r="B819" s="1629"/>
      <c r="C819" s="1629"/>
      <c r="D819" s="1629"/>
      <c r="E819" s="145">
        <v>71007345</v>
      </c>
      <c r="F819" s="282" t="s">
        <v>270</v>
      </c>
      <c r="G819" s="1521"/>
      <c r="H819" s="38">
        <v>30215387</v>
      </c>
      <c r="I819" s="41">
        <v>10500</v>
      </c>
      <c r="J819" s="42">
        <v>0.1</v>
      </c>
      <c r="K819" s="38">
        <v>5</v>
      </c>
      <c r="L819" s="41">
        <v>52500</v>
      </c>
      <c r="M819" s="1521"/>
      <c r="N819" s="1461"/>
    </row>
    <row r="820" spans="2:14">
      <c r="B820" s="1630"/>
      <c r="C820" s="1630"/>
      <c r="D820" s="1630"/>
      <c r="E820" s="145">
        <v>66281110</v>
      </c>
      <c r="F820" s="282" t="s">
        <v>654</v>
      </c>
      <c r="G820" s="1521"/>
      <c r="H820" s="38">
        <v>30215388</v>
      </c>
      <c r="I820" s="41">
        <v>21900</v>
      </c>
      <c r="J820" s="42">
        <v>0.1</v>
      </c>
      <c r="K820" s="38">
        <v>5</v>
      </c>
      <c r="L820" s="41">
        <v>109500</v>
      </c>
      <c r="M820" s="1521"/>
      <c r="N820" s="1461"/>
    </row>
    <row r="821" spans="2:14">
      <c r="B821" s="1651" t="s">
        <v>331</v>
      </c>
      <c r="C821" s="1628">
        <v>1</v>
      </c>
      <c r="D821" s="1628" t="s">
        <v>332</v>
      </c>
      <c r="E821" s="187">
        <v>72238024</v>
      </c>
      <c r="F821" s="282" t="s">
        <v>1086</v>
      </c>
      <c r="G821" s="1521" t="s">
        <v>1086</v>
      </c>
      <c r="H821" s="38">
        <v>30215392</v>
      </c>
      <c r="I821" s="41">
        <v>8900</v>
      </c>
      <c r="J821" s="42">
        <v>0.1</v>
      </c>
      <c r="K821" s="38">
        <v>5</v>
      </c>
      <c r="L821" s="41">
        <v>44500</v>
      </c>
      <c r="M821" s="1521" t="s">
        <v>1086</v>
      </c>
      <c r="N821" s="1461">
        <v>20250108961</v>
      </c>
    </row>
    <row r="822" spans="2:14">
      <c r="B822" s="1652"/>
      <c r="C822" s="1642"/>
      <c r="D822" s="1642"/>
      <c r="E822" s="187">
        <v>74037973</v>
      </c>
      <c r="F822" s="282" t="s">
        <v>1087</v>
      </c>
      <c r="G822" s="1521"/>
      <c r="H822" s="38">
        <v>30215393</v>
      </c>
      <c r="I822" s="41">
        <v>10900</v>
      </c>
      <c r="J822" s="42">
        <v>0.1</v>
      </c>
      <c r="K822" s="38">
        <v>5</v>
      </c>
      <c r="L822" s="41">
        <v>54500</v>
      </c>
      <c r="M822" s="1521"/>
      <c r="N822" s="1461"/>
    </row>
    <row r="823" spans="2:14">
      <c r="B823" s="1652"/>
      <c r="C823" s="1629">
        <v>2</v>
      </c>
      <c r="D823" s="1629" t="s">
        <v>332</v>
      </c>
      <c r="E823" s="187">
        <v>68081817</v>
      </c>
      <c r="F823" s="282" t="s">
        <v>1088</v>
      </c>
      <c r="G823" s="1520" t="s">
        <v>1088</v>
      </c>
      <c r="H823" s="38">
        <v>30215394</v>
      </c>
      <c r="I823" s="41">
        <v>6900</v>
      </c>
      <c r="J823" s="42">
        <v>0.1</v>
      </c>
      <c r="K823" s="38">
        <v>5</v>
      </c>
      <c r="L823" s="41">
        <v>34500</v>
      </c>
      <c r="M823" s="1520" t="s">
        <v>1088</v>
      </c>
      <c r="N823" s="1461">
        <v>20250108962</v>
      </c>
    </row>
    <row r="824" spans="2:14">
      <c r="B824" s="1652"/>
      <c r="C824" s="1642"/>
      <c r="D824" s="1642"/>
      <c r="E824" s="187">
        <v>73904913</v>
      </c>
      <c r="F824" s="282" t="s">
        <v>1089</v>
      </c>
      <c r="G824" s="1520"/>
      <c r="H824" s="38">
        <v>30215401</v>
      </c>
      <c r="I824" s="41">
        <v>7900</v>
      </c>
      <c r="J824" s="42">
        <v>0.1</v>
      </c>
      <c r="K824" s="38">
        <v>5</v>
      </c>
      <c r="L824" s="41">
        <v>39500</v>
      </c>
      <c r="M824" s="1520"/>
      <c r="N824" s="1461"/>
    </row>
    <row r="825" spans="2:14">
      <c r="B825" s="1652"/>
      <c r="C825" s="1629">
        <v>3</v>
      </c>
      <c r="D825" s="1629" t="s">
        <v>332</v>
      </c>
      <c r="E825" s="187">
        <v>55819354</v>
      </c>
      <c r="F825" s="282" t="s">
        <v>1090</v>
      </c>
      <c r="G825" s="1520" t="s">
        <v>1090</v>
      </c>
      <c r="H825" s="38">
        <v>30215402</v>
      </c>
      <c r="I825" s="41">
        <v>7900</v>
      </c>
      <c r="J825" s="42">
        <v>0.1</v>
      </c>
      <c r="K825" s="38">
        <v>5</v>
      </c>
      <c r="L825" s="41">
        <v>39500</v>
      </c>
      <c r="M825" s="1520" t="s">
        <v>1090</v>
      </c>
      <c r="N825" s="1461">
        <v>20250108963</v>
      </c>
    </row>
    <row r="826" spans="2:14">
      <c r="B826" s="1652"/>
      <c r="C826" s="1642"/>
      <c r="D826" s="1642"/>
      <c r="E826" s="187">
        <v>57291395</v>
      </c>
      <c r="F826" s="282" t="s">
        <v>1091</v>
      </c>
      <c r="G826" s="1520"/>
      <c r="H826" s="38">
        <v>30205503</v>
      </c>
      <c r="I826" s="41">
        <v>9900</v>
      </c>
      <c r="J826" s="42">
        <v>0.1</v>
      </c>
      <c r="K826" s="38">
        <v>5</v>
      </c>
      <c r="L826" s="41">
        <v>49500</v>
      </c>
      <c r="M826" s="1520"/>
      <c r="N826" s="1461"/>
    </row>
    <row r="827" spans="2:14">
      <c r="B827" s="1652"/>
      <c r="C827" s="1629">
        <v>4</v>
      </c>
      <c r="D827" s="1629" t="s">
        <v>360</v>
      </c>
      <c r="E827" s="145">
        <v>57669067</v>
      </c>
      <c r="F827" s="282" t="s">
        <v>1092</v>
      </c>
      <c r="G827" s="1520" t="s">
        <v>1093</v>
      </c>
      <c r="H827" s="38">
        <v>30210937</v>
      </c>
      <c r="I827" s="41">
        <v>23900</v>
      </c>
      <c r="J827" s="42">
        <v>0.1</v>
      </c>
      <c r="K827" s="38">
        <v>5</v>
      </c>
      <c r="L827" s="41">
        <v>119500</v>
      </c>
      <c r="M827" s="1521" t="s">
        <v>1094</v>
      </c>
      <c r="N827" s="1461">
        <v>20250108964</v>
      </c>
    </row>
    <row r="828" spans="2:14">
      <c r="B828" s="1652"/>
      <c r="C828" s="1630"/>
      <c r="D828" s="1630"/>
      <c r="E828" s="145">
        <v>57669072</v>
      </c>
      <c r="F828" s="282" t="s">
        <v>1095</v>
      </c>
      <c r="G828" s="1520"/>
      <c r="H828" s="38">
        <v>30210938</v>
      </c>
      <c r="I828" s="41">
        <v>23900</v>
      </c>
      <c r="J828" s="42">
        <v>0.1</v>
      </c>
      <c r="K828" s="38">
        <v>5</v>
      </c>
      <c r="L828" s="41">
        <v>119500</v>
      </c>
      <c r="M828" s="1521"/>
      <c r="N828" s="1461"/>
    </row>
    <row r="829" spans="2:14">
      <c r="B829" s="1652"/>
      <c r="C829" s="1628">
        <v>5</v>
      </c>
      <c r="D829" s="1628" t="s">
        <v>1096</v>
      </c>
      <c r="E829" s="145">
        <v>30202725</v>
      </c>
      <c r="F829" s="291" t="s">
        <v>345</v>
      </c>
      <c r="G829" s="1521" t="s">
        <v>1097</v>
      </c>
      <c r="H829" s="38">
        <v>30215404</v>
      </c>
      <c r="I829" s="41">
        <v>9900</v>
      </c>
      <c r="J829" s="42">
        <v>0.1</v>
      </c>
      <c r="K829" s="38">
        <v>5</v>
      </c>
      <c r="L829" s="41">
        <v>49500</v>
      </c>
      <c r="M829" s="1521" t="s">
        <v>1098</v>
      </c>
      <c r="N829" s="1461">
        <v>20250108965</v>
      </c>
    </row>
    <row r="830" spans="2:14">
      <c r="B830" s="1652"/>
      <c r="C830" s="1629"/>
      <c r="D830" s="1629"/>
      <c r="E830" s="145">
        <v>30008222</v>
      </c>
      <c r="F830" s="292" t="s">
        <v>1099</v>
      </c>
      <c r="G830" s="1521"/>
      <c r="H830" s="38">
        <v>30215405</v>
      </c>
      <c r="I830" s="41">
        <v>11900</v>
      </c>
      <c r="J830" s="42">
        <v>0.1</v>
      </c>
      <c r="K830" s="38">
        <v>5</v>
      </c>
      <c r="L830" s="41">
        <v>59500</v>
      </c>
      <c r="M830" s="1521"/>
      <c r="N830" s="1461"/>
    </row>
    <row r="831" spans="2:14">
      <c r="B831" s="1652"/>
      <c r="C831" s="1629"/>
      <c r="D831" s="1629"/>
      <c r="E831" s="145">
        <v>30172151</v>
      </c>
      <c r="F831" s="292" t="s">
        <v>1100</v>
      </c>
      <c r="G831" s="1521"/>
      <c r="H831" s="38">
        <v>30215406</v>
      </c>
      <c r="I831" s="41">
        <v>17900</v>
      </c>
      <c r="J831" s="42">
        <v>0.1</v>
      </c>
      <c r="K831" s="38">
        <v>5</v>
      </c>
      <c r="L831" s="41">
        <v>89500</v>
      </c>
      <c r="M831" s="1521"/>
      <c r="N831" s="1461"/>
    </row>
    <row r="832" spans="2:14">
      <c r="B832" s="1652"/>
      <c r="C832" s="1629"/>
      <c r="D832" s="1629"/>
      <c r="E832" s="145">
        <v>30152223</v>
      </c>
      <c r="F832" s="292" t="s">
        <v>1101</v>
      </c>
      <c r="G832" s="1521"/>
      <c r="H832" s="38">
        <v>30191499</v>
      </c>
      <c r="I832" s="293">
        <v>19900</v>
      </c>
      <c r="J832" s="42">
        <v>0.1</v>
      </c>
      <c r="K832" s="38">
        <v>5</v>
      </c>
      <c r="L832" s="41">
        <v>99500</v>
      </c>
      <c r="M832" s="1521"/>
      <c r="N832" s="1461"/>
    </row>
    <row r="833" spans="2:15" ht="17.25" thickBot="1">
      <c r="B833" s="1652"/>
      <c r="C833" s="1647"/>
      <c r="D833" s="1647"/>
      <c r="E833" s="145">
        <v>30118650</v>
      </c>
      <c r="F833" s="292" t="s">
        <v>1102</v>
      </c>
      <c r="G833" s="1521"/>
      <c r="H833" s="38">
        <v>30170214</v>
      </c>
      <c r="I833" s="293">
        <v>19900</v>
      </c>
      <c r="J833" s="42">
        <v>0.1</v>
      </c>
      <c r="K833" s="38">
        <v>5</v>
      </c>
      <c r="L833" s="41">
        <v>99500</v>
      </c>
      <c r="M833" s="1521"/>
      <c r="N833" s="1461"/>
    </row>
    <row r="834" spans="2:15">
      <c r="B834" s="1652"/>
      <c r="C834" s="1685">
        <v>6</v>
      </c>
      <c r="D834" s="1629" t="s">
        <v>346</v>
      </c>
      <c r="E834" s="294">
        <v>30107419</v>
      </c>
      <c r="F834" s="295" t="s">
        <v>350</v>
      </c>
      <c r="G834" s="1520" t="s">
        <v>1103</v>
      </c>
      <c r="H834" s="38">
        <v>30215407</v>
      </c>
      <c r="I834" s="293">
        <v>20900</v>
      </c>
      <c r="J834" s="42">
        <v>0.15</v>
      </c>
      <c r="K834" s="38">
        <v>5</v>
      </c>
      <c r="L834" s="41">
        <v>104500</v>
      </c>
      <c r="M834" s="1521" t="s">
        <v>1104</v>
      </c>
      <c r="N834" s="1461">
        <v>20250108966</v>
      </c>
    </row>
    <row r="835" spans="2:15" ht="17.25" thickBot="1">
      <c r="B835" s="1652"/>
      <c r="C835" s="1686"/>
      <c r="D835" s="1642"/>
      <c r="E835" s="297">
        <v>10177524</v>
      </c>
      <c r="F835" s="289" t="s">
        <v>347</v>
      </c>
      <c r="G835" s="1520"/>
      <c r="H835" s="38">
        <v>30215408</v>
      </c>
      <c r="I835" s="293">
        <v>28900</v>
      </c>
      <c r="J835" s="42">
        <v>0.15</v>
      </c>
      <c r="K835" s="38">
        <v>5</v>
      </c>
      <c r="L835" s="41">
        <v>144500</v>
      </c>
      <c r="M835" s="1521"/>
      <c r="N835" s="1461"/>
    </row>
    <row r="836" spans="2:15">
      <c r="B836" s="1652"/>
      <c r="C836" s="1682">
        <v>7</v>
      </c>
      <c r="D836" s="1646" t="s">
        <v>346</v>
      </c>
      <c r="E836" s="298">
        <v>42020663</v>
      </c>
      <c r="F836" s="295" t="s">
        <v>1105</v>
      </c>
      <c r="G836" s="1520" t="s">
        <v>1106</v>
      </c>
      <c r="H836" s="38">
        <v>30215410</v>
      </c>
      <c r="I836" s="293">
        <v>11900</v>
      </c>
      <c r="J836" s="42">
        <v>0.15</v>
      </c>
      <c r="K836" s="38">
        <v>5</v>
      </c>
      <c r="L836" s="41">
        <v>59500</v>
      </c>
      <c r="M836" s="1521" t="s">
        <v>1107</v>
      </c>
      <c r="N836" s="1461">
        <v>20250108967</v>
      </c>
    </row>
    <row r="837" spans="2:15" ht="17.25" thickBot="1">
      <c r="B837" s="1652"/>
      <c r="C837" s="1683"/>
      <c r="D837" s="1647"/>
      <c r="E837" s="299">
        <v>42020655</v>
      </c>
      <c r="F837" s="300" t="s">
        <v>1108</v>
      </c>
      <c r="G837" s="1520"/>
      <c r="H837" s="38">
        <v>30215409</v>
      </c>
      <c r="I837" s="293">
        <v>11900</v>
      </c>
      <c r="J837" s="42">
        <v>0.15</v>
      </c>
      <c r="K837" s="38">
        <v>5</v>
      </c>
      <c r="L837" s="41">
        <v>59500</v>
      </c>
      <c r="M837" s="1521"/>
      <c r="N837" s="1461"/>
    </row>
    <row r="838" spans="2:15" ht="33">
      <c r="B838" s="1608" t="s">
        <v>1109</v>
      </c>
      <c r="C838" s="1684">
        <v>1</v>
      </c>
      <c r="D838" s="1684" t="s">
        <v>1110</v>
      </c>
      <c r="E838" s="129">
        <v>30198823</v>
      </c>
      <c r="F838" s="213" t="s">
        <v>1111</v>
      </c>
      <c r="G838" s="1448" t="s">
        <v>1112</v>
      </c>
      <c r="H838" s="30">
        <v>30201002</v>
      </c>
      <c r="I838" s="35">
        <v>6900</v>
      </c>
      <c r="J838" s="64">
        <v>0.1</v>
      </c>
      <c r="K838" s="1448">
        <v>5</v>
      </c>
      <c r="L838" s="1448">
        <f>I838*5</f>
        <v>34500</v>
      </c>
      <c r="M838" s="1454" t="s">
        <v>1113</v>
      </c>
      <c r="N838" s="1461">
        <v>20250108968</v>
      </c>
      <c r="O838" s="4" t="s">
        <v>19</v>
      </c>
    </row>
    <row r="839" spans="2:15">
      <c r="B839" s="1610"/>
      <c r="C839" s="1610"/>
      <c r="D839" s="1610"/>
      <c r="E839" s="129">
        <v>30201344</v>
      </c>
      <c r="F839" s="213" t="s">
        <v>1114</v>
      </c>
      <c r="G839" s="1448"/>
      <c r="H839" s="30">
        <v>30208596</v>
      </c>
      <c r="I839" s="35">
        <v>8100</v>
      </c>
      <c r="J839" s="64">
        <v>0.1</v>
      </c>
      <c r="K839" s="1448"/>
      <c r="L839" s="1448"/>
      <c r="M839" s="1454"/>
      <c r="N839" s="1461"/>
    </row>
    <row r="840" spans="2:15">
      <c r="B840" s="1610"/>
      <c r="C840" s="1610"/>
      <c r="D840" s="1610"/>
      <c r="E840" s="129">
        <v>30203100</v>
      </c>
      <c r="F840" s="213" t="s">
        <v>1115</v>
      </c>
      <c r="G840" s="1448"/>
      <c r="H840" s="30">
        <v>30208598</v>
      </c>
      <c r="I840" s="35">
        <v>6900</v>
      </c>
      <c r="J840" s="64">
        <v>0.1</v>
      </c>
      <c r="K840" s="1448"/>
      <c r="L840" s="1448"/>
      <c r="M840" s="1454"/>
      <c r="N840" s="1461"/>
    </row>
    <row r="841" spans="2:15">
      <c r="B841" s="1610"/>
      <c r="C841" s="1610"/>
      <c r="D841" s="1610"/>
      <c r="E841" s="129">
        <v>30199749</v>
      </c>
      <c r="F841" s="213" t="s">
        <v>1116</v>
      </c>
      <c r="G841" s="1448"/>
      <c r="H841" s="30">
        <v>30201017</v>
      </c>
      <c r="I841" s="35">
        <v>6100</v>
      </c>
      <c r="J841" s="64">
        <v>0.1</v>
      </c>
      <c r="K841" s="1448"/>
      <c r="L841" s="1448"/>
      <c r="M841" s="1454"/>
      <c r="N841" s="1461"/>
    </row>
    <row r="842" spans="2:15">
      <c r="B842" s="1610"/>
      <c r="C842" s="1610"/>
      <c r="D842" s="1610"/>
      <c r="E842" s="129">
        <v>30201334</v>
      </c>
      <c r="F842" s="213" t="s">
        <v>1117</v>
      </c>
      <c r="G842" s="1448"/>
      <c r="H842" s="30">
        <v>30208608</v>
      </c>
      <c r="I842" s="35">
        <v>8900</v>
      </c>
      <c r="J842" s="64">
        <v>0.1</v>
      </c>
      <c r="K842" s="1448"/>
      <c r="L842" s="1448"/>
      <c r="M842" s="1454"/>
      <c r="N842" s="1461"/>
    </row>
    <row r="843" spans="2:15">
      <c r="B843" s="1610"/>
      <c r="C843" s="1610"/>
      <c r="D843" s="1610"/>
      <c r="E843" s="129">
        <v>30207341</v>
      </c>
      <c r="F843" s="213" t="s">
        <v>1118</v>
      </c>
      <c r="G843" s="1448"/>
      <c r="H843" s="30">
        <v>30215508</v>
      </c>
      <c r="I843" s="35">
        <v>8900</v>
      </c>
      <c r="J843" s="64">
        <v>0.1</v>
      </c>
      <c r="K843" s="1448"/>
      <c r="L843" s="1448"/>
      <c r="M843" s="1454"/>
      <c r="N843" s="1461"/>
    </row>
    <row r="844" spans="2:15" ht="33">
      <c r="B844" s="1610"/>
      <c r="C844" s="1610"/>
      <c r="D844" s="1610"/>
      <c r="E844" s="129">
        <v>30201334</v>
      </c>
      <c r="F844" s="213" t="s">
        <v>1119</v>
      </c>
      <c r="G844" s="1448"/>
      <c r="H844" s="30">
        <v>30210594</v>
      </c>
      <c r="I844" s="35">
        <v>8900</v>
      </c>
      <c r="J844" s="64">
        <v>0.1</v>
      </c>
      <c r="K844" s="1448"/>
      <c r="L844" s="1448"/>
      <c r="M844" s="1454"/>
      <c r="N844" s="1461"/>
    </row>
    <row r="845" spans="2:15">
      <c r="B845" s="1610"/>
      <c r="C845" s="1610"/>
      <c r="D845" s="1610"/>
      <c r="E845" s="129">
        <v>30199758</v>
      </c>
      <c r="F845" s="213" t="s">
        <v>1120</v>
      </c>
      <c r="G845" s="1448"/>
      <c r="H845" s="30">
        <v>30210600</v>
      </c>
      <c r="I845" s="35">
        <v>6100</v>
      </c>
      <c r="J845" s="64">
        <v>0.1</v>
      </c>
      <c r="K845" s="1448"/>
      <c r="L845" s="1448"/>
      <c r="M845" s="1454"/>
      <c r="N845" s="1461"/>
    </row>
    <row r="846" spans="2:15">
      <c r="B846" s="1610"/>
      <c r="C846" s="1610"/>
      <c r="D846" s="1610"/>
      <c r="E846" s="129">
        <v>30199743</v>
      </c>
      <c r="F846" s="213" t="s">
        <v>1121</v>
      </c>
      <c r="G846" s="1448"/>
      <c r="H846" s="30">
        <v>30210586</v>
      </c>
      <c r="I846" s="35">
        <v>9100</v>
      </c>
      <c r="J846" s="64">
        <v>0.1</v>
      </c>
      <c r="K846" s="1448"/>
      <c r="L846" s="1448"/>
      <c r="M846" s="1454"/>
      <c r="N846" s="1461"/>
    </row>
    <row r="847" spans="2:15">
      <c r="B847" s="1610"/>
      <c r="C847" s="1610"/>
      <c r="D847" s="1610"/>
      <c r="E847" s="129">
        <v>30199754</v>
      </c>
      <c r="F847" s="213" t="s">
        <v>1122</v>
      </c>
      <c r="G847" s="1448"/>
      <c r="H847" s="30">
        <v>30210587</v>
      </c>
      <c r="I847" s="35">
        <v>7900</v>
      </c>
      <c r="J847" s="64">
        <v>0.1</v>
      </c>
      <c r="K847" s="1448"/>
      <c r="L847" s="1448"/>
      <c r="M847" s="1454"/>
      <c r="N847" s="1461"/>
    </row>
    <row r="848" spans="2:15">
      <c r="B848" s="1610"/>
      <c r="C848" s="1610"/>
      <c r="D848" s="1610"/>
      <c r="E848" s="129">
        <v>30199752</v>
      </c>
      <c r="F848" s="213" t="s">
        <v>1123</v>
      </c>
      <c r="G848" s="1448"/>
      <c r="H848" s="30">
        <v>30210588</v>
      </c>
      <c r="I848" s="35">
        <v>6100</v>
      </c>
      <c r="J848" s="64">
        <v>0.1</v>
      </c>
      <c r="K848" s="1448"/>
      <c r="L848" s="1448"/>
      <c r="M848" s="1454"/>
      <c r="N848" s="1461"/>
    </row>
    <row r="849" spans="2:15">
      <c r="B849" s="1611"/>
      <c r="C849" s="1611"/>
      <c r="D849" s="1611"/>
      <c r="E849" s="301">
        <v>30199757</v>
      </c>
      <c r="F849" s="302" t="s">
        <v>1124</v>
      </c>
      <c r="G849" s="1448"/>
      <c r="H849" s="30">
        <v>30210598</v>
      </c>
      <c r="I849" s="35">
        <v>8900</v>
      </c>
      <c r="J849" s="64">
        <v>0.1</v>
      </c>
      <c r="K849" s="1448"/>
      <c r="L849" s="1448"/>
      <c r="M849" s="1454"/>
      <c r="N849" s="1461"/>
    </row>
    <row r="850" spans="2:15" ht="33" customHeight="1">
      <c r="B850" s="1654" t="s">
        <v>165</v>
      </c>
      <c r="C850" s="1654">
        <v>1</v>
      </c>
      <c r="D850" s="1654" t="s">
        <v>166</v>
      </c>
      <c r="E850" s="214">
        <v>30173887</v>
      </c>
      <c r="F850" s="280" t="s">
        <v>167</v>
      </c>
      <c r="G850" s="1448" t="s">
        <v>168</v>
      </c>
      <c r="H850" s="30">
        <v>30205919</v>
      </c>
      <c r="I850" s="35">
        <v>49900</v>
      </c>
      <c r="J850" s="64">
        <v>0.05</v>
      </c>
      <c r="K850" s="1448">
        <v>5</v>
      </c>
      <c r="L850" s="1459">
        <v>249500</v>
      </c>
      <c r="M850" s="1454" t="s">
        <v>169</v>
      </c>
      <c r="N850" s="1461">
        <v>20250108969</v>
      </c>
    </row>
    <row r="851" spans="2:15">
      <c r="B851" s="1610"/>
      <c r="C851" s="1610"/>
      <c r="D851" s="1610"/>
      <c r="E851" s="129">
        <v>30173888</v>
      </c>
      <c r="F851" s="213" t="s">
        <v>170</v>
      </c>
      <c r="G851" s="1448"/>
      <c r="H851" s="30">
        <v>30205922</v>
      </c>
      <c r="I851" s="35">
        <v>49900</v>
      </c>
      <c r="J851" s="64">
        <v>0.05</v>
      </c>
      <c r="K851" s="1448"/>
      <c r="L851" s="1459"/>
      <c r="M851" s="1454"/>
      <c r="N851" s="1461"/>
    </row>
    <row r="852" spans="2:15">
      <c r="B852" s="1610"/>
      <c r="C852" s="1610"/>
      <c r="D852" s="1610"/>
      <c r="E852" s="129">
        <v>30173890</v>
      </c>
      <c r="F852" s="213" t="s">
        <v>171</v>
      </c>
      <c r="G852" s="1448"/>
      <c r="H852" s="30">
        <v>30205924</v>
      </c>
      <c r="I852" s="35">
        <v>39900</v>
      </c>
      <c r="J852" s="64">
        <v>0.05</v>
      </c>
      <c r="K852" s="1448"/>
      <c r="L852" s="1459"/>
      <c r="M852" s="1454"/>
      <c r="N852" s="1461"/>
    </row>
    <row r="853" spans="2:15">
      <c r="B853" s="1610"/>
      <c r="C853" s="1609"/>
      <c r="D853" s="1609"/>
      <c r="E853" s="129">
        <v>30173893</v>
      </c>
      <c r="F853" s="213" t="s">
        <v>172</v>
      </c>
      <c r="G853" s="1448"/>
      <c r="H853" s="30">
        <v>30205926</v>
      </c>
      <c r="I853" s="35">
        <v>39900</v>
      </c>
      <c r="J853" s="64">
        <v>0.05</v>
      </c>
      <c r="K853" s="1448"/>
      <c r="L853" s="1459"/>
      <c r="M853" s="1454"/>
      <c r="N853" s="1461"/>
    </row>
    <row r="854" spans="2:15">
      <c r="B854" s="1610"/>
      <c r="C854" s="1608">
        <v>2</v>
      </c>
      <c r="D854" s="1608" t="s">
        <v>1125</v>
      </c>
      <c r="E854" s="129">
        <v>46524830</v>
      </c>
      <c r="F854" s="213" t="s">
        <v>1126</v>
      </c>
      <c r="G854" s="1448" t="s">
        <v>1127</v>
      </c>
      <c r="H854" s="30">
        <v>30215557</v>
      </c>
      <c r="I854" s="35">
        <v>11900</v>
      </c>
      <c r="J854" s="64">
        <v>0.13</v>
      </c>
      <c r="K854" s="1448">
        <v>5</v>
      </c>
      <c r="L854" s="1448">
        <f>I860*5</f>
        <v>39500</v>
      </c>
      <c r="M854" s="1454" t="s">
        <v>1128</v>
      </c>
      <c r="N854" s="1461">
        <v>20250108970</v>
      </c>
    </row>
    <row r="855" spans="2:15">
      <c r="B855" s="1610"/>
      <c r="C855" s="1610"/>
      <c r="D855" s="1610"/>
      <c r="E855" s="129">
        <v>46524853</v>
      </c>
      <c r="F855" s="213" t="s">
        <v>1129</v>
      </c>
      <c r="G855" s="1448"/>
      <c r="H855" s="30">
        <v>30215558</v>
      </c>
      <c r="I855" s="35">
        <v>16900</v>
      </c>
      <c r="J855" s="64">
        <v>0.13</v>
      </c>
      <c r="K855" s="1448"/>
      <c r="L855" s="1448"/>
      <c r="M855" s="1454"/>
      <c r="N855" s="1461"/>
    </row>
    <row r="856" spans="2:15">
      <c r="B856" s="1610"/>
      <c r="C856" s="1610"/>
      <c r="D856" s="1610"/>
      <c r="E856" s="129">
        <v>46524859</v>
      </c>
      <c r="F856" s="213" t="s">
        <v>1130</v>
      </c>
      <c r="G856" s="1448"/>
      <c r="H856" s="30">
        <v>30215563</v>
      </c>
      <c r="I856" s="35">
        <v>18900</v>
      </c>
      <c r="J856" s="64">
        <v>0.13</v>
      </c>
      <c r="K856" s="1448"/>
      <c r="L856" s="1448"/>
      <c r="M856" s="1454"/>
      <c r="N856" s="1461"/>
    </row>
    <row r="857" spans="2:15">
      <c r="B857" s="1610"/>
      <c r="C857" s="1610"/>
      <c r="D857" s="1610"/>
      <c r="E857" s="129">
        <v>46524834</v>
      </c>
      <c r="F857" s="213" t="s">
        <v>1131</v>
      </c>
      <c r="G857" s="1448"/>
      <c r="H857" s="30">
        <v>30215564</v>
      </c>
      <c r="I857" s="35">
        <v>6900</v>
      </c>
      <c r="J857" s="64">
        <v>0.13</v>
      </c>
      <c r="K857" s="1448"/>
      <c r="L857" s="1448"/>
      <c r="M857" s="1454"/>
      <c r="N857" s="1461"/>
    </row>
    <row r="858" spans="2:15">
      <c r="B858" s="1610"/>
      <c r="C858" s="1610"/>
      <c r="D858" s="1610"/>
      <c r="E858" s="129">
        <v>46524837</v>
      </c>
      <c r="F858" s="213" t="s">
        <v>1132</v>
      </c>
      <c r="G858" s="1448"/>
      <c r="H858" s="30">
        <v>30215565</v>
      </c>
      <c r="I858" s="35">
        <v>12900</v>
      </c>
      <c r="J858" s="64">
        <v>0.13</v>
      </c>
      <c r="K858" s="1448"/>
      <c r="L858" s="1448"/>
      <c r="M858" s="1454"/>
      <c r="N858" s="1461"/>
    </row>
    <row r="859" spans="2:15">
      <c r="B859" s="1610"/>
      <c r="C859" s="1610"/>
      <c r="D859" s="1610"/>
      <c r="E859" s="129">
        <v>46524842</v>
      </c>
      <c r="F859" s="213" t="s">
        <v>1133</v>
      </c>
      <c r="G859" s="1448"/>
      <c r="H859" s="30">
        <v>30215566</v>
      </c>
      <c r="I859" s="35">
        <v>17900</v>
      </c>
      <c r="J859" s="64">
        <v>0.13</v>
      </c>
      <c r="K859" s="1448"/>
      <c r="L859" s="1448"/>
      <c r="M859" s="1454"/>
      <c r="N859" s="1461"/>
    </row>
    <row r="860" spans="2:15">
      <c r="B860" s="1610"/>
      <c r="C860" s="1609"/>
      <c r="D860" s="1609"/>
      <c r="E860" s="129">
        <v>46524848</v>
      </c>
      <c r="F860" s="213" t="s">
        <v>1134</v>
      </c>
      <c r="G860" s="1448"/>
      <c r="H860" s="30">
        <v>30215567</v>
      </c>
      <c r="I860" s="35">
        <v>7900</v>
      </c>
      <c r="J860" s="64">
        <v>0.13</v>
      </c>
      <c r="K860" s="1448"/>
      <c r="L860" s="1448"/>
      <c r="M860" s="1454"/>
      <c r="N860" s="1461"/>
    </row>
    <row r="861" spans="2:15">
      <c r="B861" s="1610"/>
      <c r="C861" s="1608">
        <v>3</v>
      </c>
      <c r="D861" s="1608" t="s">
        <v>1135</v>
      </c>
      <c r="E861" s="129">
        <v>75404723</v>
      </c>
      <c r="F861" s="213" t="s">
        <v>1136</v>
      </c>
      <c r="G861" s="1448" t="s">
        <v>1137</v>
      </c>
      <c r="H861" s="30">
        <v>30215582</v>
      </c>
      <c r="I861" s="35">
        <v>19900</v>
      </c>
      <c r="J861" s="64">
        <v>0.13</v>
      </c>
      <c r="K861" s="1448">
        <v>5</v>
      </c>
      <c r="L861" s="1448">
        <f>I861*5</f>
        <v>99500</v>
      </c>
      <c r="M861" s="1454" t="s">
        <v>1138</v>
      </c>
      <c r="N861" s="1461">
        <v>20250108971</v>
      </c>
    </row>
    <row r="862" spans="2:15">
      <c r="B862" s="1610"/>
      <c r="C862" s="1609"/>
      <c r="D862" s="1609"/>
      <c r="E862" s="129">
        <v>75404753</v>
      </c>
      <c r="F862" s="213" t="s">
        <v>1139</v>
      </c>
      <c r="G862" s="1448"/>
      <c r="H862" s="30">
        <v>30215584</v>
      </c>
      <c r="I862" s="35">
        <v>28900</v>
      </c>
      <c r="J862" s="64">
        <v>0.13</v>
      </c>
      <c r="K862" s="1448"/>
      <c r="L862" s="1448"/>
      <c r="M862" s="1454"/>
      <c r="N862" s="1461"/>
    </row>
    <row r="863" spans="2:15">
      <c r="B863" s="1610"/>
      <c r="C863" s="1608">
        <v>4</v>
      </c>
      <c r="D863" s="1608" t="s">
        <v>622</v>
      </c>
      <c r="E863" s="129">
        <v>40636329</v>
      </c>
      <c r="F863" s="213" t="s">
        <v>1140</v>
      </c>
      <c r="G863" s="1448" t="s">
        <v>1141</v>
      </c>
      <c r="H863" s="30">
        <v>30215517</v>
      </c>
      <c r="I863" s="35">
        <v>30900</v>
      </c>
      <c r="J863" s="64">
        <v>0.13</v>
      </c>
      <c r="K863" s="1448">
        <v>5</v>
      </c>
      <c r="L863" s="1448">
        <f>I867*5</f>
        <v>94500</v>
      </c>
      <c r="M863" s="1454" t="s">
        <v>1142</v>
      </c>
      <c r="N863" s="1461">
        <v>20250108972</v>
      </c>
      <c r="O863" s="4" t="s">
        <v>1143</v>
      </c>
    </row>
    <row r="864" spans="2:15">
      <c r="B864" s="1610"/>
      <c r="C864" s="1610"/>
      <c r="D864" s="1610"/>
      <c r="E864" s="129">
        <v>40636328</v>
      </c>
      <c r="F864" s="213" t="s">
        <v>1144</v>
      </c>
      <c r="G864" s="1448"/>
      <c r="H864" s="30">
        <v>30215519</v>
      </c>
      <c r="I864" s="35">
        <v>39600</v>
      </c>
      <c r="J864" s="64">
        <v>0.13</v>
      </c>
      <c r="K864" s="1448"/>
      <c r="L864" s="1448"/>
      <c r="M864" s="1454"/>
      <c r="N864" s="1461"/>
    </row>
    <row r="865" spans="2:14">
      <c r="B865" s="1610"/>
      <c r="C865" s="1610"/>
      <c r="D865" s="1610"/>
      <c r="E865" s="129">
        <v>44649590</v>
      </c>
      <c r="F865" s="213" t="s">
        <v>1145</v>
      </c>
      <c r="G865" s="1448"/>
      <c r="H865" s="30">
        <v>30205979</v>
      </c>
      <c r="I865" s="35">
        <v>21300</v>
      </c>
      <c r="J865" s="64">
        <v>0.13</v>
      </c>
      <c r="K865" s="1448"/>
      <c r="L865" s="1448"/>
      <c r="M865" s="1454"/>
      <c r="N865" s="1461"/>
    </row>
    <row r="866" spans="2:14">
      <c r="B866" s="1610"/>
      <c r="C866" s="1610"/>
      <c r="D866" s="1610"/>
      <c r="E866" s="129">
        <v>44649598</v>
      </c>
      <c r="F866" s="213" t="s">
        <v>1146</v>
      </c>
      <c r="G866" s="1448"/>
      <c r="H866" s="30">
        <v>30205980</v>
      </c>
      <c r="I866" s="35">
        <v>25900</v>
      </c>
      <c r="J866" s="64">
        <v>0.13</v>
      </c>
      <c r="K866" s="1448"/>
      <c r="L866" s="1448"/>
      <c r="M866" s="1454"/>
      <c r="N866" s="1461"/>
    </row>
    <row r="867" spans="2:14">
      <c r="B867" s="1610"/>
      <c r="C867" s="1610"/>
      <c r="D867" s="1610"/>
      <c r="E867" s="129">
        <v>48867652</v>
      </c>
      <c r="F867" s="213" t="s">
        <v>1147</v>
      </c>
      <c r="G867" s="1448"/>
      <c r="H867" s="30">
        <v>30215522</v>
      </c>
      <c r="I867" s="35">
        <v>18900</v>
      </c>
      <c r="J867" s="64">
        <v>0.13</v>
      </c>
      <c r="K867" s="1448"/>
      <c r="L867" s="1448"/>
      <c r="M867" s="1454"/>
      <c r="N867" s="1461"/>
    </row>
    <row r="868" spans="2:14">
      <c r="B868" s="1610"/>
      <c r="C868" s="1610"/>
      <c r="D868" s="1610"/>
      <c r="E868" s="129">
        <v>48867651</v>
      </c>
      <c r="F868" s="213" t="s">
        <v>1148</v>
      </c>
      <c r="G868" s="1448"/>
      <c r="H868" s="30">
        <v>30215523</v>
      </c>
      <c r="I868" s="35">
        <v>23300</v>
      </c>
      <c r="J868" s="64">
        <v>0.13</v>
      </c>
      <c r="K868" s="1448"/>
      <c r="L868" s="1448"/>
      <c r="M868" s="1454"/>
      <c r="N868" s="1461"/>
    </row>
    <row r="869" spans="2:14">
      <c r="B869" s="1610"/>
      <c r="C869" s="1610"/>
      <c r="D869" s="1610"/>
      <c r="E869" s="129">
        <v>73546886</v>
      </c>
      <c r="F869" s="213" t="s">
        <v>1149</v>
      </c>
      <c r="G869" s="1448"/>
      <c r="H869" s="30">
        <v>30215525</v>
      </c>
      <c r="I869" s="35">
        <v>35600</v>
      </c>
      <c r="J869" s="64">
        <v>0.13</v>
      </c>
      <c r="K869" s="1448"/>
      <c r="L869" s="1448"/>
      <c r="M869" s="1454"/>
      <c r="N869" s="1461"/>
    </row>
    <row r="870" spans="2:14">
      <c r="B870" s="1610"/>
      <c r="C870" s="1610"/>
      <c r="D870" s="1610"/>
      <c r="E870" s="129">
        <v>73546885</v>
      </c>
      <c r="F870" s="213" t="s">
        <v>1150</v>
      </c>
      <c r="G870" s="1448"/>
      <c r="H870" s="30">
        <v>30215531</v>
      </c>
      <c r="I870" s="35">
        <v>40900</v>
      </c>
      <c r="J870" s="64">
        <v>0.13</v>
      </c>
      <c r="K870" s="1448"/>
      <c r="L870" s="1448"/>
      <c r="M870" s="1454"/>
      <c r="N870" s="1461"/>
    </row>
    <row r="871" spans="2:14">
      <c r="B871" s="1610"/>
      <c r="C871" s="1610"/>
      <c r="D871" s="1610"/>
      <c r="E871" s="129">
        <v>73546887</v>
      </c>
      <c r="F871" s="213" t="s">
        <v>1151</v>
      </c>
      <c r="G871" s="1448"/>
      <c r="H871" s="30">
        <v>30215533</v>
      </c>
      <c r="I871" s="35">
        <v>42300</v>
      </c>
      <c r="J871" s="64">
        <v>0.13</v>
      </c>
      <c r="K871" s="1448"/>
      <c r="L871" s="1448"/>
      <c r="M871" s="1454"/>
      <c r="N871" s="1461"/>
    </row>
    <row r="872" spans="2:14">
      <c r="B872" s="1610"/>
      <c r="C872" s="1610"/>
      <c r="D872" s="1610"/>
      <c r="E872" s="129">
        <v>73546906</v>
      </c>
      <c r="F872" s="213" t="s">
        <v>1152</v>
      </c>
      <c r="G872" s="1448"/>
      <c r="H872" s="30">
        <v>30215534</v>
      </c>
      <c r="I872" s="35">
        <v>54600</v>
      </c>
      <c r="J872" s="64">
        <v>0.13</v>
      </c>
      <c r="K872" s="1448"/>
      <c r="L872" s="1448"/>
      <c r="M872" s="1454"/>
      <c r="N872" s="1461"/>
    </row>
    <row r="873" spans="2:14">
      <c r="B873" s="1610"/>
      <c r="C873" s="1610"/>
      <c r="D873" s="1610"/>
      <c r="E873" s="129">
        <v>73547014</v>
      </c>
      <c r="F873" s="213" t="s">
        <v>1153</v>
      </c>
      <c r="G873" s="1448"/>
      <c r="H873" s="30">
        <v>30215535</v>
      </c>
      <c r="I873" s="35">
        <v>63300</v>
      </c>
      <c r="J873" s="64">
        <v>0.13</v>
      </c>
      <c r="K873" s="1448"/>
      <c r="L873" s="1448"/>
      <c r="M873" s="1454"/>
      <c r="N873" s="1461"/>
    </row>
    <row r="874" spans="2:14">
      <c r="B874" s="1609"/>
      <c r="C874" s="1609"/>
      <c r="D874" s="1609"/>
      <c r="E874" s="129">
        <v>73547094</v>
      </c>
      <c r="F874" s="213" t="s">
        <v>1154</v>
      </c>
      <c r="G874" s="1448"/>
      <c r="H874" s="30">
        <v>30215536</v>
      </c>
      <c r="I874" s="35">
        <v>78900</v>
      </c>
      <c r="J874" s="64">
        <v>0.13</v>
      </c>
      <c r="K874" s="1448"/>
      <c r="L874" s="1448"/>
      <c r="M874" s="1454"/>
      <c r="N874" s="1461"/>
    </row>
    <row r="875" spans="2:14">
      <c r="B875" s="1451" t="s">
        <v>185</v>
      </c>
      <c r="C875" s="1481">
        <v>1</v>
      </c>
      <c r="D875" s="1481" t="s">
        <v>189</v>
      </c>
      <c r="E875" s="56">
        <v>30106185</v>
      </c>
      <c r="F875" s="303" t="s">
        <v>1155</v>
      </c>
      <c r="G875" s="1449" t="s">
        <v>1156</v>
      </c>
      <c r="H875" s="30">
        <v>30136656</v>
      </c>
      <c r="I875" s="35">
        <v>8900</v>
      </c>
      <c r="J875" s="304">
        <v>0.13</v>
      </c>
      <c r="K875" s="1448">
        <v>5</v>
      </c>
      <c r="L875" s="1450">
        <f>I875*K875</f>
        <v>44500</v>
      </c>
      <c r="M875" s="1516" t="s">
        <v>1157</v>
      </c>
      <c r="N875" s="1461">
        <v>20250108973</v>
      </c>
    </row>
    <row r="876" spans="2:14">
      <c r="B876" s="1452"/>
      <c r="C876" s="1482"/>
      <c r="D876" s="1482"/>
      <c r="E876" s="56">
        <v>30106189</v>
      </c>
      <c r="F876" s="303" t="s">
        <v>1158</v>
      </c>
      <c r="G876" s="1449"/>
      <c r="H876" s="30">
        <v>30126180</v>
      </c>
      <c r="I876" s="35">
        <v>12900</v>
      </c>
      <c r="J876" s="304">
        <v>0.13</v>
      </c>
      <c r="K876" s="1448"/>
      <c r="L876" s="1450"/>
      <c r="M876" s="1450"/>
      <c r="N876" s="1461"/>
    </row>
    <row r="877" spans="2:14">
      <c r="B877" s="1452"/>
      <c r="C877" s="1483"/>
      <c r="D877" s="1483"/>
      <c r="E877" s="56">
        <v>30106188</v>
      </c>
      <c r="F877" s="303" t="s">
        <v>1159</v>
      </c>
      <c r="G877" s="1449"/>
      <c r="H877" s="30">
        <v>30126184</v>
      </c>
      <c r="I877" s="35">
        <v>19900</v>
      </c>
      <c r="J877" s="304">
        <v>0.13</v>
      </c>
      <c r="K877" s="1448"/>
      <c r="L877" s="1450"/>
      <c r="M877" s="1450"/>
      <c r="N877" s="1461"/>
    </row>
    <row r="878" spans="2:14">
      <c r="B878" s="1452"/>
      <c r="C878" s="29">
        <v>2</v>
      </c>
      <c r="D878" s="29" t="s">
        <v>186</v>
      </c>
      <c r="E878" s="56">
        <v>30202894</v>
      </c>
      <c r="F878" s="303" t="s">
        <v>1160</v>
      </c>
      <c r="G878" s="306" t="s">
        <v>1160</v>
      </c>
      <c r="H878" s="30">
        <v>30205773</v>
      </c>
      <c r="I878" s="35">
        <v>19900</v>
      </c>
      <c r="J878" s="304">
        <v>0.15</v>
      </c>
      <c r="K878" s="29">
        <v>5</v>
      </c>
      <c r="L878" s="67">
        <f>I878*K878</f>
        <v>99500</v>
      </c>
      <c r="M878" s="67" t="s">
        <v>1161</v>
      </c>
      <c r="N878" s="69">
        <v>20250108974</v>
      </c>
    </row>
    <row r="879" spans="2:14">
      <c r="B879" s="1452"/>
      <c r="C879" s="29">
        <v>3</v>
      </c>
      <c r="D879" s="29" t="s">
        <v>722</v>
      </c>
      <c r="E879" s="56">
        <v>30172396</v>
      </c>
      <c r="F879" s="303" t="s">
        <v>208</v>
      </c>
      <c r="G879" s="306" t="s">
        <v>208</v>
      </c>
      <c r="H879" s="30">
        <v>30214191</v>
      </c>
      <c r="I879" s="35">
        <v>29700</v>
      </c>
      <c r="J879" s="304">
        <v>0.15</v>
      </c>
      <c r="K879" s="29">
        <v>5</v>
      </c>
      <c r="L879" s="67">
        <f>I879*K879</f>
        <v>148500</v>
      </c>
      <c r="M879" s="67" t="s">
        <v>209</v>
      </c>
      <c r="N879" s="69">
        <v>20250108975</v>
      </c>
    </row>
    <row r="880" spans="2:14">
      <c r="B880" s="1452"/>
      <c r="C880" s="29">
        <v>4</v>
      </c>
      <c r="D880" s="29" t="s">
        <v>722</v>
      </c>
      <c r="E880" s="56">
        <v>30183804</v>
      </c>
      <c r="F880" s="303" t="s">
        <v>1162</v>
      </c>
      <c r="G880" s="306" t="s">
        <v>1162</v>
      </c>
      <c r="H880" s="30">
        <v>30200141</v>
      </c>
      <c r="I880" s="35">
        <v>17900</v>
      </c>
      <c r="J880" s="304">
        <v>0.1</v>
      </c>
      <c r="K880" s="29">
        <v>5</v>
      </c>
      <c r="L880" s="67">
        <f>I880*K880</f>
        <v>89500</v>
      </c>
      <c r="M880" s="67" t="s">
        <v>1163</v>
      </c>
      <c r="N880" s="69">
        <v>20250108976</v>
      </c>
    </row>
    <row r="881" spans="2:15">
      <c r="B881" s="1452"/>
      <c r="C881" s="1481">
        <v>5</v>
      </c>
      <c r="D881" s="1481" t="s">
        <v>212</v>
      </c>
      <c r="E881" s="56">
        <v>30177487</v>
      </c>
      <c r="F881" s="303" t="s">
        <v>1164</v>
      </c>
      <c r="G881" s="1449" t="s">
        <v>1165</v>
      </c>
      <c r="H881" s="30">
        <v>30215754</v>
      </c>
      <c r="I881" s="35">
        <v>13900</v>
      </c>
      <c r="J881" s="304">
        <v>0.17</v>
      </c>
      <c r="K881" s="1448">
        <v>5</v>
      </c>
      <c r="L881" s="1450">
        <f>I881*K881</f>
        <v>69500</v>
      </c>
      <c r="M881" s="1450" t="s">
        <v>1166</v>
      </c>
      <c r="N881" s="1461">
        <v>20250108977</v>
      </c>
    </row>
    <row r="882" spans="2:15">
      <c r="B882" s="1452"/>
      <c r="C882" s="1482"/>
      <c r="D882" s="1482"/>
      <c r="E882" s="56">
        <v>30177492</v>
      </c>
      <c r="F882" s="303" t="s">
        <v>1167</v>
      </c>
      <c r="G882" s="1449"/>
      <c r="H882" s="30">
        <v>30215755</v>
      </c>
      <c r="I882" s="35">
        <v>24900</v>
      </c>
      <c r="J882" s="304">
        <v>0.17</v>
      </c>
      <c r="K882" s="1448"/>
      <c r="L882" s="1450"/>
      <c r="M882" s="1450"/>
      <c r="N882" s="1461"/>
    </row>
    <row r="883" spans="2:15">
      <c r="B883" s="1452"/>
      <c r="C883" s="1483"/>
      <c r="D883" s="1483"/>
      <c r="E883" s="56">
        <v>30177496</v>
      </c>
      <c r="F883" s="303" t="s">
        <v>1168</v>
      </c>
      <c r="G883" s="1449"/>
      <c r="H883" s="30">
        <v>30215758</v>
      </c>
      <c r="I883" s="35">
        <v>44990</v>
      </c>
      <c r="J883" s="304">
        <v>0.17</v>
      </c>
      <c r="K883" s="1448"/>
      <c r="L883" s="1450"/>
      <c r="M883" s="1450"/>
      <c r="N883" s="1461"/>
    </row>
    <row r="884" spans="2:15">
      <c r="B884" s="1452"/>
      <c r="C884" s="37">
        <v>6</v>
      </c>
      <c r="D884" s="37" t="s">
        <v>495</v>
      </c>
      <c r="E884" s="307">
        <v>68915328</v>
      </c>
      <c r="F884" s="308" t="s">
        <v>1169</v>
      </c>
      <c r="G884" s="306" t="s">
        <v>1169</v>
      </c>
      <c r="H884" s="30">
        <v>30197756</v>
      </c>
      <c r="I884" s="35">
        <v>31900</v>
      </c>
      <c r="J884" s="304">
        <v>0.1</v>
      </c>
      <c r="K884" s="29">
        <v>5</v>
      </c>
      <c r="L884" s="67">
        <f>I884*K884</f>
        <v>159500</v>
      </c>
      <c r="M884" s="67" t="s">
        <v>1170</v>
      </c>
      <c r="N884" s="69">
        <v>20250108978</v>
      </c>
    </row>
    <row r="885" spans="2:15">
      <c r="B885" s="1679" t="s">
        <v>221</v>
      </c>
      <c r="C885" s="1448">
        <v>1</v>
      </c>
      <c r="D885" s="1448" t="s">
        <v>239</v>
      </c>
      <c r="E885" s="40">
        <v>55017581</v>
      </c>
      <c r="F885" s="309" t="s">
        <v>1171</v>
      </c>
      <c r="G885" s="1448" t="s">
        <v>1172</v>
      </c>
      <c r="H885" s="30">
        <v>30171296</v>
      </c>
      <c r="I885" s="35">
        <v>21900</v>
      </c>
      <c r="J885" s="304">
        <v>0.15</v>
      </c>
      <c r="K885" s="1448">
        <v>5</v>
      </c>
      <c r="L885" s="1450">
        <f>I885*K885</f>
        <v>109500</v>
      </c>
      <c r="M885" s="1450" t="s">
        <v>1173</v>
      </c>
      <c r="N885" s="1461">
        <v>20250108979</v>
      </c>
      <c r="O885" s="4" t="s">
        <v>1174</v>
      </c>
    </row>
    <row r="886" spans="2:15">
      <c r="B886" s="1680"/>
      <c r="C886" s="1448"/>
      <c r="D886" s="1448"/>
      <c r="E886" s="40">
        <v>55017464</v>
      </c>
      <c r="F886" s="309" t="s">
        <v>1175</v>
      </c>
      <c r="G886" s="1448"/>
      <c r="H886" s="30">
        <v>30170525</v>
      </c>
      <c r="I886" s="35">
        <v>16900</v>
      </c>
      <c r="J886" s="304">
        <v>0.15</v>
      </c>
      <c r="K886" s="1448"/>
      <c r="L886" s="1450"/>
      <c r="M886" s="1450"/>
      <c r="N886" s="1461"/>
    </row>
    <row r="887" spans="2:15">
      <c r="B887" s="1680"/>
      <c r="C887" s="1448"/>
      <c r="D887" s="1448"/>
      <c r="E887" s="40">
        <v>55017545</v>
      </c>
      <c r="F887" s="309" t="s">
        <v>1176</v>
      </c>
      <c r="G887" s="1448"/>
      <c r="H887" s="30">
        <v>30164704</v>
      </c>
      <c r="I887" s="35">
        <v>20900</v>
      </c>
      <c r="J887" s="304">
        <v>0.15</v>
      </c>
      <c r="K887" s="1448"/>
      <c r="L887" s="1450"/>
      <c r="M887" s="1450"/>
      <c r="N887" s="1461"/>
    </row>
    <row r="888" spans="2:15">
      <c r="B888" s="1680"/>
      <c r="C888" s="1448">
        <v>2</v>
      </c>
      <c r="D888" s="1448" t="s">
        <v>239</v>
      </c>
      <c r="E888" s="40">
        <v>68506079</v>
      </c>
      <c r="F888" s="309" t="s">
        <v>1177</v>
      </c>
      <c r="G888" s="1448" t="s">
        <v>1178</v>
      </c>
      <c r="H888" s="30">
        <v>30215765</v>
      </c>
      <c r="I888" s="35">
        <v>21900</v>
      </c>
      <c r="J888" s="304">
        <v>0.15</v>
      </c>
      <c r="K888" s="1448">
        <v>5</v>
      </c>
      <c r="L888" s="1450">
        <f>I888*K888</f>
        <v>109500</v>
      </c>
      <c r="M888" s="1450" t="s">
        <v>1179</v>
      </c>
      <c r="N888" s="1461">
        <v>20250108980</v>
      </c>
    </row>
    <row r="889" spans="2:15">
      <c r="B889" s="1680"/>
      <c r="C889" s="1448"/>
      <c r="D889" s="1448"/>
      <c r="E889" s="40">
        <v>55021789</v>
      </c>
      <c r="F889" s="309" t="s">
        <v>1180</v>
      </c>
      <c r="G889" s="1448"/>
      <c r="H889" s="30">
        <v>30159476</v>
      </c>
      <c r="I889" s="35">
        <v>22900</v>
      </c>
      <c r="J889" s="304">
        <v>0.15</v>
      </c>
      <c r="K889" s="1448"/>
      <c r="L889" s="1450"/>
      <c r="M889" s="1450"/>
      <c r="N889" s="1461"/>
    </row>
    <row r="890" spans="2:15">
      <c r="B890" s="1680"/>
      <c r="C890" s="1448"/>
      <c r="D890" s="1448"/>
      <c r="E890" s="40">
        <v>72339444</v>
      </c>
      <c r="F890" s="309" t="s">
        <v>1181</v>
      </c>
      <c r="G890" s="1448"/>
      <c r="H890" s="30">
        <v>30215766</v>
      </c>
      <c r="I890" s="35">
        <v>34900</v>
      </c>
      <c r="J890" s="304">
        <v>0.15</v>
      </c>
      <c r="K890" s="1448"/>
      <c r="L890" s="1450"/>
      <c r="M890" s="1450"/>
      <c r="N890" s="1461"/>
    </row>
    <row r="891" spans="2:15">
      <c r="B891" s="1680"/>
      <c r="C891" s="1448">
        <v>3</v>
      </c>
      <c r="D891" s="1448" t="s">
        <v>234</v>
      </c>
      <c r="E891" s="40">
        <v>30198825</v>
      </c>
      <c r="F891" s="309" t="s">
        <v>1182</v>
      </c>
      <c r="G891" s="1448" t="s">
        <v>1183</v>
      </c>
      <c r="H891" s="30">
        <v>30198825</v>
      </c>
      <c r="I891" s="35">
        <v>10900</v>
      </c>
      <c r="J891" s="304">
        <v>0.17</v>
      </c>
      <c r="K891" s="1448">
        <v>5</v>
      </c>
      <c r="L891" s="1450">
        <f>I891*K891</f>
        <v>54500</v>
      </c>
      <c r="M891" s="1450" t="s">
        <v>1184</v>
      </c>
      <c r="N891" s="1461">
        <v>20250108981</v>
      </c>
    </row>
    <row r="892" spans="2:15">
      <c r="B892" s="1680"/>
      <c r="C892" s="1448"/>
      <c r="D892" s="1448"/>
      <c r="E892" s="40">
        <v>30172287</v>
      </c>
      <c r="F892" s="309" t="s">
        <v>1185</v>
      </c>
      <c r="G892" s="1448"/>
      <c r="H892" s="30">
        <v>30172287</v>
      </c>
      <c r="I892" s="35">
        <v>17900</v>
      </c>
      <c r="J892" s="304">
        <v>0.17</v>
      </c>
      <c r="K892" s="1448"/>
      <c r="L892" s="1450"/>
      <c r="M892" s="1450"/>
      <c r="N892" s="1461"/>
    </row>
    <row r="893" spans="2:15">
      <c r="B893" s="1680"/>
      <c r="C893" s="1448"/>
      <c r="D893" s="1448"/>
      <c r="E893" s="40">
        <v>30198826</v>
      </c>
      <c r="F893" s="309" t="s">
        <v>1186</v>
      </c>
      <c r="G893" s="1448"/>
      <c r="H893" s="30">
        <v>30198826</v>
      </c>
      <c r="I893" s="35">
        <v>23500</v>
      </c>
      <c r="J893" s="304">
        <v>0.17</v>
      </c>
      <c r="K893" s="1448"/>
      <c r="L893" s="1450"/>
      <c r="M893" s="1450"/>
      <c r="N893" s="1461"/>
    </row>
    <row r="894" spans="2:15">
      <c r="B894" s="1680"/>
      <c r="C894" s="1448">
        <v>4</v>
      </c>
      <c r="D894" s="1448" t="s">
        <v>226</v>
      </c>
      <c r="E894" s="40">
        <v>57102243</v>
      </c>
      <c r="F894" s="309" t="s">
        <v>1187</v>
      </c>
      <c r="G894" s="1448" t="s">
        <v>1188</v>
      </c>
      <c r="H894" s="30">
        <v>30180470</v>
      </c>
      <c r="I894" s="35">
        <v>13900</v>
      </c>
      <c r="J894" s="304">
        <v>0.15</v>
      </c>
      <c r="K894" s="1448">
        <v>5</v>
      </c>
      <c r="L894" s="1450">
        <f>I894*K894</f>
        <v>69500</v>
      </c>
      <c r="M894" s="1450" t="s">
        <v>1189</v>
      </c>
      <c r="N894" s="1461">
        <v>20250108982</v>
      </c>
    </row>
    <row r="895" spans="2:15">
      <c r="B895" s="1680"/>
      <c r="C895" s="1448"/>
      <c r="D895" s="1448"/>
      <c r="E895" s="40">
        <v>57102241</v>
      </c>
      <c r="F895" s="309" t="s">
        <v>1190</v>
      </c>
      <c r="G895" s="1448"/>
      <c r="H895" s="30">
        <v>30180471</v>
      </c>
      <c r="I895" s="35">
        <v>19900</v>
      </c>
      <c r="J895" s="304">
        <v>0.15</v>
      </c>
      <c r="K895" s="1448"/>
      <c r="L895" s="1450"/>
      <c r="M895" s="1450"/>
      <c r="N895" s="1461"/>
    </row>
    <row r="896" spans="2:15">
      <c r="B896" s="1680"/>
      <c r="C896" s="1448"/>
      <c r="D896" s="1448"/>
      <c r="E896" s="40">
        <v>57102240</v>
      </c>
      <c r="F896" s="309" t="s">
        <v>1191</v>
      </c>
      <c r="G896" s="1448"/>
      <c r="H896" s="30">
        <v>30180473</v>
      </c>
      <c r="I896" s="35">
        <v>25900</v>
      </c>
      <c r="J896" s="304">
        <v>0.15</v>
      </c>
      <c r="K896" s="1448"/>
      <c r="L896" s="1450"/>
      <c r="M896" s="1450"/>
      <c r="N896" s="1461"/>
    </row>
    <row r="897" spans="2:15">
      <c r="B897" s="1680"/>
      <c r="C897" s="1448">
        <v>5</v>
      </c>
      <c r="D897" s="1448" t="s">
        <v>222</v>
      </c>
      <c r="E897" s="40">
        <v>30172203</v>
      </c>
      <c r="F897" s="309" t="s">
        <v>1192</v>
      </c>
      <c r="G897" s="1448" t="s">
        <v>1193</v>
      </c>
      <c r="H897" s="30">
        <v>30172261</v>
      </c>
      <c r="I897" s="35">
        <v>11900</v>
      </c>
      <c r="J897" s="304">
        <v>0.15</v>
      </c>
      <c r="K897" s="1448">
        <v>5</v>
      </c>
      <c r="L897" s="1450">
        <f>I897*K897</f>
        <v>59500</v>
      </c>
      <c r="M897" s="1450" t="s">
        <v>1194</v>
      </c>
      <c r="N897" s="1461">
        <v>20250108983</v>
      </c>
    </row>
    <row r="898" spans="2:15">
      <c r="B898" s="1680"/>
      <c r="C898" s="1448"/>
      <c r="D898" s="1448"/>
      <c r="E898" s="40">
        <v>30172185</v>
      </c>
      <c r="F898" s="309" t="s">
        <v>1195</v>
      </c>
      <c r="G898" s="1448"/>
      <c r="H898" s="30">
        <v>30172262</v>
      </c>
      <c r="I898" s="35">
        <v>32900</v>
      </c>
      <c r="J898" s="304">
        <v>0.15</v>
      </c>
      <c r="K898" s="1448"/>
      <c r="L898" s="1450"/>
      <c r="M898" s="1450"/>
      <c r="N898" s="1461"/>
    </row>
    <row r="899" spans="2:15">
      <c r="B899" s="1680"/>
      <c r="C899" s="1448"/>
      <c r="D899" s="1448"/>
      <c r="E899" s="40">
        <v>30172202</v>
      </c>
      <c r="F899" s="309" t="s">
        <v>1196</v>
      </c>
      <c r="G899" s="1448"/>
      <c r="H899" s="30">
        <v>30172263</v>
      </c>
      <c r="I899" s="35">
        <v>59900</v>
      </c>
      <c r="J899" s="304">
        <v>0.15</v>
      </c>
      <c r="K899" s="1448"/>
      <c r="L899" s="1450"/>
      <c r="M899" s="1450"/>
      <c r="N899" s="1461"/>
    </row>
    <row r="900" spans="2:15">
      <c r="B900" s="1680"/>
      <c r="C900" s="29">
        <v>6</v>
      </c>
      <c r="D900" s="29" t="s">
        <v>248</v>
      </c>
      <c r="E900" s="40">
        <v>30205938</v>
      </c>
      <c r="F900" s="309" t="s">
        <v>765</v>
      </c>
      <c r="G900" s="92" t="s">
        <v>765</v>
      </c>
      <c r="H900" s="30">
        <v>30215770</v>
      </c>
      <c r="I900" s="35">
        <v>3900</v>
      </c>
      <c r="J900" s="304">
        <v>0.15</v>
      </c>
      <c r="K900" s="29">
        <v>5</v>
      </c>
      <c r="L900" s="67">
        <f>I900*K900</f>
        <v>19500</v>
      </c>
      <c r="M900" s="67" t="s">
        <v>766</v>
      </c>
      <c r="N900" s="69">
        <v>20250108984</v>
      </c>
    </row>
    <row r="901" spans="2:15">
      <c r="B901" s="1680"/>
      <c r="C901" s="1451">
        <v>7</v>
      </c>
      <c r="D901" s="1451" t="s">
        <v>257</v>
      </c>
      <c r="E901" s="40">
        <v>30195946</v>
      </c>
      <c r="F901" s="309" t="s">
        <v>1197</v>
      </c>
      <c r="G901" s="1448" t="s">
        <v>1198</v>
      </c>
      <c r="H901" s="30">
        <v>30215771</v>
      </c>
      <c r="I901" s="35">
        <v>19900</v>
      </c>
      <c r="J901" s="304">
        <v>0.15</v>
      </c>
      <c r="K901" s="1448">
        <v>5</v>
      </c>
      <c r="L901" s="1450">
        <f>I901*K901</f>
        <v>99500</v>
      </c>
      <c r="M901" s="1450" t="s">
        <v>1199</v>
      </c>
      <c r="N901" s="1461">
        <v>20250108985</v>
      </c>
    </row>
    <row r="902" spans="2:15">
      <c r="B902" s="1680"/>
      <c r="C902" s="1452"/>
      <c r="D902" s="1452"/>
      <c r="E902" s="40">
        <v>30195944</v>
      </c>
      <c r="F902" s="309" t="s">
        <v>1200</v>
      </c>
      <c r="G902" s="1448"/>
      <c r="H902" s="30">
        <v>30197820</v>
      </c>
      <c r="I902" s="35">
        <v>20900</v>
      </c>
      <c r="J902" s="304">
        <v>0.15</v>
      </c>
      <c r="K902" s="1448"/>
      <c r="L902" s="1450"/>
      <c r="M902" s="1450"/>
      <c r="N902" s="1461"/>
    </row>
    <row r="903" spans="2:15">
      <c r="B903" s="1680"/>
      <c r="C903" s="1452"/>
      <c r="D903" s="1452"/>
      <c r="E903" s="40">
        <v>30195943</v>
      </c>
      <c r="F903" s="309" t="s">
        <v>1201</v>
      </c>
      <c r="G903" s="1448"/>
      <c r="H903" s="30">
        <v>30196614</v>
      </c>
      <c r="I903" s="35">
        <v>22900</v>
      </c>
      <c r="J903" s="304">
        <v>0.15</v>
      </c>
      <c r="K903" s="1448"/>
      <c r="L903" s="1450"/>
      <c r="M903" s="1450"/>
      <c r="N903" s="1461"/>
    </row>
    <row r="904" spans="2:15">
      <c r="B904" s="1680"/>
      <c r="C904" s="1452"/>
      <c r="D904" s="1452"/>
      <c r="E904" s="40">
        <v>30195948</v>
      </c>
      <c r="F904" s="309" t="s">
        <v>1202</v>
      </c>
      <c r="G904" s="1448"/>
      <c r="H904" s="30">
        <v>30196630</v>
      </c>
      <c r="I904" s="35">
        <v>33900</v>
      </c>
      <c r="J904" s="304">
        <v>0.15</v>
      </c>
      <c r="K904" s="1448"/>
      <c r="L904" s="1450"/>
      <c r="M904" s="1450"/>
      <c r="N904" s="1461"/>
    </row>
    <row r="905" spans="2:15">
      <c r="B905" s="1680"/>
      <c r="C905" s="1452"/>
      <c r="D905" s="1452"/>
      <c r="E905" s="40">
        <v>30195945</v>
      </c>
      <c r="F905" s="309" t="s">
        <v>1203</v>
      </c>
      <c r="G905" s="1448"/>
      <c r="H905" s="30">
        <v>30196621</v>
      </c>
      <c r="I905" s="35">
        <v>23900</v>
      </c>
      <c r="J905" s="304">
        <v>0.15</v>
      </c>
      <c r="K905" s="1448"/>
      <c r="L905" s="1450"/>
      <c r="M905" s="1450"/>
      <c r="N905" s="1461"/>
    </row>
    <row r="906" spans="2:15">
      <c r="B906" s="1680"/>
      <c r="C906" s="1453"/>
      <c r="D906" s="1453"/>
      <c r="E906" s="40">
        <v>30195947</v>
      </c>
      <c r="F906" s="309" t="s">
        <v>1204</v>
      </c>
      <c r="G906" s="1448"/>
      <c r="H906" s="30">
        <v>30196629</v>
      </c>
      <c r="I906" s="35">
        <v>29900</v>
      </c>
      <c r="J906" s="304">
        <v>0.15</v>
      </c>
      <c r="K906" s="1448"/>
      <c r="L906" s="1450"/>
      <c r="M906" s="1450"/>
      <c r="N906" s="1461"/>
    </row>
    <row r="907" spans="2:15">
      <c r="B907" s="1680"/>
      <c r="C907" s="1448">
        <v>8</v>
      </c>
      <c r="D907" s="1448" t="s">
        <v>248</v>
      </c>
      <c r="E907" s="40">
        <v>30177491</v>
      </c>
      <c r="F907" s="309" t="s">
        <v>1205</v>
      </c>
      <c r="G907" s="1448" t="s">
        <v>1206</v>
      </c>
      <c r="H907" s="30">
        <v>30215779</v>
      </c>
      <c r="I907" s="35">
        <v>45900</v>
      </c>
      <c r="J907" s="304">
        <v>0.15</v>
      </c>
      <c r="K907" s="1448">
        <v>5</v>
      </c>
      <c r="L907" s="1450">
        <f>I907*K907</f>
        <v>229500</v>
      </c>
      <c r="M907" s="1450" t="s">
        <v>1207</v>
      </c>
      <c r="N907" s="1461">
        <v>20250108986</v>
      </c>
    </row>
    <row r="908" spans="2:15">
      <c r="B908" s="1680"/>
      <c r="C908" s="1448"/>
      <c r="D908" s="1448"/>
      <c r="E908" s="40">
        <v>30177498</v>
      </c>
      <c r="F908" s="309" t="s">
        <v>1208</v>
      </c>
      <c r="G908" s="1448"/>
      <c r="H908" s="30">
        <v>30197816</v>
      </c>
      <c r="I908" s="35">
        <v>45900</v>
      </c>
      <c r="J908" s="304">
        <v>0.15</v>
      </c>
      <c r="K908" s="1448"/>
      <c r="L908" s="1450"/>
      <c r="M908" s="1450"/>
      <c r="N908" s="1461"/>
    </row>
    <row r="909" spans="2:15">
      <c r="B909" s="1680"/>
      <c r="C909" s="1448"/>
      <c r="D909" s="1448"/>
      <c r="E909" s="40">
        <v>30181467</v>
      </c>
      <c r="F909" s="309" t="s">
        <v>1209</v>
      </c>
      <c r="G909" s="1448"/>
      <c r="H909" s="30">
        <v>30215783</v>
      </c>
      <c r="I909" s="35">
        <v>49900</v>
      </c>
      <c r="J909" s="304">
        <v>0.15</v>
      </c>
      <c r="K909" s="1448"/>
      <c r="L909" s="1450"/>
      <c r="M909" s="1450"/>
      <c r="N909" s="1461"/>
    </row>
    <row r="910" spans="2:15">
      <c r="B910" s="1681"/>
      <c r="C910" s="29">
        <v>9</v>
      </c>
      <c r="D910" s="29" t="s">
        <v>248</v>
      </c>
      <c r="E910" s="40">
        <v>30215590</v>
      </c>
      <c r="F910" s="309" t="s">
        <v>1210</v>
      </c>
      <c r="G910" s="92" t="s">
        <v>1211</v>
      </c>
      <c r="H910" s="30">
        <v>30215784</v>
      </c>
      <c r="I910" s="35">
        <v>6900</v>
      </c>
      <c r="J910" s="304">
        <v>0.15</v>
      </c>
      <c r="K910" s="29">
        <v>5</v>
      </c>
      <c r="L910" s="67">
        <v>34500</v>
      </c>
      <c r="M910" s="67" t="s">
        <v>1212</v>
      </c>
      <c r="N910" s="69">
        <v>20250108987</v>
      </c>
    </row>
    <row r="911" spans="2:15">
      <c r="B911" s="1676" t="s">
        <v>795</v>
      </c>
      <c r="C911" s="1654">
        <v>1</v>
      </c>
      <c r="D911" s="1654" t="s">
        <v>1213</v>
      </c>
      <c r="E911" s="129">
        <v>30215171</v>
      </c>
      <c r="F911" s="213" t="s">
        <v>1214</v>
      </c>
      <c r="G911" s="1448" t="s">
        <v>1215</v>
      </c>
      <c r="H911" s="30">
        <v>30215822</v>
      </c>
      <c r="I911" s="35">
        <v>11900</v>
      </c>
      <c r="J911" s="304">
        <v>0.1</v>
      </c>
      <c r="K911" s="1448">
        <v>5</v>
      </c>
      <c r="L911" s="1448">
        <f>I911*K911</f>
        <v>59500</v>
      </c>
      <c r="M911" s="1454" t="s">
        <v>1216</v>
      </c>
      <c r="N911" s="1461">
        <v>20250109010</v>
      </c>
      <c r="O911" s="4" t="s">
        <v>1217</v>
      </c>
    </row>
    <row r="912" spans="2:15">
      <c r="B912" s="1677"/>
      <c r="C912" s="1610"/>
      <c r="D912" s="1610"/>
      <c r="E912" s="129">
        <v>30215172</v>
      </c>
      <c r="F912" s="213" t="s">
        <v>1218</v>
      </c>
      <c r="G912" s="1448"/>
      <c r="H912" s="30">
        <v>30215824</v>
      </c>
      <c r="I912" s="35">
        <v>19500</v>
      </c>
      <c r="J912" s="304">
        <v>0.1</v>
      </c>
      <c r="K912" s="1448"/>
      <c r="L912" s="1448"/>
      <c r="M912" s="1454"/>
      <c r="N912" s="1461"/>
    </row>
    <row r="913" spans="2:15">
      <c r="B913" s="1677"/>
      <c r="C913" s="1609"/>
      <c r="D913" s="1609"/>
      <c r="E913" s="129">
        <v>30215173</v>
      </c>
      <c r="F913" s="213" t="s">
        <v>1219</v>
      </c>
      <c r="G913" s="1448"/>
      <c r="H913" s="30">
        <v>30215826</v>
      </c>
      <c r="I913" s="35">
        <v>38500</v>
      </c>
      <c r="J913" s="304">
        <v>0.1</v>
      </c>
      <c r="K913" s="1448"/>
      <c r="L913" s="1448"/>
      <c r="M913" s="1454"/>
      <c r="N913" s="1461"/>
    </row>
    <row r="914" spans="2:15">
      <c r="B914" s="1677"/>
      <c r="C914" s="1608">
        <v>2</v>
      </c>
      <c r="D914" s="1608" t="s">
        <v>1220</v>
      </c>
      <c r="E914" s="129">
        <v>69071583</v>
      </c>
      <c r="F914" s="213" t="s">
        <v>1221</v>
      </c>
      <c r="G914" s="1448" t="s">
        <v>1222</v>
      </c>
      <c r="H914" s="30">
        <v>30215785</v>
      </c>
      <c r="I914" s="35">
        <v>30500</v>
      </c>
      <c r="J914" s="304">
        <v>0.1</v>
      </c>
      <c r="K914" s="1448">
        <v>5</v>
      </c>
      <c r="L914" s="1448">
        <f>I914*K914</f>
        <v>152500</v>
      </c>
      <c r="M914" s="1454" t="s">
        <v>1223</v>
      </c>
      <c r="N914" s="1461">
        <v>20250108988</v>
      </c>
    </row>
    <row r="915" spans="2:15">
      <c r="B915" s="1677"/>
      <c r="C915" s="1610"/>
      <c r="D915" s="1610"/>
      <c r="E915" s="129">
        <v>69071582</v>
      </c>
      <c r="F915" s="213" t="s">
        <v>1224</v>
      </c>
      <c r="G915" s="1448"/>
      <c r="H915" s="30">
        <v>30215788</v>
      </c>
      <c r="I915" s="35">
        <v>42900</v>
      </c>
      <c r="J915" s="304">
        <v>0.1</v>
      </c>
      <c r="K915" s="1448"/>
      <c r="L915" s="1448"/>
      <c r="M915" s="1454"/>
      <c r="N915" s="1461"/>
    </row>
    <row r="916" spans="2:15">
      <c r="B916" s="1677"/>
      <c r="C916" s="1610"/>
      <c r="D916" s="1610"/>
      <c r="E916" s="129">
        <v>69071579</v>
      </c>
      <c r="F916" s="213" t="s">
        <v>1225</v>
      </c>
      <c r="G916" s="1448"/>
      <c r="H916" s="30">
        <v>30215789</v>
      </c>
      <c r="I916" s="35">
        <v>54900</v>
      </c>
      <c r="J916" s="304">
        <v>0.1</v>
      </c>
      <c r="K916" s="1448"/>
      <c r="L916" s="1448"/>
      <c r="M916" s="1454"/>
      <c r="N916" s="1461"/>
    </row>
    <row r="917" spans="2:15">
      <c r="B917" s="1677"/>
      <c r="C917" s="1610"/>
      <c r="D917" s="1610"/>
      <c r="E917" s="129">
        <v>69071599</v>
      </c>
      <c r="F917" s="213" t="s">
        <v>1226</v>
      </c>
      <c r="G917" s="1448"/>
      <c r="H917" s="30">
        <v>30215791</v>
      </c>
      <c r="I917" s="35">
        <v>32500</v>
      </c>
      <c r="J917" s="304">
        <v>0.1</v>
      </c>
      <c r="K917" s="1448"/>
      <c r="L917" s="1448"/>
      <c r="M917" s="1454"/>
      <c r="N917" s="1461"/>
    </row>
    <row r="918" spans="2:15">
      <c r="B918" s="1677"/>
      <c r="C918" s="1610"/>
      <c r="D918" s="1610"/>
      <c r="E918" s="129">
        <v>69071595</v>
      </c>
      <c r="F918" s="213" t="s">
        <v>1227</v>
      </c>
      <c r="G918" s="1448"/>
      <c r="H918" s="30">
        <v>30215814</v>
      </c>
      <c r="I918" s="35">
        <v>45900</v>
      </c>
      <c r="J918" s="304">
        <v>0.1</v>
      </c>
      <c r="K918" s="1448"/>
      <c r="L918" s="1448"/>
      <c r="M918" s="1454"/>
      <c r="N918" s="1461"/>
    </row>
    <row r="919" spans="2:15">
      <c r="B919" s="1677"/>
      <c r="C919" s="1610"/>
      <c r="D919" s="1610"/>
      <c r="E919" s="129">
        <v>69071593</v>
      </c>
      <c r="F919" s="213" t="s">
        <v>1228</v>
      </c>
      <c r="G919" s="1448"/>
      <c r="H919" s="30">
        <v>30215815</v>
      </c>
      <c r="I919" s="35">
        <v>58900</v>
      </c>
      <c r="J919" s="304">
        <v>0.1</v>
      </c>
      <c r="K919" s="1448"/>
      <c r="L919" s="1448"/>
      <c r="M919" s="1454"/>
      <c r="N919" s="1461"/>
    </row>
    <row r="920" spans="2:15">
      <c r="B920" s="1677"/>
      <c r="C920" s="1610"/>
      <c r="D920" s="1610"/>
      <c r="E920" s="129">
        <v>69071590</v>
      </c>
      <c r="F920" s="213" t="s">
        <v>1229</v>
      </c>
      <c r="G920" s="1448"/>
      <c r="H920" s="30">
        <v>30215816</v>
      </c>
      <c r="I920" s="35">
        <v>28500</v>
      </c>
      <c r="J920" s="304">
        <v>0.1</v>
      </c>
      <c r="K920" s="1448"/>
      <c r="L920" s="1448"/>
      <c r="M920" s="1454"/>
      <c r="N920" s="1461"/>
    </row>
    <row r="921" spans="2:15">
      <c r="B921" s="1677"/>
      <c r="C921" s="1610"/>
      <c r="D921" s="1610"/>
      <c r="E921" s="129">
        <v>69071588</v>
      </c>
      <c r="F921" s="213" t="s">
        <v>1230</v>
      </c>
      <c r="G921" s="1448"/>
      <c r="H921" s="30">
        <v>30215817</v>
      </c>
      <c r="I921" s="35">
        <v>40000</v>
      </c>
      <c r="J921" s="304">
        <v>0.1</v>
      </c>
      <c r="K921" s="1448"/>
      <c r="L921" s="1448"/>
      <c r="M921" s="1454"/>
      <c r="N921" s="1461"/>
    </row>
    <row r="922" spans="2:15">
      <c r="B922" s="1677"/>
      <c r="C922" s="1609"/>
      <c r="D922" s="1609"/>
      <c r="E922" s="129">
        <v>69071586</v>
      </c>
      <c r="F922" s="213" t="s">
        <v>1231</v>
      </c>
      <c r="G922" s="1448"/>
      <c r="H922" s="30">
        <v>30215818</v>
      </c>
      <c r="I922" s="35">
        <v>50900</v>
      </c>
      <c r="J922" s="304">
        <v>0.1</v>
      </c>
      <c r="K922" s="1448"/>
      <c r="L922" s="1448"/>
      <c r="M922" s="1454"/>
      <c r="N922" s="1461"/>
    </row>
    <row r="923" spans="2:15">
      <c r="B923" s="1677"/>
      <c r="C923" s="1608">
        <v>3</v>
      </c>
      <c r="D923" s="1608" t="s">
        <v>257</v>
      </c>
      <c r="E923" s="129">
        <v>30185926</v>
      </c>
      <c r="F923" s="213" t="s">
        <v>1232</v>
      </c>
      <c r="G923" s="1448" t="s">
        <v>1233</v>
      </c>
      <c r="H923" s="157">
        <v>30198440</v>
      </c>
      <c r="I923" s="35">
        <v>15500</v>
      </c>
      <c r="J923" s="304">
        <v>0.15</v>
      </c>
      <c r="K923" s="1448">
        <v>5</v>
      </c>
      <c r="L923" s="1448">
        <f>I923*K923</f>
        <v>77500</v>
      </c>
      <c r="M923" s="1454" t="s">
        <v>1234</v>
      </c>
      <c r="N923" s="1461">
        <v>20250108989</v>
      </c>
    </row>
    <row r="924" spans="2:15">
      <c r="B924" s="1677"/>
      <c r="C924" s="1610"/>
      <c r="D924" s="1610"/>
      <c r="E924" s="129">
        <v>30185932</v>
      </c>
      <c r="F924" s="213" t="s">
        <v>1235</v>
      </c>
      <c r="G924" s="1448"/>
      <c r="H924" s="157">
        <v>30198439</v>
      </c>
      <c r="I924" s="35">
        <v>20500</v>
      </c>
      <c r="J924" s="304">
        <v>0.15</v>
      </c>
      <c r="K924" s="1448"/>
      <c r="L924" s="1448"/>
      <c r="M924" s="1454"/>
      <c r="N924" s="1461"/>
    </row>
    <row r="925" spans="2:15">
      <c r="B925" s="1677"/>
      <c r="C925" s="1609"/>
      <c r="D925" s="1609"/>
      <c r="E925" s="310">
        <v>30185933</v>
      </c>
      <c r="F925" s="213" t="s">
        <v>1236</v>
      </c>
      <c r="G925" s="1448"/>
      <c r="H925" s="157">
        <v>30197906</v>
      </c>
      <c r="I925" s="35">
        <v>26500</v>
      </c>
      <c r="J925" s="304">
        <v>0.15</v>
      </c>
      <c r="K925" s="1448"/>
      <c r="L925" s="1448"/>
      <c r="M925" s="1454"/>
      <c r="N925" s="1461"/>
    </row>
    <row r="926" spans="2:15" ht="16.5" customHeight="1">
      <c r="B926" s="1677"/>
      <c r="C926" s="1674">
        <v>4</v>
      </c>
      <c r="D926" s="1524" t="s">
        <v>1237</v>
      </c>
      <c r="E926" s="311">
        <v>76061624</v>
      </c>
      <c r="F926" s="312" t="s">
        <v>1238</v>
      </c>
      <c r="G926" s="1606" t="s">
        <v>1239</v>
      </c>
      <c r="H926" s="313"/>
      <c r="I926" s="314">
        <v>20900</v>
      </c>
      <c r="J926" s="315">
        <v>0.15</v>
      </c>
      <c r="K926" s="1524">
        <v>5</v>
      </c>
      <c r="L926" s="1526">
        <f>I926*K926</f>
        <v>104500</v>
      </c>
      <c r="M926" s="1675" t="s">
        <v>1240</v>
      </c>
      <c r="N926" s="1461">
        <v>20250108990</v>
      </c>
    </row>
    <row r="927" spans="2:15" ht="16.5" customHeight="1">
      <c r="B927" s="1678"/>
      <c r="C927" s="1674"/>
      <c r="D927" s="1524"/>
      <c r="E927" s="74">
        <v>71413505</v>
      </c>
      <c r="F927" s="291" t="s">
        <v>1239</v>
      </c>
      <c r="G927" s="1606"/>
      <c r="H927" s="92">
        <v>30215819</v>
      </c>
      <c r="I927" s="35">
        <v>31900</v>
      </c>
      <c r="J927" s="42">
        <v>0.15</v>
      </c>
      <c r="K927" s="1524"/>
      <c r="L927" s="1526"/>
      <c r="M927" s="1675"/>
      <c r="N927" s="1461"/>
    </row>
    <row r="928" spans="2:15" ht="19.5" customHeight="1">
      <c r="B928" s="1608" t="s">
        <v>417</v>
      </c>
      <c r="C928" s="129">
        <v>1</v>
      </c>
      <c r="D928" s="129" t="s">
        <v>1241</v>
      </c>
      <c r="E928" s="310">
        <v>75396809</v>
      </c>
      <c r="F928" s="213" t="s">
        <v>1242</v>
      </c>
      <c r="G928" s="31" t="s">
        <v>1242</v>
      </c>
      <c r="H928" s="30">
        <v>30215767</v>
      </c>
      <c r="I928" s="35">
        <v>47900</v>
      </c>
      <c r="J928" s="64">
        <v>0.1</v>
      </c>
      <c r="K928" s="30">
        <v>10</v>
      </c>
      <c r="L928" s="35">
        <v>100000</v>
      </c>
      <c r="M928" s="31" t="s">
        <v>1243</v>
      </c>
      <c r="N928" s="69">
        <v>20250108991</v>
      </c>
      <c r="O928" s="4" t="s">
        <v>1244</v>
      </c>
    </row>
    <row r="929" spans="2:14">
      <c r="B929" s="1610"/>
      <c r="C929" s="1608">
        <v>2</v>
      </c>
      <c r="D929" s="1608" t="s">
        <v>1245</v>
      </c>
      <c r="E929" s="310">
        <v>10520800</v>
      </c>
      <c r="F929" s="213" t="s">
        <v>1246</v>
      </c>
      <c r="G929" s="1454" t="s">
        <v>1246</v>
      </c>
      <c r="H929" s="30">
        <v>30167675</v>
      </c>
      <c r="I929" s="316">
        <v>27900</v>
      </c>
      <c r="J929" s="64">
        <v>0.1</v>
      </c>
      <c r="K929" s="30">
        <v>10</v>
      </c>
      <c r="L929" s="35">
        <v>100000</v>
      </c>
      <c r="M929" s="1454" t="s">
        <v>1247</v>
      </c>
      <c r="N929" s="1461">
        <v>20250108992</v>
      </c>
    </row>
    <row r="930" spans="2:14">
      <c r="B930" s="1610"/>
      <c r="C930" s="1609"/>
      <c r="D930" s="1609"/>
      <c r="E930" s="310">
        <v>30172536</v>
      </c>
      <c r="F930" s="213" t="s">
        <v>1248</v>
      </c>
      <c r="G930" s="1454"/>
      <c r="H930" s="30">
        <v>30186117</v>
      </c>
      <c r="I930" s="316">
        <v>22500</v>
      </c>
      <c r="J930" s="64">
        <v>0.1</v>
      </c>
      <c r="K930" s="30">
        <v>10</v>
      </c>
      <c r="L930" s="35">
        <v>100000</v>
      </c>
      <c r="M930" s="1454"/>
      <c r="N930" s="1461"/>
    </row>
    <row r="931" spans="2:14" ht="19.5" customHeight="1">
      <c r="B931" s="1610"/>
      <c r="C931" s="1608">
        <v>3</v>
      </c>
      <c r="D931" s="1608" t="s">
        <v>1249</v>
      </c>
      <c r="E931" s="310">
        <v>30170346</v>
      </c>
      <c r="F931" s="213" t="s">
        <v>447</v>
      </c>
      <c r="G931" s="1454" t="s">
        <v>448</v>
      </c>
      <c r="H931" s="30">
        <v>30170346</v>
      </c>
      <c r="I931" s="316">
        <v>10900</v>
      </c>
      <c r="J931" s="64">
        <v>0.12</v>
      </c>
      <c r="K931" s="30">
        <v>10</v>
      </c>
      <c r="L931" s="35">
        <v>100000</v>
      </c>
      <c r="M931" s="1454" t="s">
        <v>449</v>
      </c>
      <c r="N931" s="1461">
        <v>20250108993</v>
      </c>
    </row>
    <row r="932" spans="2:14">
      <c r="B932" s="1610"/>
      <c r="C932" s="1610"/>
      <c r="D932" s="1610"/>
      <c r="E932" s="310">
        <v>30170932</v>
      </c>
      <c r="F932" s="213" t="s">
        <v>450</v>
      </c>
      <c r="G932" s="1454"/>
      <c r="H932" s="30">
        <v>30170932</v>
      </c>
      <c r="I932" s="316">
        <v>16500</v>
      </c>
      <c r="J932" s="64">
        <v>0.12</v>
      </c>
      <c r="K932" s="30">
        <v>10</v>
      </c>
      <c r="L932" s="35">
        <v>100000</v>
      </c>
      <c r="M932" s="1454"/>
      <c r="N932" s="1461"/>
    </row>
    <row r="933" spans="2:14">
      <c r="B933" s="1610"/>
      <c r="C933" s="1610"/>
      <c r="D933" s="1610"/>
      <c r="E933" s="310">
        <v>30170933</v>
      </c>
      <c r="F933" s="213" t="s">
        <v>451</v>
      </c>
      <c r="G933" s="1454"/>
      <c r="H933" s="30">
        <v>30170933</v>
      </c>
      <c r="I933" s="316">
        <v>23800</v>
      </c>
      <c r="J933" s="64">
        <v>0.12</v>
      </c>
      <c r="K933" s="30">
        <v>10</v>
      </c>
      <c r="L933" s="35">
        <v>100000</v>
      </c>
      <c r="M933" s="1454"/>
      <c r="N933" s="1461"/>
    </row>
    <row r="934" spans="2:14">
      <c r="B934" s="1610"/>
      <c r="C934" s="1610"/>
      <c r="D934" s="1610"/>
      <c r="E934" s="310">
        <v>30184098</v>
      </c>
      <c r="F934" s="213" t="s">
        <v>452</v>
      </c>
      <c r="G934" s="1454"/>
      <c r="H934" s="30">
        <v>30184098</v>
      </c>
      <c r="I934" s="316">
        <v>9900</v>
      </c>
      <c r="J934" s="64">
        <v>0.12</v>
      </c>
      <c r="K934" s="30">
        <v>10</v>
      </c>
      <c r="L934" s="35">
        <v>100000</v>
      </c>
      <c r="M934" s="1454"/>
      <c r="N934" s="1461"/>
    </row>
    <row r="935" spans="2:14">
      <c r="B935" s="1610"/>
      <c r="C935" s="1610"/>
      <c r="D935" s="1610"/>
      <c r="E935" s="310">
        <v>30184099</v>
      </c>
      <c r="F935" s="213" t="s">
        <v>453</v>
      </c>
      <c r="G935" s="1454"/>
      <c r="H935" s="30">
        <v>30184099</v>
      </c>
      <c r="I935" s="316">
        <v>9900</v>
      </c>
      <c r="J935" s="64">
        <v>0.12</v>
      </c>
      <c r="K935" s="30">
        <v>10</v>
      </c>
      <c r="L935" s="35">
        <v>100000</v>
      </c>
      <c r="M935" s="1454"/>
      <c r="N935" s="1461"/>
    </row>
    <row r="936" spans="2:14">
      <c r="B936" s="1610"/>
      <c r="C936" s="1610"/>
      <c r="D936" s="1610"/>
      <c r="E936" s="310">
        <v>30170935</v>
      </c>
      <c r="F936" s="213" t="s">
        <v>454</v>
      </c>
      <c r="G936" s="1454"/>
      <c r="H936" s="30">
        <v>30170935</v>
      </c>
      <c r="I936" s="316">
        <v>8200</v>
      </c>
      <c r="J936" s="64">
        <v>0.12</v>
      </c>
      <c r="K936" s="30">
        <v>10</v>
      </c>
      <c r="L936" s="35">
        <v>100000</v>
      </c>
      <c r="M936" s="1454"/>
      <c r="N936" s="1461"/>
    </row>
    <row r="937" spans="2:14">
      <c r="B937" s="1610"/>
      <c r="C937" s="1609"/>
      <c r="D937" s="1609"/>
      <c r="E937" s="310">
        <v>30170939</v>
      </c>
      <c r="F937" s="213" t="s">
        <v>455</v>
      </c>
      <c r="G937" s="1454"/>
      <c r="H937" s="30">
        <v>30170939</v>
      </c>
      <c r="I937" s="316">
        <v>9900</v>
      </c>
      <c r="J937" s="64">
        <v>0.12</v>
      </c>
      <c r="K937" s="30">
        <v>10</v>
      </c>
      <c r="L937" s="35">
        <v>100000</v>
      </c>
      <c r="M937" s="1454"/>
      <c r="N937" s="1461"/>
    </row>
    <row r="938" spans="2:14" ht="18.75" customHeight="1">
      <c r="B938" s="1610"/>
      <c r="C938" s="1608">
        <v>4</v>
      </c>
      <c r="D938" s="1608" t="s">
        <v>439</v>
      </c>
      <c r="E938" s="310">
        <v>72622229</v>
      </c>
      <c r="F938" s="213" t="s">
        <v>442</v>
      </c>
      <c r="G938" s="1454" t="s">
        <v>442</v>
      </c>
      <c r="H938" s="30">
        <v>30214236</v>
      </c>
      <c r="I938" s="316">
        <v>11900</v>
      </c>
      <c r="J938" s="64">
        <v>0.1</v>
      </c>
      <c r="K938" s="30">
        <v>10</v>
      </c>
      <c r="L938" s="35">
        <v>100000</v>
      </c>
      <c r="M938" s="1454" t="s">
        <v>1250</v>
      </c>
      <c r="N938" s="1461">
        <v>20250108994</v>
      </c>
    </row>
    <row r="939" spans="2:14">
      <c r="B939" s="1610"/>
      <c r="C939" s="1610"/>
      <c r="D939" s="1610"/>
      <c r="E939" s="310">
        <v>72622693</v>
      </c>
      <c r="F939" s="213" t="s">
        <v>440</v>
      </c>
      <c r="G939" s="1454"/>
      <c r="H939" s="30">
        <v>30214237</v>
      </c>
      <c r="I939" s="316">
        <v>11900</v>
      </c>
      <c r="J939" s="64">
        <v>0.1</v>
      </c>
      <c r="K939" s="30">
        <v>10</v>
      </c>
      <c r="L939" s="35">
        <v>100000</v>
      </c>
      <c r="M939" s="1454"/>
      <c r="N939" s="1461"/>
    </row>
    <row r="940" spans="2:14">
      <c r="B940" s="1610"/>
      <c r="C940" s="1610"/>
      <c r="D940" s="1610"/>
      <c r="E940" s="310">
        <v>72622912</v>
      </c>
      <c r="F940" s="213" t="s">
        <v>443</v>
      </c>
      <c r="G940" s="1454"/>
      <c r="H940" s="30">
        <v>30214235</v>
      </c>
      <c r="I940" s="316">
        <v>11900</v>
      </c>
      <c r="J940" s="64">
        <v>0.1</v>
      </c>
      <c r="K940" s="30">
        <v>10</v>
      </c>
      <c r="L940" s="35">
        <v>100000</v>
      </c>
      <c r="M940" s="1454"/>
      <c r="N940" s="1461"/>
    </row>
    <row r="941" spans="2:14">
      <c r="B941" s="1610"/>
      <c r="C941" s="1610"/>
      <c r="D941" s="1610"/>
      <c r="E941" s="310">
        <v>72632836</v>
      </c>
      <c r="F941" s="213" t="s">
        <v>444</v>
      </c>
      <c r="G941" s="1454"/>
      <c r="H941" s="30">
        <v>30214234</v>
      </c>
      <c r="I941" s="316">
        <v>11900</v>
      </c>
      <c r="J941" s="64">
        <v>0.1</v>
      </c>
      <c r="K941" s="30">
        <v>10</v>
      </c>
      <c r="L941" s="35">
        <v>100000</v>
      </c>
      <c r="M941" s="1454"/>
      <c r="N941" s="1461"/>
    </row>
    <row r="942" spans="2:14">
      <c r="B942" s="1610"/>
      <c r="C942" s="1609"/>
      <c r="D942" s="1609"/>
      <c r="E942" s="310">
        <v>72632884</v>
      </c>
      <c r="F942" s="213" t="s">
        <v>445</v>
      </c>
      <c r="G942" s="1454"/>
      <c r="H942" s="30">
        <v>30214233</v>
      </c>
      <c r="I942" s="316">
        <v>11900</v>
      </c>
      <c r="J942" s="64">
        <v>0.1</v>
      </c>
      <c r="K942" s="30">
        <v>10</v>
      </c>
      <c r="L942" s="35">
        <v>100000</v>
      </c>
      <c r="M942" s="1454"/>
      <c r="N942" s="1461"/>
    </row>
    <row r="943" spans="2:14" ht="18" customHeight="1">
      <c r="B943" s="1610"/>
      <c r="C943" s="1608">
        <v>5</v>
      </c>
      <c r="D943" s="1608" t="s">
        <v>1245</v>
      </c>
      <c r="E943" s="310">
        <v>30186012</v>
      </c>
      <c r="F943" s="213" t="s">
        <v>1251</v>
      </c>
      <c r="G943" s="1454" t="s">
        <v>1251</v>
      </c>
      <c r="H943" s="30">
        <v>30215769</v>
      </c>
      <c r="I943" s="316">
        <v>24900</v>
      </c>
      <c r="J943" s="64">
        <v>0.1</v>
      </c>
      <c r="K943" s="30">
        <v>10</v>
      </c>
      <c r="L943" s="35">
        <v>100000</v>
      </c>
      <c r="M943" s="1454" t="s">
        <v>1252</v>
      </c>
      <c r="N943" s="1461">
        <v>20250108995</v>
      </c>
    </row>
    <row r="944" spans="2:14">
      <c r="B944" s="1610"/>
      <c r="C944" s="1610"/>
      <c r="D944" s="1610"/>
      <c r="E944" s="310">
        <v>30203350</v>
      </c>
      <c r="F944" s="213" t="s">
        <v>1253</v>
      </c>
      <c r="G944" s="1454"/>
      <c r="H944" s="30">
        <v>30215768</v>
      </c>
      <c r="I944" s="316">
        <v>42900</v>
      </c>
      <c r="J944" s="64">
        <v>0.1</v>
      </c>
      <c r="K944" s="30">
        <v>10</v>
      </c>
      <c r="L944" s="35">
        <v>100000</v>
      </c>
      <c r="M944" s="1454"/>
      <c r="N944" s="1461"/>
    </row>
    <row r="945" spans="2:14">
      <c r="B945" s="1610"/>
      <c r="C945" s="1609"/>
      <c r="D945" s="1609"/>
      <c r="E945" s="310">
        <v>30123840</v>
      </c>
      <c r="F945" s="213" t="s">
        <v>1254</v>
      </c>
      <c r="G945" s="1454"/>
      <c r="H945" s="30">
        <v>30209899</v>
      </c>
      <c r="I945" s="316">
        <v>41900</v>
      </c>
      <c r="J945" s="64">
        <v>0.1</v>
      </c>
      <c r="K945" s="30">
        <v>10</v>
      </c>
      <c r="L945" s="35">
        <v>100000</v>
      </c>
      <c r="M945" s="1454"/>
      <c r="N945" s="1461"/>
    </row>
    <row r="946" spans="2:14" ht="16.5" customHeight="1">
      <c r="B946" s="1610"/>
      <c r="C946" s="1608">
        <v>6</v>
      </c>
      <c r="D946" s="1608" t="s">
        <v>1255</v>
      </c>
      <c r="E946" s="310">
        <v>30195645</v>
      </c>
      <c r="F946" s="213" t="s">
        <v>1256</v>
      </c>
      <c r="G946" s="1454" t="s">
        <v>1257</v>
      </c>
      <c r="H946" s="30">
        <v>30212163</v>
      </c>
      <c r="I946" s="316">
        <v>9900</v>
      </c>
      <c r="J946" s="64">
        <v>0.1</v>
      </c>
      <c r="K946" s="30">
        <v>10</v>
      </c>
      <c r="L946" s="35">
        <v>100000</v>
      </c>
      <c r="M946" s="1454" t="s">
        <v>1258</v>
      </c>
      <c r="N946" s="1461">
        <v>20250108996</v>
      </c>
    </row>
    <row r="947" spans="2:14">
      <c r="B947" s="1610"/>
      <c r="C947" s="1610"/>
      <c r="D947" s="1610"/>
      <c r="E947" s="310">
        <v>30196864</v>
      </c>
      <c r="F947" s="213" t="s">
        <v>1259</v>
      </c>
      <c r="G947" s="1454"/>
      <c r="H947" s="30">
        <v>30212162</v>
      </c>
      <c r="I947" s="316">
        <v>10900</v>
      </c>
      <c r="J947" s="64">
        <v>0.1</v>
      </c>
      <c r="K947" s="30">
        <v>10</v>
      </c>
      <c r="L947" s="35">
        <v>100000</v>
      </c>
      <c r="M947" s="1454"/>
      <c r="N947" s="1461"/>
    </row>
    <row r="948" spans="2:14" ht="33">
      <c r="B948" s="1610"/>
      <c r="C948" s="1610"/>
      <c r="D948" s="1610"/>
      <c r="E948" s="310">
        <v>30197000</v>
      </c>
      <c r="F948" s="213" t="s">
        <v>1260</v>
      </c>
      <c r="G948" s="1454"/>
      <c r="H948" s="30">
        <v>30212160</v>
      </c>
      <c r="I948" s="316">
        <v>10500</v>
      </c>
      <c r="J948" s="64">
        <v>0.1</v>
      </c>
      <c r="K948" s="30">
        <v>10</v>
      </c>
      <c r="L948" s="35">
        <v>100000</v>
      </c>
      <c r="M948" s="1454"/>
      <c r="N948" s="1461"/>
    </row>
    <row r="949" spans="2:14" ht="33">
      <c r="B949" s="1610"/>
      <c r="C949" s="1610"/>
      <c r="D949" s="1610"/>
      <c r="E949" s="310">
        <v>30199213</v>
      </c>
      <c r="F949" s="213" t="s">
        <v>1261</v>
      </c>
      <c r="G949" s="1454"/>
      <c r="H949" s="30">
        <v>30215778</v>
      </c>
      <c r="I949" s="316">
        <v>11500</v>
      </c>
      <c r="J949" s="64">
        <v>0.1</v>
      </c>
      <c r="K949" s="30">
        <v>10</v>
      </c>
      <c r="L949" s="35">
        <v>100000</v>
      </c>
      <c r="M949" s="1454"/>
      <c r="N949" s="1461"/>
    </row>
    <row r="950" spans="2:14" ht="16.5" customHeight="1">
      <c r="B950" s="1610"/>
      <c r="C950" s="1610"/>
      <c r="D950" s="1610"/>
      <c r="E950" s="310">
        <v>30199215</v>
      </c>
      <c r="F950" s="213" t="s">
        <v>1262</v>
      </c>
      <c r="G950" s="1454"/>
      <c r="H950" s="30">
        <v>30215777</v>
      </c>
      <c r="I950" s="316">
        <v>12500</v>
      </c>
      <c r="J950" s="64">
        <v>0.1</v>
      </c>
      <c r="K950" s="30">
        <v>10</v>
      </c>
      <c r="L950" s="35">
        <v>100000</v>
      </c>
      <c r="M950" s="1454"/>
      <c r="N950" s="1461"/>
    </row>
    <row r="951" spans="2:14" ht="16.5" customHeight="1">
      <c r="B951" s="1610"/>
      <c r="C951" s="1610"/>
      <c r="D951" s="1610"/>
      <c r="E951" s="310">
        <v>30199011</v>
      </c>
      <c r="F951" s="213" t="s">
        <v>1263</v>
      </c>
      <c r="G951" s="1454"/>
      <c r="H951" s="30">
        <v>30215776</v>
      </c>
      <c r="I951" s="316">
        <v>10900</v>
      </c>
      <c r="J951" s="64">
        <v>0.1</v>
      </c>
      <c r="K951" s="30">
        <v>10</v>
      </c>
      <c r="L951" s="35">
        <v>100000</v>
      </c>
      <c r="M951" s="1454"/>
      <c r="N951" s="1461"/>
    </row>
    <row r="952" spans="2:14" ht="16.5" customHeight="1">
      <c r="B952" s="1610"/>
      <c r="C952" s="1610"/>
      <c r="D952" s="1610"/>
      <c r="E952" s="310">
        <v>30199376</v>
      </c>
      <c r="F952" s="213" t="s">
        <v>1264</v>
      </c>
      <c r="G952" s="1454"/>
      <c r="H952" s="30">
        <v>30215775</v>
      </c>
      <c r="I952" s="316">
        <v>9900</v>
      </c>
      <c r="J952" s="64">
        <v>0.1</v>
      </c>
      <c r="K952" s="30">
        <v>10</v>
      </c>
      <c r="L952" s="35">
        <v>100000</v>
      </c>
      <c r="M952" s="1454"/>
      <c r="N952" s="1461"/>
    </row>
    <row r="953" spans="2:14" ht="16.5" customHeight="1">
      <c r="B953" s="1610"/>
      <c r="C953" s="1610"/>
      <c r="D953" s="1610"/>
      <c r="E953" s="310">
        <v>30199038</v>
      </c>
      <c r="F953" s="213" t="s">
        <v>1265</v>
      </c>
      <c r="G953" s="1454"/>
      <c r="H953" s="30">
        <v>30215774</v>
      </c>
      <c r="I953" s="316">
        <v>12900</v>
      </c>
      <c r="J953" s="64">
        <v>0.1</v>
      </c>
      <c r="K953" s="30">
        <v>10</v>
      </c>
      <c r="L953" s="35">
        <v>100000</v>
      </c>
      <c r="M953" s="1454"/>
      <c r="N953" s="1461"/>
    </row>
    <row r="954" spans="2:14" ht="16.5" customHeight="1">
      <c r="B954" s="1610"/>
      <c r="C954" s="1610"/>
      <c r="D954" s="1610"/>
      <c r="E954" s="310">
        <v>30199251</v>
      </c>
      <c r="F954" s="213" t="s">
        <v>1266</v>
      </c>
      <c r="G954" s="1454"/>
      <c r="H954" s="30">
        <v>30215773</v>
      </c>
      <c r="I954" s="316">
        <v>12500</v>
      </c>
      <c r="J954" s="64">
        <v>0.1</v>
      </c>
      <c r="K954" s="30">
        <v>10</v>
      </c>
      <c r="L954" s="35">
        <v>100000</v>
      </c>
      <c r="M954" s="1454"/>
      <c r="N954" s="1461"/>
    </row>
    <row r="955" spans="2:14" ht="16.5" customHeight="1">
      <c r="B955" s="1610"/>
      <c r="C955" s="1609"/>
      <c r="D955" s="1609"/>
      <c r="E955" s="310">
        <v>30199250</v>
      </c>
      <c r="F955" s="213" t="s">
        <v>1267</v>
      </c>
      <c r="G955" s="1454"/>
      <c r="H955" s="30">
        <v>30215772</v>
      </c>
      <c r="I955" s="316">
        <v>25900</v>
      </c>
      <c r="J955" s="64">
        <v>0.1</v>
      </c>
      <c r="K955" s="30">
        <v>10</v>
      </c>
      <c r="L955" s="35">
        <v>100000</v>
      </c>
      <c r="M955" s="1454"/>
      <c r="N955" s="1461"/>
    </row>
    <row r="956" spans="2:14">
      <c r="B956" s="1610"/>
      <c r="C956" s="1608">
        <v>7</v>
      </c>
      <c r="D956" s="1608" t="s">
        <v>469</v>
      </c>
      <c r="E956" s="310">
        <v>48594555</v>
      </c>
      <c r="F956" s="213" t="s">
        <v>1268</v>
      </c>
      <c r="G956" s="1454" t="s">
        <v>1269</v>
      </c>
      <c r="H956" s="30">
        <v>30213449</v>
      </c>
      <c r="I956" s="316">
        <v>11900</v>
      </c>
      <c r="J956" s="64">
        <v>0.1</v>
      </c>
      <c r="K956" s="30">
        <v>10</v>
      </c>
      <c r="L956" s="35">
        <v>100000</v>
      </c>
      <c r="M956" s="1454" t="s">
        <v>905</v>
      </c>
      <c r="N956" s="1461">
        <v>20250108997</v>
      </c>
    </row>
    <row r="957" spans="2:14">
      <c r="B957" s="1610"/>
      <c r="C957" s="1610"/>
      <c r="D957" s="1610"/>
      <c r="E957" s="310">
        <v>48595246</v>
      </c>
      <c r="F957" s="213" t="s">
        <v>1270</v>
      </c>
      <c r="G957" s="1454"/>
      <c r="H957" s="30">
        <v>30213448</v>
      </c>
      <c r="I957" s="316">
        <v>8500</v>
      </c>
      <c r="J957" s="64">
        <v>0.1</v>
      </c>
      <c r="K957" s="30">
        <v>10</v>
      </c>
      <c r="L957" s="35">
        <v>100000</v>
      </c>
      <c r="M957" s="1454"/>
      <c r="N957" s="1461"/>
    </row>
    <row r="958" spans="2:14">
      <c r="B958" s="1610"/>
      <c r="C958" s="1610"/>
      <c r="D958" s="1610"/>
      <c r="E958" s="310">
        <v>30213451</v>
      </c>
      <c r="F958" s="213" t="s">
        <v>473</v>
      </c>
      <c r="G958" s="1454"/>
      <c r="H958" s="30">
        <v>30190694</v>
      </c>
      <c r="I958" s="316">
        <v>11500</v>
      </c>
      <c r="J958" s="64">
        <v>0.1</v>
      </c>
      <c r="K958" s="30">
        <v>10</v>
      </c>
      <c r="L958" s="35">
        <v>100000</v>
      </c>
      <c r="M958" s="1454"/>
      <c r="N958" s="1461"/>
    </row>
    <row r="959" spans="2:14">
      <c r="B959" s="1610"/>
      <c r="C959" s="1610"/>
      <c r="D959" s="1610"/>
      <c r="E959" s="310">
        <v>48594586</v>
      </c>
      <c r="F959" s="213" t="s">
        <v>474</v>
      </c>
      <c r="G959" s="1454"/>
      <c r="H959" s="30">
        <v>30153135</v>
      </c>
      <c r="I959" s="316">
        <v>22500</v>
      </c>
      <c r="J959" s="64">
        <v>0.1</v>
      </c>
      <c r="K959" s="30">
        <v>10</v>
      </c>
      <c r="L959" s="35">
        <v>100000</v>
      </c>
      <c r="M959" s="1454"/>
      <c r="N959" s="1461"/>
    </row>
    <row r="960" spans="2:14">
      <c r="B960" s="1610"/>
      <c r="C960" s="1610"/>
      <c r="D960" s="1610"/>
      <c r="E960" s="310">
        <v>48594596</v>
      </c>
      <c r="F960" s="213" t="s">
        <v>1271</v>
      </c>
      <c r="G960" s="1454"/>
      <c r="H960" s="30">
        <v>30213445</v>
      </c>
      <c r="I960" s="316">
        <v>29900</v>
      </c>
      <c r="J960" s="64">
        <v>0.1</v>
      </c>
      <c r="K960" s="30">
        <v>10</v>
      </c>
      <c r="L960" s="35">
        <v>100000</v>
      </c>
      <c r="M960" s="1454"/>
      <c r="N960" s="1461"/>
    </row>
    <row r="961" spans="2:15">
      <c r="B961" s="1610"/>
      <c r="C961" s="1610"/>
      <c r="D961" s="1610"/>
      <c r="E961" s="310">
        <v>49008741</v>
      </c>
      <c r="F961" s="213" t="s">
        <v>1272</v>
      </c>
      <c r="G961" s="1454"/>
      <c r="H961" s="30">
        <v>30212145</v>
      </c>
      <c r="I961" s="316">
        <v>12900</v>
      </c>
      <c r="J961" s="64">
        <v>0.1</v>
      </c>
      <c r="K961" s="30">
        <v>10</v>
      </c>
      <c r="L961" s="35">
        <v>100000</v>
      </c>
      <c r="M961" s="1454"/>
      <c r="N961" s="1461"/>
    </row>
    <row r="962" spans="2:15">
      <c r="B962" s="1610"/>
      <c r="C962" s="1610"/>
      <c r="D962" s="1610"/>
      <c r="E962" s="310">
        <v>48607237</v>
      </c>
      <c r="F962" s="213" t="s">
        <v>1273</v>
      </c>
      <c r="G962" s="1454"/>
      <c r="H962" s="30">
        <v>30212144</v>
      </c>
      <c r="I962" s="316">
        <v>21900</v>
      </c>
      <c r="J962" s="64">
        <v>0.1</v>
      </c>
      <c r="K962" s="30">
        <v>10</v>
      </c>
      <c r="L962" s="35">
        <v>100000</v>
      </c>
      <c r="M962" s="1454"/>
      <c r="N962" s="1461"/>
    </row>
    <row r="963" spans="2:15">
      <c r="B963" s="1610"/>
      <c r="C963" s="1610"/>
      <c r="D963" s="1610"/>
      <c r="E963" s="310">
        <v>48607225</v>
      </c>
      <c r="F963" s="213" t="s">
        <v>1274</v>
      </c>
      <c r="G963" s="1454"/>
      <c r="H963" s="30">
        <v>30212143</v>
      </c>
      <c r="I963" s="316">
        <v>40900</v>
      </c>
      <c r="J963" s="64">
        <v>0.1</v>
      </c>
      <c r="K963" s="30">
        <v>10</v>
      </c>
      <c r="L963" s="35">
        <v>100000</v>
      </c>
      <c r="M963" s="1454"/>
      <c r="N963" s="1461"/>
    </row>
    <row r="964" spans="2:15">
      <c r="B964" s="1610"/>
      <c r="C964" s="1610"/>
      <c r="D964" s="1610"/>
      <c r="E964" s="310">
        <v>48606686</v>
      </c>
      <c r="F964" s="213" t="s">
        <v>1275</v>
      </c>
      <c r="G964" s="1454"/>
      <c r="H964" s="30">
        <v>30212142</v>
      </c>
      <c r="I964" s="316">
        <v>21900</v>
      </c>
      <c r="J964" s="64">
        <v>0.1</v>
      </c>
      <c r="K964" s="30">
        <v>10</v>
      </c>
      <c r="L964" s="35">
        <v>100000</v>
      </c>
      <c r="M964" s="1454"/>
      <c r="N964" s="1461"/>
    </row>
    <row r="965" spans="2:15">
      <c r="B965" s="1610"/>
      <c r="C965" s="1610"/>
      <c r="D965" s="1610"/>
      <c r="E965" s="310">
        <v>48606973</v>
      </c>
      <c r="F965" s="213" t="s">
        <v>1276</v>
      </c>
      <c r="G965" s="1454"/>
      <c r="H965" s="30">
        <v>30212141</v>
      </c>
      <c r="I965" s="316">
        <v>11900</v>
      </c>
      <c r="J965" s="64">
        <v>0.1</v>
      </c>
      <c r="K965" s="30">
        <v>10</v>
      </c>
      <c r="L965" s="35">
        <v>100000</v>
      </c>
      <c r="M965" s="1454"/>
      <c r="N965" s="1461"/>
    </row>
    <row r="966" spans="2:15">
      <c r="B966" s="1609"/>
      <c r="C966" s="1609"/>
      <c r="D966" s="1609"/>
      <c r="E966" s="310">
        <v>48607074</v>
      </c>
      <c r="F966" s="213" t="s">
        <v>1277</v>
      </c>
      <c r="G966" s="1454"/>
      <c r="H966" s="30">
        <v>30212137</v>
      </c>
      <c r="I966" s="316">
        <v>16500</v>
      </c>
      <c r="J966" s="64">
        <v>0.1</v>
      </c>
      <c r="K966" s="30">
        <v>10</v>
      </c>
      <c r="L966" s="35">
        <v>100000</v>
      </c>
      <c r="M966" s="1454"/>
      <c r="N966" s="1461"/>
    </row>
    <row r="967" spans="2:15" ht="21" customHeight="1">
      <c r="B967" s="1608" t="s">
        <v>477</v>
      </c>
      <c r="C967" s="1665">
        <v>1</v>
      </c>
      <c r="D967" s="1665" t="s">
        <v>816</v>
      </c>
      <c r="E967" s="317" t="s">
        <v>1278</v>
      </c>
      <c r="F967" s="318" t="s">
        <v>1279</v>
      </c>
      <c r="G967" s="1584" t="s">
        <v>1280</v>
      </c>
      <c r="H967" s="234">
        <v>30215655</v>
      </c>
      <c r="I967" s="320">
        <v>57900</v>
      </c>
      <c r="J967" s="321">
        <v>7.999999999999996E-2</v>
      </c>
      <c r="K967" s="234">
        <v>10</v>
      </c>
      <c r="L967" s="320">
        <f t="shared" ref="L967:L1008" si="4">I967*10</f>
        <v>579000</v>
      </c>
      <c r="M967" s="1584" t="s">
        <v>1281</v>
      </c>
      <c r="N967" s="1543">
        <v>20250106933</v>
      </c>
      <c r="O967" s="4" t="s">
        <v>1282</v>
      </c>
    </row>
    <row r="968" spans="2:15">
      <c r="B968" s="1610"/>
      <c r="C968" s="1659"/>
      <c r="D968" s="1659"/>
      <c r="E968" s="317" t="s">
        <v>1283</v>
      </c>
      <c r="F968" s="318" t="s">
        <v>1284</v>
      </c>
      <c r="G968" s="1584"/>
      <c r="H968" s="234">
        <v>30215654</v>
      </c>
      <c r="I968" s="320">
        <v>109000</v>
      </c>
      <c r="J968" s="321">
        <v>7.999999999999996E-2</v>
      </c>
      <c r="K968" s="234">
        <v>10</v>
      </c>
      <c r="L968" s="320">
        <f t="shared" si="4"/>
        <v>1090000</v>
      </c>
      <c r="M968" s="1584"/>
      <c r="N968" s="1543"/>
      <c r="O968" s="4" t="s">
        <v>1285</v>
      </c>
    </row>
    <row r="969" spans="2:15">
      <c r="B969" s="1610"/>
      <c r="C969" s="1659"/>
      <c r="D969" s="1659"/>
      <c r="E969" s="317" t="s">
        <v>1286</v>
      </c>
      <c r="F969" s="318" t="s">
        <v>1287</v>
      </c>
      <c r="G969" s="1584"/>
      <c r="H969" s="234">
        <v>30215653</v>
      </c>
      <c r="I969" s="320">
        <v>29900</v>
      </c>
      <c r="J969" s="321">
        <v>7.999999999999996E-2</v>
      </c>
      <c r="K969" s="234">
        <v>10</v>
      </c>
      <c r="L969" s="320">
        <f t="shared" si="4"/>
        <v>299000</v>
      </c>
      <c r="M969" s="1584"/>
      <c r="N969" s="1543"/>
    </row>
    <row r="970" spans="2:15">
      <c r="B970" s="1610"/>
      <c r="C970" s="1659"/>
      <c r="D970" s="1659"/>
      <c r="E970" s="317" t="s">
        <v>1288</v>
      </c>
      <c r="F970" s="318" t="s">
        <v>1289</v>
      </c>
      <c r="G970" s="1584"/>
      <c r="H970" s="234">
        <v>30215652</v>
      </c>
      <c r="I970" s="320">
        <v>49900</v>
      </c>
      <c r="J970" s="321">
        <v>7.999999999999996E-2</v>
      </c>
      <c r="K970" s="234">
        <v>10</v>
      </c>
      <c r="L970" s="320">
        <f t="shared" si="4"/>
        <v>499000</v>
      </c>
      <c r="M970" s="1584"/>
      <c r="N970" s="1543"/>
    </row>
    <row r="971" spans="2:15">
      <c r="B971" s="1610"/>
      <c r="C971" s="1660"/>
      <c r="D971" s="1660"/>
      <c r="E971" s="317" t="s">
        <v>1290</v>
      </c>
      <c r="F971" s="318" t="s">
        <v>1291</v>
      </c>
      <c r="G971" s="1584"/>
      <c r="H971" s="234">
        <v>30215650</v>
      </c>
      <c r="I971" s="320">
        <v>99000</v>
      </c>
      <c r="J971" s="321">
        <v>7.999999999999996E-2</v>
      </c>
      <c r="K971" s="234">
        <v>10</v>
      </c>
      <c r="L971" s="320">
        <f t="shared" si="4"/>
        <v>990000</v>
      </c>
      <c r="M971" s="1584"/>
      <c r="N971" s="1543"/>
    </row>
    <row r="972" spans="2:15" ht="19.5" customHeight="1">
      <c r="B972" s="1610"/>
      <c r="C972" s="1608">
        <v>2</v>
      </c>
      <c r="D972" s="1608" t="s">
        <v>1292</v>
      </c>
      <c r="E972" s="310" t="s">
        <v>1293</v>
      </c>
      <c r="F972" s="213" t="s">
        <v>1294</v>
      </c>
      <c r="G972" s="1454" t="s">
        <v>1295</v>
      </c>
      <c r="H972" s="30">
        <v>30215752</v>
      </c>
      <c r="I972" s="316">
        <v>30900</v>
      </c>
      <c r="J972" s="64">
        <v>5.5825242718446577E-2</v>
      </c>
      <c r="K972" s="323">
        <v>10</v>
      </c>
      <c r="L972" s="316">
        <f t="shared" si="4"/>
        <v>309000</v>
      </c>
      <c r="M972" s="1454" t="s">
        <v>1296</v>
      </c>
      <c r="N972" s="1461">
        <v>20250108998</v>
      </c>
    </row>
    <row r="973" spans="2:15">
      <c r="B973" s="1610"/>
      <c r="C973" s="1610"/>
      <c r="D973" s="1610"/>
      <c r="E973" s="310" t="s">
        <v>1297</v>
      </c>
      <c r="F973" s="213" t="s">
        <v>1298</v>
      </c>
      <c r="G973" s="1454"/>
      <c r="H973" s="30">
        <v>30215751</v>
      </c>
      <c r="I973" s="316">
        <v>33900</v>
      </c>
      <c r="J973" s="64">
        <v>7.3008849557522071E-2</v>
      </c>
      <c r="K973" s="323">
        <v>10</v>
      </c>
      <c r="L973" s="316">
        <f t="shared" si="4"/>
        <v>339000</v>
      </c>
      <c r="M973" s="1454"/>
      <c r="N973" s="1461"/>
    </row>
    <row r="974" spans="2:15">
      <c r="B974" s="1610"/>
      <c r="C974" s="1609"/>
      <c r="D974" s="1609"/>
      <c r="E974" s="310" t="s">
        <v>1299</v>
      </c>
      <c r="F974" s="213" t="s">
        <v>1300</v>
      </c>
      <c r="G974" s="1454"/>
      <c r="H974" s="30">
        <v>30215750</v>
      </c>
      <c r="I974" s="316">
        <v>33900</v>
      </c>
      <c r="J974" s="64">
        <v>7.3008849557522071E-2</v>
      </c>
      <c r="K974" s="323">
        <v>10</v>
      </c>
      <c r="L974" s="316">
        <f t="shared" si="4"/>
        <v>339000</v>
      </c>
      <c r="M974" s="1454"/>
      <c r="N974" s="1461"/>
    </row>
    <row r="975" spans="2:15">
      <c r="B975" s="1610"/>
      <c r="C975" s="1608">
        <v>3</v>
      </c>
      <c r="D975" s="1608" t="s">
        <v>846</v>
      </c>
      <c r="E975" s="310">
        <v>47021333</v>
      </c>
      <c r="F975" s="213" t="s">
        <v>1301</v>
      </c>
      <c r="G975" s="1454" t="s">
        <v>1301</v>
      </c>
      <c r="H975" s="30">
        <v>30215749</v>
      </c>
      <c r="I975" s="316">
        <v>29900</v>
      </c>
      <c r="J975" s="64">
        <v>9.9999999999999978E-2</v>
      </c>
      <c r="K975" s="323">
        <v>10</v>
      </c>
      <c r="L975" s="316">
        <f t="shared" si="4"/>
        <v>299000</v>
      </c>
      <c r="M975" s="1454" t="s">
        <v>1302</v>
      </c>
      <c r="N975" s="1461">
        <v>20250108999</v>
      </c>
    </row>
    <row r="976" spans="2:15">
      <c r="B976" s="1610"/>
      <c r="C976" s="1610"/>
      <c r="D976" s="1610"/>
      <c r="E976" s="310">
        <v>46486164</v>
      </c>
      <c r="F976" s="213" t="s">
        <v>1303</v>
      </c>
      <c r="G976" s="1454"/>
      <c r="H976" s="30">
        <v>30215748</v>
      </c>
      <c r="I976" s="316">
        <v>49900</v>
      </c>
      <c r="J976" s="64">
        <v>9.9999999999999978E-2</v>
      </c>
      <c r="K976" s="323">
        <v>10</v>
      </c>
      <c r="L976" s="316">
        <f t="shared" si="4"/>
        <v>499000</v>
      </c>
      <c r="M976" s="1454"/>
      <c r="N976" s="1461"/>
    </row>
    <row r="977" spans="2:14">
      <c r="B977" s="1610"/>
      <c r="C977" s="1610"/>
      <c r="D977" s="1610"/>
      <c r="E977" s="310">
        <v>57700814</v>
      </c>
      <c r="F977" s="213" t="s">
        <v>1304</v>
      </c>
      <c r="G977" s="1454"/>
      <c r="H977" s="30">
        <v>30215747</v>
      </c>
      <c r="I977" s="316">
        <v>29900</v>
      </c>
      <c r="J977" s="64">
        <v>9.9999999999999978E-2</v>
      </c>
      <c r="K977" s="323">
        <v>10</v>
      </c>
      <c r="L977" s="316">
        <f t="shared" si="4"/>
        <v>299000</v>
      </c>
      <c r="M977" s="1454"/>
      <c r="N977" s="1461"/>
    </row>
    <row r="978" spans="2:14">
      <c r="B978" s="1610"/>
      <c r="C978" s="1609"/>
      <c r="D978" s="1609"/>
      <c r="E978" s="310">
        <v>57700809</v>
      </c>
      <c r="F978" s="213" t="s">
        <v>1305</v>
      </c>
      <c r="G978" s="1454"/>
      <c r="H978" s="30">
        <v>30215746</v>
      </c>
      <c r="I978" s="316">
        <v>41900</v>
      </c>
      <c r="J978" s="64">
        <v>9.9999999999999978E-2</v>
      </c>
      <c r="K978" s="323">
        <v>10</v>
      </c>
      <c r="L978" s="316">
        <f t="shared" si="4"/>
        <v>419000</v>
      </c>
      <c r="M978" s="1454"/>
      <c r="N978" s="1461"/>
    </row>
    <row r="979" spans="2:14">
      <c r="B979" s="1610"/>
      <c r="C979" s="1608">
        <v>4</v>
      </c>
      <c r="D979" s="1608" t="s">
        <v>1306</v>
      </c>
      <c r="E979" s="310">
        <v>10965893</v>
      </c>
      <c r="F979" s="213" t="s">
        <v>1307</v>
      </c>
      <c r="G979" s="1454" t="s">
        <v>1308</v>
      </c>
      <c r="H979" s="30">
        <v>30215745</v>
      </c>
      <c r="I979" s="316">
        <v>13900</v>
      </c>
      <c r="J979" s="64">
        <v>8.7050359712230185E-2</v>
      </c>
      <c r="K979" s="323">
        <v>10</v>
      </c>
      <c r="L979" s="316">
        <f t="shared" si="4"/>
        <v>139000</v>
      </c>
      <c r="M979" s="1454" t="s">
        <v>1309</v>
      </c>
      <c r="N979" s="1461">
        <v>20250108001</v>
      </c>
    </row>
    <row r="980" spans="2:14">
      <c r="B980" s="1610"/>
      <c r="C980" s="1610"/>
      <c r="D980" s="1610"/>
      <c r="E980" s="310">
        <v>10965890</v>
      </c>
      <c r="F980" s="213" t="s">
        <v>1310</v>
      </c>
      <c r="G980" s="1454"/>
      <c r="H980" s="30">
        <v>30162376</v>
      </c>
      <c r="I980" s="316">
        <v>14900</v>
      </c>
      <c r="J980" s="64">
        <v>6.375838926174493E-2</v>
      </c>
      <c r="K980" s="323">
        <v>10</v>
      </c>
      <c r="L980" s="316">
        <f t="shared" si="4"/>
        <v>149000</v>
      </c>
      <c r="M980" s="1454"/>
      <c r="N980" s="1461"/>
    </row>
    <row r="981" spans="2:14">
      <c r="B981" s="1610"/>
      <c r="C981" s="1610"/>
      <c r="D981" s="1610"/>
      <c r="E981" s="310">
        <v>46475172</v>
      </c>
      <c r="F981" s="213" t="s">
        <v>1311</v>
      </c>
      <c r="G981" s="1454"/>
      <c r="H981" s="30">
        <v>30215744</v>
      </c>
      <c r="I981" s="316">
        <v>24900</v>
      </c>
      <c r="J981" s="64">
        <v>6.385542168674696E-2</v>
      </c>
      <c r="K981" s="323">
        <v>10</v>
      </c>
      <c r="L981" s="316">
        <f t="shared" si="4"/>
        <v>249000</v>
      </c>
      <c r="M981" s="1454"/>
      <c r="N981" s="1461"/>
    </row>
    <row r="982" spans="2:14">
      <c r="B982" s="1610"/>
      <c r="C982" s="1610"/>
      <c r="D982" s="1610"/>
      <c r="E982" s="310">
        <v>46475171</v>
      </c>
      <c r="F982" s="213" t="s">
        <v>1312</v>
      </c>
      <c r="G982" s="1454"/>
      <c r="H982" s="30">
        <v>30215743</v>
      </c>
      <c r="I982" s="316">
        <v>27900</v>
      </c>
      <c r="J982" s="64">
        <v>8.064516129032262E-2</v>
      </c>
      <c r="K982" s="323">
        <v>10</v>
      </c>
      <c r="L982" s="316">
        <f t="shared" si="4"/>
        <v>279000</v>
      </c>
      <c r="M982" s="1454"/>
      <c r="N982" s="1461"/>
    </row>
    <row r="983" spans="2:14">
      <c r="B983" s="1610"/>
      <c r="C983" s="1609"/>
      <c r="D983" s="1609"/>
      <c r="E983" s="310">
        <v>10965891</v>
      </c>
      <c r="F983" s="213" t="s">
        <v>1313</v>
      </c>
      <c r="G983" s="1454"/>
      <c r="H983" s="30">
        <v>30215742</v>
      </c>
      <c r="I983" s="316">
        <v>9900</v>
      </c>
      <c r="J983" s="64">
        <v>9.9999999999999978E-2</v>
      </c>
      <c r="K983" s="323">
        <v>10</v>
      </c>
      <c r="L983" s="316">
        <f t="shared" si="4"/>
        <v>99000</v>
      </c>
      <c r="M983" s="1454"/>
      <c r="N983" s="1461"/>
    </row>
    <row r="984" spans="2:14">
      <c r="B984" s="1610"/>
      <c r="C984" s="1608">
        <v>5</v>
      </c>
      <c r="D984" s="1608" t="s">
        <v>1314</v>
      </c>
      <c r="E984" s="310" t="s">
        <v>1315</v>
      </c>
      <c r="F984" s="213" t="s">
        <v>1316</v>
      </c>
      <c r="G984" s="1454" t="s">
        <v>1316</v>
      </c>
      <c r="H984" s="30">
        <v>30215741</v>
      </c>
      <c r="I984" s="316">
        <v>14900</v>
      </c>
      <c r="J984" s="64">
        <v>9.9999999999999978E-2</v>
      </c>
      <c r="K984" s="323">
        <v>10</v>
      </c>
      <c r="L984" s="316">
        <f t="shared" si="4"/>
        <v>149000</v>
      </c>
      <c r="M984" s="1454" t="s">
        <v>1317</v>
      </c>
      <c r="N984" s="1461">
        <v>20250108002</v>
      </c>
    </row>
    <row r="985" spans="2:14">
      <c r="B985" s="1610"/>
      <c r="C985" s="1610"/>
      <c r="D985" s="1610"/>
      <c r="E985" s="310" t="s">
        <v>1318</v>
      </c>
      <c r="F985" s="213" t="s">
        <v>1319</v>
      </c>
      <c r="G985" s="1454"/>
      <c r="H985" s="30">
        <v>30215740</v>
      </c>
      <c r="I985" s="316">
        <v>25900</v>
      </c>
      <c r="J985" s="64">
        <v>9.9999999999999978E-2</v>
      </c>
      <c r="K985" s="323">
        <v>10</v>
      </c>
      <c r="L985" s="316">
        <f t="shared" si="4"/>
        <v>259000</v>
      </c>
      <c r="M985" s="1454"/>
      <c r="N985" s="1461"/>
    </row>
    <row r="986" spans="2:14">
      <c r="B986" s="1610"/>
      <c r="C986" s="1610"/>
      <c r="D986" s="1610"/>
      <c r="E986" s="310" t="s">
        <v>1320</v>
      </c>
      <c r="F986" s="213" t="s">
        <v>1321</v>
      </c>
      <c r="G986" s="1454"/>
      <c r="H986" s="30">
        <v>30215739</v>
      </c>
      <c r="I986" s="316">
        <v>35900</v>
      </c>
      <c r="J986" s="64">
        <v>9.9999999999999978E-2</v>
      </c>
      <c r="K986" s="323">
        <v>10</v>
      </c>
      <c r="L986" s="316">
        <f t="shared" si="4"/>
        <v>359000</v>
      </c>
      <c r="M986" s="1454"/>
      <c r="N986" s="1461"/>
    </row>
    <row r="987" spans="2:14">
      <c r="B987" s="1610"/>
      <c r="C987" s="1609"/>
      <c r="D987" s="1609"/>
      <c r="E987" s="310" t="s">
        <v>1322</v>
      </c>
      <c r="F987" s="213" t="s">
        <v>1323</v>
      </c>
      <c r="G987" s="1454"/>
      <c r="H987" s="30">
        <v>30215738</v>
      </c>
      <c r="I987" s="316">
        <v>45900</v>
      </c>
      <c r="J987" s="64">
        <v>9.9999999999999978E-2</v>
      </c>
      <c r="K987" s="323">
        <v>10</v>
      </c>
      <c r="L987" s="316">
        <f t="shared" si="4"/>
        <v>459000</v>
      </c>
      <c r="M987" s="1454"/>
      <c r="N987" s="1461"/>
    </row>
    <row r="988" spans="2:14" ht="18.75" customHeight="1">
      <c r="B988" s="1610"/>
      <c r="C988" s="1608">
        <v>6</v>
      </c>
      <c r="D988" s="1608" t="s">
        <v>1314</v>
      </c>
      <c r="E988" s="310" t="s">
        <v>1324</v>
      </c>
      <c r="F988" s="213" t="s">
        <v>1325</v>
      </c>
      <c r="G988" s="1454" t="s">
        <v>1325</v>
      </c>
      <c r="H988" s="30">
        <v>30213413</v>
      </c>
      <c r="I988" s="316">
        <v>9500</v>
      </c>
      <c r="J988" s="64">
        <v>6.052631578947365E-2</v>
      </c>
      <c r="K988" s="323">
        <v>10</v>
      </c>
      <c r="L988" s="316">
        <f t="shared" si="4"/>
        <v>95000</v>
      </c>
      <c r="M988" s="1454" t="s">
        <v>1326</v>
      </c>
      <c r="N988" s="1445">
        <v>20250108003</v>
      </c>
    </row>
    <row r="989" spans="2:14">
      <c r="B989" s="1610"/>
      <c r="C989" s="1610"/>
      <c r="D989" s="1610"/>
      <c r="E989" s="310" t="s">
        <v>1327</v>
      </c>
      <c r="F989" s="213" t="s">
        <v>1328</v>
      </c>
      <c r="G989" s="1454"/>
      <c r="H989" s="30">
        <v>30213417</v>
      </c>
      <c r="I989" s="316">
        <v>8900</v>
      </c>
      <c r="J989" s="64">
        <v>5.4494382022471921E-2</v>
      </c>
      <c r="K989" s="323">
        <v>10</v>
      </c>
      <c r="L989" s="316">
        <f t="shared" si="4"/>
        <v>89000</v>
      </c>
      <c r="M989" s="1454"/>
      <c r="N989" s="1446"/>
    </row>
    <row r="990" spans="2:14">
      <c r="B990" s="1610"/>
      <c r="C990" s="1610"/>
      <c r="D990" s="1610"/>
      <c r="E990" s="310" t="s">
        <v>1329</v>
      </c>
      <c r="F990" s="213" t="s">
        <v>1330</v>
      </c>
      <c r="G990" s="1454"/>
      <c r="H990" s="30">
        <v>30213415</v>
      </c>
      <c r="I990" s="316">
        <v>8900</v>
      </c>
      <c r="J990" s="64">
        <v>5.4494382022471921E-2</v>
      </c>
      <c r="K990" s="323">
        <v>10</v>
      </c>
      <c r="L990" s="316">
        <f t="shared" si="4"/>
        <v>89000</v>
      </c>
      <c r="M990" s="1454"/>
      <c r="N990" s="1446"/>
    </row>
    <row r="991" spans="2:14">
      <c r="B991" s="1610"/>
      <c r="C991" s="1610"/>
      <c r="D991" s="1610"/>
      <c r="E991" s="310" t="s">
        <v>1331</v>
      </c>
      <c r="F991" s="213" t="s">
        <v>1332</v>
      </c>
      <c r="G991" s="1454"/>
      <c r="H991" s="30">
        <v>30213410</v>
      </c>
      <c r="I991" s="316">
        <v>14900</v>
      </c>
      <c r="J991" s="64">
        <v>5.8724832214765099E-2</v>
      </c>
      <c r="K991" s="323">
        <v>10</v>
      </c>
      <c r="L991" s="316">
        <f t="shared" si="4"/>
        <v>149000</v>
      </c>
      <c r="M991" s="1454"/>
      <c r="N991" s="1446"/>
    </row>
    <row r="992" spans="2:14">
      <c r="B992" s="1610"/>
      <c r="C992" s="1610"/>
      <c r="D992" s="1610"/>
      <c r="E992" s="310" t="s">
        <v>1333</v>
      </c>
      <c r="F992" s="213" t="s">
        <v>1334</v>
      </c>
      <c r="G992" s="1454"/>
      <c r="H992" s="30">
        <v>30213411</v>
      </c>
      <c r="I992" s="316">
        <v>14900</v>
      </c>
      <c r="J992" s="64">
        <v>5.8724832214765099E-2</v>
      </c>
      <c r="K992" s="323">
        <v>10</v>
      </c>
      <c r="L992" s="316">
        <f t="shared" si="4"/>
        <v>149000</v>
      </c>
      <c r="M992" s="1454"/>
      <c r="N992" s="1446"/>
    </row>
    <row r="993" spans="2:14">
      <c r="B993" s="1610"/>
      <c r="C993" s="1609"/>
      <c r="D993" s="1609"/>
      <c r="E993" s="310" t="s">
        <v>1335</v>
      </c>
      <c r="F993" s="213" t="s">
        <v>1336</v>
      </c>
      <c r="G993" s="1454"/>
      <c r="H993" s="30">
        <v>30213412</v>
      </c>
      <c r="I993" s="316">
        <v>10900</v>
      </c>
      <c r="J993" s="64">
        <v>7.2018348623853257E-2</v>
      </c>
      <c r="K993" s="323">
        <v>10</v>
      </c>
      <c r="L993" s="316">
        <f t="shared" si="4"/>
        <v>109000</v>
      </c>
      <c r="M993" s="1454"/>
      <c r="N993" s="1447"/>
    </row>
    <row r="994" spans="2:14" ht="20.25" customHeight="1">
      <c r="B994" s="1610"/>
      <c r="C994" s="1608">
        <v>7</v>
      </c>
      <c r="D994" s="1608" t="s">
        <v>1337</v>
      </c>
      <c r="E994" s="310">
        <v>30208202</v>
      </c>
      <c r="F994" s="213" t="s">
        <v>1338</v>
      </c>
      <c r="G994" s="1454" t="s">
        <v>1338</v>
      </c>
      <c r="H994" s="30">
        <v>30215737</v>
      </c>
      <c r="I994" s="316">
        <v>14900</v>
      </c>
      <c r="J994" s="64">
        <v>4.8657718120805327E-2</v>
      </c>
      <c r="K994" s="323">
        <v>10</v>
      </c>
      <c r="L994" s="316">
        <f t="shared" si="4"/>
        <v>149000</v>
      </c>
      <c r="M994" s="1454" t="s">
        <v>1339</v>
      </c>
      <c r="N994" s="1445">
        <v>20250108004</v>
      </c>
    </row>
    <row r="995" spans="2:14">
      <c r="B995" s="1610"/>
      <c r="C995" s="1610"/>
      <c r="D995" s="1610"/>
      <c r="E995" s="310">
        <v>30208203</v>
      </c>
      <c r="F995" s="213" t="s">
        <v>1340</v>
      </c>
      <c r="G995" s="1454"/>
      <c r="H995" s="30">
        <v>30215736</v>
      </c>
      <c r="I995" s="316">
        <v>25900</v>
      </c>
      <c r="J995" s="64">
        <v>4.7297297297297258E-2</v>
      </c>
      <c r="K995" s="323">
        <v>10</v>
      </c>
      <c r="L995" s="316">
        <f t="shared" si="4"/>
        <v>259000</v>
      </c>
      <c r="M995" s="1454"/>
      <c r="N995" s="1446"/>
    </row>
    <row r="996" spans="2:14">
      <c r="B996" s="1610"/>
      <c r="C996" s="1610"/>
      <c r="D996" s="1610"/>
      <c r="E996" s="310">
        <v>30208809</v>
      </c>
      <c r="F996" s="213" t="s">
        <v>1341</v>
      </c>
      <c r="G996" s="1454"/>
      <c r="H996" s="30">
        <v>30215735</v>
      </c>
      <c r="I996" s="316">
        <v>14900</v>
      </c>
      <c r="J996" s="64">
        <v>4.8657718120805327E-2</v>
      </c>
      <c r="K996" s="323">
        <v>10</v>
      </c>
      <c r="L996" s="316">
        <f t="shared" si="4"/>
        <v>149000</v>
      </c>
      <c r="M996" s="1454"/>
      <c r="N996" s="1446"/>
    </row>
    <row r="997" spans="2:14">
      <c r="B997" s="1610"/>
      <c r="C997" s="1609"/>
      <c r="D997" s="1609"/>
      <c r="E997" s="310">
        <v>30208810</v>
      </c>
      <c r="F997" s="213" t="s">
        <v>1342</v>
      </c>
      <c r="G997" s="1454"/>
      <c r="H997" s="30">
        <v>30215734</v>
      </c>
      <c r="I997" s="316">
        <v>26900</v>
      </c>
      <c r="J997" s="64">
        <v>5.4832713754646822E-2</v>
      </c>
      <c r="K997" s="323">
        <v>10</v>
      </c>
      <c r="L997" s="316">
        <f t="shared" si="4"/>
        <v>269000</v>
      </c>
      <c r="M997" s="1454"/>
      <c r="N997" s="1447"/>
    </row>
    <row r="998" spans="2:14" ht="21" customHeight="1">
      <c r="B998" s="1610"/>
      <c r="C998" s="1608">
        <v>8</v>
      </c>
      <c r="D998" s="1608" t="s">
        <v>495</v>
      </c>
      <c r="E998" s="310" t="s">
        <v>1343</v>
      </c>
      <c r="F998" s="213" t="s">
        <v>1344</v>
      </c>
      <c r="G998" s="1454" t="s">
        <v>1345</v>
      </c>
      <c r="H998" s="30">
        <v>30215733</v>
      </c>
      <c r="I998" s="316">
        <v>18900</v>
      </c>
      <c r="J998" s="64">
        <v>5.2380952380952417E-2</v>
      </c>
      <c r="K998" s="323">
        <v>10</v>
      </c>
      <c r="L998" s="316">
        <f t="shared" si="4"/>
        <v>189000</v>
      </c>
      <c r="M998" s="1454" t="s">
        <v>1346</v>
      </c>
      <c r="N998" s="1445">
        <v>20250108005</v>
      </c>
    </row>
    <row r="999" spans="2:14">
      <c r="B999" s="1610"/>
      <c r="C999" s="1610"/>
      <c r="D999" s="1610"/>
      <c r="E999" s="310" t="s">
        <v>1347</v>
      </c>
      <c r="F999" s="213" t="s">
        <v>1348</v>
      </c>
      <c r="G999" s="1454"/>
      <c r="H999" s="30">
        <v>30215732</v>
      </c>
      <c r="I999" s="316">
        <v>32900</v>
      </c>
      <c r="J999" s="64">
        <v>7.264437689969605E-2</v>
      </c>
      <c r="K999" s="323">
        <v>10</v>
      </c>
      <c r="L999" s="316">
        <f t="shared" si="4"/>
        <v>329000</v>
      </c>
      <c r="M999" s="1454"/>
      <c r="N999" s="1446"/>
    </row>
    <row r="1000" spans="2:14">
      <c r="B1000" s="1610"/>
      <c r="C1000" s="1610"/>
      <c r="D1000" s="1610"/>
      <c r="E1000" s="324" t="s">
        <v>1349</v>
      </c>
      <c r="F1000" s="325" t="s">
        <v>1350</v>
      </c>
      <c r="G1000" s="1454"/>
      <c r="H1000" s="30">
        <v>30215733</v>
      </c>
      <c r="I1000" s="316">
        <v>109000</v>
      </c>
      <c r="J1000" s="64">
        <v>9.1743119266055051E-2</v>
      </c>
      <c r="K1000" s="323">
        <v>10</v>
      </c>
      <c r="L1000" s="316">
        <f t="shared" si="4"/>
        <v>1090000</v>
      </c>
      <c r="M1000" s="1454"/>
      <c r="N1000" s="1446"/>
    </row>
    <row r="1001" spans="2:14">
      <c r="B1001" s="1610"/>
      <c r="C1001" s="1610"/>
      <c r="D1001" s="1610"/>
      <c r="E1001" s="310" t="s">
        <v>1351</v>
      </c>
      <c r="F1001" s="213" t="s">
        <v>1352</v>
      </c>
      <c r="G1001" s="1454"/>
      <c r="H1001" s="30">
        <v>30215730</v>
      </c>
      <c r="I1001" s="316">
        <v>115000</v>
      </c>
      <c r="J1001" s="64">
        <v>6.8695652173913047E-2</v>
      </c>
      <c r="K1001" s="323">
        <v>10</v>
      </c>
      <c r="L1001" s="316">
        <f t="shared" si="4"/>
        <v>1150000</v>
      </c>
      <c r="M1001" s="1454"/>
      <c r="N1001" s="1446"/>
    </row>
    <row r="1002" spans="2:14">
      <c r="B1002" s="1610"/>
      <c r="C1002" s="1610"/>
      <c r="D1002" s="1610"/>
      <c r="E1002" s="310" t="s">
        <v>1353</v>
      </c>
      <c r="F1002" s="213" t="s">
        <v>1354</v>
      </c>
      <c r="G1002" s="1454"/>
      <c r="H1002" s="30">
        <v>30215729</v>
      </c>
      <c r="I1002" s="316">
        <v>33900</v>
      </c>
      <c r="J1002" s="64">
        <v>7.3451327433628366E-2</v>
      </c>
      <c r="K1002" s="323">
        <v>10</v>
      </c>
      <c r="L1002" s="316">
        <f t="shared" si="4"/>
        <v>339000</v>
      </c>
      <c r="M1002" s="1454"/>
      <c r="N1002" s="1446"/>
    </row>
    <row r="1003" spans="2:14">
      <c r="B1003" s="1610"/>
      <c r="C1003" s="1609"/>
      <c r="D1003" s="1609"/>
      <c r="E1003" s="310" t="s">
        <v>1355</v>
      </c>
      <c r="F1003" s="213" t="s">
        <v>1356</v>
      </c>
      <c r="G1003" s="1454"/>
      <c r="H1003" s="30">
        <v>30215728</v>
      </c>
      <c r="I1003" s="316">
        <v>47900</v>
      </c>
      <c r="J1003" s="64">
        <v>6.2421711899791177E-2</v>
      </c>
      <c r="K1003" s="323">
        <v>10</v>
      </c>
      <c r="L1003" s="316">
        <f t="shared" si="4"/>
        <v>479000</v>
      </c>
      <c r="M1003" s="1454"/>
      <c r="N1003" s="1447"/>
    </row>
    <row r="1004" spans="2:14" ht="21.75" customHeight="1">
      <c r="B1004" s="1610"/>
      <c r="C1004" s="1608">
        <v>9</v>
      </c>
      <c r="D1004" s="1608" t="s">
        <v>138</v>
      </c>
      <c r="E1004" s="310" t="s">
        <v>1357</v>
      </c>
      <c r="F1004" s="213" t="s">
        <v>1358</v>
      </c>
      <c r="G1004" s="1454" t="s">
        <v>1358</v>
      </c>
      <c r="H1004" s="30">
        <v>30215727</v>
      </c>
      <c r="I1004" s="316">
        <v>27900</v>
      </c>
      <c r="J1004" s="64">
        <v>7.096774193548383E-2</v>
      </c>
      <c r="K1004" s="323">
        <v>10</v>
      </c>
      <c r="L1004" s="316">
        <f t="shared" si="4"/>
        <v>279000</v>
      </c>
      <c r="M1004" s="1454" t="s">
        <v>1359</v>
      </c>
      <c r="N1004" s="1445">
        <v>20250108006</v>
      </c>
    </row>
    <row r="1005" spans="2:14">
      <c r="B1005" s="1610"/>
      <c r="C1005" s="1610"/>
      <c r="D1005" s="1610"/>
      <c r="E1005" s="310" t="s">
        <v>1360</v>
      </c>
      <c r="F1005" s="213" t="s">
        <v>1361</v>
      </c>
      <c r="G1005" s="1454"/>
      <c r="H1005" s="30">
        <v>30215726</v>
      </c>
      <c r="I1005" s="316">
        <v>45900</v>
      </c>
      <c r="J1005" s="64">
        <v>8.2352941176470629E-2</v>
      </c>
      <c r="K1005" s="323">
        <v>10</v>
      </c>
      <c r="L1005" s="316">
        <f t="shared" si="4"/>
        <v>459000</v>
      </c>
      <c r="M1005" s="1454"/>
      <c r="N1005" s="1446"/>
    </row>
    <row r="1006" spans="2:14">
      <c r="B1006" s="1610"/>
      <c r="C1006" s="1610"/>
      <c r="D1006" s="1610"/>
      <c r="E1006" s="310">
        <v>30167417</v>
      </c>
      <c r="F1006" s="213" t="s">
        <v>1362</v>
      </c>
      <c r="G1006" s="1454"/>
      <c r="H1006" s="30">
        <v>30215725</v>
      </c>
      <c r="I1006" s="316">
        <v>34900</v>
      </c>
      <c r="J1006" s="64">
        <v>7.6790830945558719E-2</v>
      </c>
      <c r="K1006" s="323">
        <v>10</v>
      </c>
      <c r="L1006" s="316">
        <f t="shared" si="4"/>
        <v>349000</v>
      </c>
      <c r="M1006" s="1454"/>
      <c r="N1006" s="1446"/>
    </row>
    <row r="1007" spans="2:14">
      <c r="B1007" s="1610"/>
      <c r="C1007" s="1610"/>
      <c r="D1007" s="1610"/>
      <c r="E1007" s="310">
        <v>30167418</v>
      </c>
      <c r="F1007" s="213" t="s">
        <v>1363</v>
      </c>
      <c r="G1007" s="1454"/>
      <c r="H1007" s="30">
        <v>30215724</v>
      </c>
      <c r="I1007" s="316">
        <v>60900</v>
      </c>
      <c r="J1007" s="64">
        <v>8.6699507389162545E-2</v>
      </c>
      <c r="K1007" s="323">
        <v>10</v>
      </c>
      <c r="L1007" s="316">
        <f t="shared" si="4"/>
        <v>609000</v>
      </c>
      <c r="M1007" s="1454"/>
      <c r="N1007" s="1446"/>
    </row>
    <row r="1008" spans="2:14">
      <c r="B1008" s="1610"/>
      <c r="C1008" s="1610"/>
      <c r="D1008" s="1610"/>
      <c r="E1008" s="326" t="s">
        <v>1364</v>
      </c>
      <c r="F1008" s="327" t="s">
        <v>1365</v>
      </c>
      <c r="G1008" s="1454"/>
      <c r="H1008" s="30">
        <v>30215723</v>
      </c>
      <c r="I1008" s="316">
        <v>64900</v>
      </c>
      <c r="J1008" s="64">
        <v>8.7519260400616306E-2</v>
      </c>
      <c r="K1008" s="323">
        <v>10</v>
      </c>
      <c r="L1008" s="316">
        <f t="shared" si="4"/>
        <v>649000</v>
      </c>
      <c r="M1008" s="1454"/>
      <c r="N1008" s="1447"/>
    </row>
    <row r="1009" spans="2:14" ht="25.5" customHeight="1">
      <c r="B1009" s="1451" t="s">
        <v>137</v>
      </c>
      <c r="C1009" s="1669">
        <v>1</v>
      </c>
      <c r="D1009" s="1528" t="s">
        <v>147</v>
      </c>
      <c r="E1009" s="46">
        <v>30022311</v>
      </c>
      <c r="F1009" s="328" t="s">
        <v>1366</v>
      </c>
      <c r="G1009" s="1528" t="s">
        <v>1366</v>
      </c>
      <c r="H1009" s="46">
        <v>30172484</v>
      </c>
      <c r="I1009" s="48">
        <v>10900</v>
      </c>
      <c r="J1009" s="49">
        <v>0.1</v>
      </c>
      <c r="K1009" s="1528">
        <v>3</v>
      </c>
      <c r="L1009" s="1530">
        <v>32700</v>
      </c>
      <c r="M1009" s="1671" t="s">
        <v>149</v>
      </c>
      <c r="N1009" s="1461">
        <v>20250108007</v>
      </c>
    </row>
    <row r="1010" spans="2:14" ht="25.5" customHeight="1">
      <c r="B1010" s="1452"/>
      <c r="C1010" s="1552"/>
      <c r="D1010" s="1528"/>
      <c r="E1010" s="46">
        <v>44693846</v>
      </c>
      <c r="F1010" s="328" t="s">
        <v>1367</v>
      </c>
      <c r="G1010" s="1528"/>
      <c r="H1010" s="46">
        <v>30176454</v>
      </c>
      <c r="I1010" s="48">
        <v>12900</v>
      </c>
      <c r="J1010" s="49">
        <v>0.1</v>
      </c>
      <c r="K1010" s="1528"/>
      <c r="L1010" s="1530"/>
      <c r="M1010" s="1671"/>
      <c r="N1010" s="1461"/>
    </row>
    <row r="1011" spans="2:14">
      <c r="B1011" s="1452"/>
      <c r="C1011" s="1552"/>
      <c r="D1011" s="1528"/>
      <c r="E1011" s="46">
        <v>75870923</v>
      </c>
      <c r="F1011" s="328" t="s">
        <v>1368</v>
      </c>
      <c r="G1011" s="1528"/>
      <c r="H1011" s="46">
        <v>30214018</v>
      </c>
      <c r="I1011" s="48">
        <v>13900</v>
      </c>
      <c r="J1011" s="49">
        <v>0.1</v>
      </c>
      <c r="K1011" s="1528"/>
      <c r="L1011" s="1530"/>
      <c r="M1011" s="1671"/>
      <c r="N1011" s="1461"/>
    </row>
    <row r="1012" spans="2:14">
      <c r="B1012" s="1452"/>
      <c r="C1012" s="1552"/>
      <c r="D1012" s="1528"/>
      <c r="E1012" s="46">
        <v>30214020</v>
      </c>
      <c r="F1012" s="329" t="s">
        <v>152</v>
      </c>
      <c r="G1012" s="1528"/>
      <c r="H1012" s="46">
        <v>30214020</v>
      </c>
      <c r="I1012" s="48">
        <v>14900</v>
      </c>
      <c r="J1012" s="49">
        <v>0.1</v>
      </c>
      <c r="K1012" s="1528"/>
      <c r="L1012" s="1530"/>
      <c r="M1012" s="1671"/>
      <c r="N1012" s="1461"/>
    </row>
    <row r="1013" spans="2:14" ht="25.5" customHeight="1">
      <c r="B1013" s="1452"/>
      <c r="C1013" s="1670"/>
      <c r="D1013" s="1528"/>
      <c r="E1013" s="46">
        <v>75870901</v>
      </c>
      <c r="F1013" s="328" t="s">
        <v>1369</v>
      </c>
      <c r="G1013" s="1528"/>
      <c r="H1013" s="46">
        <v>30215491</v>
      </c>
      <c r="I1013" s="48">
        <v>12900</v>
      </c>
      <c r="J1013" s="49">
        <v>0.1</v>
      </c>
      <c r="K1013" s="1528"/>
      <c r="L1013" s="1530"/>
      <c r="M1013" s="1671"/>
      <c r="N1013" s="1461"/>
    </row>
    <row r="1014" spans="2:14">
      <c r="B1014" s="1452"/>
      <c r="C1014" s="1669">
        <v>2</v>
      </c>
      <c r="D1014" s="1528" t="s">
        <v>154</v>
      </c>
      <c r="E1014" s="50">
        <v>71848585</v>
      </c>
      <c r="F1014" s="330" t="s">
        <v>155</v>
      </c>
      <c r="G1014" s="1672" t="s">
        <v>155</v>
      </c>
      <c r="H1014" s="30">
        <v>30214378</v>
      </c>
      <c r="I1014" s="48">
        <v>9900</v>
      </c>
      <c r="J1014" s="49">
        <v>0.1</v>
      </c>
      <c r="K1014" s="1528">
        <v>5</v>
      </c>
      <c r="L1014" s="1530">
        <f>I1014*K1014</f>
        <v>49500</v>
      </c>
      <c r="M1014" s="1673" t="s">
        <v>1370</v>
      </c>
      <c r="N1014" s="1461">
        <v>20250108008</v>
      </c>
    </row>
    <row r="1015" spans="2:14">
      <c r="B1015" s="1452"/>
      <c r="C1015" s="1670"/>
      <c r="D1015" s="1528"/>
      <c r="E1015" s="46">
        <v>71848584</v>
      </c>
      <c r="F1015" s="328" t="s">
        <v>157</v>
      </c>
      <c r="G1015" s="1672"/>
      <c r="H1015" s="30">
        <v>30214379</v>
      </c>
      <c r="I1015" s="48">
        <v>9900</v>
      </c>
      <c r="J1015" s="49">
        <v>0.1</v>
      </c>
      <c r="K1015" s="1528"/>
      <c r="L1015" s="1530"/>
      <c r="M1015" s="1673"/>
      <c r="N1015" s="1461"/>
    </row>
    <row r="1016" spans="2:14">
      <c r="B1016" s="1452"/>
      <c r="C1016" s="1669">
        <v>3</v>
      </c>
      <c r="D1016" s="1524" t="s">
        <v>158</v>
      </c>
      <c r="E1016" s="92">
        <v>30208650</v>
      </c>
      <c r="F1016" s="331" t="s">
        <v>1371</v>
      </c>
      <c r="G1016" s="1606" t="s">
        <v>1371</v>
      </c>
      <c r="H1016" s="201">
        <v>30208650</v>
      </c>
      <c r="I1016" s="202">
        <v>13800</v>
      </c>
      <c r="J1016" s="203">
        <v>0.15</v>
      </c>
      <c r="K1016" s="1524">
        <v>5</v>
      </c>
      <c r="L1016" s="1526">
        <v>69000</v>
      </c>
      <c r="M1016" s="1527" t="s">
        <v>1372</v>
      </c>
      <c r="N1016" s="1461">
        <v>20250108009</v>
      </c>
    </row>
    <row r="1017" spans="2:14">
      <c r="B1017" s="1452"/>
      <c r="C1017" s="1552"/>
      <c r="D1017" s="1524"/>
      <c r="E1017" s="92">
        <v>30213287</v>
      </c>
      <c r="F1017" s="331" t="s">
        <v>1373</v>
      </c>
      <c r="G1017" s="1606"/>
      <c r="H1017" s="201">
        <v>30213287</v>
      </c>
      <c r="I1017" s="202">
        <v>19800</v>
      </c>
      <c r="J1017" s="203">
        <v>0.15</v>
      </c>
      <c r="K1017" s="1524"/>
      <c r="L1017" s="1526"/>
      <c r="M1017" s="1527"/>
      <c r="N1017" s="1461"/>
    </row>
    <row r="1018" spans="2:14">
      <c r="B1018" s="1452"/>
      <c r="C1018" s="1552"/>
      <c r="D1018" s="1524"/>
      <c r="E1018" s="92">
        <v>30214066</v>
      </c>
      <c r="F1018" s="331" t="s">
        <v>1374</v>
      </c>
      <c r="G1018" s="1606"/>
      <c r="H1018" s="201">
        <v>30214066</v>
      </c>
      <c r="I1018" s="202">
        <v>19800</v>
      </c>
      <c r="J1018" s="203">
        <v>0.15</v>
      </c>
      <c r="K1018" s="1524"/>
      <c r="L1018" s="1526"/>
      <c r="M1018" s="1527"/>
      <c r="N1018" s="1461"/>
    </row>
    <row r="1019" spans="2:14">
      <c r="B1019" s="1453"/>
      <c r="C1019" s="1670"/>
      <c r="D1019" s="1524"/>
      <c r="E1019" s="92">
        <v>30210615</v>
      </c>
      <c r="F1019" s="331" t="s">
        <v>1375</v>
      </c>
      <c r="G1019" s="1606"/>
      <c r="H1019" s="201">
        <v>30210615</v>
      </c>
      <c r="I1019" s="202">
        <v>26800</v>
      </c>
      <c r="J1019" s="203">
        <v>0.15</v>
      </c>
      <c r="K1019" s="1524"/>
      <c r="L1019" s="1526"/>
      <c r="M1019" s="1527"/>
      <c r="N1019" s="1461"/>
    </row>
    <row r="1020" spans="2:14">
      <c r="B1020" s="253"/>
      <c r="C1020" s="253"/>
      <c r="D1020" s="127"/>
      <c r="E1020" s="127"/>
      <c r="F1020" s="128"/>
      <c r="G1020" s="254"/>
      <c r="H1020" s="127"/>
      <c r="I1020" s="127"/>
      <c r="J1020" s="255"/>
      <c r="K1020" s="127"/>
      <c r="L1020" s="256"/>
      <c r="M1020" s="254"/>
      <c r="N1020" s="127"/>
    </row>
    <row r="1021" spans="2:14" ht="31.5">
      <c r="B1021" s="1396" t="s">
        <v>1376</v>
      </c>
      <c r="C1021" s="1442"/>
      <c r="D1021" s="1442"/>
      <c r="E1021" s="1442"/>
      <c r="F1021" s="1442"/>
      <c r="G1021" s="1442"/>
      <c r="H1021" s="1442"/>
      <c r="I1021" s="1442"/>
      <c r="J1021" s="1442"/>
      <c r="K1021" s="1442"/>
      <c r="L1021" s="1442"/>
      <c r="M1021" s="1442"/>
      <c r="N1021" s="1442"/>
    </row>
    <row r="1022" spans="2:14" ht="31.5">
      <c r="B1022" s="15" t="s">
        <v>1377</v>
      </c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</row>
    <row r="1023" spans="2:14" ht="16.5" customHeight="1">
      <c r="B1023" s="1661" t="s">
        <v>264</v>
      </c>
      <c r="C1023" s="1661">
        <v>1</v>
      </c>
      <c r="D1023" s="1475" t="s">
        <v>315</v>
      </c>
      <c r="E1023" s="138">
        <v>71581874</v>
      </c>
      <c r="F1023" s="139" t="s">
        <v>1378</v>
      </c>
      <c r="G1023" s="1475" t="s">
        <v>1379</v>
      </c>
      <c r="H1023" s="138">
        <v>30216296</v>
      </c>
      <c r="I1023" s="141">
        <v>16800</v>
      </c>
      <c r="J1023" s="142">
        <v>0.08</v>
      </c>
      <c r="K1023" s="139">
        <v>5</v>
      </c>
      <c r="L1023" s="141">
        <v>84000</v>
      </c>
      <c r="M1023" s="1475" t="s">
        <v>1380</v>
      </c>
      <c r="N1023" s="1668">
        <v>20250114012</v>
      </c>
    </row>
    <row r="1024" spans="2:14" ht="16.5" customHeight="1">
      <c r="B1024" s="1662"/>
      <c r="C1024" s="1662"/>
      <c r="D1024" s="1476"/>
      <c r="E1024" s="143">
        <v>71581865</v>
      </c>
      <c r="F1024" s="157" t="s">
        <v>1381</v>
      </c>
      <c r="G1024" s="1444"/>
      <c r="H1024" s="157">
        <v>30207268</v>
      </c>
      <c r="I1024" s="161">
        <v>17900</v>
      </c>
      <c r="J1024" s="162">
        <v>0.08</v>
      </c>
      <c r="K1024" s="157">
        <v>5</v>
      </c>
      <c r="L1024" s="161">
        <v>89500</v>
      </c>
      <c r="M1024" s="1444"/>
      <c r="N1024" s="1461"/>
    </row>
    <row r="1025" spans="2:14" ht="16.5" customHeight="1">
      <c r="B1025" s="1662"/>
      <c r="C1025" s="1662"/>
      <c r="D1025" s="1476"/>
      <c r="E1025" s="143">
        <v>71195148</v>
      </c>
      <c r="F1025" s="157" t="s">
        <v>1382</v>
      </c>
      <c r="G1025" s="1444"/>
      <c r="H1025" s="157">
        <v>30205457</v>
      </c>
      <c r="I1025" s="161">
        <v>17900</v>
      </c>
      <c r="J1025" s="162">
        <v>0.08</v>
      </c>
      <c r="K1025" s="157">
        <v>5</v>
      </c>
      <c r="L1025" s="161">
        <v>89500</v>
      </c>
      <c r="M1025" s="1444"/>
      <c r="N1025" s="1461"/>
    </row>
    <row r="1026" spans="2:14" ht="16.5" customHeight="1">
      <c r="B1026" s="1662"/>
      <c r="C1026" s="1662"/>
      <c r="D1026" s="1476"/>
      <c r="E1026" s="143">
        <v>71582179</v>
      </c>
      <c r="F1026" s="157" t="s">
        <v>1383</v>
      </c>
      <c r="G1026" s="1444"/>
      <c r="H1026" s="157">
        <v>30211924</v>
      </c>
      <c r="I1026" s="161">
        <v>16800</v>
      </c>
      <c r="J1026" s="162">
        <v>0.08</v>
      </c>
      <c r="K1026" s="157">
        <v>5</v>
      </c>
      <c r="L1026" s="161">
        <v>84000</v>
      </c>
      <c r="M1026" s="1444"/>
      <c r="N1026" s="1461"/>
    </row>
    <row r="1027" spans="2:14" ht="16.5" customHeight="1">
      <c r="B1027" s="1662"/>
      <c r="C1027" s="1663"/>
      <c r="D1027" s="1667"/>
      <c r="E1027" s="143">
        <v>71581851</v>
      </c>
      <c r="F1027" s="157" t="s">
        <v>1384</v>
      </c>
      <c r="G1027" s="1444"/>
      <c r="H1027" s="157">
        <v>30207267</v>
      </c>
      <c r="I1027" s="161">
        <v>16500</v>
      </c>
      <c r="J1027" s="162">
        <v>0.08</v>
      </c>
      <c r="K1027" s="157">
        <v>5</v>
      </c>
      <c r="L1027" s="161">
        <v>82500</v>
      </c>
      <c r="M1027" s="1444"/>
      <c r="N1027" s="1461"/>
    </row>
    <row r="1028" spans="2:14" ht="16.5" customHeight="1">
      <c r="B1028" s="1662"/>
      <c r="C1028" s="1661">
        <v>2</v>
      </c>
      <c r="D1028" s="1475" t="s">
        <v>307</v>
      </c>
      <c r="E1028" s="143">
        <v>73016017</v>
      </c>
      <c r="F1028" s="157" t="s">
        <v>1385</v>
      </c>
      <c r="G1028" s="1444" t="s">
        <v>1386</v>
      </c>
      <c r="H1028" s="157">
        <v>30216299</v>
      </c>
      <c r="I1028" s="161">
        <v>16500</v>
      </c>
      <c r="J1028" s="162">
        <v>0.08</v>
      </c>
      <c r="K1028" s="157">
        <v>5</v>
      </c>
      <c r="L1028" s="161">
        <v>82500</v>
      </c>
      <c r="M1028" s="1444" t="s">
        <v>1387</v>
      </c>
      <c r="N1028" s="1461">
        <v>20250114013</v>
      </c>
    </row>
    <row r="1029" spans="2:14" ht="16.5" customHeight="1">
      <c r="B1029" s="1662"/>
      <c r="C1029" s="1662"/>
      <c r="D1029" s="1476"/>
      <c r="E1029" s="143">
        <v>72341122</v>
      </c>
      <c r="F1029" s="157" t="s">
        <v>1388</v>
      </c>
      <c r="G1029" s="1444"/>
      <c r="H1029" s="157">
        <v>30210969</v>
      </c>
      <c r="I1029" s="161">
        <v>9900</v>
      </c>
      <c r="J1029" s="162">
        <v>0.08</v>
      </c>
      <c r="K1029" s="157">
        <v>5</v>
      </c>
      <c r="L1029" s="161">
        <v>49500</v>
      </c>
      <c r="M1029" s="1444"/>
      <c r="N1029" s="1461"/>
    </row>
    <row r="1030" spans="2:14" ht="16.5" customHeight="1">
      <c r="B1030" s="1662"/>
      <c r="C1030" s="1662"/>
      <c r="D1030" s="1476"/>
      <c r="E1030" s="143">
        <v>71798809</v>
      </c>
      <c r="F1030" s="157" t="s">
        <v>1389</v>
      </c>
      <c r="G1030" s="1444"/>
      <c r="H1030" s="157">
        <v>30216302</v>
      </c>
      <c r="I1030" s="161">
        <v>15800</v>
      </c>
      <c r="J1030" s="162">
        <v>0.08</v>
      </c>
      <c r="K1030" s="157">
        <v>5</v>
      </c>
      <c r="L1030" s="161">
        <v>79000</v>
      </c>
      <c r="M1030" s="1444"/>
      <c r="N1030" s="1461"/>
    </row>
    <row r="1031" spans="2:14" ht="16.5" customHeight="1">
      <c r="B1031" s="1662"/>
      <c r="C1031" s="1662"/>
      <c r="D1031" s="1476"/>
      <c r="E1031" s="143">
        <v>71798603</v>
      </c>
      <c r="F1031" s="157" t="s">
        <v>1390</v>
      </c>
      <c r="G1031" s="1444"/>
      <c r="H1031" s="157">
        <v>30216304</v>
      </c>
      <c r="I1031" s="161">
        <v>15800</v>
      </c>
      <c r="J1031" s="162">
        <v>0.08</v>
      </c>
      <c r="K1031" s="157">
        <v>5</v>
      </c>
      <c r="L1031" s="161">
        <v>79000</v>
      </c>
      <c r="M1031" s="1444"/>
      <c r="N1031" s="1461"/>
    </row>
    <row r="1032" spans="2:14" ht="16.5" customHeight="1">
      <c r="B1032" s="1662"/>
      <c r="C1032" s="1663"/>
      <c r="D1032" s="1667"/>
      <c r="E1032" s="143">
        <v>72341029</v>
      </c>
      <c r="F1032" s="157" t="s">
        <v>1391</v>
      </c>
      <c r="G1032" s="1444"/>
      <c r="H1032" s="157">
        <v>30211920</v>
      </c>
      <c r="I1032" s="161">
        <v>17500</v>
      </c>
      <c r="J1032" s="162">
        <v>0.08</v>
      </c>
      <c r="K1032" s="157">
        <v>5</v>
      </c>
      <c r="L1032" s="161">
        <v>87500</v>
      </c>
      <c r="M1032" s="1444"/>
      <c r="N1032" s="1461"/>
    </row>
    <row r="1033" spans="2:14" ht="16.5" customHeight="1">
      <c r="B1033" s="1662"/>
      <c r="C1033" s="1661">
        <v>3</v>
      </c>
      <c r="D1033" s="1475" t="s">
        <v>299</v>
      </c>
      <c r="E1033" s="143">
        <v>72088894</v>
      </c>
      <c r="F1033" s="157" t="s">
        <v>1392</v>
      </c>
      <c r="G1033" s="1444" t="s">
        <v>1393</v>
      </c>
      <c r="H1033" s="157">
        <v>30216312</v>
      </c>
      <c r="I1033" s="161">
        <v>10900</v>
      </c>
      <c r="J1033" s="162">
        <v>0.08</v>
      </c>
      <c r="K1033" s="157">
        <v>5</v>
      </c>
      <c r="L1033" s="161">
        <v>54500</v>
      </c>
      <c r="M1033" s="1444" t="s">
        <v>1394</v>
      </c>
      <c r="N1033" s="1461">
        <v>20250114014</v>
      </c>
    </row>
    <row r="1034" spans="2:14" ht="16.5" customHeight="1">
      <c r="B1034" s="1662"/>
      <c r="C1034" s="1662"/>
      <c r="D1034" s="1476"/>
      <c r="E1034" s="143">
        <v>72512399</v>
      </c>
      <c r="F1034" s="157" t="s">
        <v>1395</v>
      </c>
      <c r="G1034" s="1444"/>
      <c r="H1034" s="157">
        <v>30216313</v>
      </c>
      <c r="I1034" s="161">
        <v>10900</v>
      </c>
      <c r="J1034" s="162">
        <v>0.08</v>
      </c>
      <c r="K1034" s="157">
        <v>5</v>
      </c>
      <c r="L1034" s="161">
        <v>54500</v>
      </c>
      <c r="M1034" s="1444"/>
      <c r="N1034" s="1461"/>
    </row>
    <row r="1035" spans="2:14" ht="16.5" customHeight="1">
      <c r="B1035" s="1662"/>
      <c r="C1035" s="1662"/>
      <c r="D1035" s="1476"/>
      <c r="E1035" s="332">
        <v>72889440</v>
      </c>
      <c r="F1035" s="333" t="s">
        <v>1396</v>
      </c>
      <c r="G1035" s="1444"/>
      <c r="H1035" s="333">
        <v>30212962</v>
      </c>
      <c r="I1035" s="161">
        <v>14900</v>
      </c>
      <c r="J1035" s="162">
        <v>0.08</v>
      </c>
      <c r="K1035" s="157">
        <v>5</v>
      </c>
      <c r="L1035" s="161">
        <v>74500</v>
      </c>
      <c r="M1035" s="1444"/>
      <c r="N1035" s="1461"/>
    </row>
    <row r="1036" spans="2:14" ht="16.5" customHeight="1">
      <c r="B1036" s="1662"/>
      <c r="C1036" s="1662"/>
      <c r="D1036" s="1476"/>
      <c r="E1036" s="143">
        <v>71576282</v>
      </c>
      <c r="F1036" s="157" t="s">
        <v>1397</v>
      </c>
      <c r="G1036" s="1444"/>
      <c r="H1036" s="157">
        <v>30206711</v>
      </c>
      <c r="I1036" s="161">
        <v>17900</v>
      </c>
      <c r="J1036" s="162">
        <v>0.08</v>
      </c>
      <c r="K1036" s="157">
        <v>5</v>
      </c>
      <c r="L1036" s="161">
        <v>89500</v>
      </c>
      <c r="M1036" s="1444"/>
      <c r="N1036" s="1461"/>
    </row>
    <row r="1037" spans="2:14" ht="16.5" customHeight="1">
      <c r="B1037" s="1662"/>
      <c r="C1037" s="1663"/>
      <c r="D1037" s="1667"/>
      <c r="E1037" s="143">
        <v>72889434</v>
      </c>
      <c r="F1037" s="157" t="s">
        <v>1398</v>
      </c>
      <c r="G1037" s="1444"/>
      <c r="H1037" s="157">
        <v>30212956</v>
      </c>
      <c r="I1037" s="161">
        <v>10900</v>
      </c>
      <c r="J1037" s="162">
        <v>0.08</v>
      </c>
      <c r="K1037" s="157">
        <v>5</v>
      </c>
      <c r="L1037" s="161">
        <v>54500</v>
      </c>
      <c r="M1037" s="1444"/>
      <c r="N1037" s="1461"/>
    </row>
    <row r="1038" spans="2:14" ht="16.5" customHeight="1">
      <c r="B1038" s="1662"/>
      <c r="C1038" s="1661">
        <v>4</v>
      </c>
      <c r="D1038" s="1661" t="s">
        <v>286</v>
      </c>
      <c r="E1038" s="152">
        <v>30203660</v>
      </c>
      <c r="F1038" s="334" t="s">
        <v>291</v>
      </c>
      <c r="G1038" s="1444" t="s">
        <v>656</v>
      </c>
      <c r="H1038" s="335">
        <v>30160356</v>
      </c>
      <c r="I1038" s="155">
        <v>59900</v>
      </c>
      <c r="J1038" s="156">
        <v>0.13</v>
      </c>
      <c r="K1038" s="157">
        <v>5</v>
      </c>
      <c r="L1038" s="155">
        <v>299500</v>
      </c>
      <c r="M1038" s="1444" t="s">
        <v>289</v>
      </c>
      <c r="N1038" s="1461">
        <v>20250114015</v>
      </c>
    </row>
    <row r="1039" spans="2:14" ht="16.5" customHeight="1">
      <c r="B1039" s="1662"/>
      <c r="C1039" s="1662"/>
      <c r="D1039" s="1662"/>
      <c r="E1039" s="158">
        <v>30164117</v>
      </c>
      <c r="F1039" s="335" t="s">
        <v>292</v>
      </c>
      <c r="G1039" s="1444"/>
      <c r="H1039" s="335">
        <v>30161455</v>
      </c>
      <c r="I1039" s="155">
        <v>19900</v>
      </c>
      <c r="J1039" s="156">
        <v>0.13</v>
      </c>
      <c r="K1039" s="157">
        <v>5</v>
      </c>
      <c r="L1039" s="155">
        <v>99500</v>
      </c>
      <c r="M1039" s="1444"/>
      <c r="N1039" s="1461"/>
    </row>
    <row r="1040" spans="2:14" ht="16.5" customHeight="1">
      <c r="B1040" s="1662"/>
      <c r="C1040" s="1662"/>
      <c r="D1040" s="1662"/>
      <c r="E1040" s="158">
        <v>30205340</v>
      </c>
      <c r="F1040" s="334" t="s">
        <v>296</v>
      </c>
      <c r="G1040" s="1444"/>
      <c r="H1040" s="335">
        <v>30208326</v>
      </c>
      <c r="I1040" s="155">
        <v>26900</v>
      </c>
      <c r="J1040" s="156">
        <v>0.13</v>
      </c>
      <c r="K1040" s="157">
        <v>5</v>
      </c>
      <c r="L1040" s="155">
        <v>134500</v>
      </c>
      <c r="M1040" s="1444"/>
      <c r="N1040" s="1461"/>
    </row>
    <row r="1041" spans="2:14" ht="16.5" customHeight="1">
      <c r="B1041" s="1662"/>
      <c r="C1041" s="1662"/>
      <c r="D1041" s="1662"/>
      <c r="E1041" s="158">
        <v>30205660</v>
      </c>
      <c r="F1041" s="334" t="s">
        <v>1073</v>
      </c>
      <c r="G1041" s="1444"/>
      <c r="H1041" s="335">
        <v>30161461</v>
      </c>
      <c r="I1041" s="155">
        <v>29900</v>
      </c>
      <c r="J1041" s="156">
        <v>0.13</v>
      </c>
      <c r="K1041" s="157">
        <v>5</v>
      </c>
      <c r="L1041" s="155">
        <v>149500</v>
      </c>
      <c r="M1041" s="1444"/>
      <c r="N1041" s="1461"/>
    </row>
    <row r="1042" spans="2:14" ht="16.5" customHeight="1">
      <c r="B1042" s="1662"/>
      <c r="C1042" s="1662"/>
      <c r="D1042" s="1662"/>
      <c r="E1042" s="158">
        <v>30206692</v>
      </c>
      <c r="F1042" s="334" t="s">
        <v>295</v>
      </c>
      <c r="G1042" s="1444"/>
      <c r="H1042" s="335">
        <v>30207274</v>
      </c>
      <c r="I1042" s="155">
        <v>36900</v>
      </c>
      <c r="J1042" s="156">
        <v>0.13</v>
      </c>
      <c r="K1042" s="157">
        <v>5</v>
      </c>
      <c r="L1042" s="155">
        <v>184500</v>
      </c>
      <c r="M1042" s="1444"/>
      <c r="N1042" s="1461"/>
    </row>
    <row r="1043" spans="2:14" ht="16.5" customHeight="1">
      <c r="B1043" s="1662"/>
      <c r="C1043" s="1662"/>
      <c r="D1043" s="1662"/>
      <c r="E1043" s="152">
        <v>30211935</v>
      </c>
      <c r="F1043" s="334" t="s">
        <v>287</v>
      </c>
      <c r="G1043" s="1444"/>
      <c r="H1043" s="335">
        <v>30210944</v>
      </c>
      <c r="I1043" s="155">
        <v>14300</v>
      </c>
      <c r="J1043" s="156">
        <v>0.13</v>
      </c>
      <c r="K1043" s="157">
        <v>5</v>
      </c>
      <c r="L1043" s="155">
        <v>71500</v>
      </c>
      <c r="M1043" s="1444"/>
      <c r="N1043" s="1461"/>
    </row>
    <row r="1044" spans="2:14" ht="16.5" customHeight="1">
      <c r="B1044" s="1662"/>
      <c r="C1044" s="1662"/>
      <c r="D1044" s="1662"/>
      <c r="E1044" s="152">
        <v>30202366</v>
      </c>
      <c r="F1044" s="334" t="s">
        <v>290</v>
      </c>
      <c r="G1044" s="1444"/>
      <c r="H1044" s="335">
        <v>30203311</v>
      </c>
      <c r="I1044" s="155">
        <v>19900</v>
      </c>
      <c r="J1044" s="156">
        <v>0.13</v>
      </c>
      <c r="K1044" s="157">
        <v>5</v>
      </c>
      <c r="L1044" s="155">
        <v>99500</v>
      </c>
      <c r="M1044" s="1444"/>
      <c r="N1044" s="1461"/>
    </row>
    <row r="1045" spans="2:14" ht="16.5" customHeight="1">
      <c r="B1045" s="1662"/>
      <c r="C1045" s="1662"/>
      <c r="D1045" s="1662"/>
      <c r="E1045" s="152">
        <v>72592544</v>
      </c>
      <c r="F1045" s="335" t="s">
        <v>1399</v>
      </c>
      <c r="G1045" s="1444"/>
      <c r="H1045" s="335">
        <v>30216341</v>
      </c>
      <c r="I1045" s="155">
        <v>19700</v>
      </c>
      <c r="J1045" s="156">
        <v>0.13</v>
      </c>
      <c r="K1045" s="157">
        <v>5</v>
      </c>
      <c r="L1045" s="155">
        <v>98500</v>
      </c>
      <c r="M1045" s="1444"/>
      <c r="N1045" s="1461"/>
    </row>
    <row r="1046" spans="2:14" ht="16.5" customHeight="1">
      <c r="B1046" s="1662"/>
      <c r="C1046" s="1666"/>
      <c r="D1046" s="1666"/>
      <c r="E1046" s="158">
        <v>30209083</v>
      </c>
      <c r="F1046" s="335" t="s">
        <v>1400</v>
      </c>
      <c r="G1046" s="1444"/>
      <c r="H1046" s="335">
        <v>30216343</v>
      </c>
      <c r="I1046" s="155">
        <v>24900</v>
      </c>
      <c r="J1046" s="156">
        <v>0.13</v>
      </c>
      <c r="K1046" s="157">
        <v>5</v>
      </c>
      <c r="L1046" s="155">
        <v>124500</v>
      </c>
      <c r="M1046" s="1444"/>
      <c r="N1046" s="1461"/>
    </row>
    <row r="1047" spans="2:14" ht="16.5" customHeight="1">
      <c r="B1047" s="1662"/>
      <c r="C1047" s="1476">
        <v>5</v>
      </c>
      <c r="D1047" s="1476" t="s">
        <v>658</v>
      </c>
      <c r="E1047" s="143">
        <v>70158168</v>
      </c>
      <c r="F1047" s="157" t="s">
        <v>1401</v>
      </c>
      <c r="G1047" s="1444" t="s">
        <v>1402</v>
      </c>
      <c r="H1047" s="157">
        <v>30216451</v>
      </c>
      <c r="I1047" s="161">
        <v>8800</v>
      </c>
      <c r="J1047" s="162">
        <v>0.1</v>
      </c>
      <c r="K1047" s="157">
        <v>5</v>
      </c>
      <c r="L1047" s="155">
        <v>44000</v>
      </c>
      <c r="M1047" s="1444" t="s">
        <v>1403</v>
      </c>
      <c r="N1047" s="1461">
        <v>20250114016</v>
      </c>
    </row>
    <row r="1048" spans="2:14" ht="16.5" customHeight="1">
      <c r="B1048" s="1662"/>
      <c r="C1048" s="1476"/>
      <c r="D1048" s="1476"/>
      <c r="E1048" s="143">
        <v>70651084</v>
      </c>
      <c r="F1048" s="157" t="s">
        <v>1404</v>
      </c>
      <c r="G1048" s="1444"/>
      <c r="H1048" s="157">
        <v>30216452</v>
      </c>
      <c r="I1048" s="161">
        <v>8800</v>
      </c>
      <c r="J1048" s="162">
        <v>0.1</v>
      </c>
      <c r="K1048" s="157">
        <v>5</v>
      </c>
      <c r="L1048" s="155">
        <v>44000</v>
      </c>
      <c r="M1048" s="1444"/>
      <c r="N1048" s="1461"/>
    </row>
    <row r="1049" spans="2:14" ht="16.5" customHeight="1">
      <c r="B1049" s="1662"/>
      <c r="C1049" s="1476"/>
      <c r="D1049" s="1476"/>
      <c r="E1049" s="143">
        <v>70158171</v>
      </c>
      <c r="F1049" s="157" t="s">
        <v>1405</v>
      </c>
      <c r="G1049" s="1444"/>
      <c r="H1049" s="157">
        <v>30216465</v>
      </c>
      <c r="I1049" s="161">
        <v>8800</v>
      </c>
      <c r="J1049" s="162">
        <v>0.1</v>
      </c>
      <c r="K1049" s="157">
        <v>5</v>
      </c>
      <c r="L1049" s="155">
        <v>44000</v>
      </c>
      <c r="M1049" s="1444"/>
      <c r="N1049" s="1461"/>
    </row>
    <row r="1050" spans="2:14" ht="16.5" customHeight="1">
      <c r="B1050" s="1662"/>
      <c r="C1050" s="1476"/>
      <c r="D1050" s="1476"/>
      <c r="E1050" s="143">
        <v>70158159</v>
      </c>
      <c r="F1050" s="157" t="s">
        <v>1406</v>
      </c>
      <c r="G1050" s="1444"/>
      <c r="H1050" s="157">
        <v>30216467</v>
      </c>
      <c r="I1050" s="161">
        <v>8800</v>
      </c>
      <c r="J1050" s="162">
        <v>0.1</v>
      </c>
      <c r="K1050" s="157">
        <v>5</v>
      </c>
      <c r="L1050" s="155">
        <v>44000</v>
      </c>
      <c r="M1050" s="1444"/>
      <c r="N1050" s="1461"/>
    </row>
    <row r="1051" spans="2:14" ht="16.5" customHeight="1">
      <c r="B1051" s="1662"/>
      <c r="C1051" s="1476"/>
      <c r="D1051" s="1476"/>
      <c r="E1051" s="143">
        <v>70158244</v>
      </c>
      <c r="F1051" s="157" t="s">
        <v>1407</v>
      </c>
      <c r="G1051" s="1444"/>
      <c r="H1051" s="157">
        <v>30216473</v>
      </c>
      <c r="I1051" s="161">
        <v>10900</v>
      </c>
      <c r="J1051" s="162">
        <v>0.1</v>
      </c>
      <c r="K1051" s="157">
        <v>5</v>
      </c>
      <c r="L1051" s="155">
        <v>54500</v>
      </c>
      <c r="M1051" s="1444"/>
      <c r="N1051" s="1461"/>
    </row>
    <row r="1052" spans="2:14" ht="16.5" customHeight="1">
      <c r="B1052" s="1662"/>
      <c r="C1052" s="1476"/>
      <c r="D1052" s="1476"/>
      <c r="E1052" s="143">
        <v>70158227</v>
      </c>
      <c r="F1052" s="157" t="s">
        <v>1408</v>
      </c>
      <c r="G1052" s="1444"/>
      <c r="H1052" s="157">
        <v>30216476</v>
      </c>
      <c r="I1052" s="161">
        <v>10900</v>
      </c>
      <c r="J1052" s="162">
        <v>0.1</v>
      </c>
      <c r="K1052" s="157">
        <v>5</v>
      </c>
      <c r="L1052" s="155">
        <v>54500</v>
      </c>
      <c r="M1052" s="1444"/>
      <c r="N1052" s="1461"/>
    </row>
    <row r="1053" spans="2:14" ht="16.5" customHeight="1">
      <c r="B1053" s="1662"/>
      <c r="C1053" s="1476"/>
      <c r="D1053" s="1476"/>
      <c r="E1053" s="143">
        <v>70158230</v>
      </c>
      <c r="F1053" s="157" t="s">
        <v>1409</v>
      </c>
      <c r="G1053" s="1444"/>
      <c r="H1053" s="157">
        <v>30216477</v>
      </c>
      <c r="I1053" s="161">
        <v>10900</v>
      </c>
      <c r="J1053" s="162">
        <v>0.1</v>
      </c>
      <c r="K1053" s="157">
        <v>5</v>
      </c>
      <c r="L1053" s="155">
        <v>54500</v>
      </c>
      <c r="M1053" s="1444"/>
      <c r="N1053" s="1461"/>
    </row>
    <row r="1054" spans="2:14" ht="16.5" customHeight="1">
      <c r="B1054" s="1662"/>
      <c r="C1054" s="1476"/>
      <c r="D1054" s="1476"/>
      <c r="E1054" s="143">
        <v>70158241</v>
      </c>
      <c r="F1054" s="157" t="s">
        <v>1410</v>
      </c>
      <c r="G1054" s="1444"/>
      <c r="H1054" s="157">
        <v>30216478</v>
      </c>
      <c r="I1054" s="161">
        <v>10900</v>
      </c>
      <c r="J1054" s="162">
        <v>0.1</v>
      </c>
      <c r="K1054" s="157">
        <v>5</v>
      </c>
      <c r="L1054" s="155">
        <v>54500</v>
      </c>
      <c r="M1054" s="1444"/>
      <c r="N1054" s="1461"/>
    </row>
    <row r="1055" spans="2:14" ht="16.5" customHeight="1">
      <c r="B1055" s="1662"/>
      <c r="C1055" s="1476"/>
      <c r="D1055" s="1476"/>
      <c r="E1055" s="143">
        <v>70158263</v>
      </c>
      <c r="F1055" s="157" t="s">
        <v>1411</v>
      </c>
      <c r="G1055" s="1444"/>
      <c r="H1055" s="157">
        <v>30216479</v>
      </c>
      <c r="I1055" s="161">
        <v>10900</v>
      </c>
      <c r="J1055" s="162">
        <v>0.1</v>
      </c>
      <c r="K1055" s="157">
        <v>5</v>
      </c>
      <c r="L1055" s="155">
        <v>54500</v>
      </c>
      <c r="M1055" s="1444"/>
      <c r="N1055" s="1461"/>
    </row>
    <row r="1056" spans="2:14" ht="16.5" customHeight="1">
      <c r="B1056" s="1662"/>
      <c r="C1056" s="1667"/>
      <c r="D1056" s="1667"/>
      <c r="E1056" s="143">
        <v>43481980</v>
      </c>
      <c r="F1056" s="157" t="s">
        <v>1074</v>
      </c>
      <c r="G1056" s="1444"/>
      <c r="H1056" s="157">
        <v>30216483</v>
      </c>
      <c r="I1056" s="161">
        <v>11500</v>
      </c>
      <c r="J1056" s="162">
        <v>0.1</v>
      </c>
      <c r="K1056" s="157">
        <v>5</v>
      </c>
      <c r="L1056" s="155">
        <v>57500</v>
      </c>
      <c r="M1056" s="1444"/>
      <c r="N1056" s="1461"/>
    </row>
    <row r="1057" spans="2:15" ht="16.5" customHeight="1">
      <c r="B1057" s="1662"/>
      <c r="C1057" s="1661">
        <v>6</v>
      </c>
      <c r="D1057" s="1661" t="s">
        <v>265</v>
      </c>
      <c r="E1057" s="143">
        <v>71394672</v>
      </c>
      <c r="F1057" s="157" t="s">
        <v>266</v>
      </c>
      <c r="G1057" s="1444" t="s">
        <v>1084</v>
      </c>
      <c r="H1057" s="157">
        <v>30209889</v>
      </c>
      <c r="I1057" s="161">
        <v>7900</v>
      </c>
      <c r="J1057" s="162">
        <v>0.1</v>
      </c>
      <c r="K1057" s="157">
        <v>5</v>
      </c>
      <c r="L1057" s="161">
        <v>79000</v>
      </c>
      <c r="M1057" s="1444" t="s">
        <v>651</v>
      </c>
      <c r="N1057" s="1461">
        <v>20250114017</v>
      </c>
    </row>
    <row r="1058" spans="2:15" ht="16.5" customHeight="1">
      <c r="B1058" s="1662"/>
      <c r="C1058" s="1662"/>
      <c r="D1058" s="1662"/>
      <c r="E1058" s="143">
        <v>70794379</v>
      </c>
      <c r="F1058" s="157" t="s">
        <v>271</v>
      </c>
      <c r="G1058" s="1444"/>
      <c r="H1058" s="157">
        <v>30211931</v>
      </c>
      <c r="I1058" s="161">
        <v>8900</v>
      </c>
      <c r="J1058" s="162">
        <v>0.1</v>
      </c>
      <c r="K1058" s="157">
        <v>5</v>
      </c>
      <c r="L1058" s="161">
        <v>89000</v>
      </c>
      <c r="M1058" s="1444"/>
      <c r="N1058" s="1461"/>
    </row>
    <row r="1059" spans="2:15" ht="16.5" customHeight="1">
      <c r="B1059" s="1662"/>
      <c r="C1059" s="1662"/>
      <c r="D1059" s="1662"/>
      <c r="E1059" s="143">
        <v>75284181</v>
      </c>
      <c r="F1059" s="157" t="s">
        <v>1412</v>
      </c>
      <c r="G1059" s="1444"/>
      <c r="H1059" s="157">
        <v>30216489</v>
      </c>
      <c r="I1059" s="161">
        <v>10900</v>
      </c>
      <c r="J1059" s="162">
        <v>0.1</v>
      </c>
      <c r="K1059" s="157">
        <v>5</v>
      </c>
      <c r="L1059" s="161">
        <v>109000</v>
      </c>
      <c r="M1059" s="1444"/>
      <c r="N1059" s="1461"/>
    </row>
    <row r="1060" spans="2:15" ht="16.5" customHeight="1">
      <c r="B1060" s="1662"/>
      <c r="C1060" s="1662"/>
      <c r="D1060" s="1662"/>
      <c r="E1060" s="143">
        <v>70258719</v>
      </c>
      <c r="F1060" s="157" t="s">
        <v>1413</v>
      </c>
      <c r="G1060" s="1444"/>
      <c r="H1060" s="157">
        <v>30216491</v>
      </c>
      <c r="I1060" s="161">
        <v>17900</v>
      </c>
      <c r="J1060" s="162">
        <v>0.1</v>
      </c>
      <c r="K1060" s="157">
        <v>5</v>
      </c>
      <c r="L1060" s="161">
        <v>179000</v>
      </c>
      <c r="M1060" s="1444"/>
      <c r="N1060" s="1461"/>
    </row>
    <row r="1061" spans="2:15" ht="16.5" customHeight="1">
      <c r="B1061" s="1663"/>
      <c r="C1061" s="1663"/>
      <c r="D1061" s="1663"/>
      <c r="E1061" s="143">
        <v>71007345</v>
      </c>
      <c r="F1061" s="157" t="s">
        <v>270</v>
      </c>
      <c r="G1061" s="1444"/>
      <c r="H1061" s="157">
        <v>30206716</v>
      </c>
      <c r="I1061" s="161">
        <v>10500</v>
      </c>
      <c r="J1061" s="162">
        <v>0.1</v>
      </c>
      <c r="K1061" s="157">
        <v>5</v>
      </c>
      <c r="L1061" s="161">
        <v>105000</v>
      </c>
      <c r="M1061" s="1444"/>
      <c r="N1061" s="1461"/>
    </row>
    <row r="1062" spans="2:15">
      <c r="B1062" s="290"/>
      <c r="C1062" s="1661">
        <v>8</v>
      </c>
      <c r="D1062" s="1664" t="s">
        <v>686</v>
      </c>
      <c r="E1062" s="336">
        <v>71315774</v>
      </c>
      <c r="F1062" s="337" t="s">
        <v>687</v>
      </c>
      <c r="G1062" s="1664" t="s">
        <v>688</v>
      </c>
      <c r="H1062" s="338">
        <v>30208365</v>
      </c>
      <c r="I1062" s="339">
        <v>11500</v>
      </c>
      <c r="J1062" s="340">
        <v>0.1</v>
      </c>
      <c r="K1062" s="341">
        <v>5</v>
      </c>
      <c r="L1062" s="339">
        <v>57500</v>
      </c>
      <c r="M1062" s="1664" t="s">
        <v>689</v>
      </c>
      <c r="N1062" s="1665">
        <v>20250119096</v>
      </c>
    </row>
    <row r="1063" spans="2:15">
      <c r="B1063" s="290"/>
      <c r="C1063" s="1661"/>
      <c r="D1063" s="1664"/>
      <c r="E1063" s="336">
        <v>71315798</v>
      </c>
      <c r="F1063" s="337" t="s">
        <v>690</v>
      </c>
      <c r="G1063" s="1664"/>
      <c r="H1063" s="338">
        <v>30213242</v>
      </c>
      <c r="I1063" s="339">
        <v>27900</v>
      </c>
      <c r="J1063" s="340">
        <v>0.1</v>
      </c>
      <c r="K1063" s="341">
        <v>5</v>
      </c>
      <c r="L1063" s="339">
        <v>139500</v>
      </c>
      <c r="M1063" s="1664"/>
      <c r="N1063" s="1665"/>
    </row>
    <row r="1064" spans="2:15">
      <c r="B1064" s="290"/>
      <c r="C1064" s="1661"/>
      <c r="D1064" s="1664"/>
      <c r="E1064" s="336">
        <v>71315799</v>
      </c>
      <c r="F1064" s="337" t="s">
        <v>691</v>
      </c>
      <c r="G1064" s="1664"/>
      <c r="H1064" s="338">
        <v>30211969</v>
      </c>
      <c r="I1064" s="339">
        <v>11500</v>
      </c>
      <c r="J1064" s="340">
        <v>0.1</v>
      </c>
      <c r="K1064" s="341">
        <v>5</v>
      </c>
      <c r="L1064" s="339">
        <v>57500</v>
      </c>
      <c r="M1064" s="1664"/>
      <c r="N1064" s="1665"/>
    </row>
    <row r="1065" spans="2:15">
      <c r="B1065" s="290"/>
      <c r="C1065" s="1661"/>
      <c r="D1065" s="1664"/>
      <c r="E1065" s="336">
        <v>75277694</v>
      </c>
      <c r="F1065" s="337" t="s">
        <v>692</v>
      </c>
      <c r="G1065" s="1664"/>
      <c r="H1065" s="342">
        <v>30215148</v>
      </c>
      <c r="I1065" s="343">
        <v>27900</v>
      </c>
      <c r="J1065" s="340">
        <v>0.1</v>
      </c>
      <c r="K1065" s="341">
        <v>5</v>
      </c>
      <c r="L1065" s="339">
        <v>139500</v>
      </c>
      <c r="M1065" s="1664"/>
      <c r="N1065" s="1665"/>
    </row>
    <row r="1066" spans="2:15" ht="16.5" customHeight="1">
      <c r="B1066" s="1654" t="s">
        <v>477</v>
      </c>
      <c r="C1066" s="1658">
        <v>1</v>
      </c>
      <c r="D1066" s="344" t="s">
        <v>1306</v>
      </c>
      <c r="E1066" s="344">
        <v>43008400</v>
      </c>
      <c r="F1066" s="228" t="s">
        <v>1414</v>
      </c>
      <c r="G1066" s="1584" t="s">
        <v>1414</v>
      </c>
      <c r="H1066" s="234">
        <v>30151177</v>
      </c>
      <c r="I1066" s="320">
        <v>9900</v>
      </c>
      <c r="J1066" s="345">
        <v>0.1</v>
      </c>
      <c r="K1066" s="234">
        <v>10</v>
      </c>
      <c r="L1066" s="320">
        <f t="shared" ref="L1066:L1096" si="5">I1066*10</f>
        <v>99000</v>
      </c>
      <c r="M1066" s="1584" t="s">
        <v>1415</v>
      </c>
      <c r="N1066" s="1543">
        <v>20250113011</v>
      </c>
      <c r="O1066" s="4" t="s">
        <v>1282</v>
      </c>
    </row>
    <row r="1067" spans="2:15" ht="16.5" customHeight="1">
      <c r="B1067" s="1610"/>
      <c r="C1067" s="1659"/>
      <c r="D1067" s="344" t="s">
        <v>1306</v>
      </c>
      <c r="E1067" s="344">
        <v>10965893</v>
      </c>
      <c r="F1067" s="228" t="s">
        <v>1307</v>
      </c>
      <c r="G1067" s="1584"/>
      <c r="H1067" s="234">
        <v>30216217</v>
      </c>
      <c r="I1067" s="320">
        <v>14100</v>
      </c>
      <c r="J1067" s="345">
        <v>0.1</v>
      </c>
      <c r="K1067" s="234">
        <v>10</v>
      </c>
      <c r="L1067" s="320">
        <f t="shared" si="5"/>
        <v>141000</v>
      </c>
      <c r="M1067" s="1584"/>
      <c r="N1067" s="1543"/>
      <c r="O1067" s="4" t="s">
        <v>1285</v>
      </c>
    </row>
    <row r="1068" spans="2:15" ht="16.5" customHeight="1">
      <c r="B1068" s="1610"/>
      <c r="C1068" s="1659"/>
      <c r="D1068" s="344" t="s">
        <v>1306</v>
      </c>
      <c r="E1068" s="344">
        <v>10965890</v>
      </c>
      <c r="F1068" s="228" t="s">
        <v>1310</v>
      </c>
      <c r="G1068" s="1584"/>
      <c r="H1068" s="234">
        <v>30216216</v>
      </c>
      <c r="I1068" s="320">
        <v>15500</v>
      </c>
      <c r="J1068" s="345">
        <v>0.1</v>
      </c>
      <c r="K1068" s="234">
        <v>10</v>
      </c>
      <c r="L1068" s="320">
        <f t="shared" si="5"/>
        <v>155000</v>
      </c>
      <c r="M1068" s="1584"/>
      <c r="N1068" s="1543"/>
    </row>
    <row r="1069" spans="2:15" ht="16.5" customHeight="1">
      <c r="B1069" s="1610"/>
      <c r="C1069" s="1659"/>
      <c r="D1069" s="344" t="s">
        <v>1306</v>
      </c>
      <c r="E1069" s="344">
        <v>43008398</v>
      </c>
      <c r="F1069" s="228" t="s">
        <v>1416</v>
      </c>
      <c r="G1069" s="1584"/>
      <c r="H1069" s="234">
        <v>30210570</v>
      </c>
      <c r="I1069" s="320">
        <v>15900</v>
      </c>
      <c r="J1069" s="345">
        <v>0.1</v>
      </c>
      <c r="K1069" s="234">
        <v>10</v>
      </c>
      <c r="L1069" s="320">
        <f t="shared" si="5"/>
        <v>159000</v>
      </c>
      <c r="M1069" s="1584"/>
      <c r="N1069" s="1543"/>
    </row>
    <row r="1070" spans="2:15" ht="16.5" customHeight="1">
      <c r="B1070" s="1610"/>
      <c r="C1070" s="1660"/>
      <c r="D1070" s="344" t="s">
        <v>1306</v>
      </c>
      <c r="E1070" s="344">
        <v>43008384</v>
      </c>
      <c r="F1070" s="228" t="s">
        <v>1417</v>
      </c>
      <c r="G1070" s="1584"/>
      <c r="H1070" s="234">
        <v>30216215</v>
      </c>
      <c r="I1070" s="320">
        <v>27900</v>
      </c>
      <c r="J1070" s="345">
        <v>0.1</v>
      </c>
      <c r="K1070" s="234">
        <v>10</v>
      </c>
      <c r="L1070" s="320">
        <f t="shared" si="5"/>
        <v>279000</v>
      </c>
      <c r="M1070" s="1584"/>
      <c r="N1070" s="1543"/>
    </row>
    <row r="1071" spans="2:15" ht="16.5" customHeight="1">
      <c r="B1071" s="1610"/>
      <c r="C1071" s="129">
        <v>2</v>
      </c>
      <c r="D1071" s="129" t="s">
        <v>1418</v>
      </c>
      <c r="E1071" s="346">
        <v>30208033</v>
      </c>
      <c r="F1071" s="31" t="s">
        <v>1419</v>
      </c>
      <c r="G1071" s="31" t="s">
        <v>1420</v>
      </c>
      <c r="H1071" s="31">
        <v>30216978</v>
      </c>
      <c r="I1071" s="31">
        <v>23900</v>
      </c>
      <c r="J1071" s="347">
        <v>6.1715481171548126E-2</v>
      </c>
      <c r="K1071" s="31">
        <v>10</v>
      </c>
      <c r="L1071" s="31">
        <f t="shared" si="5"/>
        <v>239000</v>
      </c>
      <c r="M1071" s="31" t="s">
        <v>1421</v>
      </c>
      <c r="N1071" s="348">
        <v>20250114018</v>
      </c>
    </row>
    <row r="1072" spans="2:15" ht="16.5" customHeight="1">
      <c r="B1072" s="1610"/>
      <c r="C1072" s="1608">
        <v>3</v>
      </c>
      <c r="D1072" s="129" t="s">
        <v>1422</v>
      </c>
      <c r="E1072" s="346" t="s">
        <v>1423</v>
      </c>
      <c r="F1072" s="31" t="s">
        <v>1424</v>
      </c>
      <c r="G1072" s="1454" t="s">
        <v>1424</v>
      </c>
      <c r="H1072" s="31">
        <v>30216977</v>
      </c>
      <c r="I1072" s="31">
        <v>22500</v>
      </c>
      <c r="J1072" s="347">
        <v>5.9333333333333349E-2</v>
      </c>
      <c r="K1072" s="31">
        <v>10</v>
      </c>
      <c r="L1072" s="31">
        <f t="shared" si="5"/>
        <v>225000</v>
      </c>
      <c r="M1072" s="1512" t="s">
        <v>1425</v>
      </c>
      <c r="N1072" s="1655">
        <v>20250114019</v>
      </c>
    </row>
    <row r="1073" spans="2:14" ht="16.5" customHeight="1">
      <c r="B1073" s="1610"/>
      <c r="C1073" s="1610"/>
      <c r="D1073" s="129" t="s">
        <v>1422</v>
      </c>
      <c r="E1073" s="346" t="s">
        <v>1426</v>
      </c>
      <c r="F1073" s="31" t="s">
        <v>1427</v>
      </c>
      <c r="G1073" s="1454"/>
      <c r="H1073" s="31">
        <v>30216976</v>
      </c>
      <c r="I1073" s="31">
        <v>41900</v>
      </c>
      <c r="J1073" s="347">
        <v>4.8568019093078729E-2</v>
      </c>
      <c r="K1073" s="31">
        <v>10</v>
      </c>
      <c r="L1073" s="31">
        <f t="shared" si="5"/>
        <v>419000</v>
      </c>
      <c r="M1073" s="1514"/>
      <c r="N1073" s="1656"/>
    </row>
    <row r="1074" spans="2:14" ht="16.5" customHeight="1">
      <c r="B1074" s="1610"/>
      <c r="C1074" s="1610"/>
      <c r="D1074" s="129" t="s">
        <v>1422</v>
      </c>
      <c r="E1074" s="346" t="s">
        <v>1428</v>
      </c>
      <c r="F1074" s="31" t="s">
        <v>1429</v>
      </c>
      <c r="G1074" s="1454"/>
      <c r="H1074" s="31">
        <v>30216975</v>
      </c>
      <c r="I1074" s="31">
        <v>28900</v>
      </c>
      <c r="J1074" s="347">
        <v>6.1764705882352944E-2</v>
      </c>
      <c r="K1074" s="31">
        <v>10</v>
      </c>
      <c r="L1074" s="31">
        <f t="shared" si="5"/>
        <v>289000</v>
      </c>
      <c r="M1074" s="1514"/>
      <c r="N1074" s="1656"/>
    </row>
    <row r="1075" spans="2:14" ht="16.5" customHeight="1">
      <c r="B1075" s="1610"/>
      <c r="C1075" s="1609"/>
      <c r="D1075" s="129" t="s">
        <v>1422</v>
      </c>
      <c r="E1075" s="346" t="s">
        <v>1430</v>
      </c>
      <c r="F1075" s="31" t="s">
        <v>1431</v>
      </c>
      <c r="G1075" s="1454"/>
      <c r="H1075" s="31">
        <v>30216973</v>
      </c>
      <c r="I1075" s="31">
        <v>55900</v>
      </c>
      <c r="J1075" s="347">
        <v>5.8765652951699443E-2</v>
      </c>
      <c r="K1075" s="31">
        <v>10</v>
      </c>
      <c r="L1075" s="31">
        <f t="shared" si="5"/>
        <v>559000</v>
      </c>
      <c r="M1075" s="1513"/>
      <c r="N1075" s="1657"/>
    </row>
    <row r="1076" spans="2:14" ht="16.5" customHeight="1">
      <c r="B1076" s="1610"/>
      <c r="C1076" s="1608">
        <v>4</v>
      </c>
      <c r="D1076" s="129" t="s">
        <v>1306</v>
      </c>
      <c r="E1076" s="346">
        <v>40048851</v>
      </c>
      <c r="F1076" s="31" t="s">
        <v>1432</v>
      </c>
      <c r="G1076" s="1454" t="s">
        <v>1432</v>
      </c>
      <c r="H1076" s="31">
        <v>30210815</v>
      </c>
      <c r="I1076" s="31">
        <v>11900</v>
      </c>
      <c r="J1076" s="347">
        <v>9.9999999999999978E-2</v>
      </c>
      <c r="K1076" s="31">
        <v>10</v>
      </c>
      <c r="L1076" s="31">
        <f t="shared" si="5"/>
        <v>119000</v>
      </c>
      <c r="M1076" s="1512" t="s">
        <v>1433</v>
      </c>
      <c r="N1076" s="1655">
        <v>20250114020</v>
      </c>
    </row>
    <row r="1077" spans="2:14" ht="16.5" customHeight="1">
      <c r="B1077" s="1610"/>
      <c r="C1077" s="1610"/>
      <c r="D1077" s="129" t="s">
        <v>1306</v>
      </c>
      <c r="E1077" s="129">
        <v>10225829</v>
      </c>
      <c r="F1077" s="31" t="s">
        <v>832</v>
      </c>
      <c r="G1077" s="1454"/>
      <c r="H1077" s="31">
        <v>30210813</v>
      </c>
      <c r="I1077" s="31">
        <v>12900</v>
      </c>
      <c r="J1077" s="347">
        <v>9.9999999999999978E-2</v>
      </c>
      <c r="K1077" s="31">
        <v>10</v>
      </c>
      <c r="L1077" s="31">
        <f t="shared" si="5"/>
        <v>129000</v>
      </c>
      <c r="M1077" s="1514"/>
      <c r="N1077" s="1656"/>
    </row>
    <row r="1078" spans="2:14" ht="16.5" customHeight="1">
      <c r="B1078" s="1610"/>
      <c r="C1078" s="1610"/>
      <c r="D1078" s="129" t="s">
        <v>1306</v>
      </c>
      <c r="E1078" s="129">
        <v>46863390</v>
      </c>
      <c r="F1078" s="31" t="s">
        <v>1434</v>
      </c>
      <c r="G1078" s="1454"/>
      <c r="H1078" s="31">
        <v>30169182</v>
      </c>
      <c r="I1078" s="31">
        <v>10900</v>
      </c>
      <c r="J1078" s="347">
        <v>9.9999999999999978E-2</v>
      </c>
      <c r="K1078" s="31">
        <v>10</v>
      </c>
      <c r="L1078" s="31">
        <f t="shared" si="5"/>
        <v>109000</v>
      </c>
      <c r="M1078" s="1514"/>
      <c r="N1078" s="1656"/>
    </row>
    <row r="1079" spans="2:14" ht="16.5" customHeight="1">
      <c r="B1079" s="1610"/>
      <c r="C1079" s="1610"/>
      <c r="D1079" s="129" t="s">
        <v>1306</v>
      </c>
      <c r="E1079" s="129">
        <v>46863363</v>
      </c>
      <c r="F1079" s="31" t="s">
        <v>1435</v>
      </c>
      <c r="G1079" s="1454"/>
      <c r="H1079" s="31">
        <v>30164153</v>
      </c>
      <c r="I1079" s="31">
        <v>20900</v>
      </c>
      <c r="J1079" s="347">
        <v>9.9999999999999978E-2</v>
      </c>
      <c r="K1079" s="31">
        <v>10</v>
      </c>
      <c r="L1079" s="31">
        <f t="shared" si="5"/>
        <v>209000</v>
      </c>
      <c r="M1079" s="1514"/>
      <c r="N1079" s="1656"/>
    </row>
    <row r="1080" spans="2:14" ht="16.5" customHeight="1">
      <c r="B1080" s="1610"/>
      <c r="C1080" s="1609"/>
      <c r="D1080" s="129" t="s">
        <v>1306</v>
      </c>
      <c r="E1080" s="129">
        <v>62286977</v>
      </c>
      <c r="F1080" s="31" t="s">
        <v>1436</v>
      </c>
      <c r="G1080" s="1454"/>
      <c r="H1080" s="31">
        <v>30201573</v>
      </c>
      <c r="I1080" s="31">
        <v>18500</v>
      </c>
      <c r="J1080" s="347">
        <v>9.9999999999999978E-2</v>
      </c>
      <c r="K1080" s="31">
        <v>10</v>
      </c>
      <c r="L1080" s="31">
        <f t="shared" si="5"/>
        <v>185000</v>
      </c>
      <c r="M1080" s="1513"/>
      <c r="N1080" s="1657"/>
    </row>
    <row r="1081" spans="2:14" ht="16.5" customHeight="1">
      <c r="B1081" s="1610"/>
      <c r="C1081" s="1608">
        <v>5</v>
      </c>
      <c r="D1081" s="129" t="s">
        <v>1306</v>
      </c>
      <c r="E1081" s="129">
        <v>56088224</v>
      </c>
      <c r="F1081" s="31" t="s">
        <v>1437</v>
      </c>
      <c r="G1081" s="1454" t="s">
        <v>1438</v>
      </c>
      <c r="H1081" s="31">
        <v>30155238</v>
      </c>
      <c r="I1081" s="31">
        <v>8000</v>
      </c>
      <c r="J1081" s="347">
        <v>9.9999999999999978E-2</v>
      </c>
      <c r="K1081" s="31">
        <v>10</v>
      </c>
      <c r="L1081" s="31">
        <f t="shared" si="5"/>
        <v>80000</v>
      </c>
      <c r="M1081" s="1512" t="s">
        <v>1439</v>
      </c>
      <c r="N1081" s="1655">
        <v>20250114021</v>
      </c>
    </row>
    <row r="1082" spans="2:14" ht="16.5" customHeight="1">
      <c r="B1082" s="1610"/>
      <c r="C1082" s="1610"/>
      <c r="D1082" s="129" t="s">
        <v>1306</v>
      </c>
      <c r="E1082" s="129">
        <v>48838226</v>
      </c>
      <c r="F1082" s="31" t="s">
        <v>1440</v>
      </c>
      <c r="G1082" s="1454"/>
      <c r="H1082" s="31">
        <v>30150414</v>
      </c>
      <c r="I1082" s="31">
        <v>11900</v>
      </c>
      <c r="J1082" s="347">
        <v>9.9999999999999978E-2</v>
      </c>
      <c r="K1082" s="31">
        <v>10</v>
      </c>
      <c r="L1082" s="31">
        <f t="shared" si="5"/>
        <v>119000</v>
      </c>
      <c r="M1082" s="1514"/>
      <c r="N1082" s="1656"/>
    </row>
    <row r="1083" spans="2:14" ht="16.5" customHeight="1">
      <c r="B1083" s="1610"/>
      <c r="C1083" s="1610"/>
      <c r="D1083" s="129" t="s">
        <v>1306</v>
      </c>
      <c r="E1083" s="129">
        <v>48838246</v>
      </c>
      <c r="F1083" s="31" t="s">
        <v>1441</v>
      </c>
      <c r="G1083" s="1454"/>
      <c r="H1083" s="31">
        <v>30190144</v>
      </c>
      <c r="I1083" s="31">
        <v>11900</v>
      </c>
      <c r="J1083" s="347">
        <v>9.9999999999999978E-2</v>
      </c>
      <c r="K1083" s="31">
        <v>10</v>
      </c>
      <c r="L1083" s="31">
        <f t="shared" si="5"/>
        <v>119000</v>
      </c>
      <c r="M1083" s="1514"/>
      <c r="N1083" s="1656"/>
    </row>
    <row r="1084" spans="2:14" ht="16.5" customHeight="1">
      <c r="B1084" s="1610"/>
      <c r="C1084" s="1610"/>
      <c r="D1084" s="129" t="s">
        <v>1306</v>
      </c>
      <c r="E1084" s="129">
        <v>48596238</v>
      </c>
      <c r="F1084" s="31" t="s">
        <v>1442</v>
      </c>
      <c r="G1084" s="1454"/>
      <c r="H1084" s="31">
        <v>30130569</v>
      </c>
      <c r="I1084" s="31">
        <v>9000</v>
      </c>
      <c r="J1084" s="347">
        <v>9.9999999999999978E-2</v>
      </c>
      <c r="K1084" s="31">
        <v>10</v>
      </c>
      <c r="L1084" s="31">
        <f t="shared" si="5"/>
        <v>90000</v>
      </c>
      <c r="M1084" s="1514"/>
      <c r="N1084" s="1656"/>
    </row>
    <row r="1085" spans="2:14" ht="16.5" customHeight="1">
      <c r="B1085" s="1610"/>
      <c r="C1085" s="1609"/>
      <c r="D1085" s="129" t="s">
        <v>1306</v>
      </c>
      <c r="E1085" s="129">
        <v>48596237</v>
      </c>
      <c r="F1085" s="31" t="s">
        <v>1443</v>
      </c>
      <c r="G1085" s="1454"/>
      <c r="H1085" s="31">
        <v>30130570</v>
      </c>
      <c r="I1085" s="31">
        <v>13900</v>
      </c>
      <c r="J1085" s="347">
        <v>9.9999999999999978E-2</v>
      </c>
      <c r="K1085" s="31">
        <v>10</v>
      </c>
      <c r="L1085" s="31">
        <f t="shared" si="5"/>
        <v>139000</v>
      </c>
      <c r="M1085" s="1513"/>
      <c r="N1085" s="1657"/>
    </row>
    <row r="1086" spans="2:14" ht="16.5" customHeight="1">
      <c r="B1086" s="1610"/>
      <c r="C1086" s="1608">
        <v>6</v>
      </c>
      <c r="D1086" s="129" t="s">
        <v>1306</v>
      </c>
      <c r="E1086" s="129">
        <v>49387093</v>
      </c>
      <c r="F1086" s="31" t="s">
        <v>1444</v>
      </c>
      <c r="G1086" s="1454" t="s">
        <v>1444</v>
      </c>
      <c r="H1086" s="31">
        <v>30151992</v>
      </c>
      <c r="I1086" s="31">
        <v>13500</v>
      </c>
      <c r="J1086" s="347">
        <v>9.9999999999999978E-2</v>
      </c>
      <c r="K1086" s="31">
        <v>10</v>
      </c>
      <c r="L1086" s="31">
        <f t="shared" si="5"/>
        <v>135000</v>
      </c>
      <c r="M1086" s="1451" t="s">
        <v>1445</v>
      </c>
      <c r="N1086" s="1655">
        <v>20250114022</v>
      </c>
    </row>
    <row r="1087" spans="2:14" ht="16.5" customHeight="1">
      <c r="B1087" s="1610"/>
      <c r="C1087" s="1610"/>
      <c r="D1087" s="129" t="s">
        <v>1306</v>
      </c>
      <c r="E1087" s="129">
        <v>49387095</v>
      </c>
      <c r="F1087" s="31" t="s">
        <v>1446</v>
      </c>
      <c r="G1087" s="1454"/>
      <c r="H1087" s="31">
        <v>30202226</v>
      </c>
      <c r="I1087" s="31">
        <v>22900</v>
      </c>
      <c r="J1087" s="347">
        <v>9.9999999999999978E-2</v>
      </c>
      <c r="K1087" s="31">
        <v>10</v>
      </c>
      <c r="L1087" s="31">
        <f t="shared" si="5"/>
        <v>229000</v>
      </c>
      <c r="M1087" s="1452"/>
      <c r="N1087" s="1656"/>
    </row>
    <row r="1088" spans="2:14" ht="16.5" customHeight="1">
      <c r="B1088" s="1610"/>
      <c r="C1088" s="1610"/>
      <c r="D1088" s="129" t="s">
        <v>1306</v>
      </c>
      <c r="E1088" s="129">
        <v>10603068</v>
      </c>
      <c r="F1088" s="31" t="s">
        <v>1447</v>
      </c>
      <c r="G1088" s="1454"/>
      <c r="H1088" s="31">
        <v>30202232</v>
      </c>
      <c r="I1088" s="31">
        <v>12500</v>
      </c>
      <c r="J1088" s="347">
        <v>9.9999999999999978E-2</v>
      </c>
      <c r="K1088" s="31">
        <v>10</v>
      </c>
      <c r="L1088" s="31">
        <f t="shared" si="5"/>
        <v>125000</v>
      </c>
      <c r="M1088" s="1452"/>
      <c r="N1088" s="1656"/>
    </row>
    <row r="1089" spans="2:14" ht="16.5" customHeight="1">
      <c r="B1089" s="1610"/>
      <c r="C1089" s="1610"/>
      <c r="D1089" s="129" t="s">
        <v>1306</v>
      </c>
      <c r="E1089" s="129">
        <v>49402314</v>
      </c>
      <c r="F1089" s="31" t="s">
        <v>1448</v>
      </c>
      <c r="G1089" s="1454"/>
      <c r="H1089" s="31">
        <v>30138265</v>
      </c>
      <c r="I1089" s="31">
        <v>20500</v>
      </c>
      <c r="J1089" s="347">
        <v>9.9999999999999978E-2</v>
      </c>
      <c r="K1089" s="31">
        <v>10</v>
      </c>
      <c r="L1089" s="31">
        <f t="shared" si="5"/>
        <v>205000</v>
      </c>
      <c r="M1089" s="1452"/>
      <c r="N1089" s="1656"/>
    </row>
    <row r="1090" spans="2:14" ht="16.5" customHeight="1">
      <c r="B1090" s="1610"/>
      <c r="C1090" s="1609"/>
      <c r="D1090" s="129" t="s">
        <v>1306</v>
      </c>
      <c r="E1090" s="129">
        <v>10067555</v>
      </c>
      <c r="F1090" s="31" t="s">
        <v>1449</v>
      </c>
      <c r="G1090" s="1454"/>
      <c r="H1090" s="31">
        <v>30202228</v>
      </c>
      <c r="I1090" s="31">
        <v>13900</v>
      </c>
      <c r="J1090" s="347">
        <v>9.9999999999999978E-2</v>
      </c>
      <c r="K1090" s="31">
        <v>10</v>
      </c>
      <c r="L1090" s="31">
        <f t="shared" si="5"/>
        <v>139000</v>
      </c>
      <c r="M1090" s="1453"/>
      <c r="N1090" s="1657"/>
    </row>
    <row r="1091" spans="2:14" ht="16.5" customHeight="1">
      <c r="B1091" s="1610"/>
      <c r="C1091" s="1608">
        <v>7</v>
      </c>
      <c r="D1091" s="129" t="s">
        <v>1450</v>
      </c>
      <c r="E1091" s="129">
        <v>10205582</v>
      </c>
      <c r="F1091" s="31" t="s">
        <v>1451</v>
      </c>
      <c r="G1091" s="1454" t="s">
        <v>1451</v>
      </c>
      <c r="H1091" s="31">
        <v>30216953</v>
      </c>
      <c r="I1091" s="31">
        <v>18900</v>
      </c>
      <c r="J1091" s="347">
        <v>5.1587301587301626E-2</v>
      </c>
      <c r="K1091" s="31">
        <v>10</v>
      </c>
      <c r="L1091" s="31">
        <f t="shared" si="5"/>
        <v>189000</v>
      </c>
      <c r="M1091" s="1512" t="s">
        <v>1452</v>
      </c>
      <c r="N1091" s="1655">
        <v>20250114023</v>
      </c>
    </row>
    <row r="1092" spans="2:14" ht="16.5" customHeight="1">
      <c r="B1092" s="1610"/>
      <c r="C1092" s="1610"/>
      <c r="D1092" s="129" t="s">
        <v>1450</v>
      </c>
      <c r="E1092" s="129">
        <v>10205583</v>
      </c>
      <c r="F1092" s="31" t="s">
        <v>1453</v>
      </c>
      <c r="G1092" s="1454"/>
      <c r="H1092" s="31">
        <v>30216952</v>
      </c>
      <c r="I1092" s="31">
        <v>20900</v>
      </c>
      <c r="J1092" s="347">
        <v>7.0574162679425845E-2</v>
      </c>
      <c r="K1092" s="31">
        <v>10</v>
      </c>
      <c r="L1092" s="31">
        <f t="shared" si="5"/>
        <v>209000</v>
      </c>
      <c r="M1092" s="1514"/>
      <c r="N1092" s="1656"/>
    </row>
    <row r="1093" spans="2:14" ht="16.5" customHeight="1">
      <c r="B1093" s="1610"/>
      <c r="C1093" s="1610"/>
      <c r="D1093" s="129" t="s">
        <v>1450</v>
      </c>
      <c r="E1093" s="129">
        <v>10205584</v>
      </c>
      <c r="F1093" s="31" t="s">
        <v>1454</v>
      </c>
      <c r="G1093" s="1454"/>
      <c r="H1093" s="31">
        <v>30216951</v>
      </c>
      <c r="I1093" s="31">
        <v>22900</v>
      </c>
      <c r="J1093" s="347">
        <v>8.6244541484716164E-2</v>
      </c>
      <c r="K1093" s="31">
        <v>10</v>
      </c>
      <c r="L1093" s="31">
        <f t="shared" si="5"/>
        <v>229000</v>
      </c>
      <c r="M1093" s="1514"/>
      <c r="N1093" s="1656"/>
    </row>
    <row r="1094" spans="2:14" ht="16.5" customHeight="1">
      <c r="B1094" s="1610"/>
      <c r="C1094" s="1610"/>
      <c r="D1094" s="129" t="s">
        <v>1450</v>
      </c>
      <c r="E1094" s="129">
        <v>10223648</v>
      </c>
      <c r="F1094" s="31" t="s">
        <v>1455</v>
      </c>
      <c r="G1094" s="1454"/>
      <c r="H1094" s="31">
        <v>30216950</v>
      </c>
      <c r="I1094" s="31">
        <v>21900</v>
      </c>
      <c r="J1094" s="347">
        <v>7.8767123287671215E-2</v>
      </c>
      <c r="K1094" s="31">
        <v>10</v>
      </c>
      <c r="L1094" s="31">
        <f t="shared" si="5"/>
        <v>219000</v>
      </c>
      <c r="M1094" s="1514"/>
      <c r="N1094" s="1656"/>
    </row>
    <row r="1095" spans="2:14" ht="16.5" customHeight="1">
      <c r="B1095" s="1610"/>
      <c r="C1095" s="1610"/>
      <c r="D1095" s="129" t="s">
        <v>1450</v>
      </c>
      <c r="E1095" s="129">
        <v>10223651</v>
      </c>
      <c r="F1095" s="31" t="s">
        <v>1456</v>
      </c>
      <c r="G1095" s="1454"/>
      <c r="H1095" s="31">
        <v>30216949</v>
      </c>
      <c r="I1095" s="31">
        <v>22900</v>
      </c>
      <c r="J1095" s="347">
        <v>8.6244541484716164E-2</v>
      </c>
      <c r="K1095" s="31">
        <v>10</v>
      </c>
      <c r="L1095" s="31">
        <f t="shared" si="5"/>
        <v>229000</v>
      </c>
      <c r="M1095" s="1514"/>
      <c r="N1095" s="1656"/>
    </row>
    <row r="1096" spans="2:14" ht="16.5" customHeight="1">
      <c r="B1096" s="1609"/>
      <c r="C1096" s="1609"/>
      <c r="D1096" s="129" t="s">
        <v>1450</v>
      </c>
      <c r="E1096" s="129">
        <v>10223654</v>
      </c>
      <c r="F1096" s="31" t="s">
        <v>1457</v>
      </c>
      <c r="G1096" s="1454"/>
      <c r="H1096" s="31">
        <v>30216948</v>
      </c>
      <c r="I1096" s="31">
        <v>23900</v>
      </c>
      <c r="J1096" s="347">
        <v>9.3096234309623438E-2</v>
      </c>
      <c r="K1096" s="31">
        <v>10</v>
      </c>
      <c r="L1096" s="31">
        <f t="shared" si="5"/>
        <v>239000</v>
      </c>
      <c r="M1096" s="1513"/>
      <c r="N1096" s="1657"/>
    </row>
    <row r="1097" spans="2:14" ht="16.5" customHeight="1">
      <c r="B1097" s="1654" t="s">
        <v>32</v>
      </c>
      <c r="C1097" s="1654">
        <v>1</v>
      </c>
      <c r="D1097" s="1654" t="s">
        <v>525</v>
      </c>
      <c r="F1097" s="31" t="s">
        <v>527</v>
      </c>
      <c r="G1097" s="1454" t="s">
        <v>528</v>
      </c>
      <c r="H1097" s="30">
        <v>30213534</v>
      </c>
      <c r="I1097" s="30">
        <v>38900</v>
      </c>
      <c r="J1097" s="64">
        <v>0.13</v>
      </c>
      <c r="K1097" s="30">
        <v>1</v>
      </c>
      <c r="L1097" s="30"/>
      <c r="M1097" s="1454" t="s">
        <v>528</v>
      </c>
      <c r="N1097" s="1461">
        <v>20250114024</v>
      </c>
    </row>
    <row r="1098" spans="2:14" ht="16.5" customHeight="1">
      <c r="B1098" s="1610"/>
      <c r="C1098" s="1654"/>
      <c r="D1098" s="1654"/>
      <c r="F1098" s="31" t="s">
        <v>530</v>
      </c>
      <c r="G1098" s="1454"/>
      <c r="H1098" s="30">
        <v>30213535</v>
      </c>
      <c r="I1098" s="30">
        <v>42900</v>
      </c>
      <c r="J1098" s="64">
        <v>0.13</v>
      </c>
      <c r="K1098" s="30">
        <v>1</v>
      </c>
      <c r="L1098" s="30"/>
      <c r="M1098" s="1454"/>
      <c r="N1098" s="1461"/>
    </row>
    <row r="1099" spans="2:14" ht="16.5" customHeight="1">
      <c r="B1099" s="1610"/>
      <c r="C1099" s="1654"/>
      <c r="D1099" s="1654"/>
      <c r="F1099" s="31" t="s">
        <v>531</v>
      </c>
      <c r="G1099" s="1454"/>
      <c r="H1099" s="30">
        <v>30213533</v>
      </c>
      <c r="I1099" s="30">
        <v>69900</v>
      </c>
      <c r="J1099" s="64">
        <v>0.13</v>
      </c>
      <c r="K1099" s="30">
        <v>1</v>
      </c>
      <c r="L1099" s="30"/>
      <c r="M1099" s="1454"/>
      <c r="N1099" s="1461"/>
    </row>
    <row r="1100" spans="2:14" ht="16.5" customHeight="1">
      <c r="B1100" s="1610"/>
      <c r="C1100" s="1654"/>
      <c r="D1100" s="1654"/>
      <c r="F1100" s="31" t="s">
        <v>532</v>
      </c>
      <c r="G1100" s="1454"/>
      <c r="H1100" s="30">
        <v>30210492</v>
      </c>
      <c r="I1100" s="35">
        <v>38900</v>
      </c>
      <c r="J1100" s="64">
        <v>0.13</v>
      </c>
      <c r="K1100" s="30">
        <v>1</v>
      </c>
      <c r="L1100" s="30"/>
      <c r="M1100" s="1454"/>
      <c r="N1100" s="1461"/>
    </row>
    <row r="1101" spans="2:14" ht="16.5" customHeight="1">
      <c r="B1101" s="1610"/>
      <c r="C1101" s="1654"/>
      <c r="D1101" s="1654"/>
      <c r="F1101" s="31" t="s">
        <v>533</v>
      </c>
      <c r="G1101" s="1454"/>
      <c r="H1101" s="30">
        <v>30210493</v>
      </c>
      <c r="I1101" s="35">
        <v>41900</v>
      </c>
      <c r="J1101" s="64">
        <v>0.13</v>
      </c>
      <c r="K1101" s="30">
        <v>1</v>
      </c>
      <c r="L1101" s="30"/>
      <c r="M1101" s="1454"/>
      <c r="N1101" s="1461"/>
    </row>
    <row r="1102" spans="2:14" ht="16.5" customHeight="1">
      <c r="B1102" s="1610"/>
      <c r="C1102" s="1654"/>
      <c r="D1102" s="1654"/>
      <c r="F1102" s="31" t="s">
        <v>534</v>
      </c>
      <c r="G1102" s="1454"/>
      <c r="H1102" s="30">
        <v>30210494</v>
      </c>
      <c r="I1102" s="35">
        <v>69900</v>
      </c>
      <c r="J1102" s="64">
        <v>0.13</v>
      </c>
      <c r="K1102" s="30">
        <v>1</v>
      </c>
      <c r="L1102" s="30"/>
      <c r="M1102" s="1454"/>
      <c r="N1102" s="1461"/>
    </row>
    <row r="1103" spans="2:14" ht="16.5" customHeight="1">
      <c r="B1103" s="1610"/>
      <c r="C1103" s="1654"/>
      <c r="D1103" s="1654"/>
      <c r="E1103" s="129">
        <v>56762255</v>
      </c>
      <c r="F1103" s="31" t="s">
        <v>535</v>
      </c>
      <c r="G1103" s="1454"/>
      <c r="H1103" s="30">
        <v>30207418</v>
      </c>
      <c r="I1103" s="35">
        <v>29000</v>
      </c>
      <c r="J1103" s="64">
        <v>0.06</v>
      </c>
      <c r="K1103" s="30">
        <v>1</v>
      </c>
      <c r="L1103" s="30"/>
      <c r="M1103" s="1454"/>
      <c r="N1103" s="1461"/>
    </row>
    <row r="1104" spans="2:14" ht="16.5" customHeight="1">
      <c r="B1104" s="1610"/>
      <c r="C1104" s="1654"/>
      <c r="D1104" s="1654"/>
      <c r="E1104" s="129">
        <v>56762224</v>
      </c>
      <c r="F1104" s="31" t="s">
        <v>536</v>
      </c>
      <c r="G1104" s="1454"/>
      <c r="H1104" s="30">
        <v>30207421</v>
      </c>
      <c r="I1104" s="35">
        <v>49900</v>
      </c>
      <c r="J1104" s="64">
        <v>0.06</v>
      </c>
      <c r="K1104" s="30">
        <v>1</v>
      </c>
      <c r="L1104" s="30"/>
      <c r="M1104" s="1454"/>
      <c r="N1104" s="1461"/>
    </row>
    <row r="1105" spans="2:14" ht="16.5" customHeight="1">
      <c r="B1105" s="1610"/>
      <c r="C1105" s="1654"/>
      <c r="D1105" s="1654"/>
      <c r="F1105" s="31" t="s">
        <v>537</v>
      </c>
      <c r="G1105" s="1454"/>
      <c r="H1105" s="30">
        <v>30208560</v>
      </c>
      <c r="I1105" s="35">
        <v>34900</v>
      </c>
      <c r="J1105" s="64">
        <v>0.06</v>
      </c>
      <c r="K1105" s="30">
        <v>1</v>
      </c>
      <c r="L1105" s="30"/>
      <c r="M1105" s="1454"/>
      <c r="N1105" s="1461"/>
    </row>
    <row r="1106" spans="2:14" ht="16.5" customHeight="1">
      <c r="B1106" s="1610"/>
      <c r="C1106" s="1654"/>
      <c r="D1106" s="1654"/>
      <c r="F1106" s="31" t="s">
        <v>538</v>
      </c>
      <c r="G1106" s="1454"/>
      <c r="H1106" s="30">
        <v>30208561</v>
      </c>
      <c r="I1106" s="35">
        <v>34900</v>
      </c>
      <c r="J1106" s="64">
        <v>0.06</v>
      </c>
      <c r="K1106" s="30">
        <v>1</v>
      </c>
      <c r="L1106" s="30"/>
      <c r="M1106" s="1454"/>
      <c r="N1106" s="1461"/>
    </row>
    <row r="1107" spans="2:14" ht="16.5" customHeight="1">
      <c r="B1107" s="1610"/>
      <c r="C1107" s="1654"/>
      <c r="D1107" s="1654"/>
      <c r="E1107" s="129">
        <v>71611154</v>
      </c>
      <c r="F1107" s="31" t="s">
        <v>539</v>
      </c>
      <c r="G1107" s="1454"/>
      <c r="H1107" s="30">
        <v>30205968</v>
      </c>
      <c r="I1107" s="35">
        <v>39900</v>
      </c>
      <c r="J1107" s="64">
        <v>0.13</v>
      </c>
      <c r="K1107" s="30">
        <v>1</v>
      </c>
      <c r="L1107" s="30"/>
      <c r="M1107" s="1454"/>
      <c r="N1107" s="1461"/>
    </row>
    <row r="1108" spans="2:14" ht="16.5" customHeight="1">
      <c r="B1108" s="1610"/>
      <c r="C1108" s="1654"/>
      <c r="D1108" s="1654"/>
      <c r="E1108" s="129">
        <v>71611148</v>
      </c>
      <c r="F1108" s="31" t="s">
        <v>540</v>
      </c>
      <c r="G1108" s="1454"/>
      <c r="H1108" s="30">
        <v>30205967</v>
      </c>
      <c r="I1108" s="35">
        <v>45900</v>
      </c>
      <c r="J1108" s="64">
        <v>0.13</v>
      </c>
      <c r="K1108" s="30">
        <v>1</v>
      </c>
      <c r="L1108" s="30"/>
      <c r="M1108" s="1454"/>
      <c r="N1108" s="1461"/>
    </row>
    <row r="1109" spans="2:14" ht="16.5" customHeight="1">
      <c r="B1109" s="1610"/>
      <c r="C1109" s="1654"/>
      <c r="D1109" s="1654"/>
      <c r="E1109" s="129">
        <v>71611141</v>
      </c>
      <c r="F1109" s="31" t="s">
        <v>541</v>
      </c>
      <c r="G1109" s="1454"/>
      <c r="H1109" s="30">
        <v>30205965</v>
      </c>
      <c r="I1109" s="35">
        <v>79900</v>
      </c>
      <c r="J1109" s="64">
        <v>0.13</v>
      </c>
      <c r="K1109" s="30">
        <v>1</v>
      </c>
      <c r="L1109" s="30"/>
      <c r="M1109" s="1454"/>
      <c r="N1109" s="1461"/>
    </row>
    <row r="1110" spans="2:14" ht="16.5" customHeight="1">
      <c r="B1110" s="1610"/>
      <c r="C1110" s="1654"/>
      <c r="D1110" s="1654"/>
      <c r="E1110" s="129">
        <v>71611132</v>
      </c>
      <c r="F1110" s="31" t="s">
        <v>542</v>
      </c>
      <c r="G1110" s="1454"/>
      <c r="H1110" s="30">
        <v>30205966</v>
      </c>
      <c r="I1110" s="35">
        <v>69900</v>
      </c>
      <c r="J1110" s="64">
        <v>0.13</v>
      </c>
      <c r="K1110" s="30">
        <v>1</v>
      </c>
      <c r="L1110" s="30"/>
      <c r="M1110" s="1454"/>
      <c r="N1110" s="1461"/>
    </row>
    <row r="1111" spans="2:14" ht="16.5" customHeight="1">
      <c r="B1111" s="1610"/>
      <c r="C1111" s="1654"/>
      <c r="D1111" s="1654"/>
      <c r="E1111" s="129">
        <v>71611126</v>
      </c>
      <c r="F1111" s="31" t="s">
        <v>543</v>
      </c>
      <c r="G1111" s="1454"/>
      <c r="H1111" s="30">
        <v>30205964</v>
      </c>
      <c r="I1111" s="35">
        <v>79900</v>
      </c>
      <c r="J1111" s="64">
        <v>0.13</v>
      </c>
      <c r="K1111" s="30">
        <v>1</v>
      </c>
      <c r="L1111" s="30"/>
      <c r="M1111" s="1454"/>
      <c r="N1111" s="1461"/>
    </row>
    <row r="1112" spans="2:14" ht="16.5" customHeight="1">
      <c r="B1112" s="1610"/>
      <c r="C1112" s="1654"/>
      <c r="D1112" s="1654"/>
      <c r="E1112" s="129">
        <v>69222743</v>
      </c>
      <c r="F1112" s="31" t="s">
        <v>544</v>
      </c>
      <c r="G1112" s="1454"/>
      <c r="H1112" s="30">
        <v>30205969</v>
      </c>
      <c r="I1112" s="35">
        <v>79900</v>
      </c>
      <c r="J1112" s="64">
        <v>0.13</v>
      </c>
      <c r="K1112" s="30">
        <v>1</v>
      </c>
      <c r="L1112" s="30"/>
      <c r="M1112" s="1454"/>
      <c r="N1112" s="1461"/>
    </row>
    <row r="1113" spans="2:14" ht="16.5" customHeight="1">
      <c r="B1113" s="1610"/>
      <c r="C1113" s="1654"/>
      <c r="D1113" s="1654"/>
      <c r="E1113" s="129">
        <v>56414507</v>
      </c>
      <c r="F1113" s="31" t="s">
        <v>545</v>
      </c>
      <c r="G1113" s="1454"/>
      <c r="H1113" s="30">
        <v>30205970</v>
      </c>
      <c r="I1113" s="35">
        <v>29900</v>
      </c>
      <c r="J1113" s="64">
        <v>0.13</v>
      </c>
      <c r="K1113" s="30">
        <v>1</v>
      </c>
      <c r="L1113" s="30"/>
      <c r="M1113" s="1454"/>
      <c r="N1113" s="1461"/>
    </row>
    <row r="1114" spans="2:14" ht="16.5" customHeight="1">
      <c r="B1114" s="1610"/>
      <c r="C1114" s="1654"/>
      <c r="D1114" s="1654"/>
      <c r="E1114" s="129">
        <v>56414506</v>
      </c>
      <c r="F1114" s="31" t="s">
        <v>546</v>
      </c>
      <c r="G1114" s="1454"/>
      <c r="H1114" s="30">
        <v>71636213</v>
      </c>
      <c r="I1114" s="35">
        <v>34900</v>
      </c>
      <c r="J1114" s="64">
        <v>0.13</v>
      </c>
      <c r="K1114" s="30">
        <v>1</v>
      </c>
      <c r="L1114" s="30"/>
      <c r="M1114" s="1454"/>
      <c r="N1114" s="1461"/>
    </row>
    <row r="1115" spans="2:14" ht="16.5" customHeight="1">
      <c r="B1115" s="1610"/>
      <c r="C1115" s="1654"/>
      <c r="D1115" s="1654"/>
      <c r="E1115" s="129">
        <v>71612114</v>
      </c>
      <c r="F1115" s="31" t="s">
        <v>547</v>
      </c>
      <c r="G1115" s="1454"/>
      <c r="H1115" s="30">
        <v>71636250</v>
      </c>
      <c r="I1115" s="35">
        <v>59000</v>
      </c>
      <c r="J1115" s="64">
        <v>0.13</v>
      </c>
      <c r="K1115" s="30">
        <v>1</v>
      </c>
      <c r="L1115" s="30"/>
      <c r="M1115" s="1454"/>
      <c r="N1115" s="1461"/>
    </row>
    <row r="1116" spans="2:14" ht="16.5" customHeight="1">
      <c r="B1116" s="1610"/>
      <c r="C1116" s="1654"/>
      <c r="D1116" s="1654"/>
      <c r="E1116" s="129">
        <v>11122728</v>
      </c>
      <c r="F1116" s="31" t="s">
        <v>548</v>
      </c>
      <c r="G1116" s="1454"/>
      <c r="H1116" s="30">
        <v>71636324</v>
      </c>
      <c r="I1116" s="35">
        <v>69000</v>
      </c>
      <c r="J1116" s="64">
        <v>0.13</v>
      </c>
      <c r="K1116" s="30">
        <v>1</v>
      </c>
      <c r="L1116" s="30"/>
      <c r="M1116" s="1454"/>
      <c r="N1116" s="1461"/>
    </row>
    <row r="1117" spans="2:14" ht="16.5" customHeight="1">
      <c r="B1117" s="1610"/>
      <c r="C1117" s="1654"/>
      <c r="D1117" s="1654"/>
      <c r="E1117" s="129">
        <v>11122736</v>
      </c>
      <c r="F1117" s="31" t="s">
        <v>549</v>
      </c>
      <c r="G1117" s="1454"/>
      <c r="H1117" s="30">
        <v>71636391</v>
      </c>
      <c r="I1117" s="35">
        <v>49000</v>
      </c>
      <c r="J1117" s="64">
        <v>0.13</v>
      </c>
      <c r="K1117" s="30">
        <v>1</v>
      </c>
      <c r="L1117" s="30"/>
      <c r="M1117" s="1454"/>
      <c r="N1117" s="1461"/>
    </row>
    <row r="1118" spans="2:14" ht="16.5" customHeight="1">
      <c r="B1118" s="1610"/>
      <c r="C1118" s="1654"/>
      <c r="D1118" s="1654"/>
      <c r="E1118" s="129">
        <v>11122737</v>
      </c>
      <c r="F1118" s="31" t="s">
        <v>550</v>
      </c>
      <c r="G1118" s="1454"/>
      <c r="H1118" s="30">
        <v>71636390</v>
      </c>
      <c r="I1118" s="35">
        <v>54900</v>
      </c>
      <c r="J1118" s="64">
        <v>0.13</v>
      </c>
      <c r="K1118" s="30">
        <v>1</v>
      </c>
      <c r="L1118" s="30"/>
      <c r="M1118" s="1454"/>
      <c r="N1118" s="1461"/>
    </row>
    <row r="1119" spans="2:14" ht="16.5" customHeight="1">
      <c r="B1119" s="1610"/>
      <c r="C1119" s="1608">
        <v>2</v>
      </c>
      <c r="D1119" s="1608" t="s">
        <v>551</v>
      </c>
      <c r="F1119" s="31" t="s">
        <v>552</v>
      </c>
      <c r="G1119" s="1454" t="s">
        <v>553</v>
      </c>
      <c r="H1119" s="30">
        <v>30208423</v>
      </c>
      <c r="I1119" s="35">
        <v>24500</v>
      </c>
      <c r="J1119" s="64">
        <v>0.06</v>
      </c>
      <c r="K1119" s="30">
        <v>1</v>
      </c>
      <c r="L1119" s="30"/>
      <c r="M1119" s="1454" t="s">
        <v>554</v>
      </c>
      <c r="N1119" s="1461">
        <v>20250114025</v>
      </c>
    </row>
    <row r="1120" spans="2:14" ht="16.5" customHeight="1">
      <c r="B1120" s="1610"/>
      <c r="C1120" s="1608"/>
      <c r="D1120" s="1608"/>
      <c r="F1120" s="31" t="s">
        <v>555</v>
      </c>
      <c r="G1120" s="1454"/>
      <c r="H1120" s="30">
        <v>30208425</v>
      </c>
      <c r="I1120" s="35">
        <v>31900</v>
      </c>
      <c r="J1120" s="64">
        <v>0.06</v>
      </c>
      <c r="K1120" s="30">
        <v>1</v>
      </c>
      <c r="L1120" s="30"/>
      <c r="M1120" s="1454"/>
      <c r="N1120" s="1461"/>
    </row>
    <row r="1121" spans="2:14" ht="16.5" customHeight="1">
      <c r="B1121" s="1610"/>
      <c r="C1121" s="1608"/>
      <c r="D1121" s="1608"/>
      <c r="F1121" s="31" t="s">
        <v>556</v>
      </c>
      <c r="G1121" s="1454"/>
      <c r="H1121" s="30">
        <v>30208428</v>
      </c>
      <c r="I1121" s="35">
        <v>15500</v>
      </c>
      <c r="J1121" s="64">
        <v>0.06</v>
      </c>
      <c r="K1121" s="30">
        <v>1</v>
      </c>
      <c r="L1121" s="30"/>
      <c r="M1121" s="1454"/>
      <c r="N1121" s="1461"/>
    </row>
    <row r="1122" spans="2:14" ht="16.5" customHeight="1">
      <c r="B1122" s="1610"/>
      <c r="C1122" s="1608"/>
      <c r="D1122" s="1608"/>
      <c r="F1122" s="31" t="s">
        <v>557</v>
      </c>
      <c r="G1122" s="1454"/>
      <c r="H1122" s="30">
        <v>30208430</v>
      </c>
      <c r="I1122" s="35">
        <v>9400</v>
      </c>
      <c r="J1122" s="64">
        <v>0.06</v>
      </c>
      <c r="K1122" s="30">
        <v>1</v>
      </c>
      <c r="L1122" s="30"/>
      <c r="M1122" s="1454"/>
      <c r="N1122" s="1461"/>
    </row>
    <row r="1123" spans="2:14" ht="16.5" customHeight="1">
      <c r="B1123" s="1610"/>
      <c r="C1123" s="1608"/>
      <c r="D1123" s="1608"/>
      <c r="F1123" s="31" t="s">
        <v>558</v>
      </c>
      <c r="G1123" s="1454"/>
      <c r="H1123" s="30">
        <v>30208424</v>
      </c>
      <c r="I1123" s="35">
        <v>14900</v>
      </c>
      <c r="J1123" s="64">
        <v>0.06</v>
      </c>
      <c r="K1123" s="30">
        <v>1</v>
      </c>
      <c r="L1123" s="30"/>
      <c r="M1123" s="1454"/>
      <c r="N1123" s="1461"/>
    </row>
    <row r="1124" spans="2:14" ht="16.5" customHeight="1">
      <c r="B1124" s="1610"/>
      <c r="C1124" s="1608"/>
      <c r="D1124" s="1608"/>
      <c r="F1124" s="31" t="s">
        <v>559</v>
      </c>
      <c r="G1124" s="1454"/>
      <c r="H1124" s="30">
        <v>30208426</v>
      </c>
      <c r="I1124" s="35">
        <v>17900</v>
      </c>
      <c r="J1124" s="64">
        <v>0.06</v>
      </c>
      <c r="K1124" s="30">
        <v>1</v>
      </c>
      <c r="L1124" s="30"/>
      <c r="M1124" s="1454"/>
      <c r="N1124" s="1461"/>
    </row>
    <row r="1125" spans="2:14" ht="16.5" customHeight="1">
      <c r="B1125" s="1610"/>
      <c r="C1125" s="1608">
        <v>3</v>
      </c>
      <c r="D1125" s="1608" t="s">
        <v>560</v>
      </c>
      <c r="F1125" s="31" t="s">
        <v>561</v>
      </c>
      <c r="G1125" s="1448" t="s">
        <v>562</v>
      </c>
      <c r="H1125" s="30">
        <v>30213371</v>
      </c>
      <c r="I1125" s="35">
        <v>36900</v>
      </c>
      <c r="J1125" s="64">
        <v>0.1</v>
      </c>
      <c r="K1125" s="30">
        <v>1</v>
      </c>
      <c r="L1125" s="30"/>
      <c r="M1125" s="1454" t="s">
        <v>562</v>
      </c>
      <c r="N1125" s="1461">
        <v>20250114026</v>
      </c>
    </row>
    <row r="1126" spans="2:14" ht="16.5" customHeight="1">
      <c r="B1126" s="1610"/>
      <c r="C1126" s="1608"/>
      <c r="D1126" s="1608"/>
      <c r="F1126" s="31" t="s">
        <v>563</v>
      </c>
      <c r="G1126" s="1448"/>
      <c r="H1126" s="30">
        <v>30213372</v>
      </c>
      <c r="I1126" s="35">
        <v>32900</v>
      </c>
      <c r="J1126" s="64">
        <v>0.1</v>
      </c>
      <c r="K1126" s="30">
        <v>1</v>
      </c>
      <c r="L1126" s="30"/>
      <c r="M1126" s="1454"/>
      <c r="N1126" s="1461"/>
    </row>
    <row r="1127" spans="2:14" ht="16.5" customHeight="1">
      <c r="B1127" s="1610"/>
      <c r="C1127" s="1608"/>
      <c r="D1127" s="1608"/>
      <c r="F1127" s="31" t="s">
        <v>564</v>
      </c>
      <c r="G1127" s="1448"/>
      <c r="H1127" s="30">
        <v>30213373</v>
      </c>
      <c r="I1127" s="35">
        <v>29900</v>
      </c>
      <c r="J1127" s="64">
        <v>0.1</v>
      </c>
      <c r="K1127" s="30">
        <v>1</v>
      </c>
      <c r="L1127" s="30"/>
      <c r="M1127" s="1454"/>
      <c r="N1127" s="1461"/>
    </row>
    <row r="1128" spans="2:14" ht="16.5" customHeight="1">
      <c r="B1128" s="1610"/>
      <c r="C1128" s="135">
        <v>4</v>
      </c>
      <c r="D1128" s="134" t="s">
        <v>565</v>
      </c>
      <c r="F1128" s="31" t="s">
        <v>566</v>
      </c>
      <c r="G1128" s="30" t="s">
        <v>567</v>
      </c>
      <c r="H1128" s="30">
        <v>30210741</v>
      </c>
      <c r="I1128" s="35">
        <v>69000</v>
      </c>
      <c r="J1128" s="64">
        <v>0.06</v>
      </c>
      <c r="K1128" s="30">
        <v>1</v>
      </c>
      <c r="L1128" s="30"/>
      <c r="M1128" s="31" t="s">
        <v>567</v>
      </c>
      <c r="N1128" s="69">
        <v>20250114027</v>
      </c>
    </row>
    <row r="1129" spans="2:14" ht="16.5" customHeight="1">
      <c r="B1129" s="1610"/>
      <c r="C1129" s="1653">
        <v>5</v>
      </c>
      <c r="D1129" s="1448" t="s">
        <v>568</v>
      </c>
      <c r="E1129" s="137">
        <v>30205431</v>
      </c>
      <c r="F1129" s="31" t="s">
        <v>569</v>
      </c>
      <c r="G1129" s="1454" t="s">
        <v>570</v>
      </c>
      <c r="H1129" s="30">
        <v>30205786</v>
      </c>
      <c r="I1129" s="35">
        <v>23900</v>
      </c>
      <c r="J1129" s="64">
        <v>0.06</v>
      </c>
      <c r="K1129" s="30">
        <v>1</v>
      </c>
      <c r="L1129" s="30"/>
      <c r="M1129" s="1454" t="s">
        <v>571</v>
      </c>
      <c r="N1129" s="1461">
        <v>20250114028</v>
      </c>
    </row>
    <row r="1130" spans="2:14" ht="16.5" customHeight="1">
      <c r="B1130" s="1610"/>
      <c r="C1130" s="1653"/>
      <c r="D1130" s="1448"/>
      <c r="E1130" s="137">
        <v>30205165</v>
      </c>
      <c r="F1130" s="31" t="s">
        <v>572</v>
      </c>
      <c r="G1130" s="1454"/>
      <c r="H1130" s="30">
        <v>30205787</v>
      </c>
      <c r="I1130" s="35">
        <v>3900</v>
      </c>
      <c r="J1130" s="64">
        <v>0.06</v>
      </c>
      <c r="K1130" s="30">
        <v>1</v>
      </c>
      <c r="L1130" s="30"/>
      <c r="M1130" s="1454"/>
      <c r="N1130" s="1461"/>
    </row>
    <row r="1131" spans="2:14" ht="16.5" customHeight="1">
      <c r="B1131" s="1610"/>
      <c r="C1131" s="1653"/>
      <c r="D1131" s="1448"/>
      <c r="E1131" s="137">
        <v>30205192</v>
      </c>
      <c r="F1131" s="31" t="s">
        <v>573</v>
      </c>
      <c r="G1131" s="1454"/>
      <c r="H1131" s="30">
        <v>30205788</v>
      </c>
      <c r="I1131" s="35">
        <v>4900</v>
      </c>
      <c r="J1131" s="64">
        <v>0.06</v>
      </c>
      <c r="K1131" s="30">
        <v>1</v>
      </c>
      <c r="L1131" s="30"/>
      <c r="M1131" s="1454"/>
      <c r="N1131" s="1461"/>
    </row>
    <row r="1132" spans="2:14" ht="16.5" customHeight="1">
      <c r="B1132" s="1610"/>
      <c r="C1132" s="1653"/>
      <c r="D1132" s="1448"/>
      <c r="E1132" s="137">
        <v>30205169</v>
      </c>
      <c r="F1132" s="31" t="s">
        <v>574</v>
      </c>
      <c r="G1132" s="1454"/>
      <c r="H1132" s="30">
        <v>30205789</v>
      </c>
      <c r="I1132" s="35">
        <v>5900</v>
      </c>
      <c r="J1132" s="64">
        <v>0.06</v>
      </c>
      <c r="K1132" s="30">
        <v>1</v>
      </c>
      <c r="L1132" s="30"/>
      <c r="M1132" s="1454"/>
      <c r="N1132" s="1461"/>
    </row>
    <row r="1133" spans="2:14" ht="16.5" customHeight="1">
      <c r="B1133" s="1610"/>
      <c r="C1133" s="1653"/>
      <c r="D1133" s="1448"/>
      <c r="E1133" s="137">
        <v>30205172</v>
      </c>
      <c r="F1133" s="31" t="s">
        <v>575</v>
      </c>
      <c r="G1133" s="1454"/>
      <c r="H1133" s="30">
        <v>30205790</v>
      </c>
      <c r="I1133" s="35">
        <v>6900</v>
      </c>
      <c r="J1133" s="64">
        <v>0.06</v>
      </c>
      <c r="K1133" s="30">
        <v>1</v>
      </c>
      <c r="L1133" s="30"/>
      <c r="M1133" s="1454"/>
      <c r="N1133" s="1461"/>
    </row>
    <row r="1134" spans="2:14" ht="16.5" customHeight="1">
      <c r="B1134" s="1610"/>
      <c r="C1134" s="1648">
        <v>6</v>
      </c>
      <c r="D1134" s="1448" t="s">
        <v>576</v>
      </c>
      <c r="E1134" s="137">
        <v>30205271</v>
      </c>
      <c r="F1134" s="31" t="s">
        <v>577</v>
      </c>
      <c r="G1134" s="1448" t="s">
        <v>578</v>
      </c>
      <c r="H1134" s="30">
        <v>30205792</v>
      </c>
      <c r="I1134" s="35">
        <v>32900</v>
      </c>
      <c r="J1134" s="64">
        <v>0.06</v>
      </c>
      <c r="K1134" s="30">
        <v>1</v>
      </c>
      <c r="L1134" s="30"/>
      <c r="M1134" s="1454" t="s">
        <v>579</v>
      </c>
      <c r="N1134" s="1461">
        <v>20250114029</v>
      </c>
    </row>
    <row r="1135" spans="2:14" ht="16.5" customHeight="1">
      <c r="B1135" s="1610"/>
      <c r="C1135" s="1648"/>
      <c r="D1135" s="1448"/>
      <c r="E1135" s="137">
        <v>30205253</v>
      </c>
      <c r="F1135" s="31" t="s">
        <v>580</v>
      </c>
      <c r="G1135" s="1448"/>
      <c r="H1135" s="30">
        <v>30205793</v>
      </c>
      <c r="I1135" s="35">
        <v>23900</v>
      </c>
      <c r="J1135" s="64">
        <v>0.06</v>
      </c>
      <c r="K1135" s="30">
        <v>1</v>
      </c>
      <c r="L1135" s="30"/>
      <c r="M1135" s="1454"/>
      <c r="N1135" s="1461"/>
    </row>
    <row r="1136" spans="2:14" ht="16.5" customHeight="1">
      <c r="B1136" s="1610"/>
      <c r="C1136" s="1648"/>
      <c r="D1136" s="1448"/>
      <c r="E1136" s="137">
        <v>30205215</v>
      </c>
      <c r="F1136" s="31" t="s">
        <v>581</v>
      </c>
      <c r="G1136" s="1448"/>
      <c r="H1136" s="30">
        <v>30205795</v>
      </c>
      <c r="I1136" s="35">
        <v>21900</v>
      </c>
      <c r="J1136" s="64">
        <v>0.06</v>
      </c>
      <c r="K1136" s="30">
        <v>1</v>
      </c>
      <c r="L1136" s="30"/>
      <c r="M1136" s="1454"/>
      <c r="N1136" s="1461"/>
    </row>
    <row r="1137" spans="2:14" ht="16.5" customHeight="1">
      <c r="B1137" s="1610"/>
      <c r="C1137" s="1648"/>
      <c r="D1137" s="1448"/>
      <c r="E1137" s="137"/>
      <c r="F1137" s="31" t="s">
        <v>582</v>
      </c>
      <c r="G1137" s="1448"/>
      <c r="H1137" s="30">
        <v>30209492</v>
      </c>
      <c r="I1137" s="35">
        <v>5900</v>
      </c>
      <c r="J1137" s="64">
        <v>0.06</v>
      </c>
      <c r="K1137" s="30">
        <v>1</v>
      </c>
      <c r="L1137" s="30"/>
      <c r="M1137" s="1454"/>
      <c r="N1137" s="1461"/>
    </row>
    <row r="1138" spans="2:14" ht="16.5" customHeight="1">
      <c r="B1138" s="1610"/>
      <c r="C1138" s="1648"/>
      <c r="D1138" s="1448"/>
      <c r="E1138" s="137"/>
      <c r="F1138" s="31" t="s">
        <v>583</v>
      </c>
      <c r="G1138" s="1448"/>
      <c r="H1138" s="30">
        <v>30209493</v>
      </c>
      <c r="I1138" s="35">
        <v>9900</v>
      </c>
      <c r="J1138" s="64">
        <v>0.06</v>
      </c>
      <c r="K1138" s="30">
        <v>1</v>
      </c>
      <c r="L1138" s="30"/>
      <c r="M1138" s="1454"/>
      <c r="N1138" s="1461"/>
    </row>
    <row r="1139" spans="2:14" ht="16.5" customHeight="1">
      <c r="B1139" s="1610"/>
      <c r="C1139" s="1648"/>
      <c r="D1139" s="1448"/>
      <c r="E1139" s="137"/>
      <c r="F1139" s="31" t="s">
        <v>584</v>
      </c>
      <c r="G1139" s="1448"/>
      <c r="H1139" s="30">
        <v>30209494</v>
      </c>
      <c r="I1139" s="35">
        <v>11900</v>
      </c>
      <c r="J1139" s="64">
        <v>0.06</v>
      </c>
      <c r="K1139" s="30">
        <v>1</v>
      </c>
      <c r="L1139" s="30"/>
      <c r="M1139" s="1454"/>
      <c r="N1139" s="1461"/>
    </row>
    <row r="1140" spans="2:14" ht="16.5" customHeight="1">
      <c r="B1140" s="1610"/>
      <c r="C1140" s="1648"/>
      <c r="D1140" s="1448"/>
      <c r="E1140" s="137"/>
      <c r="F1140" s="31" t="s">
        <v>585</v>
      </c>
      <c r="G1140" s="1448"/>
      <c r="H1140" s="30">
        <v>30209497</v>
      </c>
      <c r="I1140" s="35">
        <v>13900</v>
      </c>
      <c r="J1140" s="64">
        <v>0.06</v>
      </c>
      <c r="K1140" s="30">
        <v>1</v>
      </c>
      <c r="L1140" s="30"/>
      <c r="M1140" s="1454"/>
      <c r="N1140" s="1461"/>
    </row>
    <row r="1141" spans="2:14" ht="16.5" customHeight="1">
      <c r="B1141" s="1610"/>
      <c r="C1141" s="1648"/>
      <c r="D1141" s="1448"/>
      <c r="E1141" s="137">
        <v>30205199</v>
      </c>
      <c r="F1141" s="31" t="s">
        <v>586</v>
      </c>
      <c r="G1141" s="1448"/>
      <c r="H1141" s="30">
        <v>30205797</v>
      </c>
      <c r="I1141" s="35">
        <v>14900</v>
      </c>
      <c r="J1141" s="64">
        <v>0.06</v>
      </c>
      <c r="K1141" s="30">
        <v>1</v>
      </c>
      <c r="L1141" s="30"/>
      <c r="M1141" s="1454"/>
      <c r="N1141" s="1461"/>
    </row>
    <row r="1142" spans="2:14" ht="16.5" customHeight="1">
      <c r="B1142" s="1610"/>
      <c r="C1142" s="1648"/>
      <c r="D1142" s="1448"/>
      <c r="E1142" s="137">
        <v>30205209</v>
      </c>
      <c r="F1142" s="31" t="s">
        <v>587</v>
      </c>
      <c r="G1142" s="1448"/>
      <c r="H1142" s="30">
        <v>30205798</v>
      </c>
      <c r="I1142" s="35">
        <v>17900</v>
      </c>
      <c r="J1142" s="64">
        <v>0.06</v>
      </c>
      <c r="K1142" s="30">
        <v>1</v>
      </c>
      <c r="L1142" s="30"/>
      <c r="M1142" s="1454"/>
      <c r="N1142" s="1461"/>
    </row>
    <row r="1143" spans="2:14" ht="16.5" customHeight="1">
      <c r="B1143" s="1610"/>
      <c r="C1143" s="1648"/>
      <c r="D1143" s="1448"/>
      <c r="E1143" s="137">
        <v>30205200</v>
      </c>
      <c r="F1143" s="31" t="s">
        <v>588</v>
      </c>
      <c r="G1143" s="1448"/>
      <c r="H1143" s="30">
        <v>30205800</v>
      </c>
      <c r="I1143" s="35">
        <v>15900</v>
      </c>
      <c r="J1143" s="64">
        <v>0.06</v>
      </c>
      <c r="K1143" s="30">
        <v>1</v>
      </c>
      <c r="L1143" s="30"/>
      <c r="M1143" s="1454"/>
      <c r="N1143" s="1461"/>
    </row>
    <row r="1144" spans="2:14" ht="16.5" customHeight="1">
      <c r="B1144" s="1610"/>
      <c r="C1144" s="1648"/>
      <c r="D1144" s="1448"/>
      <c r="E1144" s="137">
        <v>30205146</v>
      </c>
      <c r="F1144" s="31" t="s">
        <v>589</v>
      </c>
      <c r="G1144" s="1448"/>
      <c r="H1144" s="30">
        <v>30205802</v>
      </c>
      <c r="I1144" s="35">
        <v>26900</v>
      </c>
      <c r="J1144" s="64">
        <v>0.06</v>
      </c>
      <c r="K1144" s="30">
        <v>1</v>
      </c>
      <c r="L1144" s="30"/>
      <c r="M1144" s="1454"/>
      <c r="N1144" s="1461"/>
    </row>
    <row r="1145" spans="2:14" ht="16.5" customHeight="1">
      <c r="B1145" s="1610"/>
      <c r="C1145" s="1648"/>
      <c r="D1145" s="1448"/>
      <c r="E1145" s="137">
        <v>30205154</v>
      </c>
      <c r="F1145" s="31" t="s">
        <v>590</v>
      </c>
      <c r="G1145" s="1448"/>
      <c r="H1145" s="30">
        <v>30205804</v>
      </c>
      <c r="I1145" s="35">
        <v>11900</v>
      </c>
      <c r="J1145" s="64">
        <v>0.06</v>
      </c>
      <c r="K1145" s="30">
        <v>1</v>
      </c>
      <c r="L1145" s="30"/>
      <c r="M1145" s="1454"/>
      <c r="N1145" s="1461"/>
    </row>
    <row r="1146" spans="2:14" ht="16.5" customHeight="1">
      <c r="B1146" s="1610"/>
      <c r="C1146" s="1648">
        <v>7</v>
      </c>
      <c r="D1146" s="1448" t="s">
        <v>591</v>
      </c>
      <c r="E1146" s="137">
        <v>30200519</v>
      </c>
      <c r="F1146" s="30" t="s">
        <v>592</v>
      </c>
      <c r="G1146" s="1454" t="s">
        <v>593</v>
      </c>
      <c r="H1146" s="30">
        <v>30201114</v>
      </c>
      <c r="I1146" s="35">
        <v>25800</v>
      </c>
      <c r="J1146" s="64">
        <v>0.1</v>
      </c>
      <c r="K1146" s="30">
        <v>1</v>
      </c>
      <c r="L1146" s="30"/>
      <c r="M1146" s="1454" t="s">
        <v>594</v>
      </c>
      <c r="N1146" s="1461">
        <v>20250114030</v>
      </c>
    </row>
    <row r="1147" spans="2:14" ht="16.5" customHeight="1">
      <c r="B1147" s="1610"/>
      <c r="C1147" s="1648"/>
      <c r="D1147" s="1448"/>
      <c r="E1147" s="137">
        <v>30200531</v>
      </c>
      <c r="F1147" s="30" t="s">
        <v>595</v>
      </c>
      <c r="G1147" s="1448"/>
      <c r="H1147" s="30">
        <v>30201116</v>
      </c>
      <c r="I1147" s="35">
        <v>23800</v>
      </c>
      <c r="J1147" s="64">
        <v>0.1</v>
      </c>
      <c r="K1147" s="30">
        <v>1</v>
      </c>
      <c r="L1147" s="30"/>
      <c r="M1147" s="1454"/>
      <c r="N1147" s="1461"/>
    </row>
    <row r="1148" spans="2:14" ht="16.5" customHeight="1">
      <c r="B1148" s="1610"/>
      <c r="C1148" s="1648"/>
      <c r="D1148" s="1448"/>
      <c r="E1148" s="137">
        <v>30200528</v>
      </c>
      <c r="F1148" s="30" t="s">
        <v>596</v>
      </c>
      <c r="G1148" s="1448"/>
      <c r="H1148" s="30">
        <v>30201115</v>
      </c>
      <c r="I1148" s="35">
        <v>50900</v>
      </c>
      <c r="J1148" s="64">
        <v>0.1</v>
      </c>
      <c r="K1148" s="30">
        <v>1</v>
      </c>
      <c r="L1148" s="30"/>
      <c r="M1148" s="1454"/>
      <c r="N1148" s="1461"/>
    </row>
    <row r="1149" spans="2:14" ht="16.5" customHeight="1">
      <c r="B1149" s="1610"/>
      <c r="C1149" s="1648"/>
      <c r="D1149" s="1448"/>
      <c r="E1149" s="137">
        <v>30200819</v>
      </c>
      <c r="F1149" s="30" t="s">
        <v>597</v>
      </c>
      <c r="G1149" s="1448"/>
      <c r="H1149" s="30">
        <v>30201117</v>
      </c>
      <c r="I1149" s="35">
        <v>46900</v>
      </c>
      <c r="J1149" s="64">
        <v>0.1</v>
      </c>
      <c r="K1149" s="30">
        <v>1</v>
      </c>
      <c r="L1149" s="30"/>
      <c r="M1149" s="1454"/>
      <c r="N1149" s="1461"/>
    </row>
    <row r="1150" spans="2:14" ht="16.5" customHeight="1">
      <c r="B1150" s="1610"/>
      <c r="C1150" s="1648"/>
      <c r="D1150" s="1448"/>
      <c r="E1150" s="137">
        <v>30200820</v>
      </c>
      <c r="F1150" s="30" t="s">
        <v>598</v>
      </c>
      <c r="G1150" s="1448"/>
      <c r="H1150" s="30">
        <v>30201113</v>
      </c>
      <c r="I1150" s="35">
        <v>48900</v>
      </c>
      <c r="J1150" s="64">
        <v>0.1</v>
      </c>
      <c r="K1150" s="30">
        <v>1</v>
      </c>
      <c r="L1150" s="30"/>
      <c r="M1150" s="1454"/>
      <c r="N1150" s="1461"/>
    </row>
    <row r="1151" spans="2:14" ht="16.5" customHeight="1">
      <c r="B1151" s="1610"/>
      <c r="C1151" s="1648"/>
      <c r="D1151" s="1448"/>
      <c r="E1151" s="137">
        <v>30201045</v>
      </c>
      <c r="F1151" s="30" t="s">
        <v>599</v>
      </c>
      <c r="G1151" s="1448"/>
      <c r="H1151" s="30">
        <v>30201123</v>
      </c>
      <c r="I1151" s="35">
        <v>31800</v>
      </c>
      <c r="J1151" s="64">
        <v>0.1</v>
      </c>
      <c r="K1151" s="30">
        <v>1</v>
      </c>
      <c r="L1151" s="30"/>
      <c r="M1151" s="1454"/>
      <c r="N1151" s="1461"/>
    </row>
    <row r="1152" spans="2:14" ht="16.5" customHeight="1">
      <c r="B1152" s="1610"/>
      <c r="C1152" s="1648"/>
      <c r="D1152" s="1448"/>
      <c r="E1152" s="137">
        <v>30201053</v>
      </c>
      <c r="F1152" s="30" t="s">
        <v>600</v>
      </c>
      <c r="G1152" s="1448"/>
      <c r="H1152" s="30">
        <v>30201124</v>
      </c>
      <c r="I1152" s="35">
        <v>34200</v>
      </c>
      <c r="J1152" s="64">
        <v>0.1</v>
      </c>
      <c r="K1152" s="30">
        <v>1</v>
      </c>
      <c r="L1152" s="30"/>
      <c r="M1152" s="1454"/>
      <c r="N1152" s="1461"/>
    </row>
    <row r="1153" spans="1:14" ht="16.5" customHeight="1">
      <c r="B1153" s="1610"/>
      <c r="C1153" s="1648"/>
      <c r="D1153" s="1448"/>
      <c r="E1153" s="137">
        <v>30201060</v>
      </c>
      <c r="F1153" s="30" t="s">
        <v>601</v>
      </c>
      <c r="G1153" s="1448"/>
      <c r="H1153" s="30">
        <v>30201125</v>
      </c>
      <c r="I1153" s="35">
        <v>24600</v>
      </c>
      <c r="J1153" s="64">
        <v>0.1</v>
      </c>
      <c r="K1153" s="30">
        <v>1</v>
      </c>
      <c r="L1153" s="30"/>
      <c r="M1153" s="1454"/>
      <c r="N1153" s="1461"/>
    </row>
    <row r="1154" spans="1:14" ht="16.5" customHeight="1">
      <c r="B1154" s="1610"/>
      <c r="C1154" s="1648"/>
      <c r="D1154" s="1448"/>
      <c r="E1154" s="137">
        <v>30201074</v>
      </c>
      <c r="F1154" s="30" t="s">
        <v>602</v>
      </c>
      <c r="G1154" s="1448"/>
      <c r="H1154" s="30">
        <v>30201126</v>
      </c>
      <c r="I1154" s="35">
        <v>27000</v>
      </c>
      <c r="J1154" s="64">
        <v>0.1</v>
      </c>
      <c r="K1154" s="30">
        <v>1</v>
      </c>
      <c r="L1154" s="30"/>
      <c r="M1154" s="1454"/>
      <c r="N1154" s="1461"/>
    </row>
    <row r="1155" spans="1:14" ht="16.5" customHeight="1">
      <c r="B1155" s="1610"/>
      <c r="C1155" s="1648"/>
      <c r="D1155" s="1448"/>
      <c r="E1155" s="137">
        <v>30201075</v>
      </c>
      <c r="F1155" s="30" t="s">
        <v>603</v>
      </c>
      <c r="G1155" s="1448"/>
      <c r="H1155" s="30">
        <v>30201127</v>
      </c>
      <c r="I1155" s="35">
        <v>27000</v>
      </c>
      <c r="J1155" s="64">
        <v>0.1</v>
      </c>
      <c r="K1155" s="30">
        <v>1</v>
      </c>
      <c r="L1155" s="30"/>
      <c r="M1155" s="1454"/>
      <c r="N1155" s="1461"/>
    </row>
    <row r="1156" spans="1:14" ht="16.5" customHeight="1">
      <c r="B1156" s="1610"/>
      <c r="C1156" s="1648"/>
      <c r="D1156" s="1448"/>
      <c r="E1156" s="137">
        <v>30201078</v>
      </c>
      <c r="F1156" s="30" t="s">
        <v>604</v>
      </c>
      <c r="G1156" s="1448"/>
      <c r="H1156" s="30">
        <v>30201128</v>
      </c>
      <c r="I1156" s="35">
        <v>29400</v>
      </c>
      <c r="J1156" s="64">
        <v>0.1</v>
      </c>
      <c r="K1156" s="30">
        <v>1</v>
      </c>
      <c r="L1156" s="30"/>
      <c r="M1156" s="1454"/>
      <c r="N1156" s="1461"/>
    </row>
    <row r="1157" spans="1:14" ht="16.5" customHeight="1">
      <c r="B1157" s="1610"/>
      <c r="C1157" s="1648"/>
      <c r="D1157" s="1448"/>
      <c r="E1157" s="137">
        <v>30201079</v>
      </c>
      <c r="F1157" s="30" t="s">
        <v>605</v>
      </c>
      <c r="G1157" s="1448"/>
      <c r="H1157" s="30">
        <v>30201129</v>
      </c>
      <c r="I1157" s="35">
        <v>29400</v>
      </c>
      <c r="J1157" s="64">
        <v>0.1</v>
      </c>
      <c r="K1157" s="30">
        <v>1</v>
      </c>
      <c r="L1157" s="30"/>
      <c r="M1157" s="1454"/>
      <c r="N1157" s="1461"/>
    </row>
    <row r="1158" spans="1:14" ht="16.5" customHeight="1">
      <c r="B1158" s="1610"/>
      <c r="C1158" s="1648"/>
      <c r="D1158" s="1448"/>
      <c r="E1158" s="137">
        <v>30201080</v>
      </c>
      <c r="F1158" s="30" t="s">
        <v>606</v>
      </c>
      <c r="G1158" s="1448"/>
      <c r="H1158" s="30">
        <v>30201130</v>
      </c>
      <c r="I1158" s="35">
        <v>31800</v>
      </c>
      <c r="J1158" s="64">
        <v>0.1</v>
      </c>
      <c r="K1158" s="30">
        <v>1</v>
      </c>
      <c r="L1158" s="30"/>
      <c r="M1158" s="1454"/>
      <c r="N1158" s="1461"/>
    </row>
    <row r="1159" spans="1:14" ht="16.5" customHeight="1">
      <c r="B1159" s="1610"/>
      <c r="C1159" s="1648"/>
      <c r="D1159" s="1448"/>
      <c r="E1159" s="137">
        <v>30201081</v>
      </c>
      <c r="F1159" s="30" t="s">
        <v>607</v>
      </c>
      <c r="G1159" s="1448"/>
      <c r="H1159" s="30">
        <v>30201131</v>
      </c>
      <c r="I1159" s="35">
        <v>31800</v>
      </c>
      <c r="J1159" s="64">
        <v>0.1</v>
      </c>
      <c r="K1159" s="30">
        <v>1</v>
      </c>
      <c r="L1159" s="30"/>
      <c r="M1159" s="1454"/>
      <c r="N1159" s="1461"/>
    </row>
    <row r="1160" spans="1:14" ht="16.5" customHeight="1">
      <c r="B1160" s="1609"/>
      <c r="C1160" s="1649"/>
      <c r="D1160" s="1448"/>
      <c r="E1160" s="137">
        <v>30201083</v>
      </c>
      <c r="F1160" s="30" t="s">
        <v>608</v>
      </c>
      <c r="G1160" s="1448"/>
      <c r="H1160" s="30">
        <v>30201132</v>
      </c>
      <c r="I1160" s="35">
        <v>34200</v>
      </c>
      <c r="J1160" s="64">
        <v>0.1</v>
      </c>
      <c r="K1160" s="30">
        <v>1</v>
      </c>
      <c r="L1160" s="30"/>
      <c r="M1160" s="1454"/>
      <c r="N1160" s="1461"/>
    </row>
    <row r="1161" spans="1:14" ht="16.5" customHeight="1">
      <c r="A1161" s="1650"/>
      <c r="B1161" s="1651" t="s">
        <v>331</v>
      </c>
      <c r="C1161" s="1625">
        <v>1</v>
      </c>
      <c r="D1161" s="1629" t="s">
        <v>1458</v>
      </c>
      <c r="E1161" s="140">
        <v>30212070</v>
      </c>
      <c r="F1161" s="38" t="s">
        <v>1459</v>
      </c>
      <c r="G1161" s="1521" t="s">
        <v>1460</v>
      </c>
      <c r="H1161" s="38">
        <v>30216510</v>
      </c>
      <c r="I1161" s="41">
        <v>10900</v>
      </c>
      <c r="J1161" s="42">
        <v>0.1</v>
      </c>
      <c r="K1161" s="38">
        <v>5</v>
      </c>
      <c r="L1161" s="41">
        <v>54500</v>
      </c>
      <c r="M1161" s="1521" t="s">
        <v>1461</v>
      </c>
      <c r="N1161" s="1631">
        <v>20250114031</v>
      </c>
    </row>
    <row r="1162" spans="1:14" ht="16.5" customHeight="1">
      <c r="A1162" s="1650"/>
      <c r="B1162" s="1652"/>
      <c r="C1162" s="1626"/>
      <c r="D1162" s="1629"/>
      <c r="E1162" s="145">
        <v>30118644</v>
      </c>
      <c r="F1162" s="38" t="s">
        <v>1462</v>
      </c>
      <c r="G1162" s="1521"/>
      <c r="H1162" s="38">
        <v>30216513</v>
      </c>
      <c r="I1162" s="41">
        <v>10900</v>
      </c>
      <c r="J1162" s="42">
        <v>0.1</v>
      </c>
      <c r="K1162" s="38">
        <v>5</v>
      </c>
      <c r="L1162" s="41">
        <v>54500</v>
      </c>
      <c r="M1162" s="1521"/>
      <c r="N1162" s="1632"/>
    </row>
    <row r="1163" spans="1:14" ht="16.5" customHeight="1">
      <c r="A1163" s="1650"/>
      <c r="B1163" s="1652"/>
      <c r="C1163" s="1626"/>
      <c r="D1163" s="1629"/>
      <c r="E1163" s="145">
        <v>30212078</v>
      </c>
      <c r="F1163" s="38" t="s">
        <v>1463</v>
      </c>
      <c r="G1163" s="1521"/>
      <c r="H1163" s="38">
        <v>30216514</v>
      </c>
      <c r="I1163" s="41">
        <v>12900</v>
      </c>
      <c r="J1163" s="42">
        <v>0.1</v>
      </c>
      <c r="K1163" s="38">
        <v>5</v>
      </c>
      <c r="L1163" s="41">
        <v>64500</v>
      </c>
      <c r="M1163" s="1521"/>
      <c r="N1163" s="1632"/>
    </row>
    <row r="1164" spans="1:14" ht="16.5" customHeight="1">
      <c r="A1164" s="1650"/>
      <c r="B1164" s="1652"/>
      <c r="C1164" s="1626"/>
      <c r="D1164" s="1629"/>
      <c r="E1164" s="145">
        <v>30118645</v>
      </c>
      <c r="F1164" s="38" t="s">
        <v>1464</v>
      </c>
      <c r="G1164" s="1521"/>
      <c r="H1164" s="38">
        <v>30216515</v>
      </c>
      <c r="I1164" s="41">
        <v>12900</v>
      </c>
      <c r="J1164" s="42">
        <v>0.1</v>
      </c>
      <c r="K1164" s="38">
        <v>5</v>
      </c>
      <c r="L1164" s="41">
        <v>64500</v>
      </c>
      <c r="M1164" s="1521"/>
      <c r="N1164" s="1632"/>
    </row>
    <row r="1165" spans="1:14" ht="16.5" customHeight="1">
      <c r="A1165" s="1650"/>
      <c r="B1165" s="1652"/>
      <c r="C1165" s="1627"/>
      <c r="D1165" s="1630"/>
      <c r="E1165" s="145">
        <v>30152153</v>
      </c>
      <c r="F1165" s="38" t="s">
        <v>1465</v>
      </c>
      <c r="G1165" s="1521"/>
      <c r="H1165" s="38">
        <v>30216516</v>
      </c>
      <c r="I1165" s="41">
        <v>18900</v>
      </c>
      <c r="J1165" s="42">
        <v>0.1</v>
      </c>
      <c r="K1165" s="38">
        <v>5</v>
      </c>
      <c r="L1165" s="41">
        <v>94500</v>
      </c>
      <c r="M1165" s="1521"/>
      <c r="N1165" s="1633"/>
    </row>
    <row r="1166" spans="1:14" ht="16.5" customHeight="1" thickBot="1">
      <c r="A1166" s="1650"/>
      <c r="B1166" s="1652"/>
      <c r="C1166" s="351">
        <v>2</v>
      </c>
      <c r="D1166" s="352" t="s">
        <v>1466</v>
      </c>
      <c r="E1166" s="353">
        <v>30211214</v>
      </c>
      <c r="F1166" s="354" t="s">
        <v>1467</v>
      </c>
      <c r="G1166" s="355" t="s">
        <v>1468</v>
      </c>
      <c r="H1166" s="356">
        <v>30216523</v>
      </c>
      <c r="I1166" s="357">
        <v>46800</v>
      </c>
      <c r="J1166" s="358">
        <v>0.15</v>
      </c>
      <c r="K1166" s="38">
        <v>5</v>
      </c>
      <c r="L1166" s="41">
        <v>234000</v>
      </c>
      <c r="M1166" s="359" t="s">
        <v>1469</v>
      </c>
      <c r="N1166" s="360">
        <v>20250115037</v>
      </c>
    </row>
    <row r="1167" spans="1:14" ht="16.5" customHeight="1">
      <c r="A1167" s="1650"/>
      <c r="B1167" s="1652"/>
      <c r="C1167" s="1643">
        <v>3</v>
      </c>
      <c r="D1167" s="1646" t="s">
        <v>346</v>
      </c>
      <c r="E1167" s="361">
        <v>30107419</v>
      </c>
      <c r="F1167" s="38" t="s">
        <v>350</v>
      </c>
      <c r="G1167" s="1520" t="s">
        <v>1470</v>
      </c>
      <c r="H1167" s="38">
        <v>30214047</v>
      </c>
      <c r="I1167" s="41">
        <v>19900</v>
      </c>
      <c r="J1167" s="42">
        <v>0.15</v>
      </c>
      <c r="K1167" s="38">
        <v>5</v>
      </c>
      <c r="L1167" s="41">
        <v>99500</v>
      </c>
      <c r="M1167" s="1521" t="s">
        <v>1471</v>
      </c>
      <c r="N1167" s="1631">
        <v>20250114032</v>
      </c>
    </row>
    <row r="1168" spans="1:14" ht="16.5" customHeight="1">
      <c r="A1168" s="1650"/>
      <c r="B1168" s="1652"/>
      <c r="C1168" s="1644"/>
      <c r="D1168" s="1629"/>
      <c r="E1168" s="296">
        <v>42020663</v>
      </c>
      <c r="F1168" s="38" t="s">
        <v>1472</v>
      </c>
      <c r="G1168" s="1520"/>
      <c r="H1168" s="38">
        <v>30216524</v>
      </c>
      <c r="I1168" s="41">
        <v>11900</v>
      </c>
      <c r="J1168" s="42">
        <v>0.15</v>
      </c>
      <c r="K1168" s="38">
        <v>5</v>
      </c>
      <c r="L1168" s="41">
        <v>59500</v>
      </c>
      <c r="M1168" s="1521"/>
      <c r="N1168" s="1632"/>
    </row>
    <row r="1169" spans="1:14" ht="16.5" customHeight="1" thickBot="1">
      <c r="A1169" s="1650"/>
      <c r="B1169" s="1652"/>
      <c r="C1169" s="1645"/>
      <c r="D1169" s="1647"/>
      <c r="E1169" s="362">
        <v>42020655</v>
      </c>
      <c r="F1169" s="38" t="s">
        <v>1473</v>
      </c>
      <c r="G1169" s="1520"/>
      <c r="H1169" s="38">
        <v>30216528</v>
      </c>
      <c r="I1169" s="41">
        <v>11900</v>
      </c>
      <c r="J1169" s="42">
        <v>0.15</v>
      </c>
      <c r="K1169" s="38">
        <v>5</v>
      </c>
      <c r="L1169" s="41">
        <v>59500</v>
      </c>
      <c r="M1169" s="1521"/>
      <c r="N1169" s="1633"/>
    </row>
    <row r="1170" spans="1:14" ht="16.5" customHeight="1">
      <c r="A1170" s="1650"/>
      <c r="B1170" s="1652"/>
      <c r="C1170" s="1625">
        <v>4</v>
      </c>
      <c r="D1170" s="1628" t="s">
        <v>332</v>
      </c>
      <c r="E1170" s="183">
        <v>68082046</v>
      </c>
      <c r="F1170" s="38" t="s">
        <v>1474</v>
      </c>
      <c r="G1170" s="1521" t="s">
        <v>1474</v>
      </c>
      <c r="H1170" s="38">
        <v>30216529</v>
      </c>
      <c r="I1170" s="41">
        <v>11900</v>
      </c>
      <c r="J1170" s="42">
        <v>0.1</v>
      </c>
      <c r="K1170" s="38">
        <v>5</v>
      </c>
      <c r="L1170" s="41">
        <v>59500</v>
      </c>
      <c r="M1170" s="1521" t="s">
        <v>1474</v>
      </c>
      <c r="N1170" s="1631">
        <v>20250114033</v>
      </c>
    </row>
    <row r="1171" spans="1:14" ht="16.5" customHeight="1">
      <c r="A1171" s="1650"/>
      <c r="B1171" s="1652"/>
      <c r="C1171" s="1641"/>
      <c r="D1171" s="1642"/>
      <c r="E1171" s="187">
        <v>68082047</v>
      </c>
      <c r="F1171" s="38" t="s">
        <v>1475</v>
      </c>
      <c r="G1171" s="1521"/>
      <c r="H1171" s="38">
        <v>30216531</v>
      </c>
      <c r="I1171" s="41">
        <v>15000</v>
      </c>
      <c r="J1171" s="42">
        <v>0.1</v>
      </c>
      <c r="K1171" s="38">
        <v>5</v>
      </c>
      <c r="L1171" s="41">
        <v>75000</v>
      </c>
      <c r="M1171" s="1521"/>
      <c r="N1171" s="1633"/>
    </row>
    <row r="1172" spans="1:14" ht="16.5" customHeight="1">
      <c r="A1172" s="1650"/>
      <c r="B1172" s="1652"/>
      <c r="C1172" s="1626">
        <v>5</v>
      </c>
      <c r="D1172" s="1629" t="s">
        <v>332</v>
      </c>
      <c r="E1172" s="187">
        <v>68077356</v>
      </c>
      <c r="F1172" s="38" t="s">
        <v>1476</v>
      </c>
      <c r="G1172" s="1520" t="s">
        <v>1476</v>
      </c>
      <c r="H1172" s="38">
        <v>30213255</v>
      </c>
      <c r="I1172" s="41">
        <v>6900</v>
      </c>
      <c r="J1172" s="42">
        <v>0.1</v>
      </c>
      <c r="K1172" s="38">
        <v>5</v>
      </c>
      <c r="L1172" s="41">
        <v>34500</v>
      </c>
      <c r="M1172" s="1520" t="s">
        <v>1476</v>
      </c>
      <c r="N1172" s="1631">
        <v>20250114034</v>
      </c>
    </row>
    <row r="1173" spans="1:14" ht="16.5" customHeight="1">
      <c r="A1173" s="1650"/>
      <c r="B1173" s="1652"/>
      <c r="C1173" s="1641"/>
      <c r="D1173" s="1642"/>
      <c r="E1173" s="187">
        <v>74722868</v>
      </c>
      <c r="F1173" s="38" t="s">
        <v>1477</v>
      </c>
      <c r="G1173" s="1520"/>
      <c r="H1173" s="38">
        <v>30213256</v>
      </c>
      <c r="I1173" s="41">
        <v>9900</v>
      </c>
      <c r="J1173" s="42">
        <v>0.1</v>
      </c>
      <c r="K1173" s="38">
        <v>5</v>
      </c>
      <c r="L1173" s="41">
        <v>49500</v>
      </c>
      <c r="M1173" s="1520"/>
      <c r="N1173" s="1633"/>
    </row>
    <row r="1174" spans="1:14" ht="16.5" customHeight="1">
      <c r="A1174" s="363"/>
      <c r="B1174" s="1652"/>
      <c r="C1174" s="1626">
        <v>6</v>
      </c>
      <c r="D1174" s="1629" t="s">
        <v>332</v>
      </c>
      <c r="E1174" s="187">
        <v>43197980</v>
      </c>
      <c r="F1174" s="38" t="s">
        <v>1478</v>
      </c>
      <c r="G1174" s="1520" t="s">
        <v>1478</v>
      </c>
      <c r="H1174" s="38">
        <v>30206792</v>
      </c>
      <c r="I1174" s="41">
        <v>6900</v>
      </c>
      <c r="J1174" s="42">
        <v>0.1</v>
      </c>
      <c r="K1174" s="38">
        <v>5</v>
      </c>
      <c r="L1174" s="41">
        <v>34500</v>
      </c>
      <c r="M1174" s="1520" t="s">
        <v>1478</v>
      </c>
      <c r="N1174" s="1631">
        <v>20250114035</v>
      </c>
    </row>
    <row r="1175" spans="1:14" ht="16.5" customHeight="1">
      <c r="A1175" s="363"/>
      <c r="B1175" s="1652"/>
      <c r="C1175" s="1641"/>
      <c r="D1175" s="1642"/>
      <c r="E1175" s="187">
        <v>57291395</v>
      </c>
      <c r="F1175" s="38" t="s">
        <v>1091</v>
      </c>
      <c r="G1175" s="1520"/>
      <c r="H1175" s="38">
        <v>30216535</v>
      </c>
      <c r="I1175" s="41">
        <v>9900</v>
      </c>
      <c r="J1175" s="42">
        <v>0.1</v>
      </c>
      <c r="K1175" s="38">
        <v>5</v>
      </c>
      <c r="L1175" s="41">
        <v>49500</v>
      </c>
      <c r="M1175" s="1520"/>
      <c r="N1175" s="1633"/>
    </row>
    <row r="1176" spans="1:14" ht="16.5" customHeight="1">
      <c r="A1176" s="363"/>
      <c r="B1176" s="1652"/>
      <c r="C1176" s="1626">
        <v>7</v>
      </c>
      <c r="D1176" s="1629" t="s">
        <v>352</v>
      </c>
      <c r="E1176" s="145">
        <v>69348661</v>
      </c>
      <c r="F1176" s="40" t="s">
        <v>1479</v>
      </c>
      <c r="G1176" s="1521" t="s">
        <v>1480</v>
      </c>
      <c r="H1176" s="38">
        <v>30209917</v>
      </c>
      <c r="I1176" s="41">
        <v>5800</v>
      </c>
      <c r="J1176" s="42">
        <v>0.1</v>
      </c>
      <c r="K1176" s="38">
        <v>5</v>
      </c>
      <c r="L1176" s="41">
        <v>29000</v>
      </c>
      <c r="M1176" s="1521" t="s">
        <v>1481</v>
      </c>
      <c r="N1176" s="1631">
        <v>20250115036</v>
      </c>
    </row>
    <row r="1177" spans="1:14" ht="16.5" customHeight="1">
      <c r="A1177" s="363"/>
      <c r="B1177" s="1652"/>
      <c r="C1177" s="1626"/>
      <c r="D1177" s="1629"/>
      <c r="E1177" s="145">
        <v>69348663</v>
      </c>
      <c r="F1177" s="40" t="s">
        <v>1482</v>
      </c>
      <c r="G1177" s="1521"/>
      <c r="H1177" s="38">
        <v>30209920</v>
      </c>
      <c r="I1177" s="41">
        <v>5800</v>
      </c>
      <c r="J1177" s="42">
        <v>0.1</v>
      </c>
      <c r="K1177" s="38">
        <v>5</v>
      </c>
      <c r="L1177" s="41">
        <v>29000</v>
      </c>
      <c r="M1177" s="1521"/>
      <c r="N1177" s="1632"/>
    </row>
    <row r="1178" spans="1:14" ht="16.5" customHeight="1">
      <c r="A1178" s="363"/>
      <c r="B1178" s="1652"/>
      <c r="C1178" s="1626"/>
      <c r="D1178" s="1629"/>
      <c r="E1178" s="145">
        <v>59200233</v>
      </c>
      <c r="F1178" s="40" t="s">
        <v>1483</v>
      </c>
      <c r="G1178" s="1521"/>
      <c r="H1178" s="38">
        <v>30209921</v>
      </c>
      <c r="I1178" s="41">
        <v>11800</v>
      </c>
      <c r="J1178" s="42">
        <v>0.1</v>
      </c>
      <c r="K1178" s="38">
        <v>5</v>
      </c>
      <c r="L1178" s="41">
        <v>59000</v>
      </c>
      <c r="M1178" s="1521"/>
      <c r="N1178" s="1632"/>
    </row>
    <row r="1179" spans="1:14" ht="16.5" customHeight="1">
      <c r="A1179" s="363"/>
      <c r="B1179" s="1652"/>
      <c r="C1179" s="1626"/>
      <c r="D1179" s="1629"/>
      <c r="E1179" s="145">
        <v>59200231</v>
      </c>
      <c r="F1179" s="40" t="s">
        <v>1484</v>
      </c>
      <c r="G1179" s="1521"/>
      <c r="H1179" s="38">
        <v>30209922</v>
      </c>
      <c r="I1179" s="41">
        <v>11800</v>
      </c>
      <c r="J1179" s="42">
        <v>0.1</v>
      </c>
      <c r="K1179" s="38">
        <v>5</v>
      </c>
      <c r="L1179" s="41">
        <v>59000</v>
      </c>
      <c r="M1179" s="1521"/>
      <c r="N1179" s="1632"/>
    </row>
    <row r="1180" spans="1:14" ht="16.5" customHeight="1">
      <c r="A1180" s="363"/>
      <c r="B1180" s="1652"/>
      <c r="C1180" s="1627"/>
      <c r="D1180" s="1630"/>
      <c r="E1180" s="145">
        <v>49125439</v>
      </c>
      <c r="F1180" s="40" t="s">
        <v>1485</v>
      </c>
      <c r="G1180" s="1521"/>
      <c r="H1180" s="38">
        <v>30209923</v>
      </c>
      <c r="I1180" s="41">
        <v>16800</v>
      </c>
      <c r="J1180" s="42">
        <v>0.1</v>
      </c>
      <c r="K1180" s="38">
        <v>5</v>
      </c>
      <c r="L1180" s="41">
        <v>84000</v>
      </c>
      <c r="M1180" s="1521"/>
      <c r="N1180" s="1633"/>
    </row>
    <row r="1181" spans="1:14" ht="16.5" customHeight="1">
      <c r="A1181" s="363"/>
      <c r="B1181" s="1652"/>
      <c r="C1181" s="1625">
        <v>8</v>
      </c>
      <c r="D1181" s="1628" t="s">
        <v>352</v>
      </c>
      <c r="E1181" s="145">
        <v>42366811</v>
      </c>
      <c r="F1181" s="40" t="s">
        <v>1486</v>
      </c>
      <c r="G1181" s="1590" t="s">
        <v>1487</v>
      </c>
      <c r="H1181" s="173">
        <v>30204357</v>
      </c>
      <c r="I1181" s="41">
        <v>26800</v>
      </c>
      <c r="J1181" s="42">
        <v>0.1</v>
      </c>
      <c r="K1181" s="38">
        <v>5</v>
      </c>
      <c r="L1181" s="41">
        <v>134000</v>
      </c>
      <c r="M1181" s="1521" t="s">
        <v>1488</v>
      </c>
      <c r="N1181" s="1631">
        <v>20250115038</v>
      </c>
    </row>
    <row r="1182" spans="1:14" ht="16.5" customHeight="1">
      <c r="A1182" s="363"/>
      <c r="B1182" s="1652"/>
      <c r="C1182" s="1626"/>
      <c r="D1182" s="1629"/>
      <c r="E1182" s="145">
        <v>47851470</v>
      </c>
      <c r="F1182" s="40" t="s">
        <v>1489</v>
      </c>
      <c r="G1182" s="1590"/>
      <c r="H1182" s="173">
        <v>30204358</v>
      </c>
      <c r="I1182" s="41">
        <v>25800</v>
      </c>
      <c r="J1182" s="42">
        <v>0.1</v>
      </c>
      <c r="K1182" s="38">
        <v>5</v>
      </c>
      <c r="L1182" s="41">
        <v>129000</v>
      </c>
      <c r="M1182" s="1521"/>
      <c r="N1182" s="1632"/>
    </row>
    <row r="1183" spans="1:14" ht="16.5" customHeight="1">
      <c r="A1183" s="363"/>
      <c r="B1183" s="1652"/>
      <c r="C1183" s="1626"/>
      <c r="D1183" s="1629"/>
      <c r="E1183" s="145">
        <v>47815235</v>
      </c>
      <c r="F1183" s="40" t="s">
        <v>1490</v>
      </c>
      <c r="G1183" s="1590"/>
      <c r="H1183" s="173">
        <v>30204359</v>
      </c>
      <c r="I1183" s="41">
        <v>29800</v>
      </c>
      <c r="J1183" s="42">
        <v>0.1</v>
      </c>
      <c r="K1183" s="38">
        <v>5</v>
      </c>
      <c r="L1183" s="41">
        <v>149000</v>
      </c>
      <c r="M1183" s="1521"/>
      <c r="N1183" s="1632"/>
    </row>
    <row r="1184" spans="1:14" ht="16.5" customHeight="1">
      <c r="A1184" s="363"/>
      <c r="B1184" s="1652"/>
      <c r="C1184" s="1626"/>
      <c r="D1184" s="1629"/>
      <c r="E1184" s="145">
        <v>54907830</v>
      </c>
      <c r="F1184" s="40" t="s">
        <v>1491</v>
      </c>
      <c r="G1184" s="1590"/>
      <c r="H1184" s="173">
        <v>30204360</v>
      </c>
      <c r="I1184" s="41">
        <v>31800</v>
      </c>
      <c r="J1184" s="42">
        <v>0.1</v>
      </c>
      <c r="K1184" s="38">
        <v>5</v>
      </c>
      <c r="L1184" s="41">
        <v>159000</v>
      </c>
      <c r="M1184" s="1521"/>
      <c r="N1184" s="1632"/>
    </row>
    <row r="1185" spans="1:15" ht="16.5" customHeight="1">
      <c r="A1185" s="363"/>
      <c r="B1185" s="1652"/>
      <c r="C1185" s="1627"/>
      <c r="D1185" s="1630"/>
      <c r="E1185" s="145">
        <v>47312527</v>
      </c>
      <c r="F1185" s="40" t="s">
        <v>1492</v>
      </c>
      <c r="G1185" s="1590"/>
      <c r="H1185" s="173">
        <v>30204361</v>
      </c>
      <c r="I1185" s="41">
        <v>36800</v>
      </c>
      <c r="J1185" s="42">
        <v>0.1</v>
      </c>
      <c r="K1185" s="38">
        <v>5</v>
      </c>
      <c r="L1185" s="41">
        <v>184000</v>
      </c>
      <c r="M1185" s="1521"/>
      <c r="N1185" s="1633"/>
    </row>
    <row r="1186" spans="1:15" ht="16.5" customHeight="1">
      <c r="A1186" s="364"/>
      <c r="B1186" s="1652"/>
      <c r="C1186" s="350">
        <v>9</v>
      </c>
      <c r="D1186" s="297" t="s">
        <v>360</v>
      </c>
      <c r="E1186" s="365">
        <v>57304026</v>
      </c>
      <c r="F1186" s="38" t="s">
        <v>1493</v>
      </c>
      <c r="G1186" s="39" t="s">
        <v>1493</v>
      </c>
      <c r="H1186" s="38">
        <v>30200443</v>
      </c>
      <c r="I1186" s="41">
        <v>12500</v>
      </c>
      <c r="J1186" s="42">
        <v>0.15</v>
      </c>
      <c r="K1186" s="38">
        <v>5</v>
      </c>
      <c r="L1186" s="41">
        <v>12500</v>
      </c>
      <c r="M1186" s="39" t="s">
        <v>1494</v>
      </c>
      <c r="N1186" s="360">
        <v>20250115039</v>
      </c>
    </row>
    <row r="1187" spans="1:15" ht="16.5" customHeight="1">
      <c r="A1187" s="349"/>
      <c r="B1187" s="290"/>
      <c r="C1187" s="1634">
        <v>10</v>
      </c>
      <c r="D1187" s="1636" t="s">
        <v>352</v>
      </c>
      <c r="E1187" s="140">
        <v>57446907</v>
      </c>
      <c r="F1187" s="366" t="s">
        <v>1495</v>
      </c>
      <c r="G1187" s="1638" t="s">
        <v>1496</v>
      </c>
      <c r="H1187" s="38">
        <v>30217294</v>
      </c>
      <c r="I1187" s="41">
        <v>18800</v>
      </c>
      <c r="J1187" s="42">
        <v>0.1</v>
      </c>
      <c r="K1187" s="38">
        <v>5</v>
      </c>
      <c r="L1187" s="41">
        <v>94000</v>
      </c>
      <c r="M1187" s="1539" t="s">
        <v>1497</v>
      </c>
      <c r="N1187" s="1631">
        <v>20250115040</v>
      </c>
    </row>
    <row r="1188" spans="1:15" ht="16.5" customHeight="1">
      <c r="A1188" s="349"/>
      <c r="B1188" s="290"/>
      <c r="C1188" s="1634"/>
      <c r="D1188" s="1636"/>
      <c r="E1188" s="145">
        <v>57446903</v>
      </c>
      <c r="F1188" s="367" t="s">
        <v>1498</v>
      </c>
      <c r="G1188" s="1639"/>
      <c r="H1188" s="38">
        <v>30217295</v>
      </c>
      <c r="I1188" s="41">
        <v>18800</v>
      </c>
      <c r="J1188" s="42">
        <v>0.1</v>
      </c>
      <c r="K1188" s="38">
        <v>5</v>
      </c>
      <c r="L1188" s="41">
        <v>94000</v>
      </c>
      <c r="M1188" s="1540"/>
      <c r="N1188" s="1632"/>
    </row>
    <row r="1189" spans="1:15" ht="16.5" customHeight="1">
      <c r="A1189" s="349"/>
      <c r="B1189" s="290"/>
      <c r="C1189" s="1634"/>
      <c r="D1189" s="1636"/>
      <c r="E1189" s="140">
        <v>71765877</v>
      </c>
      <c r="F1189" s="366" t="s">
        <v>1499</v>
      </c>
      <c r="G1189" s="1639"/>
      <c r="H1189" s="38">
        <v>30206720</v>
      </c>
      <c r="I1189" s="41">
        <v>16800</v>
      </c>
      <c r="J1189" s="42">
        <v>0.1</v>
      </c>
      <c r="K1189" s="38">
        <v>5</v>
      </c>
      <c r="L1189" s="41">
        <v>84000</v>
      </c>
      <c r="M1189" s="1540"/>
      <c r="N1189" s="1632"/>
    </row>
    <row r="1190" spans="1:15" ht="16.5" customHeight="1">
      <c r="A1190" s="349"/>
      <c r="B1190" s="290"/>
      <c r="C1190" s="1634"/>
      <c r="D1190" s="1636"/>
      <c r="E1190" s="145">
        <v>71765873</v>
      </c>
      <c r="F1190" s="367" t="s">
        <v>1500</v>
      </c>
      <c r="G1190" s="1639"/>
      <c r="H1190" s="38">
        <v>30206722</v>
      </c>
      <c r="I1190" s="41">
        <v>16800</v>
      </c>
      <c r="J1190" s="42">
        <v>0.1</v>
      </c>
      <c r="K1190" s="38">
        <v>5</v>
      </c>
      <c r="L1190" s="41">
        <v>84000</v>
      </c>
      <c r="M1190" s="1540"/>
      <c r="N1190" s="1632"/>
    </row>
    <row r="1191" spans="1:15" ht="16.5" customHeight="1">
      <c r="A1191" s="349"/>
      <c r="B1191" s="290"/>
      <c r="C1191" s="1635"/>
      <c r="D1191" s="1637"/>
      <c r="E1191" s="145">
        <v>57365684</v>
      </c>
      <c r="F1191" s="367" t="s">
        <v>1501</v>
      </c>
      <c r="G1191" s="1640"/>
      <c r="H1191" s="38">
        <v>30206784</v>
      </c>
      <c r="I1191" s="41">
        <v>15800</v>
      </c>
      <c r="J1191" s="42">
        <v>0.1</v>
      </c>
      <c r="K1191" s="38">
        <v>5</v>
      </c>
      <c r="L1191" s="41">
        <v>79000</v>
      </c>
      <c r="M1191" s="1541"/>
      <c r="N1191" s="1633"/>
    </row>
    <row r="1192" spans="1:15" ht="16.5" customHeight="1">
      <c r="B1192" s="1448" t="s">
        <v>1109</v>
      </c>
      <c r="C1192" s="1448">
        <v>1</v>
      </c>
      <c r="D1192" s="1448" t="s">
        <v>1502</v>
      </c>
      <c r="E1192" s="30">
        <v>30199752</v>
      </c>
      <c r="F1192" s="31" t="s">
        <v>1123</v>
      </c>
      <c r="G1192" s="1448" t="s">
        <v>1503</v>
      </c>
      <c r="H1192" s="30">
        <v>30201010</v>
      </c>
      <c r="I1192" s="35">
        <v>6500</v>
      </c>
      <c r="J1192" s="64">
        <v>0.1</v>
      </c>
      <c r="K1192" s="1448">
        <v>5</v>
      </c>
      <c r="L1192" s="1448">
        <f>I1192*5</f>
        <v>32500</v>
      </c>
      <c r="M1192" s="1454" t="s">
        <v>1504</v>
      </c>
      <c r="N1192" s="1461">
        <v>20250115041</v>
      </c>
      <c r="O1192" s="4" t="s">
        <v>1505</v>
      </c>
    </row>
    <row r="1193" spans="1:15" ht="16.5" customHeight="1">
      <c r="B1193" s="1448"/>
      <c r="C1193" s="1448"/>
      <c r="D1193" s="1448"/>
      <c r="E1193" s="30">
        <v>30199754</v>
      </c>
      <c r="F1193" s="31" t="s">
        <v>1122</v>
      </c>
      <c r="G1193" s="1448"/>
      <c r="H1193" s="30">
        <v>30201005</v>
      </c>
      <c r="I1193" s="35">
        <v>7900</v>
      </c>
      <c r="J1193" s="64">
        <v>0.1</v>
      </c>
      <c r="K1193" s="1448"/>
      <c r="L1193" s="1448"/>
      <c r="M1193" s="1454"/>
      <c r="N1193" s="1461"/>
    </row>
    <row r="1194" spans="1:15" ht="16.5" customHeight="1">
      <c r="B1194" s="1448"/>
      <c r="C1194" s="1448"/>
      <c r="D1194" s="1448"/>
      <c r="E1194" s="30">
        <v>30199763</v>
      </c>
      <c r="F1194" s="31" t="s">
        <v>1506</v>
      </c>
      <c r="G1194" s="1448"/>
      <c r="H1194" s="30">
        <v>30216687</v>
      </c>
      <c r="I1194" s="35">
        <v>10900</v>
      </c>
      <c r="J1194" s="64">
        <v>0.1</v>
      </c>
      <c r="K1194" s="1448"/>
      <c r="L1194" s="1448"/>
      <c r="M1194" s="1454"/>
      <c r="N1194" s="1461"/>
    </row>
    <row r="1195" spans="1:15" ht="16.5" customHeight="1">
      <c r="B1195" s="1448"/>
      <c r="C1195" s="1448"/>
      <c r="D1195" s="1448"/>
      <c r="E1195" s="30">
        <v>30209424</v>
      </c>
      <c r="F1195" s="31" t="s">
        <v>1507</v>
      </c>
      <c r="G1195" s="1448"/>
      <c r="H1195" s="30">
        <v>30210575</v>
      </c>
      <c r="I1195" s="35">
        <v>8900</v>
      </c>
      <c r="J1195" s="64">
        <v>0.1</v>
      </c>
      <c r="K1195" s="1448"/>
      <c r="L1195" s="1448"/>
      <c r="M1195" s="1454"/>
      <c r="N1195" s="1461"/>
    </row>
    <row r="1196" spans="1:15" ht="16.5" customHeight="1">
      <c r="B1196" s="1448"/>
      <c r="C1196" s="1448"/>
      <c r="D1196" s="1448"/>
      <c r="E1196" s="30">
        <v>30215946</v>
      </c>
      <c r="F1196" s="31" t="s">
        <v>1508</v>
      </c>
      <c r="G1196" s="1448"/>
      <c r="H1196" s="30">
        <v>30216689</v>
      </c>
      <c r="I1196" s="35">
        <v>9900</v>
      </c>
      <c r="J1196" s="64">
        <v>0.1</v>
      </c>
      <c r="K1196" s="1448"/>
      <c r="L1196" s="1448"/>
      <c r="M1196" s="1454"/>
      <c r="N1196" s="1461"/>
    </row>
    <row r="1197" spans="1:15" ht="16.5" customHeight="1">
      <c r="B1197" s="1448"/>
      <c r="C1197" s="1448"/>
      <c r="D1197" s="1448"/>
      <c r="E1197" s="30">
        <v>30215948</v>
      </c>
      <c r="F1197" s="31" t="s">
        <v>1509</v>
      </c>
      <c r="G1197" s="1448"/>
      <c r="H1197" s="30">
        <v>30216690</v>
      </c>
      <c r="I1197" s="35">
        <v>6900</v>
      </c>
      <c r="J1197" s="64">
        <v>0.1</v>
      </c>
      <c r="K1197" s="1448"/>
      <c r="L1197" s="1448"/>
      <c r="M1197" s="1454"/>
      <c r="N1197" s="1461"/>
    </row>
    <row r="1198" spans="1:15" ht="16.5" customHeight="1">
      <c r="B1198" s="1448"/>
      <c r="C1198" s="1448"/>
      <c r="D1198" s="1448"/>
      <c r="E1198" s="30">
        <v>30213954</v>
      </c>
      <c r="F1198" s="31" t="s">
        <v>1510</v>
      </c>
      <c r="G1198" s="1448"/>
      <c r="H1198" s="30">
        <v>30216691</v>
      </c>
      <c r="I1198" s="35">
        <v>7900</v>
      </c>
      <c r="J1198" s="64">
        <v>0.1</v>
      </c>
      <c r="K1198" s="1448"/>
      <c r="L1198" s="1448"/>
      <c r="M1198" s="1454"/>
      <c r="N1198" s="1461"/>
    </row>
    <row r="1199" spans="1:15" ht="16.5" customHeight="1">
      <c r="B1199" s="1448"/>
      <c r="C1199" s="1448"/>
      <c r="D1199" s="1448"/>
      <c r="E1199" s="30">
        <v>30199794</v>
      </c>
      <c r="F1199" s="31" t="s">
        <v>1511</v>
      </c>
      <c r="G1199" s="1448"/>
      <c r="H1199" s="30">
        <v>30216842</v>
      </c>
      <c r="I1199" s="35">
        <v>7900</v>
      </c>
      <c r="J1199" s="64">
        <v>0.1</v>
      </c>
      <c r="K1199" s="1448"/>
      <c r="L1199" s="1448"/>
      <c r="M1199" s="1454"/>
      <c r="N1199" s="1461"/>
    </row>
    <row r="1200" spans="1:15" ht="16.5" customHeight="1">
      <c r="B1200" s="1448"/>
      <c r="C1200" s="1448"/>
      <c r="D1200" s="1448"/>
      <c r="E1200" s="30">
        <v>30215967</v>
      </c>
      <c r="F1200" s="31" t="s">
        <v>1512</v>
      </c>
      <c r="G1200" s="1448"/>
      <c r="H1200" s="30">
        <v>30216848</v>
      </c>
      <c r="I1200" s="35">
        <v>8900</v>
      </c>
      <c r="J1200" s="64">
        <v>0.1</v>
      </c>
      <c r="K1200" s="1448"/>
      <c r="L1200" s="1448"/>
      <c r="M1200" s="1454"/>
      <c r="N1200" s="1461"/>
    </row>
    <row r="1201" spans="2:15" ht="16.5" customHeight="1">
      <c r="B1201" s="1448"/>
      <c r="C1201" s="1448"/>
      <c r="D1201" s="1448"/>
      <c r="E1201" s="30">
        <v>30199743</v>
      </c>
      <c r="F1201" s="31" t="s">
        <v>1121</v>
      </c>
      <c r="G1201" s="1448"/>
      <c r="H1201" s="30">
        <v>30208601</v>
      </c>
      <c r="I1201" s="35">
        <v>9900</v>
      </c>
      <c r="J1201" s="64">
        <v>0.1</v>
      </c>
      <c r="K1201" s="1448"/>
      <c r="L1201" s="1448"/>
      <c r="M1201" s="1454"/>
      <c r="N1201" s="1461"/>
    </row>
    <row r="1202" spans="2:15" ht="16.5" customHeight="1">
      <c r="B1202" s="1448"/>
      <c r="C1202" s="1448"/>
      <c r="D1202" s="1448"/>
      <c r="E1202" s="30">
        <v>30199757</v>
      </c>
      <c r="F1202" s="31" t="s">
        <v>1124</v>
      </c>
      <c r="G1202" s="1448"/>
      <c r="H1202" s="30">
        <v>30201018</v>
      </c>
      <c r="I1202" s="35">
        <v>8900</v>
      </c>
      <c r="J1202" s="64">
        <v>0.1</v>
      </c>
      <c r="K1202" s="1448"/>
      <c r="L1202" s="1448"/>
      <c r="M1202" s="1454"/>
      <c r="N1202" s="1461"/>
    </row>
    <row r="1203" spans="2:15" ht="16.5" customHeight="1">
      <c r="B1203" s="1448"/>
      <c r="C1203" s="1448"/>
      <c r="D1203" s="1448"/>
      <c r="E1203" s="30">
        <v>30201441</v>
      </c>
      <c r="F1203" s="31" t="s">
        <v>1513</v>
      </c>
      <c r="G1203" s="1448"/>
      <c r="H1203" s="30">
        <v>30216855</v>
      </c>
      <c r="I1203" s="35">
        <v>7900</v>
      </c>
      <c r="J1203" s="64">
        <v>0.1</v>
      </c>
      <c r="K1203" s="1448"/>
      <c r="L1203" s="1448"/>
      <c r="M1203" s="1454"/>
      <c r="N1203" s="1461"/>
    </row>
    <row r="1204" spans="2:15" ht="16.5" customHeight="1">
      <c r="B1204" s="1448"/>
      <c r="C1204" s="1448"/>
      <c r="D1204" s="1448"/>
      <c r="E1204" s="30">
        <v>30215971</v>
      </c>
      <c r="F1204" s="31" t="s">
        <v>1514</v>
      </c>
      <c r="G1204" s="1448"/>
      <c r="H1204" s="30">
        <v>30216858</v>
      </c>
      <c r="I1204" s="35">
        <v>7900</v>
      </c>
      <c r="J1204" s="64">
        <v>0.1</v>
      </c>
      <c r="K1204" s="1448"/>
      <c r="L1204" s="1448"/>
      <c r="M1204" s="1454"/>
      <c r="N1204" s="1461"/>
    </row>
    <row r="1205" spans="2:15" ht="16.5" customHeight="1">
      <c r="B1205" s="1448"/>
      <c r="C1205" s="1448"/>
      <c r="D1205" s="1448"/>
      <c r="E1205" s="30">
        <v>30207296</v>
      </c>
      <c r="F1205" s="31" t="s">
        <v>1515</v>
      </c>
      <c r="G1205" s="1448"/>
      <c r="H1205" s="30">
        <v>30216864</v>
      </c>
      <c r="I1205" s="35">
        <v>7900</v>
      </c>
      <c r="J1205" s="64">
        <v>0.1</v>
      </c>
      <c r="K1205" s="1448"/>
      <c r="L1205" s="1448"/>
      <c r="M1205" s="1454"/>
      <c r="N1205" s="1461"/>
    </row>
    <row r="1206" spans="2:15" ht="16.5" customHeight="1">
      <c r="B1206" s="1448"/>
      <c r="C1206" s="1448"/>
      <c r="D1206" s="1448"/>
      <c r="E1206" s="30">
        <v>30199825</v>
      </c>
      <c r="F1206" s="31" t="s">
        <v>1516</v>
      </c>
      <c r="G1206" s="1448"/>
      <c r="H1206" s="30">
        <v>30216868</v>
      </c>
      <c r="I1206" s="35">
        <v>7900</v>
      </c>
      <c r="J1206" s="64">
        <v>0.1</v>
      </c>
      <c r="K1206" s="1448"/>
      <c r="L1206" s="1448"/>
      <c r="M1206" s="1454"/>
      <c r="N1206" s="1461"/>
    </row>
    <row r="1207" spans="2:15" ht="16.5" customHeight="1">
      <c r="B1207" s="1448"/>
      <c r="C1207" s="1448"/>
      <c r="D1207" s="1448"/>
      <c r="E1207" s="30">
        <v>30199823</v>
      </c>
      <c r="F1207" s="31" t="s">
        <v>1517</v>
      </c>
      <c r="G1207" s="1448"/>
      <c r="H1207" s="30">
        <v>30216869</v>
      </c>
      <c r="I1207" s="35">
        <v>7900</v>
      </c>
      <c r="J1207" s="64">
        <v>0.1</v>
      </c>
      <c r="K1207" s="1448"/>
      <c r="L1207" s="1448"/>
      <c r="M1207" s="1454"/>
      <c r="N1207" s="1461"/>
    </row>
    <row r="1208" spans="2:15" ht="16.5" customHeight="1">
      <c r="B1208" s="1448"/>
      <c r="C1208" s="1448"/>
      <c r="D1208" s="1448"/>
      <c r="E1208" s="30">
        <v>30207338</v>
      </c>
      <c r="F1208" s="31" t="s">
        <v>1111</v>
      </c>
      <c r="G1208" s="1448"/>
      <c r="H1208" s="30">
        <v>30216883</v>
      </c>
      <c r="I1208" s="35">
        <v>6900</v>
      </c>
      <c r="J1208" s="64">
        <v>0.1</v>
      </c>
      <c r="K1208" s="1448"/>
      <c r="L1208" s="1448"/>
      <c r="M1208" s="1454"/>
      <c r="N1208" s="1461"/>
    </row>
    <row r="1209" spans="2:15" ht="16.5" customHeight="1">
      <c r="B1209" s="1448"/>
      <c r="C1209" s="1448">
        <v>2</v>
      </c>
      <c r="D1209" s="1448" t="s">
        <v>1518</v>
      </c>
      <c r="E1209" s="30">
        <v>47924683</v>
      </c>
      <c r="F1209" s="31" t="s">
        <v>1519</v>
      </c>
      <c r="G1209" s="1448" t="s">
        <v>1520</v>
      </c>
      <c r="H1209" s="30">
        <v>30212061</v>
      </c>
      <c r="I1209" s="35">
        <v>31900</v>
      </c>
      <c r="J1209" s="64">
        <v>0.15</v>
      </c>
      <c r="K1209" s="1451">
        <v>5</v>
      </c>
      <c r="L1209" s="1451">
        <f>I1210*5</f>
        <v>94500</v>
      </c>
      <c r="M1209" s="1454" t="s">
        <v>1521</v>
      </c>
      <c r="N1209" s="1461">
        <v>20250115042</v>
      </c>
    </row>
    <row r="1210" spans="2:15" ht="16.5" customHeight="1">
      <c r="B1210" s="1448"/>
      <c r="C1210" s="1448"/>
      <c r="D1210" s="1448"/>
      <c r="E1210" s="30">
        <v>30208068</v>
      </c>
      <c r="F1210" s="31" t="s">
        <v>1522</v>
      </c>
      <c r="G1210" s="1448"/>
      <c r="H1210" s="30">
        <v>30217002</v>
      </c>
      <c r="I1210" s="35">
        <v>18900</v>
      </c>
      <c r="J1210" s="64">
        <v>0.15</v>
      </c>
      <c r="K1210" s="1453"/>
      <c r="L1210" s="1453"/>
      <c r="M1210" s="1454"/>
      <c r="N1210" s="1461"/>
    </row>
    <row r="1211" spans="2:15" ht="16.5" customHeight="1">
      <c r="B1211" s="1451"/>
      <c r="C1211" s="210">
        <v>3</v>
      </c>
      <c r="D1211" s="210" t="s">
        <v>1523</v>
      </c>
      <c r="E1211" s="210">
        <v>72634784</v>
      </c>
      <c r="F1211" s="31" t="s">
        <v>1524</v>
      </c>
      <c r="G1211" s="30" t="s">
        <v>1524</v>
      </c>
      <c r="H1211" s="30">
        <v>30216930</v>
      </c>
      <c r="I1211" s="35">
        <v>49900</v>
      </c>
      <c r="J1211" s="64">
        <v>0.15</v>
      </c>
      <c r="K1211" s="30">
        <v>5</v>
      </c>
      <c r="L1211" s="30">
        <f>I1211*5</f>
        <v>249500</v>
      </c>
      <c r="M1211" s="31" t="s">
        <v>1525</v>
      </c>
      <c r="N1211" s="69">
        <v>20250115043</v>
      </c>
    </row>
    <row r="1212" spans="2:15" ht="16.5" customHeight="1">
      <c r="B1212" s="1448" t="s">
        <v>165</v>
      </c>
      <c r="C1212" s="1448">
        <v>1</v>
      </c>
      <c r="D1212" s="1448" t="s">
        <v>622</v>
      </c>
      <c r="E1212" s="30">
        <v>40636151</v>
      </c>
      <c r="F1212" s="31" t="s">
        <v>1526</v>
      </c>
      <c r="G1212" s="1448" t="s">
        <v>1527</v>
      </c>
      <c r="H1212" s="30">
        <v>30204917</v>
      </c>
      <c r="I1212" s="35">
        <v>13500</v>
      </c>
      <c r="J1212" s="64">
        <v>0.13</v>
      </c>
      <c r="K1212" s="1448">
        <v>5</v>
      </c>
      <c r="L1212" s="1448">
        <f>I1212*5</f>
        <v>67500</v>
      </c>
      <c r="M1212" s="1454" t="s">
        <v>1528</v>
      </c>
      <c r="N1212" s="1461">
        <v>20250115044</v>
      </c>
      <c r="O1212" s="4" t="s">
        <v>1529</v>
      </c>
    </row>
    <row r="1213" spans="2:15" ht="16.5" customHeight="1">
      <c r="B1213" s="1448"/>
      <c r="C1213" s="1448"/>
      <c r="D1213" s="1448"/>
      <c r="E1213" s="30">
        <v>40636150</v>
      </c>
      <c r="F1213" s="31" t="s">
        <v>1530</v>
      </c>
      <c r="G1213" s="1448"/>
      <c r="H1213" s="30">
        <v>30204919</v>
      </c>
      <c r="I1213" s="35">
        <v>15800</v>
      </c>
      <c r="J1213" s="64">
        <v>0.13</v>
      </c>
      <c r="K1213" s="1448"/>
      <c r="L1213" s="1448"/>
      <c r="M1213" s="1454"/>
      <c r="N1213" s="1461"/>
    </row>
    <row r="1214" spans="2:15" ht="16.5" customHeight="1">
      <c r="B1214" s="1448"/>
      <c r="C1214" s="1448"/>
      <c r="D1214" s="1448"/>
      <c r="E1214" s="30">
        <v>60265746</v>
      </c>
      <c r="F1214" s="31" t="s">
        <v>1531</v>
      </c>
      <c r="G1214" s="1448"/>
      <c r="H1214" s="30">
        <v>30204925</v>
      </c>
      <c r="I1214" s="35">
        <v>12400</v>
      </c>
      <c r="J1214" s="64">
        <v>0.13</v>
      </c>
      <c r="K1214" s="1448"/>
      <c r="L1214" s="1448"/>
      <c r="M1214" s="1454"/>
      <c r="N1214" s="1461"/>
    </row>
    <row r="1215" spans="2:15" ht="16.5" customHeight="1">
      <c r="B1215" s="1448"/>
      <c r="C1215" s="1448"/>
      <c r="D1215" s="1448"/>
      <c r="E1215" s="30">
        <v>40636146</v>
      </c>
      <c r="F1215" s="31" t="s">
        <v>1532</v>
      </c>
      <c r="G1215" s="1448"/>
      <c r="H1215" s="30">
        <v>30204927</v>
      </c>
      <c r="I1215" s="35">
        <v>13500</v>
      </c>
      <c r="J1215" s="64">
        <v>0.13</v>
      </c>
      <c r="K1215" s="1448"/>
      <c r="L1215" s="1448"/>
      <c r="M1215" s="1454"/>
      <c r="N1215" s="1461"/>
    </row>
    <row r="1216" spans="2:15" ht="16.5" customHeight="1">
      <c r="B1216" s="1448"/>
      <c r="C1216" s="1448"/>
      <c r="D1216" s="1448"/>
      <c r="E1216" s="30">
        <v>40636123</v>
      </c>
      <c r="F1216" s="31" t="s">
        <v>1533</v>
      </c>
      <c r="G1216" s="1448"/>
      <c r="H1216" s="30">
        <v>30204929</v>
      </c>
      <c r="I1216" s="35">
        <v>15800</v>
      </c>
      <c r="J1216" s="64">
        <v>0.13</v>
      </c>
      <c r="K1216" s="1448"/>
      <c r="L1216" s="1448"/>
      <c r="M1216" s="1454"/>
      <c r="N1216" s="1461"/>
    </row>
    <row r="1217" spans="2:14" ht="16.5" customHeight="1">
      <c r="B1217" s="1448"/>
      <c r="C1217" s="1448"/>
      <c r="D1217" s="1448"/>
      <c r="E1217" s="30">
        <v>40636329</v>
      </c>
      <c r="F1217" s="31" t="s">
        <v>1140</v>
      </c>
      <c r="G1217" s="1448"/>
      <c r="H1217" s="30">
        <v>30216936</v>
      </c>
      <c r="I1217" s="35">
        <v>30900</v>
      </c>
      <c r="J1217" s="64">
        <v>0.13</v>
      </c>
      <c r="K1217" s="1448"/>
      <c r="L1217" s="1448"/>
      <c r="M1217" s="1454"/>
      <c r="N1217" s="1461"/>
    </row>
    <row r="1218" spans="2:14" ht="16.5" customHeight="1">
      <c r="B1218" s="1448"/>
      <c r="C1218" s="1448"/>
      <c r="D1218" s="1448"/>
      <c r="E1218" s="30">
        <v>40636328</v>
      </c>
      <c r="F1218" s="31" t="s">
        <v>1534</v>
      </c>
      <c r="G1218" s="1448"/>
      <c r="H1218" s="30">
        <v>30216937</v>
      </c>
      <c r="I1218" s="35">
        <v>39600</v>
      </c>
      <c r="J1218" s="64">
        <v>0.13</v>
      </c>
      <c r="K1218" s="1448"/>
      <c r="L1218" s="1448"/>
      <c r="M1218" s="1454"/>
      <c r="N1218" s="1461"/>
    </row>
    <row r="1219" spans="2:14" ht="16.5" customHeight="1">
      <c r="B1219" s="1448"/>
      <c r="C1219" s="1448"/>
      <c r="D1219" s="1448"/>
      <c r="E1219" s="30">
        <v>44649590</v>
      </c>
      <c r="F1219" s="31" t="s">
        <v>1145</v>
      </c>
      <c r="G1219" s="1448"/>
      <c r="H1219" s="30">
        <v>30203831</v>
      </c>
      <c r="I1219" s="35">
        <v>21300</v>
      </c>
      <c r="J1219" s="64">
        <v>0.13</v>
      </c>
      <c r="K1219" s="1448"/>
      <c r="L1219" s="1448"/>
      <c r="M1219" s="1454"/>
      <c r="N1219" s="1461"/>
    </row>
    <row r="1220" spans="2:14" ht="16.5" customHeight="1">
      <c r="B1220" s="1448"/>
      <c r="C1220" s="1448"/>
      <c r="D1220" s="1448"/>
      <c r="E1220" s="30">
        <v>44649598</v>
      </c>
      <c r="F1220" s="31" t="s">
        <v>1146</v>
      </c>
      <c r="G1220" s="1448"/>
      <c r="H1220" s="30">
        <v>30203835</v>
      </c>
      <c r="I1220" s="35">
        <v>25900</v>
      </c>
      <c r="J1220" s="64">
        <v>0.13</v>
      </c>
      <c r="K1220" s="1448"/>
      <c r="L1220" s="1448"/>
      <c r="M1220" s="1454"/>
      <c r="N1220" s="1461"/>
    </row>
    <row r="1221" spans="2:14" ht="16.5" customHeight="1">
      <c r="B1221" s="1448"/>
      <c r="C1221" s="1448"/>
      <c r="D1221" s="1448"/>
      <c r="E1221" s="30">
        <v>48867652</v>
      </c>
      <c r="F1221" s="31" t="s">
        <v>1147</v>
      </c>
      <c r="G1221" s="1448"/>
      <c r="H1221" s="30">
        <v>30216938</v>
      </c>
      <c r="I1221" s="35">
        <v>18900</v>
      </c>
      <c r="J1221" s="64">
        <v>0.13</v>
      </c>
      <c r="K1221" s="1448"/>
      <c r="L1221" s="1448"/>
      <c r="M1221" s="1454"/>
      <c r="N1221" s="1461"/>
    </row>
    <row r="1222" spans="2:14" ht="16.5" customHeight="1">
      <c r="B1222" s="1448"/>
      <c r="C1222" s="1448"/>
      <c r="D1222" s="1448"/>
      <c r="E1222" s="30">
        <v>48867651</v>
      </c>
      <c r="F1222" s="31" t="s">
        <v>1148</v>
      </c>
      <c r="G1222" s="1448"/>
      <c r="H1222" s="30">
        <v>30216939</v>
      </c>
      <c r="I1222" s="35">
        <v>23300</v>
      </c>
      <c r="J1222" s="64">
        <v>0.13</v>
      </c>
      <c r="K1222" s="1448"/>
      <c r="L1222" s="1448"/>
      <c r="M1222" s="1454"/>
      <c r="N1222" s="1461"/>
    </row>
    <row r="1223" spans="2:14" ht="16.5" customHeight="1">
      <c r="B1223" s="1448"/>
      <c r="C1223" s="1448"/>
      <c r="D1223" s="1448"/>
      <c r="E1223" s="30">
        <v>73546886</v>
      </c>
      <c r="F1223" s="31" t="s">
        <v>1149</v>
      </c>
      <c r="G1223" s="1448"/>
      <c r="H1223" s="30">
        <v>30216940</v>
      </c>
      <c r="I1223" s="35">
        <v>35600</v>
      </c>
      <c r="J1223" s="64">
        <v>0.13</v>
      </c>
      <c r="K1223" s="1448"/>
      <c r="L1223" s="1448"/>
      <c r="M1223" s="1454"/>
      <c r="N1223" s="1461"/>
    </row>
    <row r="1224" spans="2:14" ht="16.5" customHeight="1">
      <c r="B1224" s="1448"/>
      <c r="C1224" s="1448"/>
      <c r="D1224" s="1448"/>
      <c r="E1224" s="30">
        <v>73546885</v>
      </c>
      <c r="F1224" s="31" t="s">
        <v>1150</v>
      </c>
      <c r="G1224" s="1448"/>
      <c r="H1224" s="30">
        <v>30216942</v>
      </c>
      <c r="I1224" s="35">
        <v>40900</v>
      </c>
      <c r="J1224" s="64">
        <v>0.13</v>
      </c>
      <c r="K1224" s="1448"/>
      <c r="L1224" s="1448"/>
      <c r="M1224" s="1454"/>
      <c r="N1224" s="1461"/>
    </row>
    <row r="1225" spans="2:14" ht="16.5" customHeight="1">
      <c r="B1225" s="1448"/>
      <c r="C1225" s="1448"/>
      <c r="D1225" s="1448"/>
      <c r="E1225" s="30">
        <v>73546887</v>
      </c>
      <c r="F1225" s="31" t="s">
        <v>1535</v>
      </c>
      <c r="G1225" s="1448"/>
      <c r="H1225" s="30">
        <v>30216947</v>
      </c>
      <c r="I1225" s="35">
        <v>42300</v>
      </c>
      <c r="J1225" s="64">
        <v>0.13</v>
      </c>
      <c r="K1225" s="1448"/>
      <c r="L1225" s="1448"/>
      <c r="M1225" s="1454"/>
      <c r="N1225" s="1461"/>
    </row>
    <row r="1226" spans="2:14" ht="16.5" customHeight="1">
      <c r="B1226" s="1448"/>
      <c r="C1226" s="1448"/>
      <c r="D1226" s="1448"/>
      <c r="E1226" s="30">
        <v>73546906</v>
      </c>
      <c r="F1226" s="31" t="s">
        <v>1536</v>
      </c>
      <c r="G1226" s="1448"/>
      <c r="H1226" s="30">
        <v>30216954</v>
      </c>
      <c r="I1226" s="35">
        <v>54600</v>
      </c>
      <c r="J1226" s="64">
        <v>0.13</v>
      </c>
      <c r="K1226" s="1448"/>
      <c r="L1226" s="1448"/>
      <c r="M1226" s="1454"/>
      <c r="N1226" s="1461"/>
    </row>
    <row r="1227" spans="2:14" ht="16.5" customHeight="1">
      <c r="B1227" s="1448"/>
      <c r="C1227" s="1448"/>
      <c r="D1227" s="1448"/>
      <c r="E1227" s="30">
        <v>73547014</v>
      </c>
      <c r="F1227" s="31" t="s">
        <v>1153</v>
      </c>
      <c r="G1227" s="1448"/>
      <c r="H1227" s="30">
        <v>30216956</v>
      </c>
      <c r="I1227" s="35">
        <v>63300</v>
      </c>
      <c r="J1227" s="64">
        <v>0.13</v>
      </c>
      <c r="K1227" s="1448"/>
      <c r="L1227" s="1448"/>
      <c r="M1227" s="1454"/>
      <c r="N1227" s="1461"/>
    </row>
    <row r="1228" spans="2:14" ht="16.5" customHeight="1">
      <c r="B1228" s="1448"/>
      <c r="C1228" s="1448"/>
      <c r="D1228" s="1448"/>
      <c r="E1228" s="30">
        <v>73547094</v>
      </c>
      <c r="F1228" s="31" t="s">
        <v>1154</v>
      </c>
      <c r="G1228" s="1448"/>
      <c r="H1228" s="30">
        <v>30216960</v>
      </c>
      <c r="I1228" s="35">
        <v>78900</v>
      </c>
      <c r="J1228" s="64">
        <v>0.13</v>
      </c>
      <c r="K1228" s="1448"/>
      <c r="L1228" s="1448"/>
      <c r="M1228" s="1454"/>
      <c r="N1228" s="1461"/>
    </row>
    <row r="1229" spans="2:14" ht="16.5" customHeight="1">
      <c r="B1229" s="1448"/>
      <c r="C1229" s="1448"/>
      <c r="D1229" s="1448"/>
      <c r="E1229" s="30">
        <v>59261592</v>
      </c>
      <c r="F1229" s="31" t="s">
        <v>1537</v>
      </c>
      <c r="G1229" s="1448"/>
      <c r="H1229" s="30">
        <v>30216966</v>
      </c>
      <c r="I1229" s="35">
        <v>28900</v>
      </c>
      <c r="J1229" s="64">
        <v>0.13</v>
      </c>
      <c r="K1229" s="1448"/>
      <c r="L1229" s="1448"/>
      <c r="M1229" s="1454"/>
      <c r="N1229" s="1461"/>
    </row>
    <row r="1230" spans="2:14" ht="16.5" customHeight="1">
      <c r="B1230" s="1448"/>
      <c r="C1230" s="1448"/>
      <c r="D1230" s="1448"/>
      <c r="E1230" s="30">
        <v>59261607</v>
      </c>
      <c r="F1230" s="31" t="s">
        <v>1538</v>
      </c>
      <c r="G1230" s="1448"/>
      <c r="H1230" s="30">
        <v>30216969</v>
      </c>
      <c r="I1230" s="35">
        <v>32300</v>
      </c>
      <c r="J1230" s="64">
        <v>0.13</v>
      </c>
      <c r="K1230" s="1448"/>
      <c r="L1230" s="1448"/>
      <c r="M1230" s="1454"/>
      <c r="N1230" s="1461"/>
    </row>
    <row r="1231" spans="2:14" ht="16.5" customHeight="1">
      <c r="B1231" s="1448"/>
      <c r="C1231" s="1448"/>
      <c r="D1231" s="1448"/>
      <c r="E1231" s="30">
        <v>60559967</v>
      </c>
      <c r="F1231" s="31" t="s">
        <v>1539</v>
      </c>
      <c r="G1231" s="1448"/>
      <c r="H1231" s="30">
        <v>30205983</v>
      </c>
      <c r="I1231" s="35">
        <v>23900</v>
      </c>
      <c r="J1231" s="64">
        <v>0.13</v>
      </c>
      <c r="K1231" s="1448"/>
      <c r="L1231" s="1448"/>
      <c r="M1231" s="1454"/>
      <c r="N1231" s="1461"/>
    </row>
    <row r="1232" spans="2:14" ht="16.5" customHeight="1">
      <c r="B1232" s="1448"/>
      <c r="C1232" s="1448"/>
      <c r="D1232" s="1448"/>
      <c r="E1232" s="30">
        <v>60560036</v>
      </c>
      <c r="F1232" s="31" t="s">
        <v>1540</v>
      </c>
      <c r="G1232" s="1448"/>
      <c r="H1232" s="30">
        <v>30203842</v>
      </c>
      <c r="I1232" s="35">
        <v>27900</v>
      </c>
      <c r="J1232" s="64">
        <v>0.13</v>
      </c>
      <c r="K1232" s="1448"/>
      <c r="L1232" s="1448"/>
      <c r="M1232" s="1454"/>
      <c r="N1232" s="1461"/>
    </row>
    <row r="1233" spans="2:14" ht="16.5" customHeight="1">
      <c r="B1233" s="1448"/>
      <c r="C1233" s="1448">
        <v>2</v>
      </c>
      <c r="D1233" s="1448" t="s">
        <v>1541</v>
      </c>
      <c r="E1233" s="30">
        <v>60354273</v>
      </c>
      <c r="F1233" s="31" t="s">
        <v>1542</v>
      </c>
      <c r="G1233" s="1448" t="s">
        <v>1543</v>
      </c>
      <c r="H1233" s="30">
        <v>30210559</v>
      </c>
      <c r="I1233" s="35">
        <v>29900</v>
      </c>
      <c r="J1233" s="64">
        <v>0.13</v>
      </c>
      <c r="K1233" s="1448">
        <v>5</v>
      </c>
      <c r="L1233" s="1448">
        <f>I1233*5</f>
        <v>149500</v>
      </c>
      <c r="M1233" s="1454" t="s">
        <v>1544</v>
      </c>
      <c r="N1233" s="1461">
        <v>20250115045</v>
      </c>
    </row>
    <row r="1234" spans="2:14" ht="16.5" customHeight="1">
      <c r="B1234" s="1448"/>
      <c r="C1234" s="1448"/>
      <c r="D1234" s="1448"/>
      <c r="E1234" s="30">
        <v>60354263</v>
      </c>
      <c r="F1234" s="31" t="s">
        <v>1545</v>
      </c>
      <c r="G1234" s="1448"/>
      <c r="H1234" s="30">
        <v>30210563</v>
      </c>
      <c r="I1234" s="35">
        <v>39900</v>
      </c>
      <c r="J1234" s="64">
        <v>0.13</v>
      </c>
      <c r="K1234" s="1448"/>
      <c r="L1234" s="1448"/>
      <c r="M1234" s="1454"/>
      <c r="N1234" s="1461"/>
    </row>
    <row r="1235" spans="2:14" ht="16.5" customHeight="1">
      <c r="B1235" s="1448"/>
      <c r="C1235" s="1448">
        <v>3</v>
      </c>
      <c r="D1235" s="1448" t="s">
        <v>1546</v>
      </c>
      <c r="E1235" s="30">
        <v>58089270</v>
      </c>
      <c r="F1235" s="31" t="s">
        <v>1547</v>
      </c>
      <c r="G1235" s="1448" t="s">
        <v>1548</v>
      </c>
      <c r="H1235" s="30">
        <v>30216989</v>
      </c>
      <c r="I1235" s="35">
        <v>39900</v>
      </c>
      <c r="J1235" s="64">
        <v>0.13</v>
      </c>
      <c r="K1235" s="1448">
        <v>5</v>
      </c>
      <c r="L1235" s="1448">
        <f>I1235*5</f>
        <v>199500</v>
      </c>
      <c r="M1235" s="1454" t="s">
        <v>1549</v>
      </c>
      <c r="N1235" s="1461">
        <v>20250115046</v>
      </c>
    </row>
    <row r="1236" spans="2:14" ht="16.5" customHeight="1">
      <c r="B1236" s="1448"/>
      <c r="C1236" s="1448"/>
      <c r="D1236" s="1448"/>
      <c r="E1236" s="30">
        <v>58089257</v>
      </c>
      <c r="F1236" s="31" t="s">
        <v>1550</v>
      </c>
      <c r="G1236" s="1448"/>
      <c r="H1236" s="30">
        <v>30216990</v>
      </c>
      <c r="I1236" s="35">
        <v>55900</v>
      </c>
      <c r="J1236" s="64">
        <v>0.13</v>
      </c>
      <c r="K1236" s="1448"/>
      <c r="L1236" s="1448"/>
      <c r="M1236" s="1454"/>
      <c r="N1236" s="1461"/>
    </row>
    <row r="1237" spans="2:14" ht="16.5" customHeight="1">
      <c r="B1237" s="1448"/>
      <c r="C1237" s="1448"/>
      <c r="D1237" s="1448"/>
      <c r="E1237" s="30">
        <v>58089263</v>
      </c>
      <c r="F1237" s="31" t="s">
        <v>1551</v>
      </c>
      <c r="G1237" s="1448"/>
      <c r="H1237" s="30">
        <v>30216992</v>
      </c>
      <c r="I1237" s="35">
        <v>69900</v>
      </c>
      <c r="J1237" s="64">
        <v>0.13</v>
      </c>
      <c r="K1237" s="1448"/>
      <c r="L1237" s="1448"/>
      <c r="M1237" s="1454"/>
      <c r="N1237" s="1461"/>
    </row>
    <row r="1238" spans="2:14" ht="16.5" customHeight="1">
      <c r="B1238" s="1448"/>
      <c r="C1238" s="1448"/>
      <c r="D1238" s="1448"/>
      <c r="E1238" s="30">
        <v>76362965</v>
      </c>
      <c r="F1238" s="31" t="s">
        <v>1552</v>
      </c>
      <c r="G1238" s="1448"/>
      <c r="H1238" s="30">
        <v>30216993</v>
      </c>
      <c r="I1238" s="35">
        <v>64900</v>
      </c>
      <c r="J1238" s="64">
        <v>0.13</v>
      </c>
      <c r="K1238" s="1448"/>
      <c r="L1238" s="1448"/>
      <c r="M1238" s="1454"/>
      <c r="N1238" s="1461"/>
    </row>
    <row r="1239" spans="2:14" ht="16.5" customHeight="1">
      <c r="B1239" s="1448"/>
      <c r="C1239" s="1448"/>
      <c r="D1239" s="1448"/>
      <c r="E1239" s="30">
        <v>58089471</v>
      </c>
      <c r="F1239" s="31" t="s">
        <v>1553</v>
      </c>
      <c r="G1239" s="1448"/>
      <c r="H1239" s="30">
        <v>30216994</v>
      </c>
      <c r="I1239" s="35">
        <v>75900</v>
      </c>
      <c r="J1239" s="64">
        <v>0.13</v>
      </c>
      <c r="K1239" s="1448"/>
      <c r="L1239" s="1448"/>
      <c r="M1239" s="1454"/>
      <c r="N1239" s="1461"/>
    </row>
    <row r="1240" spans="2:14" ht="16.5" customHeight="1">
      <c r="B1240" s="1448"/>
      <c r="C1240" s="1448">
        <v>4</v>
      </c>
      <c r="D1240" s="1448" t="s">
        <v>166</v>
      </c>
      <c r="E1240" s="30">
        <v>30173887</v>
      </c>
      <c r="F1240" s="31" t="s">
        <v>167</v>
      </c>
      <c r="G1240" s="1448" t="s">
        <v>168</v>
      </c>
      <c r="H1240" s="30">
        <v>30204890</v>
      </c>
      <c r="I1240" s="35">
        <v>49900</v>
      </c>
      <c r="J1240" s="64">
        <v>0.05</v>
      </c>
      <c r="K1240" s="1448">
        <v>5</v>
      </c>
      <c r="L1240" s="1459">
        <v>249500</v>
      </c>
      <c r="M1240" s="1454" t="s">
        <v>169</v>
      </c>
      <c r="N1240" s="1461">
        <v>20250115047</v>
      </c>
    </row>
    <row r="1241" spans="2:14" ht="16.5" customHeight="1">
      <c r="B1241" s="1448"/>
      <c r="C1241" s="1448"/>
      <c r="D1241" s="1448"/>
      <c r="E1241" s="30">
        <v>30173888</v>
      </c>
      <c r="F1241" s="31" t="s">
        <v>170</v>
      </c>
      <c r="G1241" s="1448"/>
      <c r="H1241" s="30">
        <v>30204892</v>
      </c>
      <c r="I1241" s="35">
        <v>49900</v>
      </c>
      <c r="J1241" s="64">
        <v>0.05</v>
      </c>
      <c r="K1241" s="1448"/>
      <c r="L1241" s="1459"/>
      <c r="M1241" s="1454"/>
      <c r="N1241" s="1461"/>
    </row>
    <row r="1242" spans="2:14" ht="16.5" customHeight="1">
      <c r="B1242" s="1448"/>
      <c r="C1242" s="1448"/>
      <c r="D1242" s="1448"/>
      <c r="E1242" s="30">
        <v>30173890</v>
      </c>
      <c r="F1242" s="31" t="s">
        <v>171</v>
      </c>
      <c r="G1242" s="1448"/>
      <c r="H1242" s="30">
        <v>30204894</v>
      </c>
      <c r="I1242" s="35">
        <v>39900</v>
      </c>
      <c r="J1242" s="64">
        <v>0.05</v>
      </c>
      <c r="K1242" s="1448"/>
      <c r="L1242" s="1459"/>
      <c r="M1242" s="1454"/>
      <c r="N1242" s="1461"/>
    </row>
    <row r="1243" spans="2:14" ht="16.5" customHeight="1">
      <c r="B1243" s="1451"/>
      <c r="C1243" s="1451"/>
      <c r="D1243" s="1451"/>
      <c r="E1243" s="210">
        <v>30173893</v>
      </c>
      <c r="F1243" s="221" t="s">
        <v>172</v>
      </c>
      <c r="G1243" s="1451"/>
      <c r="H1243" s="210">
        <v>30204895</v>
      </c>
      <c r="I1243" s="368">
        <v>39900</v>
      </c>
      <c r="J1243" s="369">
        <v>0.05</v>
      </c>
      <c r="K1243" s="1451"/>
      <c r="L1243" s="1624"/>
      <c r="M1243" s="1512"/>
      <c r="N1243" s="1445"/>
    </row>
    <row r="1244" spans="2:14" ht="16.5" customHeight="1">
      <c r="B1244" s="1462" t="s">
        <v>185</v>
      </c>
      <c r="C1244" s="1618">
        <v>1</v>
      </c>
      <c r="D1244" s="1618" t="s">
        <v>1554</v>
      </c>
      <c r="E1244" s="198" t="s">
        <v>1555</v>
      </c>
      <c r="F1244" s="371" t="s">
        <v>1556</v>
      </c>
      <c r="G1244" s="1618" t="s">
        <v>1557</v>
      </c>
      <c r="H1244" s="30">
        <v>30217148</v>
      </c>
      <c r="I1244" s="35">
        <v>32000</v>
      </c>
      <c r="J1244" s="64">
        <v>0.1</v>
      </c>
      <c r="K1244" s="1618">
        <v>5</v>
      </c>
      <c r="L1244" s="1619">
        <v>160000</v>
      </c>
      <c r="M1244" s="1458" t="s">
        <v>1558</v>
      </c>
      <c r="N1244" s="1461">
        <v>20250115048</v>
      </c>
    </row>
    <row r="1245" spans="2:14" ht="16.5" customHeight="1">
      <c r="B1245" s="1462"/>
      <c r="C1245" s="1618"/>
      <c r="D1245" s="1618"/>
      <c r="E1245" s="198">
        <v>76370332</v>
      </c>
      <c r="F1245" s="371" t="s">
        <v>1559</v>
      </c>
      <c r="G1245" s="1618"/>
      <c r="H1245" s="30">
        <v>30216955</v>
      </c>
      <c r="I1245" s="35">
        <v>24000</v>
      </c>
      <c r="J1245" s="64">
        <v>0.1</v>
      </c>
      <c r="K1245" s="1618"/>
      <c r="L1245" s="1618"/>
      <c r="M1245" s="1618"/>
      <c r="N1245" s="1461"/>
    </row>
    <row r="1246" spans="2:14" ht="16.5" customHeight="1">
      <c r="B1246" s="1462"/>
      <c r="C1246" s="1618">
        <v>2</v>
      </c>
      <c r="D1246" s="1618" t="s">
        <v>1554</v>
      </c>
      <c r="E1246" s="198">
        <v>59364672</v>
      </c>
      <c r="F1246" s="371" t="s">
        <v>1560</v>
      </c>
      <c r="G1246" s="1618" t="s">
        <v>1560</v>
      </c>
      <c r="H1246" s="30">
        <v>30185514</v>
      </c>
      <c r="I1246" s="35">
        <v>8900</v>
      </c>
      <c r="J1246" s="64">
        <v>0.1</v>
      </c>
      <c r="K1246" s="1618">
        <v>5</v>
      </c>
      <c r="L1246" s="1619">
        <v>44500</v>
      </c>
      <c r="M1246" s="1458" t="s">
        <v>1561</v>
      </c>
      <c r="N1246" s="1461">
        <v>20250115049</v>
      </c>
    </row>
    <row r="1247" spans="2:14" ht="16.5" customHeight="1">
      <c r="B1247" s="1462"/>
      <c r="C1247" s="1618"/>
      <c r="D1247" s="1618"/>
      <c r="E1247" s="198">
        <v>30113701</v>
      </c>
      <c r="F1247" s="371" t="s">
        <v>1562</v>
      </c>
      <c r="G1247" s="1618"/>
      <c r="H1247" s="30">
        <v>30216957</v>
      </c>
      <c r="I1247" s="35">
        <v>27000</v>
      </c>
      <c r="J1247" s="64">
        <v>0.1</v>
      </c>
      <c r="K1247" s="1618"/>
      <c r="L1247" s="1618"/>
      <c r="M1247" s="1618"/>
      <c r="N1247" s="1461"/>
    </row>
    <row r="1248" spans="2:14" ht="16.5" customHeight="1">
      <c r="B1248" s="1462"/>
      <c r="C1248" s="1618"/>
      <c r="D1248" s="1618"/>
      <c r="E1248" s="198">
        <v>30113710</v>
      </c>
      <c r="F1248" s="371" t="s">
        <v>1563</v>
      </c>
      <c r="G1248" s="1618"/>
      <c r="H1248" s="30">
        <v>30216958</v>
      </c>
      <c r="I1248" s="35">
        <v>75000</v>
      </c>
      <c r="J1248" s="64">
        <v>0.1</v>
      </c>
      <c r="K1248" s="1618"/>
      <c r="L1248" s="1618"/>
      <c r="M1248" s="1618"/>
      <c r="N1248" s="1461"/>
    </row>
    <row r="1249" spans="2:14" ht="16.5" customHeight="1">
      <c r="B1249" s="1462"/>
      <c r="C1249" s="1618"/>
      <c r="D1249" s="1618"/>
      <c r="E1249" s="198">
        <v>59364672</v>
      </c>
      <c r="F1249" s="371" t="s">
        <v>1564</v>
      </c>
      <c r="G1249" s="1618"/>
      <c r="H1249" s="30">
        <v>30216959</v>
      </c>
      <c r="I1249" s="35">
        <v>35000</v>
      </c>
      <c r="J1249" s="64">
        <v>0.1</v>
      </c>
      <c r="K1249" s="1618"/>
      <c r="L1249" s="1618"/>
      <c r="M1249" s="1618"/>
      <c r="N1249" s="1461"/>
    </row>
    <row r="1250" spans="2:14" ht="16.5" customHeight="1">
      <c r="B1250" s="1462"/>
      <c r="C1250" s="1618"/>
      <c r="D1250" s="1618"/>
      <c r="E1250" s="198">
        <v>30113714</v>
      </c>
      <c r="F1250" s="371" t="s">
        <v>1565</v>
      </c>
      <c r="G1250" s="1618"/>
      <c r="H1250" s="30">
        <v>30216961</v>
      </c>
      <c r="I1250" s="35">
        <v>65000</v>
      </c>
      <c r="J1250" s="64">
        <v>0.1</v>
      </c>
      <c r="K1250" s="1618"/>
      <c r="L1250" s="1618"/>
      <c r="M1250" s="1618"/>
      <c r="N1250" s="1461"/>
    </row>
    <row r="1251" spans="2:14" ht="16.5" customHeight="1">
      <c r="B1251" s="1462"/>
      <c r="C1251" s="1618">
        <v>3</v>
      </c>
      <c r="D1251" s="1618" t="s">
        <v>1554</v>
      </c>
      <c r="E1251" s="198" t="s">
        <v>1555</v>
      </c>
      <c r="F1251" s="371" t="s">
        <v>1566</v>
      </c>
      <c r="G1251" s="1618" t="s">
        <v>1567</v>
      </c>
      <c r="H1251" s="30">
        <v>30217145</v>
      </c>
      <c r="I1251" s="35">
        <v>7900</v>
      </c>
      <c r="J1251" s="64">
        <v>0.1</v>
      </c>
      <c r="K1251" s="1618">
        <v>5</v>
      </c>
      <c r="L1251" s="1619">
        <v>39500</v>
      </c>
      <c r="M1251" s="1458" t="s">
        <v>1568</v>
      </c>
      <c r="N1251" s="1461">
        <v>20250115050</v>
      </c>
    </row>
    <row r="1252" spans="2:14" ht="16.5" customHeight="1">
      <c r="B1252" s="1462"/>
      <c r="C1252" s="1618"/>
      <c r="D1252" s="1618"/>
      <c r="E1252" s="198" t="s">
        <v>1555</v>
      </c>
      <c r="F1252" s="371" t="s">
        <v>1569</v>
      </c>
      <c r="G1252" s="1618"/>
      <c r="H1252" s="30">
        <v>30217073</v>
      </c>
      <c r="I1252" s="35">
        <v>7900</v>
      </c>
      <c r="J1252" s="64">
        <v>0.1</v>
      </c>
      <c r="K1252" s="1618"/>
      <c r="L1252" s="1618"/>
      <c r="M1252" s="1618"/>
      <c r="N1252" s="1461"/>
    </row>
    <row r="1253" spans="2:14" ht="16.5" customHeight="1">
      <c r="B1253" s="1462"/>
      <c r="C1253" s="1618"/>
      <c r="D1253" s="1618"/>
      <c r="E1253" s="198">
        <v>30185518</v>
      </c>
      <c r="F1253" s="371" t="s">
        <v>1570</v>
      </c>
      <c r="G1253" s="1618"/>
      <c r="H1253" s="30">
        <v>30185518</v>
      </c>
      <c r="I1253" s="35">
        <v>7900</v>
      </c>
      <c r="J1253" s="64">
        <v>0.1</v>
      </c>
      <c r="K1253" s="1618"/>
      <c r="L1253" s="1618"/>
      <c r="M1253" s="1618"/>
      <c r="N1253" s="1461"/>
    </row>
    <row r="1254" spans="2:14" ht="16.5" customHeight="1">
      <c r="B1254" s="1462"/>
      <c r="C1254" s="1618"/>
      <c r="D1254" s="1618"/>
      <c r="E1254" s="198">
        <v>30138689</v>
      </c>
      <c r="F1254" s="371" t="s">
        <v>1571</v>
      </c>
      <c r="G1254" s="1618"/>
      <c r="H1254" s="30">
        <v>30216963</v>
      </c>
      <c r="I1254" s="35">
        <v>7900</v>
      </c>
      <c r="J1254" s="64">
        <v>0.1</v>
      </c>
      <c r="K1254" s="1618"/>
      <c r="L1254" s="1618"/>
      <c r="M1254" s="1618"/>
      <c r="N1254" s="1461"/>
    </row>
    <row r="1255" spans="2:14" ht="16.5" customHeight="1">
      <c r="B1255" s="1462"/>
      <c r="C1255" s="1618"/>
      <c r="D1255" s="1618"/>
      <c r="E1255" s="198" t="s">
        <v>1555</v>
      </c>
      <c r="F1255" s="371" t="s">
        <v>1572</v>
      </c>
      <c r="G1255" s="1618"/>
      <c r="H1255" s="30">
        <v>30217076</v>
      </c>
      <c r="I1255" s="35">
        <v>7900</v>
      </c>
      <c r="J1255" s="64">
        <v>0.1</v>
      </c>
      <c r="K1255" s="1618"/>
      <c r="L1255" s="1618"/>
      <c r="M1255" s="1618"/>
      <c r="N1255" s="1461"/>
    </row>
    <row r="1256" spans="2:14" ht="16.5" customHeight="1">
      <c r="B1256" s="1462"/>
      <c r="C1256" s="1618"/>
      <c r="D1256" s="1618"/>
      <c r="E1256" s="198">
        <v>30138696</v>
      </c>
      <c r="F1256" s="371" t="s">
        <v>1573</v>
      </c>
      <c r="G1256" s="1618"/>
      <c r="H1256" s="30">
        <v>30216964</v>
      </c>
      <c r="I1256" s="35">
        <v>7900</v>
      </c>
      <c r="J1256" s="64">
        <v>0.1</v>
      </c>
      <c r="K1256" s="1618"/>
      <c r="L1256" s="1618"/>
      <c r="M1256" s="1618"/>
      <c r="N1256" s="1461"/>
    </row>
    <row r="1257" spans="2:14" ht="16.5" customHeight="1">
      <c r="B1257" s="1462"/>
      <c r="C1257" s="1618"/>
      <c r="D1257" s="1618"/>
      <c r="E1257" s="198">
        <v>30179609</v>
      </c>
      <c r="F1257" s="371" t="s">
        <v>1574</v>
      </c>
      <c r="G1257" s="1618"/>
      <c r="H1257" s="30">
        <v>30179609</v>
      </c>
      <c r="I1257" s="35">
        <v>7900</v>
      </c>
      <c r="J1257" s="64">
        <v>0.1</v>
      </c>
      <c r="K1257" s="1618"/>
      <c r="L1257" s="1618"/>
      <c r="M1257" s="1618"/>
      <c r="N1257" s="1461"/>
    </row>
    <row r="1258" spans="2:14" ht="16.5" customHeight="1">
      <c r="B1258" s="1462"/>
      <c r="C1258" s="1618"/>
      <c r="D1258" s="1618"/>
      <c r="E1258" s="198">
        <v>55525799</v>
      </c>
      <c r="F1258" s="371" t="s">
        <v>1575</v>
      </c>
      <c r="G1258" s="1618"/>
      <c r="H1258" s="30">
        <v>30216967</v>
      </c>
      <c r="I1258" s="35">
        <v>7900</v>
      </c>
      <c r="J1258" s="64">
        <v>0.1</v>
      </c>
      <c r="K1258" s="1618"/>
      <c r="L1258" s="1618"/>
      <c r="M1258" s="1618"/>
      <c r="N1258" s="1461"/>
    </row>
    <row r="1259" spans="2:14" ht="16.5" customHeight="1">
      <c r="B1259" s="1462"/>
      <c r="C1259" s="1618"/>
      <c r="D1259" s="1618"/>
      <c r="E1259" s="198">
        <v>56125987</v>
      </c>
      <c r="F1259" s="371" t="s">
        <v>1576</v>
      </c>
      <c r="G1259" s="1618"/>
      <c r="H1259" s="30">
        <v>30216968</v>
      </c>
      <c r="I1259" s="35">
        <v>7900</v>
      </c>
      <c r="J1259" s="64">
        <v>0.1</v>
      </c>
      <c r="K1259" s="1618"/>
      <c r="L1259" s="1618"/>
      <c r="M1259" s="1618"/>
      <c r="N1259" s="1461"/>
    </row>
    <row r="1260" spans="2:14" ht="16.5" customHeight="1">
      <c r="B1260" s="1462"/>
      <c r="C1260" s="1618"/>
      <c r="D1260" s="1618"/>
      <c r="E1260" s="198">
        <v>30177742</v>
      </c>
      <c r="F1260" s="371" t="s">
        <v>1577</v>
      </c>
      <c r="G1260" s="1618"/>
      <c r="H1260" s="30">
        <v>30177742</v>
      </c>
      <c r="I1260" s="35">
        <v>7900</v>
      </c>
      <c r="J1260" s="64">
        <v>0.1</v>
      </c>
      <c r="K1260" s="1618"/>
      <c r="L1260" s="1618"/>
      <c r="M1260" s="1618"/>
      <c r="N1260" s="1461"/>
    </row>
    <row r="1261" spans="2:14" ht="16.5" customHeight="1">
      <c r="B1261" s="1462"/>
      <c r="C1261" s="1618"/>
      <c r="D1261" s="1618"/>
      <c r="E1261" s="198" t="s">
        <v>1555</v>
      </c>
      <c r="F1261" s="371" t="s">
        <v>1578</v>
      </c>
      <c r="G1261" s="1618"/>
      <c r="H1261" s="30">
        <v>30217080</v>
      </c>
      <c r="I1261" s="35">
        <v>7900</v>
      </c>
      <c r="J1261" s="64">
        <v>0.1</v>
      </c>
      <c r="K1261" s="1618"/>
      <c r="L1261" s="1618"/>
      <c r="M1261" s="1618"/>
      <c r="N1261" s="1461"/>
    </row>
    <row r="1262" spans="2:14" ht="16.5" customHeight="1">
      <c r="B1262" s="1462"/>
      <c r="C1262" s="1618"/>
      <c r="D1262" s="1618"/>
      <c r="E1262" s="198">
        <v>59364949</v>
      </c>
      <c r="F1262" s="371" t="s">
        <v>1579</v>
      </c>
      <c r="G1262" s="1618"/>
      <c r="H1262" s="30">
        <v>30216979</v>
      </c>
      <c r="I1262" s="35">
        <v>7900</v>
      </c>
      <c r="J1262" s="64">
        <v>0.1</v>
      </c>
      <c r="K1262" s="1618"/>
      <c r="L1262" s="1618"/>
      <c r="M1262" s="1618"/>
      <c r="N1262" s="1461"/>
    </row>
    <row r="1263" spans="2:14" ht="16.5" customHeight="1">
      <c r="B1263" s="1462"/>
      <c r="C1263" s="1618"/>
      <c r="D1263" s="1618"/>
      <c r="E1263" s="198" t="s">
        <v>1555</v>
      </c>
      <c r="F1263" s="371" t="s">
        <v>1580</v>
      </c>
      <c r="G1263" s="1618"/>
      <c r="H1263" s="30">
        <v>30217107</v>
      </c>
      <c r="I1263" s="35">
        <v>7900</v>
      </c>
      <c r="J1263" s="64">
        <v>0.1</v>
      </c>
      <c r="K1263" s="1618"/>
      <c r="L1263" s="1618"/>
      <c r="M1263" s="1618"/>
      <c r="N1263" s="1461"/>
    </row>
    <row r="1264" spans="2:14" ht="16.5" customHeight="1">
      <c r="B1264" s="1462"/>
      <c r="C1264" s="1618"/>
      <c r="D1264" s="1618"/>
      <c r="E1264" s="198" t="s">
        <v>1555</v>
      </c>
      <c r="F1264" s="371" t="s">
        <v>1581</v>
      </c>
      <c r="G1264" s="1618"/>
      <c r="H1264" s="30">
        <v>30217111</v>
      </c>
      <c r="I1264" s="35">
        <v>7900</v>
      </c>
      <c r="J1264" s="64">
        <v>0.1</v>
      </c>
      <c r="K1264" s="1618"/>
      <c r="L1264" s="1618"/>
      <c r="M1264" s="1618"/>
      <c r="N1264" s="1461"/>
    </row>
    <row r="1265" spans="2:15" ht="16.5" customHeight="1">
      <c r="B1265" s="1462"/>
      <c r="C1265" s="1618"/>
      <c r="D1265" s="1618"/>
      <c r="E1265" s="198">
        <v>56015608</v>
      </c>
      <c r="F1265" s="371" t="s">
        <v>1582</v>
      </c>
      <c r="G1265" s="1618"/>
      <c r="H1265" s="30">
        <v>30216980</v>
      </c>
      <c r="I1265" s="35">
        <v>7900</v>
      </c>
      <c r="J1265" s="64">
        <v>0.1</v>
      </c>
      <c r="K1265" s="1618"/>
      <c r="L1265" s="1618"/>
      <c r="M1265" s="1618"/>
      <c r="N1265" s="1461"/>
    </row>
    <row r="1266" spans="2:15" ht="16.5" customHeight="1">
      <c r="B1266" s="1462"/>
      <c r="C1266" s="1618">
        <v>3</v>
      </c>
      <c r="D1266" s="1618" t="s">
        <v>186</v>
      </c>
      <c r="E1266" s="198">
        <v>30216058</v>
      </c>
      <c r="F1266" s="371" t="s">
        <v>1583</v>
      </c>
      <c r="G1266" s="1618" t="s">
        <v>1584</v>
      </c>
      <c r="H1266" s="30">
        <v>30216982</v>
      </c>
      <c r="I1266" s="35">
        <v>34900</v>
      </c>
      <c r="J1266" s="64">
        <v>0.15</v>
      </c>
      <c r="K1266" s="1618">
        <v>5</v>
      </c>
      <c r="L1266" s="1619">
        <v>174500</v>
      </c>
      <c r="M1266" s="1458" t="s">
        <v>1585</v>
      </c>
      <c r="N1266" s="1461">
        <v>20250115051</v>
      </c>
    </row>
    <row r="1267" spans="2:15" ht="16.5" customHeight="1">
      <c r="B1267" s="1462"/>
      <c r="C1267" s="1618"/>
      <c r="D1267" s="1618"/>
      <c r="E1267" s="198">
        <v>30216064</v>
      </c>
      <c r="F1267" s="371" t="s">
        <v>1586</v>
      </c>
      <c r="G1267" s="1618"/>
      <c r="H1267" s="30">
        <v>30216983</v>
      </c>
      <c r="I1267" s="35">
        <v>69800</v>
      </c>
      <c r="J1267" s="64">
        <v>0.15</v>
      </c>
      <c r="K1267" s="1618"/>
      <c r="L1267" s="1618"/>
      <c r="M1267" s="1618"/>
      <c r="N1267" s="1461"/>
    </row>
    <row r="1268" spans="2:15" ht="16.5" customHeight="1">
      <c r="B1268" s="1462"/>
      <c r="C1268" s="1618">
        <v>4</v>
      </c>
      <c r="D1268" s="1618" t="s">
        <v>194</v>
      </c>
      <c r="E1268" s="198">
        <v>58126176</v>
      </c>
      <c r="F1268" s="371" t="s">
        <v>1587</v>
      </c>
      <c r="G1268" s="1618" t="s">
        <v>1588</v>
      </c>
      <c r="H1268" s="30">
        <v>30166720</v>
      </c>
      <c r="I1268" s="35">
        <v>9900</v>
      </c>
      <c r="J1268" s="64">
        <v>0.13</v>
      </c>
      <c r="K1268" s="1618">
        <v>5</v>
      </c>
      <c r="L1268" s="1619">
        <v>49500</v>
      </c>
      <c r="M1268" s="1458" t="s">
        <v>1589</v>
      </c>
      <c r="N1268" s="1461">
        <v>20250115052</v>
      </c>
    </row>
    <row r="1269" spans="2:15" ht="16.5" customHeight="1">
      <c r="B1269" s="1462"/>
      <c r="C1269" s="1618"/>
      <c r="D1269" s="1618"/>
      <c r="E1269" s="198">
        <v>58126172</v>
      </c>
      <c r="F1269" s="371" t="s">
        <v>1590</v>
      </c>
      <c r="G1269" s="1618"/>
      <c r="H1269" s="30">
        <v>30216984</v>
      </c>
      <c r="I1269" s="35">
        <v>23900</v>
      </c>
      <c r="J1269" s="64">
        <v>0.13</v>
      </c>
      <c r="K1269" s="1618"/>
      <c r="L1269" s="1618"/>
      <c r="M1269" s="1618"/>
      <c r="N1269" s="1461"/>
    </row>
    <row r="1270" spans="2:15" ht="16.5" customHeight="1">
      <c r="B1270" s="1462"/>
      <c r="C1270" s="1618">
        <v>5</v>
      </c>
      <c r="D1270" s="1618" t="s">
        <v>189</v>
      </c>
      <c r="E1270" s="198">
        <v>30202072</v>
      </c>
      <c r="F1270" s="371" t="s">
        <v>1591</v>
      </c>
      <c r="G1270" s="1618" t="s">
        <v>1592</v>
      </c>
      <c r="H1270" s="30">
        <v>30216985</v>
      </c>
      <c r="I1270" s="35">
        <v>10900</v>
      </c>
      <c r="J1270" s="64">
        <v>0.13</v>
      </c>
      <c r="K1270" s="1618">
        <v>5</v>
      </c>
      <c r="L1270" s="1619">
        <v>54500</v>
      </c>
      <c r="M1270" s="1458" t="s">
        <v>1593</v>
      </c>
      <c r="N1270" s="1461">
        <v>20250115053</v>
      </c>
    </row>
    <row r="1271" spans="2:15" ht="16.5" customHeight="1">
      <c r="B1271" s="1462"/>
      <c r="C1271" s="1618"/>
      <c r="D1271" s="1618"/>
      <c r="E1271" s="198">
        <v>30202073</v>
      </c>
      <c r="F1271" s="373" t="s">
        <v>1594</v>
      </c>
      <c r="G1271" s="1618"/>
      <c r="H1271" s="30">
        <v>30216986</v>
      </c>
      <c r="I1271" s="35">
        <v>29900</v>
      </c>
      <c r="J1271" s="64">
        <v>0.13</v>
      </c>
      <c r="K1271" s="1618"/>
      <c r="L1271" s="1618"/>
      <c r="M1271" s="1618"/>
      <c r="N1271" s="1461"/>
    </row>
    <row r="1272" spans="2:15" ht="16.5" customHeight="1">
      <c r="B1272" s="1462"/>
      <c r="C1272" s="1618">
        <v>6</v>
      </c>
      <c r="D1272" s="1618" t="s">
        <v>495</v>
      </c>
      <c r="E1272" s="198">
        <v>54441803</v>
      </c>
      <c r="F1272" s="371" t="s">
        <v>1595</v>
      </c>
      <c r="G1272" s="1618" t="s">
        <v>1595</v>
      </c>
      <c r="H1272" s="30">
        <v>30216987</v>
      </c>
      <c r="I1272" s="35">
        <v>32900</v>
      </c>
      <c r="J1272" s="64">
        <v>0.1</v>
      </c>
      <c r="K1272" s="1618">
        <v>5</v>
      </c>
      <c r="L1272" s="1619">
        <v>164500</v>
      </c>
      <c r="M1272" s="1458" t="s">
        <v>1596</v>
      </c>
      <c r="N1272" s="1461">
        <v>20250115054</v>
      </c>
    </row>
    <row r="1273" spans="2:15" ht="16.5" customHeight="1">
      <c r="B1273" s="1462"/>
      <c r="C1273" s="1618"/>
      <c r="D1273" s="1618"/>
      <c r="E1273" s="198">
        <v>41991241</v>
      </c>
      <c r="F1273" s="371" t="s">
        <v>1597</v>
      </c>
      <c r="G1273" s="1618"/>
      <c r="H1273" s="30">
        <v>30196005</v>
      </c>
      <c r="I1273" s="35">
        <v>40900</v>
      </c>
      <c r="J1273" s="64">
        <v>0.1</v>
      </c>
      <c r="K1273" s="1618"/>
      <c r="L1273" s="1618"/>
      <c r="M1273" s="1618"/>
      <c r="N1273" s="1461"/>
    </row>
    <row r="1274" spans="2:15" ht="16.5" customHeight="1">
      <c r="B1274" s="1462"/>
      <c r="C1274" s="370">
        <v>7</v>
      </c>
      <c r="D1274" s="370" t="s">
        <v>722</v>
      </c>
      <c r="E1274" s="198">
        <v>30184040</v>
      </c>
      <c r="F1274" s="371" t="s">
        <v>1598</v>
      </c>
      <c r="G1274" s="370" t="s">
        <v>1598</v>
      </c>
      <c r="H1274" s="30">
        <v>30216988</v>
      </c>
      <c r="I1274" s="35">
        <v>88900</v>
      </c>
      <c r="J1274" s="64">
        <v>0.1</v>
      </c>
      <c r="K1274" s="370">
        <v>5</v>
      </c>
      <c r="L1274" s="372">
        <v>444500</v>
      </c>
      <c r="M1274" s="266" t="s">
        <v>1599</v>
      </c>
      <c r="N1274" s="69">
        <v>20250115055</v>
      </c>
    </row>
    <row r="1275" spans="2:15" ht="16.5" customHeight="1">
      <c r="B1275" s="1462"/>
      <c r="C1275" s="370">
        <v>8</v>
      </c>
      <c r="D1275" s="370" t="s">
        <v>722</v>
      </c>
      <c r="E1275" s="198">
        <v>30203713</v>
      </c>
      <c r="F1275" s="371" t="s">
        <v>1600</v>
      </c>
      <c r="G1275" s="370" t="s">
        <v>1600</v>
      </c>
      <c r="H1275" s="30">
        <v>30216991</v>
      </c>
      <c r="I1275" s="35">
        <v>34900</v>
      </c>
      <c r="J1275" s="64">
        <v>0.1</v>
      </c>
      <c r="K1275" s="370">
        <v>5</v>
      </c>
      <c r="L1275" s="372">
        <v>174500</v>
      </c>
      <c r="M1275" s="266" t="s">
        <v>1601</v>
      </c>
      <c r="N1275" s="69">
        <v>20250115056</v>
      </c>
    </row>
    <row r="1276" spans="2:15" ht="16.5" customHeight="1">
      <c r="B1276" s="1462"/>
      <c r="C1276" s="1618">
        <v>9</v>
      </c>
      <c r="D1276" s="1618" t="s">
        <v>212</v>
      </c>
      <c r="E1276" s="198">
        <v>30177952</v>
      </c>
      <c r="F1276" s="371" t="s">
        <v>1602</v>
      </c>
      <c r="G1276" s="1618" t="s">
        <v>1603</v>
      </c>
      <c r="H1276" s="30">
        <v>30184715</v>
      </c>
      <c r="I1276" s="35">
        <v>9900</v>
      </c>
      <c r="J1276" s="64">
        <v>0.17</v>
      </c>
      <c r="K1276" s="1618">
        <v>5</v>
      </c>
      <c r="L1276" s="1619">
        <v>49500</v>
      </c>
      <c r="M1276" s="1458" t="s">
        <v>1604</v>
      </c>
      <c r="N1276" s="1461">
        <v>20250115057</v>
      </c>
    </row>
    <row r="1277" spans="2:15" ht="16.5" customHeight="1">
      <c r="B1277" s="1462"/>
      <c r="C1277" s="1618"/>
      <c r="D1277" s="1618"/>
      <c r="E1277" s="198">
        <v>30177986</v>
      </c>
      <c r="F1277" s="371" t="s">
        <v>1605</v>
      </c>
      <c r="G1277" s="1618"/>
      <c r="H1277" s="30">
        <v>30184716</v>
      </c>
      <c r="I1277" s="35">
        <v>16900</v>
      </c>
      <c r="J1277" s="64">
        <v>0.17</v>
      </c>
      <c r="K1277" s="1618"/>
      <c r="L1277" s="1618"/>
      <c r="M1277" s="1618"/>
      <c r="N1277" s="1461"/>
    </row>
    <row r="1278" spans="2:15" ht="16.5" customHeight="1">
      <c r="B1278" s="1462"/>
      <c r="C1278" s="1618"/>
      <c r="D1278" s="1618"/>
      <c r="E1278" s="198">
        <v>30177987</v>
      </c>
      <c r="F1278" s="371" t="s">
        <v>1606</v>
      </c>
      <c r="G1278" s="1618"/>
      <c r="H1278" s="30">
        <v>30213392</v>
      </c>
      <c r="I1278" s="35">
        <v>29900</v>
      </c>
      <c r="J1278" s="64">
        <v>0.17</v>
      </c>
      <c r="K1278" s="1618"/>
      <c r="L1278" s="1618"/>
      <c r="M1278" s="1618"/>
      <c r="N1278" s="1461"/>
    </row>
    <row r="1279" spans="2:15" ht="16.5" customHeight="1">
      <c r="B1279" s="1462"/>
      <c r="C1279" s="370">
        <v>10</v>
      </c>
      <c r="D1279" s="370" t="s">
        <v>1607</v>
      </c>
      <c r="E1279" s="198">
        <v>55111050</v>
      </c>
      <c r="F1279" s="371" t="s">
        <v>1608</v>
      </c>
      <c r="G1279" s="374" t="s">
        <v>1609</v>
      </c>
      <c r="H1279" s="30">
        <v>30217160</v>
      </c>
      <c r="I1279" s="35">
        <v>34000</v>
      </c>
      <c r="J1279" s="64">
        <v>0.15</v>
      </c>
      <c r="K1279" s="370">
        <v>5</v>
      </c>
      <c r="L1279" s="44">
        <v>50000</v>
      </c>
      <c r="M1279" s="266" t="s">
        <v>1610</v>
      </c>
      <c r="N1279" s="34">
        <v>20250115058</v>
      </c>
    </row>
    <row r="1280" spans="2:15" ht="16.5" customHeight="1">
      <c r="B1280" s="1616" t="s">
        <v>221</v>
      </c>
      <c r="C1280" s="1616">
        <v>1</v>
      </c>
      <c r="D1280" s="1616" t="s">
        <v>222</v>
      </c>
      <c r="E1280" s="375">
        <v>30209151</v>
      </c>
      <c r="F1280" s="376" t="s">
        <v>1611</v>
      </c>
      <c r="G1280" s="1621" t="s">
        <v>1612</v>
      </c>
      <c r="H1280" s="377">
        <v>30216999</v>
      </c>
      <c r="I1280" s="378">
        <v>9900</v>
      </c>
      <c r="J1280" s="379">
        <v>0.15</v>
      </c>
      <c r="K1280" s="1622">
        <v>5</v>
      </c>
      <c r="L1280" s="1623">
        <v>49500</v>
      </c>
      <c r="M1280" s="1620" t="s">
        <v>1613</v>
      </c>
      <c r="N1280" s="1447">
        <v>20250115059</v>
      </c>
      <c r="O1280" s="4" t="s">
        <v>1614</v>
      </c>
    </row>
    <row r="1281" spans="2:15" ht="16.5" customHeight="1">
      <c r="B1281" s="1616"/>
      <c r="C1281" s="1616"/>
      <c r="D1281" s="1616"/>
      <c r="E1281" s="198">
        <v>30209156</v>
      </c>
      <c r="F1281" s="371" t="s">
        <v>1615</v>
      </c>
      <c r="G1281" s="1617"/>
      <c r="H1281" s="30">
        <v>30217000</v>
      </c>
      <c r="I1281" s="35">
        <v>26900</v>
      </c>
      <c r="J1281" s="64">
        <v>0.15</v>
      </c>
      <c r="K1281" s="1618"/>
      <c r="L1281" s="1618"/>
      <c r="M1281" s="1618"/>
      <c r="N1281" s="1461"/>
      <c r="O1281" s="4" t="s">
        <v>1616</v>
      </c>
    </row>
    <row r="1282" spans="2:15" ht="16.5" customHeight="1">
      <c r="B1282" s="1616"/>
      <c r="C1282" s="1616"/>
      <c r="D1282" s="1616"/>
      <c r="E1282" s="198">
        <v>30209157</v>
      </c>
      <c r="F1282" s="371" t="s">
        <v>1617</v>
      </c>
      <c r="G1282" s="1617"/>
      <c r="H1282" s="30">
        <v>30217001</v>
      </c>
      <c r="I1282" s="35">
        <v>44900</v>
      </c>
      <c r="J1282" s="64">
        <v>0.15</v>
      </c>
      <c r="K1282" s="1618"/>
      <c r="L1282" s="1618"/>
      <c r="M1282" s="1618"/>
      <c r="N1282" s="1461"/>
    </row>
    <row r="1283" spans="2:15" ht="16.5" customHeight="1">
      <c r="B1283" s="1616"/>
      <c r="C1283" s="1615">
        <v>2</v>
      </c>
      <c r="D1283" s="1615" t="s">
        <v>239</v>
      </c>
      <c r="E1283" s="198">
        <v>70752326</v>
      </c>
      <c r="F1283" s="371" t="s">
        <v>1618</v>
      </c>
      <c r="G1283" s="1617" t="s">
        <v>1618</v>
      </c>
      <c r="H1283" s="30">
        <v>30210921</v>
      </c>
      <c r="I1283" s="35">
        <v>25900</v>
      </c>
      <c r="J1283" s="64">
        <v>0.15</v>
      </c>
      <c r="K1283" s="1618">
        <v>5</v>
      </c>
      <c r="L1283" s="1619">
        <v>129500</v>
      </c>
      <c r="M1283" s="1458" t="s">
        <v>1619</v>
      </c>
      <c r="N1283" s="1461">
        <v>20250115060</v>
      </c>
      <c r="O1283" s="4" t="s">
        <v>1620</v>
      </c>
    </row>
    <row r="1284" spans="2:15" ht="16.5" customHeight="1">
      <c r="B1284" s="1616"/>
      <c r="C1284" s="1616"/>
      <c r="D1284" s="1616"/>
      <c r="E1284" s="198">
        <v>55021810</v>
      </c>
      <c r="F1284" s="371" t="s">
        <v>1621</v>
      </c>
      <c r="G1284" s="1617"/>
      <c r="H1284" s="30">
        <v>30157186</v>
      </c>
      <c r="I1284" s="35">
        <v>24900</v>
      </c>
      <c r="J1284" s="64">
        <v>0.15</v>
      </c>
      <c r="K1284" s="1618"/>
      <c r="L1284" s="1618"/>
      <c r="M1284" s="1618"/>
      <c r="N1284" s="1461"/>
      <c r="O1284" s="4" t="s">
        <v>1616</v>
      </c>
    </row>
    <row r="1285" spans="2:15" ht="16.5" customHeight="1">
      <c r="B1285" s="1616"/>
      <c r="C1285" s="1616"/>
      <c r="D1285" s="1616"/>
      <c r="E1285" s="198">
        <v>67616313</v>
      </c>
      <c r="F1285" s="371" t="s">
        <v>1622</v>
      </c>
      <c r="G1285" s="1617"/>
      <c r="H1285" s="30">
        <v>30217036</v>
      </c>
      <c r="I1285" s="35">
        <v>25900</v>
      </c>
      <c r="J1285" s="64">
        <v>0.15</v>
      </c>
      <c r="K1285" s="1618"/>
      <c r="L1285" s="1618"/>
      <c r="M1285" s="1618"/>
      <c r="N1285" s="1461"/>
    </row>
    <row r="1286" spans="2:15" ht="16.5" customHeight="1">
      <c r="B1286" s="1616"/>
      <c r="C1286" s="1615">
        <v>3</v>
      </c>
      <c r="D1286" s="1615" t="s">
        <v>239</v>
      </c>
      <c r="E1286" s="198">
        <v>55017542</v>
      </c>
      <c r="F1286" s="371" t="s">
        <v>1623</v>
      </c>
      <c r="G1286" s="1617" t="s">
        <v>1623</v>
      </c>
      <c r="H1286" s="30">
        <v>30164707</v>
      </c>
      <c r="I1286" s="35">
        <v>27900</v>
      </c>
      <c r="J1286" s="64">
        <v>0.15</v>
      </c>
      <c r="K1286" s="1618">
        <v>5</v>
      </c>
      <c r="L1286" s="1619">
        <v>139500</v>
      </c>
      <c r="M1286" s="1458" t="s">
        <v>1624</v>
      </c>
      <c r="N1286" s="1461">
        <v>20250115061</v>
      </c>
    </row>
    <row r="1287" spans="2:15" ht="16.5" customHeight="1">
      <c r="B1287" s="1616"/>
      <c r="C1287" s="1616"/>
      <c r="D1287" s="1616"/>
      <c r="E1287" s="198">
        <v>54986273</v>
      </c>
      <c r="F1287" s="371" t="s">
        <v>1625</v>
      </c>
      <c r="G1287" s="1617"/>
      <c r="H1287" s="30">
        <v>30154247</v>
      </c>
      <c r="I1287" s="35">
        <v>27900</v>
      </c>
      <c r="J1287" s="64">
        <v>0.15</v>
      </c>
      <c r="K1287" s="1618"/>
      <c r="L1287" s="1618"/>
      <c r="M1287" s="1618"/>
      <c r="N1287" s="1461"/>
    </row>
    <row r="1288" spans="2:15" ht="16.5" customHeight="1">
      <c r="B1288" s="1616"/>
      <c r="C1288" s="1616"/>
      <c r="D1288" s="1616"/>
      <c r="E1288" s="198">
        <v>54986388</v>
      </c>
      <c r="F1288" s="371" t="s">
        <v>1626</v>
      </c>
      <c r="G1288" s="1617"/>
      <c r="H1288" s="30">
        <v>30154251</v>
      </c>
      <c r="I1288" s="35">
        <v>31900</v>
      </c>
      <c r="J1288" s="64">
        <v>0.15</v>
      </c>
      <c r="K1288" s="1618"/>
      <c r="L1288" s="1618"/>
      <c r="M1288" s="1618"/>
      <c r="N1288" s="1461"/>
    </row>
    <row r="1289" spans="2:15" ht="16.5" customHeight="1">
      <c r="B1289" s="1616"/>
      <c r="C1289" s="370">
        <v>4</v>
      </c>
      <c r="D1289" s="370" t="s">
        <v>231</v>
      </c>
      <c r="E1289" s="198">
        <v>30014802</v>
      </c>
      <c r="F1289" s="371" t="s">
        <v>1627</v>
      </c>
      <c r="G1289" s="374" t="s">
        <v>1627</v>
      </c>
      <c r="H1289" s="30">
        <v>30217038</v>
      </c>
      <c r="I1289" s="35">
        <v>15900</v>
      </c>
      <c r="J1289" s="64">
        <v>0.17</v>
      </c>
      <c r="K1289" s="374">
        <v>5</v>
      </c>
      <c r="L1289" s="380">
        <v>79500</v>
      </c>
      <c r="M1289" s="374" t="s">
        <v>1628</v>
      </c>
      <c r="N1289" s="69">
        <v>20250115062</v>
      </c>
    </row>
    <row r="1290" spans="2:15" ht="16.5" customHeight="1">
      <c r="B1290" s="1616"/>
      <c r="C1290" s="1615">
        <v>5</v>
      </c>
      <c r="D1290" s="1615" t="s">
        <v>234</v>
      </c>
      <c r="E1290" s="198">
        <v>70271125</v>
      </c>
      <c r="F1290" s="371" t="s">
        <v>1629</v>
      </c>
      <c r="G1290" s="1617" t="s">
        <v>1630</v>
      </c>
      <c r="H1290" s="30">
        <v>30202084</v>
      </c>
      <c r="I1290" s="35">
        <v>12900</v>
      </c>
      <c r="J1290" s="64">
        <v>0.17</v>
      </c>
      <c r="K1290" s="1618">
        <v>5</v>
      </c>
      <c r="L1290" s="1619">
        <v>64500</v>
      </c>
      <c r="M1290" s="1458" t="s">
        <v>1631</v>
      </c>
      <c r="N1290" s="1461">
        <v>20250115063</v>
      </c>
    </row>
    <row r="1291" spans="2:15" ht="16.5" customHeight="1">
      <c r="B1291" s="1616"/>
      <c r="C1291" s="1616"/>
      <c r="D1291" s="1616"/>
      <c r="E1291" s="198">
        <v>70271120</v>
      </c>
      <c r="F1291" s="371" t="s">
        <v>1632</v>
      </c>
      <c r="G1291" s="1617"/>
      <c r="H1291" s="30">
        <v>30202085</v>
      </c>
      <c r="I1291" s="35">
        <v>23900</v>
      </c>
      <c r="J1291" s="64">
        <v>0.17</v>
      </c>
      <c r="K1291" s="1618"/>
      <c r="L1291" s="1618"/>
      <c r="M1291" s="1618"/>
      <c r="N1291" s="1461"/>
    </row>
    <row r="1292" spans="2:15" ht="16.5" customHeight="1">
      <c r="B1292" s="1616"/>
      <c r="C1292" s="1616"/>
      <c r="D1292" s="1616"/>
      <c r="E1292" s="198">
        <v>70271030</v>
      </c>
      <c r="F1292" s="371" t="s">
        <v>1633</v>
      </c>
      <c r="G1292" s="1617"/>
      <c r="H1292" s="30">
        <v>30202086</v>
      </c>
      <c r="I1292" s="35">
        <v>50900</v>
      </c>
      <c r="J1292" s="64">
        <v>0.17</v>
      </c>
      <c r="K1292" s="1618"/>
      <c r="L1292" s="1618"/>
      <c r="M1292" s="1618"/>
      <c r="N1292" s="1461"/>
    </row>
    <row r="1293" spans="2:15" ht="16.5" customHeight="1">
      <c r="B1293" s="1616"/>
      <c r="C1293" s="1615">
        <v>6</v>
      </c>
      <c r="D1293" s="1615" t="s">
        <v>257</v>
      </c>
      <c r="E1293" s="198" t="s">
        <v>1555</v>
      </c>
      <c r="F1293" s="371" t="s">
        <v>1634</v>
      </c>
      <c r="G1293" s="1617" t="s">
        <v>1635</v>
      </c>
      <c r="H1293" s="30">
        <v>30217135</v>
      </c>
      <c r="I1293" s="35">
        <v>35900</v>
      </c>
      <c r="J1293" s="64">
        <v>0.15</v>
      </c>
      <c r="K1293" s="1618">
        <v>5</v>
      </c>
      <c r="L1293" s="1619">
        <v>179500</v>
      </c>
      <c r="M1293" s="1618" t="s">
        <v>1636</v>
      </c>
      <c r="N1293" s="1461">
        <v>20250115064</v>
      </c>
    </row>
    <row r="1294" spans="2:15" ht="16.5" customHeight="1">
      <c r="B1294" s="1616"/>
      <c r="C1294" s="1616"/>
      <c r="D1294" s="1616"/>
      <c r="E1294" s="198" t="s">
        <v>1555</v>
      </c>
      <c r="F1294" s="371" t="s">
        <v>1637</v>
      </c>
      <c r="G1294" s="1617"/>
      <c r="H1294" s="30">
        <v>30217137</v>
      </c>
      <c r="I1294" s="35">
        <v>50900</v>
      </c>
      <c r="J1294" s="64">
        <v>0.15</v>
      </c>
      <c r="K1294" s="1618"/>
      <c r="L1294" s="1618"/>
      <c r="M1294" s="1618"/>
      <c r="N1294" s="1461"/>
    </row>
    <row r="1295" spans="2:15" ht="16.5" customHeight="1">
      <c r="B1295" s="1616"/>
      <c r="C1295" s="1616"/>
      <c r="D1295" s="1616"/>
      <c r="E1295" s="198" t="s">
        <v>1555</v>
      </c>
      <c r="F1295" s="371" t="s">
        <v>1638</v>
      </c>
      <c r="G1295" s="1617"/>
      <c r="H1295" s="30">
        <v>30217133</v>
      </c>
      <c r="I1295" s="35">
        <v>59900</v>
      </c>
      <c r="J1295" s="64">
        <v>0.15</v>
      </c>
      <c r="K1295" s="1618"/>
      <c r="L1295" s="1618"/>
      <c r="M1295" s="1618"/>
      <c r="N1295" s="1461"/>
    </row>
    <row r="1296" spans="2:15" ht="16.5" customHeight="1">
      <c r="B1296" s="1616"/>
      <c r="C1296" s="370">
        <v>7</v>
      </c>
      <c r="D1296" s="370" t="s">
        <v>257</v>
      </c>
      <c r="E1296" s="198">
        <v>30186290</v>
      </c>
      <c r="F1296" s="371" t="s">
        <v>1639</v>
      </c>
      <c r="G1296" s="381" t="s">
        <v>1640</v>
      </c>
      <c r="H1296" s="30">
        <v>30197817</v>
      </c>
      <c r="I1296" s="35">
        <v>29900</v>
      </c>
      <c r="J1296" s="64">
        <v>0.15</v>
      </c>
      <c r="K1296" s="370">
        <v>5</v>
      </c>
      <c r="L1296" s="372">
        <v>149500</v>
      </c>
      <c r="M1296" s="370" t="s">
        <v>1641</v>
      </c>
      <c r="N1296" s="69">
        <v>20250115065</v>
      </c>
    </row>
    <row r="1297" spans="2:14" ht="16.5" customHeight="1">
      <c r="B1297" s="1616"/>
      <c r="C1297" s="1615">
        <v>8</v>
      </c>
      <c r="D1297" s="1615" t="s">
        <v>257</v>
      </c>
      <c r="E1297" s="198">
        <v>30195946</v>
      </c>
      <c r="F1297" s="371" t="s">
        <v>1197</v>
      </c>
      <c r="G1297" s="1617" t="s">
        <v>1642</v>
      </c>
      <c r="H1297" s="30">
        <v>30196623</v>
      </c>
      <c r="I1297" s="35">
        <v>19900</v>
      </c>
      <c r="J1297" s="64">
        <v>0.15</v>
      </c>
      <c r="K1297" s="1618">
        <v>5</v>
      </c>
      <c r="L1297" s="1619">
        <v>99500</v>
      </c>
      <c r="M1297" s="1458" t="s">
        <v>1643</v>
      </c>
      <c r="N1297" s="1461">
        <v>20250115066</v>
      </c>
    </row>
    <row r="1298" spans="2:14" ht="16.5" customHeight="1">
      <c r="B1298" s="1616"/>
      <c r="C1298" s="1616"/>
      <c r="D1298" s="1616"/>
      <c r="E1298" s="198">
        <v>30195944</v>
      </c>
      <c r="F1298" s="371" t="s">
        <v>1200</v>
      </c>
      <c r="G1298" s="1617"/>
      <c r="H1298" s="30">
        <v>30217039</v>
      </c>
      <c r="I1298" s="35">
        <v>20900</v>
      </c>
      <c r="J1298" s="64">
        <v>0.15</v>
      </c>
      <c r="K1298" s="1618"/>
      <c r="L1298" s="1618"/>
      <c r="M1298" s="1618"/>
      <c r="N1298" s="1461"/>
    </row>
    <row r="1299" spans="2:14" ht="16.5" customHeight="1">
      <c r="B1299" s="1616"/>
      <c r="C1299" s="1616"/>
      <c r="D1299" s="1616"/>
      <c r="E1299" s="198">
        <v>30195943</v>
      </c>
      <c r="F1299" s="371" t="s">
        <v>1201</v>
      </c>
      <c r="G1299" s="1617"/>
      <c r="H1299" s="30">
        <v>30196031</v>
      </c>
      <c r="I1299" s="35">
        <v>22900</v>
      </c>
      <c r="J1299" s="64">
        <v>0.15</v>
      </c>
      <c r="K1299" s="1618"/>
      <c r="L1299" s="1618"/>
      <c r="M1299" s="1618"/>
      <c r="N1299" s="1461"/>
    </row>
    <row r="1300" spans="2:14" ht="16.5" customHeight="1">
      <c r="B1300" s="1616"/>
      <c r="C1300" s="1616"/>
      <c r="D1300" s="1616"/>
      <c r="E1300" s="198">
        <v>30195945</v>
      </c>
      <c r="F1300" s="371" t="s">
        <v>1203</v>
      </c>
      <c r="G1300" s="1617"/>
      <c r="H1300" s="30">
        <v>30196044</v>
      </c>
      <c r="I1300" s="35">
        <v>23900</v>
      </c>
      <c r="J1300" s="64">
        <v>0.15</v>
      </c>
      <c r="K1300" s="1618"/>
      <c r="L1300" s="1618"/>
      <c r="M1300" s="1618"/>
      <c r="N1300" s="1461"/>
    </row>
    <row r="1301" spans="2:14" ht="16.5" customHeight="1">
      <c r="B1301" s="1616"/>
      <c r="C1301" s="1616"/>
      <c r="D1301" s="1616"/>
      <c r="E1301" s="198">
        <v>30195947</v>
      </c>
      <c r="F1301" s="371" t="s">
        <v>1204</v>
      </c>
      <c r="G1301" s="1617"/>
      <c r="H1301" s="30">
        <v>30196047</v>
      </c>
      <c r="I1301" s="35">
        <v>29900</v>
      </c>
      <c r="J1301" s="64">
        <v>0.15</v>
      </c>
      <c r="K1301" s="1618"/>
      <c r="L1301" s="1618"/>
      <c r="M1301" s="1618"/>
      <c r="N1301" s="1461"/>
    </row>
    <row r="1302" spans="2:14" ht="16.5" customHeight="1">
      <c r="B1302" s="1616"/>
      <c r="C1302" s="1616"/>
      <c r="D1302" s="1616"/>
      <c r="E1302" s="198">
        <v>30195948</v>
      </c>
      <c r="F1302" s="371" t="s">
        <v>1202</v>
      </c>
      <c r="G1302" s="1617"/>
      <c r="H1302" s="30">
        <v>30196049</v>
      </c>
      <c r="I1302" s="35">
        <v>33900</v>
      </c>
      <c r="J1302" s="64">
        <v>0.15</v>
      </c>
      <c r="K1302" s="1618"/>
      <c r="L1302" s="1618"/>
      <c r="M1302" s="1618"/>
      <c r="N1302" s="1461"/>
    </row>
    <row r="1303" spans="2:14" ht="16.5" customHeight="1">
      <c r="B1303" s="1616"/>
      <c r="C1303" s="1615">
        <v>9</v>
      </c>
      <c r="D1303" s="1615" t="s">
        <v>257</v>
      </c>
      <c r="E1303" s="198">
        <v>30216277</v>
      </c>
      <c r="F1303" s="371" t="s">
        <v>1644</v>
      </c>
      <c r="G1303" s="1617" t="s">
        <v>1644</v>
      </c>
      <c r="H1303" s="30">
        <v>30217041</v>
      </c>
      <c r="I1303" s="35">
        <v>9900</v>
      </c>
      <c r="J1303" s="64">
        <v>0.15</v>
      </c>
      <c r="K1303" s="1618">
        <v>5</v>
      </c>
      <c r="L1303" s="1619">
        <v>49500</v>
      </c>
      <c r="M1303" s="1458" t="s">
        <v>1645</v>
      </c>
      <c r="N1303" s="1461">
        <v>20250115067</v>
      </c>
    </row>
    <row r="1304" spans="2:14" ht="16.5" customHeight="1">
      <c r="B1304" s="1616"/>
      <c r="C1304" s="1616"/>
      <c r="D1304" s="1616"/>
      <c r="E1304" s="198">
        <v>30216283</v>
      </c>
      <c r="F1304" s="371" t="s">
        <v>1646</v>
      </c>
      <c r="G1304" s="1617"/>
      <c r="H1304" s="30">
        <v>30217042</v>
      </c>
      <c r="I1304" s="35">
        <v>9900</v>
      </c>
      <c r="J1304" s="64">
        <v>0.15</v>
      </c>
      <c r="K1304" s="1618"/>
      <c r="L1304" s="1618"/>
      <c r="M1304" s="1618"/>
      <c r="N1304" s="1461"/>
    </row>
    <row r="1305" spans="2:14" ht="16.5" customHeight="1">
      <c r="B1305" s="1616"/>
      <c r="C1305" s="1615">
        <v>10</v>
      </c>
      <c r="D1305" s="1615" t="s">
        <v>248</v>
      </c>
      <c r="E1305" s="198">
        <v>30189618</v>
      </c>
      <c r="F1305" s="371" t="s">
        <v>1647</v>
      </c>
      <c r="G1305" s="1617" t="s">
        <v>1647</v>
      </c>
      <c r="H1305" s="30">
        <v>30205934</v>
      </c>
      <c r="I1305" s="35">
        <v>22900</v>
      </c>
      <c r="J1305" s="64">
        <v>0.15</v>
      </c>
      <c r="K1305" s="1618">
        <v>5</v>
      </c>
      <c r="L1305" s="1619">
        <v>114500</v>
      </c>
      <c r="M1305" s="1458" t="s">
        <v>1648</v>
      </c>
      <c r="N1305" s="1461">
        <v>20250115068</v>
      </c>
    </row>
    <row r="1306" spans="2:14" ht="16.5" customHeight="1">
      <c r="B1306" s="1616"/>
      <c r="C1306" s="1616"/>
      <c r="D1306" s="1616"/>
      <c r="E1306" s="198">
        <v>30206298</v>
      </c>
      <c r="F1306" s="371" t="s">
        <v>1649</v>
      </c>
      <c r="G1306" s="1617"/>
      <c r="H1306" s="30">
        <v>30207797</v>
      </c>
      <c r="I1306" s="35">
        <v>28900</v>
      </c>
      <c r="J1306" s="64">
        <v>0.15</v>
      </c>
      <c r="K1306" s="1618"/>
      <c r="L1306" s="1618"/>
      <c r="M1306" s="1618"/>
      <c r="N1306" s="1461"/>
    </row>
    <row r="1307" spans="2:14" ht="16.5" customHeight="1">
      <c r="B1307" s="1616"/>
      <c r="C1307" s="1616"/>
      <c r="D1307" s="1616"/>
      <c r="E1307" s="198">
        <v>30209019</v>
      </c>
      <c r="F1307" s="371" t="s">
        <v>1650</v>
      </c>
      <c r="G1307" s="1617"/>
      <c r="H1307" s="30">
        <v>30210118</v>
      </c>
      <c r="I1307" s="35">
        <v>35900</v>
      </c>
      <c r="J1307" s="64">
        <v>0.15</v>
      </c>
      <c r="K1307" s="1618"/>
      <c r="L1307" s="1618"/>
      <c r="M1307" s="1618"/>
      <c r="N1307" s="1461"/>
    </row>
    <row r="1308" spans="2:14" ht="16.5" customHeight="1">
      <c r="B1308" s="1616"/>
      <c r="C1308" s="1616"/>
      <c r="D1308" s="1616"/>
      <c r="E1308" s="198">
        <v>30213231</v>
      </c>
      <c r="F1308" s="371" t="s">
        <v>1651</v>
      </c>
      <c r="G1308" s="1617"/>
      <c r="H1308" s="30">
        <v>30217047</v>
      </c>
      <c r="I1308" s="35">
        <v>35900</v>
      </c>
      <c r="J1308" s="64">
        <v>0.15</v>
      </c>
      <c r="K1308" s="1618"/>
      <c r="L1308" s="1618"/>
      <c r="M1308" s="1618"/>
      <c r="N1308" s="1461"/>
    </row>
    <row r="1309" spans="2:14" ht="16.5" customHeight="1">
      <c r="B1309" s="1616"/>
      <c r="C1309" s="1615">
        <v>11</v>
      </c>
      <c r="D1309" s="1615" t="s">
        <v>226</v>
      </c>
      <c r="E1309" s="198">
        <v>64713320</v>
      </c>
      <c r="F1309" s="371" t="s">
        <v>1652</v>
      </c>
      <c r="G1309" s="1617" t="s">
        <v>1653</v>
      </c>
      <c r="H1309" s="30">
        <v>30189389</v>
      </c>
      <c r="I1309" s="35">
        <v>55900</v>
      </c>
      <c r="J1309" s="64">
        <v>0.15</v>
      </c>
      <c r="K1309" s="1618">
        <v>5</v>
      </c>
      <c r="L1309" s="1619">
        <v>279500</v>
      </c>
      <c r="M1309" s="1458" t="s">
        <v>1654</v>
      </c>
      <c r="N1309" s="1461">
        <v>20250115071</v>
      </c>
    </row>
    <row r="1310" spans="2:14" ht="16.5" customHeight="1">
      <c r="B1310" s="1616"/>
      <c r="C1310" s="1616"/>
      <c r="D1310" s="1616"/>
      <c r="E1310" s="198">
        <v>64713319</v>
      </c>
      <c r="F1310" s="371" t="s">
        <v>1655</v>
      </c>
      <c r="G1310" s="1617"/>
      <c r="H1310" s="30">
        <v>30189405</v>
      </c>
      <c r="I1310" s="35">
        <v>79900</v>
      </c>
      <c r="J1310" s="64">
        <v>0.15</v>
      </c>
      <c r="K1310" s="1618"/>
      <c r="L1310" s="1618"/>
      <c r="M1310" s="1618"/>
      <c r="N1310" s="1461"/>
    </row>
    <row r="1311" spans="2:14" ht="16.5" customHeight="1">
      <c r="B1311" s="1616"/>
      <c r="C1311" s="1616"/>
      <c r="D1311" s="1616"/>
      <c r="E1311" s="198">
        <v>64713299</v>
      </c>
      <c r="F1311" s="371" t="s">
        <v>1656</v>
      </c>
      <c r="G1311" s="1617"/>
      <c r="H1311" s="30">
        <v>30189410</v>
      </c>
      <c r="I1311" s="35">
        <v>139000</v>
      </c>
      <c r="J1311" s="64">
        <v>0.15</v>
      </c>
      <c r="K1311" s="1618"/>
      <c r="L1311" s="1618"/>
      <c r="M1311" s="1618"/>
      <c r="N1311" s="1461"/>
    </row>
    <row r="1312" spans="2:14" ht="16.5" customHeight="1">
      <c r="B1312" s="1608" t="s">
        <v>417</v>
      </c>
      <c r="C1312" s="1608">
        <v>1</v>
      </c>
      <c r="D1312" s="129" t="s">
        <v>1241</v>
      </c>
      <c r="E1312" s="129">
        <v>76279234</v>
      </c>
      <c r="F1312" s="31" t="s">
        <v>1657</v>
      </c>
      <c r="G1312" s="1454" t="s">
        <v>1657</v>
      </c>
      <c r="H1312" s="30">
        <v>30217098</v>
      </c>
      <c r="I1312" s="30">
        <v>13900</v>
      </c>
      <c r="J1312" s="64">
        <v>0.1</v>
      </c>
      <c r="K1312" s="30">
        <v>10</v>
      </c>
      <c r="L1312" s="30">
        <v>10000</v>
      </c>
      <c r="M1312" s="1454" t="s">
        <v>1658</v>
      </c>
      <c r="N1312" s="1461">
        <v>20250115069</v>
      </c>
    </row>
    <row r="1313" spans="2:14" ht="16.5" customHeight="1">
      <c r="B1313" s="1610"/>
      <c r="C1313" s="1610"/>
      <c r="D1313" s="129" t="s">
        <v>1241</v>
      </c>
      <c r="E1313" s="129">
        <v>76279069</v>
      </c>
      <c r="F1313" s="31" t="s">
        <v>1659</v>
      </c>
      <c r="G1313" s="1454"/>
      <c r="H1313" s="30">
        <v>30217097</v>
      </c>
      <c r="I1313" s="30">
        <v>13900</v>
      </c>
      <c r="J1313" s="64">
        <v>0.1</v>
      </c>
      <c r="K1313" s="30">
        <v>10</v>
      </c>
      <c r="L1313" s="30">
        <v>10000</v>
      </c>
      <c r="M1313" s="1454"/>
      <c r="N1313" s="1461"/>
    </row>
    <row r="1314" spans="2:14" ht="16.5" customHeight="1">
      <c r="B1314" s="1610"/>
      <c r="C1314" s="1609"/>
      <c r="D1314" s="129" t="s">
        <v>1241</v>
      </c>
      <c r="E1314" s="129">
        <v>76279217</v>
      </c>
      <c r="F1314" s="31" t="s">
        <v>1660</v>
      </c>
      <c r="G1314" s="1454"/>
      <c r="H1314" s="30">
        <v>30217096</v>
      </c>
      <c r="I1314" s="30">
        <v>13900</v>
      </c>
      <c r="J1314" s="64">
        <v>0.1</v>
      </c>
      <c r="K1314" s="30">
        <v>10</v>
      </c>
      <c r="L1314" s="30">
        <v>10000</v>
      </c>
      <c r="M1314" s="1454"/>
      <c r="N1314" s="1461"/>
    </row>
    <row r="1315" spans="2:14" ht="16.5" customHeight="1">
      <c r="B1315" s="1610"/>
      <c r="C1315" s="1608">
        <v>2</v>
      </c>
      <c r="D1315" s="129" t="s">
        <v>418</v>
      </c>
      <c r="E1315" s="129">
        <v>76371449</v>
      </c>
      <c r="F1315" s="31" t="s">
        <v>1661</v>
      </c>
      <c r="G1315" s="1454" t="s">
        <v>1661</v>
      </c>
      <c r="H1315" s="30">
        <v>30217094</v>
      </c>
      <c r="I1315" s="30">
        <v>12900</v>
      </c>
      <c r="J1315" s="64">
        <v>0.1</v>
      </c>
      <c r="K1315" s="30">
        <v>10</v>
      </c>
      <c r="L1315" s="30">
        <v>10000</v>
      </c>
      <c r="M1315" s="1454" t="s">
        <v>1662</v>
      </c>
      <c r="N1315" s="1461">
        <v>20250115070</v>
      </c>
    </row>
    <row r="1316" spans="2:14" ht="16.5" customHeight="1">
      <c r="B1316" s="1610"/>
      <c r="C1316" s="1610"/>
      <c r="D1316" s="129" t="s">
        <v>418</v>
      </c>
      <c r="E1316" s="129">
        <v>76371447</v>
      </c>
      <c r="F1316" s="31" t="s">
        <v>1663</v>
      </c>
      <c r="G1316" s="1454"/>
      <c r="H1316" s="30">
        <v>30217093</v>
      </c>
      <c r="I1316" s="30">
        <v>18500</v>
      </c>
      <c r="J1316" s="64">
        <v>0.1</v>
      </c>
      <c r="K1316" s="30">
        <v>10</v>
      </c>
      <c r="L1316" s="30">
        <v>10000</v>
      </c>
      <c r="M1316" s="1454"/>
      <c r="N1316" s="1461"/>
    </row>
    <row r="1317" spans="2:14" ht="16.5" customHeight="1">
      <c r="B1317" s="1610"/>
      <c r="C1317" s="1610"/>
      <c r="D1317" s="129" t="s">
        <v>418</v>
      </c>
      <c r="E1317" s="129">
        <v>64079569</v>
      </c>
      <c r="F1317" s="31" t="s">
        <v>1664</v>
      </c>
      <c r="G1317" s="1454"/>
      <c r="H1317" s="30">
        <v>30217092</v>
      </c>
      <c r="I1317" s="30">
        <v>12900</v>
      </c>
      <c r="J1317" s="64">
        <v>0.1</v>
      </c>
      <c r="K1317" s="30">
        <v>10</v>
      </c>
      <c r="L1317" s="30">
        <v>10000</v>
      </c>
      <c r="M1317" s="1454"/>
      <c r="N1317" s="1461"/>
    </row>
    <row r="1318" spans="2:14" ht="16.5" customHeight="1">
      <c r="B1318" s="1610"/>
      <c r="C1318" s="1610"/>
      <c r="D1318" s="129" t="s">
        <v>418</v>
      </c>
      <c r="E1318" s="129">
        <v>30189488</v>
      </c>
      <c r="F1318" s="31" t="s">
        <v>1665</v>
      </c>
      <c r="G1318" s="1454"/>
      <c r="H1318" s="30">
        <v>30191954</v>
      </c>
      <c r="I1318" s="30">
        <v>18500</v>
      </c>
      <c r="J1318" s="64">
        <v>0.1</v>
      </c>
      <c r="K1318" s="30">
        <v>10</v>
      </c>
      <c r="L1318" s="30">
        <v>10000</v>
      </c>
      <c r="M1318" s="1454"/>
      <c r="N1318" s="1461"/>
    </row>
    <row r="1319" spans="2:14" ht="16.5" customHeight="1">
      <c r="B1319" s="1610"/>
      <c r="C1319" s="1610"/>
      <c r="D1319" s="129" t="s">
        <v>418</v>
      </c>
      <c r="E1319" s="129">
        <v>76371448</v>
      </c>
      <c r="F1319" s="31" t="s">
        <v>1666</v>
      </c>
      <c r="G1319" s="1454"/>
      <c r="H1319" s="30">
        <v>30217091</v>
      </c>
      <c r="I1319" s="30">
        <v>12900</v>
      </c>
      <c r="J1319" s="64">
        <v>0.1</v>
      </c>
      <c r="K1319" s="30">
        <v>10</v>
      </c>
      <c r="L1319" s="30">
        <v>10000</v>
      </c>
      <c r="M1319" s="1454"/>
      <c r="N1319" s="1461"/>
    </row>
    <row r="1320" spans="2:14" ht="16.5" customHeight="1">
      <c r="B1320" s="1610"/>
      <c r="C1320" s="1609"/>
      <c r="D1320" s="129" t="s">
        <v>418</v>
      </c>
      <c r="E1320" s="129">
        <v>76371446</v>
      </c>
      <c r="F1320" s="31" t="s">
        <v>1667</v>
      </c>
      <c r="G1320" s="1454"/>
      <c r="H1320" s="30">
        <v>30217090</v>
      </c>
      <c r="I1320" s="30">
        <v>18500</v>
      </c>
      <c r="J1320" s="64">
        <v>0.1</v>
      </c>
      <c r="K1320" s="30">
        <v>10</v>
      </c>
      <c r="L1320" s="30">
        <v>10000</v>
      </c>
      <c r="M1320" s="1454"/>
      <c r="N1320" s="1461"/>
    </row>
    <row r="1321" spans="2:14" ht="16.5" customHeight="1">
      <c r="B1321" s="1610"/>
      <c r="C1321" s="1608">
        <v>3</v>
      </c>
      <c r="D1321" s="129" t="s">
        <v>1255</v>
      </c>
      <c r="E1321" s="129">
        <v>30195645</v>
      </c>
      <c r="F1321" s="31" t="s">
        <v>1668</v>
      </c>
      <c r="G1321" s="1448" t="s">
        <v>1669</v>
      </c>
      <c r="H1321" s="30">
        <v>30217089</v>
      </c>
      <c r="I1321" s="30">
        <v>9900</v>
      </c>
      <c r="J1321" s="64">
        <v>0.1</v>
      </c>
      <c r="K1321" s="30">
        <v>10</v>
      </c>
      <c r="L1321" s="30">
        <v>10000</v>
      </c>
      <c r="M1321" s="1454" t="s">
        <v>1670</v>
      </c>
      <c r="N1321" s="1461">
        <v>20250115072</v>
      </c>
    </row>
    <row r="1322" spans="2:14" ht="16.5" customHeight="1">
      <c r="B1322" s="1610"/>
      <c r="C1322" s="1610"/>
      <c r="D1322" s="129" t="s">
        <v>1255</v>
      </c>
      <c r="E1322" s="129">
        <v>30196864</v>
      </c>
      <c r="F1322" s="31" t="s">
        <v>1671</v>
      </c>
      <c r="G1322" s="1448"/>
      <c r="H1322" s="30">
        <v>30217088</v>
      </c>
      <c r="I1322" s="30">
        <v>10900</v>
      </c>
      <c r="J1322" s="64">
        <v>0.1</v>
      </c>
      <c r="K1322" s="30">
        <v>10</v>
      </c>
      <c r="L1322" s="30">
        <v>10000</v>
      </c>
      <c r="M1322" s="1454"/>
      <c r="N1322" s="1461"/>
    </row>
    <row r="1323" spans="2:14" ht="16.5" customHeight="1">
      <c r="B1323" s="1610"/>
      <c r="C1323" s="1610"/>
      <c r="D1323" s="129" t="s">
        <v>1255</v>
      </c>
      <c r="E1323" s="129">
        <v>30197000</v>
      </c>
      <c r="F1323" s="31" t="s">
        <v>1672</v>
      </c>
      <c r="G1323" s="1448"/>
      <c r="H1323" s="30">
        <v>30217086</v>
      </c>
      <c r="I1323" s="30">
        <v>10500</v>
      </c>
      <c r="J1323" s="64">
        <v>0.1</v>
      </c>
      <c r="K1323" s="30">
        <v>10</v>
      </c>
      <c r="L1323" s="30">
        <v>10000</v>
      </c>
      <c r="M1323" s="1454"/>
      <c r="N1323" s="1461"/>
    </row>
    <row r="1324" spans="2:14" ht="16.5" customHeight="1">
      <c r="B1324" s="1610"/>
      <c r="C1324" s="1610"/>
      <c r="D1324" s="129" t="s">
        <v>1255</v>
      </c>
      <c r="E1324" s="129">
        <v>30199213</v>
      </c>
      <c r="F1324" s="31" t="s">
        <v>1673</v>
      </c>
      <c r="G1324" s="1448"/>
      <c r="H1324" s="30">
        <v>30217085</v>
      </c>
      <c r="I1324" s="30">
        <v>11500</v>
      </c>
      <c r="J1324" s="64">
        <v>0.1</v>
      </c>
      <c r="K1324" s="30">
        <v>10</v>
      </c>
      <c r="L1324" s="30">
        <v>10000</v>
      </c>
      <c r="M1324" s="1454"/>
      <c r="N1324" s="1461"/>
    </row>
    <row r="1325" spans="2:14" ht="16.5" customHeight="1">
      <c r="B1325" s="1610"/>
      <c r="C1325" s="1610"/>
      <c r="D1325" s="129" t="s">
        <v>1255</v>
      </c>
      <c r="E1325" s="129">
        <v>30199215</v>
      </c>
      <c r="F1325" s="31" t="s">
        <v>1674</v>
      </c>
      <c r="G1325" s="1448"/>
      <c r="H1325" s="30">
        <v>30217084</v>
      </c>
      <c r="I1325" s="30">
        <v>12500</v>
      </c>
      <c r="J1325" s="64">
        <v>0.1</v>
      </c>
      <c r="K1325" s="30">
        <v>10</v>
      </c>
      <c r="L1325" s="30">
        <v>10000</v>
      </c>
      <c r="M1325" s="1454"/>
      <c r="N1325" s="1461"/>
    </row>
    <row r="1326" spans="2:14" ht="16.5" customHeight="1">
      <c r="B1326" s="1610"/>
      <c r="C1326" s="1610"/>
      <c r="D1326" s="129" t="s">
        <v>1255</v>
      </c>
      <c r="E1326" s="129">
        <v>30199011</v>
      </c>
      <c r="F1326" s="31" t="s">
        <v>1675</v>
      </c>
      <c r="G1326" s="1448"/>
      <c r="H1326" s="30">
        <v>30217083</v>
      </c>
      <c r="I1326" s="30">
        <v>10900</v>
      </c>
      <c r="J1326" s="64">
        <v>0.1</v>
      </c>
      <c r="K1326" s="30">
        <v>10</v>
      </c>
      <c r="L1326" s="30">
        <v>10000</v>
      </c>
      <c r="M1326" s="1454"/>
      <c r="N1326" s="1461"/>
    </row>
    <row r="1327" spans="2:14" ht="16.5" customHeight="1">
      <c r="B1327" s="1610"/>
      <c r="C1327" s="1610"/>
      <c r="D1327" s="129" t="s">
        <v>1255</v>
      </c>
      <c r="E1327" s="129">
        <v>30199376</v>
      </c>
      <c r="F1327" s="31" t="s">
        <v>1676</v>
      </c>
      <c r="G1327" s="1448"/>
      <c r="H1327" s="30">
        <v>30217082</v>
      </c>
      <c r="I1327" s="30">
        <v>9900</v>
      </c>
      <c r="J1327" s="64">
        <v>0.1</v>
      </c>
      <c r="K1327" s="30">
        <v>10</v>
      </c>
      <c r="L1327" s="30">
        <v>10000</v>
      </c>
      <c r="M1327" s="1454"/>
      <c r="N1327" s="1461"/>
    </row>
    <row r="1328" spans="2:14" ht="16.5" customHeight="1">
      <c r="B1328" s="1610"/>
      <c r="C1328" s="1610"/>
      <c r="D1328" s="129" t="s">
        <v>1255</v>
      </c>
      <c r="E1328" s="129">
        <v>30199038</v>
      </c>
      <c r="F1328" s="31" t="s">
        <v>1677</v>
      </c>
      <c r="G1328" s="1448"/>
      <c r="H1328" s="30">
        <v>30217081</v>
      </c>
      <c r="I1328" s="30">
        <v>12900</v>
      </c>
      <c r="J1328" s="64">
        <v>0.1</v>
      </c>
      <c r="K1328" s="30">
        <v>10</v>
      </c>
      <c r="L1328" s="30">
        <v>10000</v>
      </c>
      <c r="M1328" s="1454"/>
      <c r="N1328" s="1461"/>
    </row>
    <row r="1329" spans="2:14" ht="16.5" customHeight="1">
      <c r="B1329" s="1610"/>
      <c r="C1329" s="1610"/>
      <c r="D1329" s="129" t="s">
        <v>1255</v>
      </c>
      <c r="E1329" s="129">
        <v>30199033</v>
      </c>
      <c r="F1329" s="31" t="s">
        <v>1678</v>
      </c>
      <c r="G1329" s="1448"/>
      <c r="H1329" s="30">
        <v>30217079</v>
      </c>
      <c r="I1329" s="30">
        <v>12900</v>
      </c>
      <c r="J1329" s="64">
        <v>0.1</v>
      </c>
      <c r="K1329" s="30">
        <v>10</v>
      </c>
      <c r="L1329" s="30">
        <v>10000</v>
      </c>
      <c r="M1329" s="1454"/>
      <c r="N1329" s="1461"/>
    </row>
    <row r="1330" spans="2:14" ht="16.5" customHeight="1">
      <c r="B1330" s="1610"/>
      <c r="C1330" s="1610"/>
      <c r="D1330" s="129" t="s">
        <v>1255</v>
      </c>
      <c r="E1330" s="129">
        <v>30199251</v>
      </c>
      <c r="F1330" s="31" t="s">
        <v>1679</v>
      </c>
      <c r="G1330" s="1448"/>
      <c r="H1330" s="30">
        <v>30217078</v>
      </c>
      <c r="I1330" s="30">
        <v>12500</v>
      </c>
      <c r="J1330" s="64">
        <v>0.1</v>
      </c>
      <c r="K1330" s="30">
        <v>10</v>
      </c>
      <c r="L1330" s="30">
        <v>10000</v>
      </c>
      <c r="M1330" s="1454"/>
      <c r="N1330" s="1461"/>
    </row>
    <row r="1331" spans="2:14" ht="16.5" customHeight="1">
      <c r="B1331" s="1610"/>
      <c r="C1331" s="1609"/>
      <c r="D1331" s="129" t="s">
        <v>1255</v>
      </c>
      <c r="E1331" s="129">
        <v>30199250</v>
      </c>
      <c r="F1331" s="31" t="s">
        <v>1680</v>
      </c>
      <c r="G1331" s="1448"/>
      <c r="H1331" s="30">
        <v>30217077</v>
      </c>
      <c r="I1331" s="30">
        <v>25900</v>
      </c>
      <c r="J1331" s="64">
        <v>0.1</v>
      </c>
      <c r="K1331" s="30">
        <v>10</v>
      </c>
      <c r="L1331" s="30">
        <v>10000</v>
      </c>
      <c r="M1331" s="1454"/>
      <c r="N1331" s="1461"/>
    </row>
    <row r="1332" spans="2:14" ht="16.5" customHeight="1">
      <c r="B1332" s="1610"/>
      <c r="C1332" s="1608">
        <v>4</v>
      </c>
      <c r="D1332" s="129" t="s">
        <v>432</v>
      </c>
      <c r="E1332" s="129">
        <v>46970725</v>
      </c>
      <c r="F1332" s="31" t="s">
        <v>1681</v>
      </c>
      <c r="G1332" s="1448" t="s">
        <v>1681</v>
      </c>
      <c r="H1332" s="30">
        <v>30196662</v>
      </c>
      <c r="I1332" s="30">
        <v>16500</v>
      </c>
      <c r="J1332" s="64">
        <v>0.1</v>
      </c>
      <c r="K1332" s="30">
        <v>10</v>
      </c>
      <c r="L1332" s="30">
        <v>10000</v>
      </c>
      <c r="M1332" s="1454" t="s">
        <v>1682</v>
      </c>
      <c r="N1332" s="1461">
        <v>20250115073</v>
      </c>
    </row>
    <row r="1333" spans="2:14" ht="16.5" customHeight="1">
      <c r="B1333" s="1610"/>
      <c r="C1333" s="1610"/>
      <c r="D1333" s="129" t="s">
        <v>432</v>
      </c>
      <c r="E1333" s="129">
        <v>60007944</v>
      </c>
      <c r="F1333" s="31" t="s">
        <v>1683</v>
      </c>
      <c r="G1333" s="1448"/>
      <c r="H1333" s="30">
        <v>30217074</v>
      </c>
      <c r="I1333" s="30">
        <v>17200</v>
      </c>
      <c r="J1333" s="64">
        <v>0.1</v>
      </c>
      <c r="K1333" s="30">
        <v>10</v>
      </c>
      <c r="L1333" s="30">
        <v>10000</v>
      </c>
      <c r="M1333" s="1454"/>
      <c r="N1333" s="1461"/>
    </row>
    <row r="1334" spans="2:14" ht="16.5" customHeight="1">
      <c r="B1334" s="1610"/>
      <c r="C1334" s="1610"/>
      <c r="D1334" s="129" t="s">
        <v>432</v>
      </c>
      <c r="E1334" s="129">
        <v>55822560</v>
      </c>
      <c r="F1334" s="31" t="s">
        <v>1684</v>
      </c>
      <c r="G1334" s="1448"/>
      <c r="H1334" s="30">
        <v>30189142</v>
      </c>
      <c r="I1334" s="30">
        <v>13900</v>
      </c>
      <c r="J1334" s="64">
        <v>0.1</v>
      </c>
      <c r="K1334" s="30">
        <v>10</v>
      </c>
      <c r="L1334" s="30">
        <v>10000</v>
      </c>
      <c r="M1334" s="1454"/>
      <c r="N1334" s="1461"/>
    </row>
    <row r="1335" spans="2:14" ht="16.5" customHeight="1">
      <c r="B1335" s="1610"/>
      <c r="C1335" s="1610"/>
      <c r="D1335" s="129" t="s">
        <v>432</v>
      </c>
      <c r="E1335" s="129">
        <v>46572933</v>
      </c>
      <c r="F1335" s="31" t="s">
        <v>1685</v>
      </c>
      <c r="G1335" s="1448"/>
      <c r="H1335" s="30">
        <v>30189141</v>
      </c>
      <c r="I1335" s="30">
        <v>13200</v>
      </c>
      <c r="J1335" s="64">
        <v>0.1</v>
      </c>
      <c r="K1335" s="30">
        <v>10</v>
      </c>
      <c r="L1335" s="30">
        <v>10000</v>
      </c>
      <c r="M1335" s="1454"/>
      <c r="N1335" s="1461"/>
    </row>
    <row r="1336" spans="2:14" ht="16.5" customHeight="1">
      <c r="B1336" s="1610"/>
      <c r="C1336" s="1609"/>
      <c r="D1336" s="129" t="s">
        <v>432</v>
      </c>
      <c r="E1336" s="129">
        <v>46572941</v>
      </c>
      <c r="F1336" s="31" t="s">
        <v>1686</v>
      </c>
      <c r="G1336" s="1448"/>
      <c r="H1336" s="30">
        <v>30187654</v>
      </c>
      <c r="I1336" s="30">
        <v>11900</v>
      </c>
      <c r="J1336" s="64">
        <v>0.1</v>
      </c>
      <c r="K1336" s="30">
        <v>10</v>
      </c>
      <c r="L1336" s="30">
        <v>10000</v>
      </c>
      <c r="M1336" s="1454"/>
      <c r="N1336" s="1461"/>
    </row>
    <row r="1337" spans="2:14" ht="16.5" customHeight="1">
      <c r="B1337" s="1610"/>
      <c r="C1337" s="1608">
        <v>5</v>
      </c>
      <c r="D1337" s="129" t="s">
        <v>1687</v>
      </c>
      <c r="E1337" s="129">
        <v>30216206</v>
      </c>
      <c r="F1337" s="31" t="s">
        <v>1688</v>
      </c>
      <c r="G1337" s="1448" t="s">
        <v>1688</v>
      </c>
      <c r="H1337" s="30">
        <v>30217072</v>
      </c>
      <c r="I1337" s="30">
        <v>11200</v>
      </c>
      <c r="J1337" s="64">
        <v>0.1</v>
      </c>
      <c r="K1337" s="30">
        <v>10</v>
      </c>
      <c r="L1337" s="30">
        <v>10000</v>
      </c>
      <c r="M1337" s="1454" t="s">
        <v>1689</v>
      </c>
      <c r="N1337" s="1461">
        <v>20250115074</v>
      </c>
    </row>
    <row r="1338" spans="2:14" ht="16.5" customHeight="1">
      <c r="B1338" s="1610"/>
      <c r="C1338" s="1609"/>
      <c r="D1338" s="129" t="s">
        <v>1687</v>
      </c>
      <c r="E1338" s="129">
        <v>30214532</v>
      </c>
      <c r="F1338" s="31" t="s">
        <v>1690</v>
      </c>
      <c r="G1338" s="1448"/>
      <c r="H1338" s="30">
        <v>30217071</v>
      </c>
      <c r="I1338" s="30">
        <v>13900</v>
      </c>
      <c r="J1338" s="64">
        <v>0.1</v>
      </c>
      <c r="K1338" s="30">
        <v>10</v>
      </c>
      <c r="L1338" s="30">
        <v>10000</v>
      </c>
      <c r="M1338" s="1454"/>
      <c r="N1338" s="1461"/>
    </row>
    <row r="1339" spans="2:14" ht="16.5" customHeight="1">
      <c r="B1339" s="1610"/>
      <c r="C1339" s="1608">
        <v>6</v>
      </c>
      <c r="D1339" s="129" t="s">
        <v>426</v>
      </c>
      <c r="E1339" s="129">
        <v>64065784</v>
      </c>
      <c r="F1339" s="31" t="s">
        <v>1691</v>
      </c>
      <c r="G1339" s="1448" t="s">
        <v>1691</v>
      </c>
      <c r="H1339" s="30">
        <v>30217070</v>
      </c>
      <c r="I1339" s="30">
        <v>9900</v>
      </c>
      <c r="J1339" s="64">
        <v>0.1</v>
      </c>
      <c r="K1339" s="30">
        <v>10</v>
      </c>
      <c r="L1339" s="30">
        <v>10000</v>
      </c>
      <c r="M1339" s="1454" t="s">
        <v>1692</v>
      </c>
      <c r="N1339" s="1461">
        <v>20250115075</v>
      </c>
    </row>
    <row r="1340" spans="2:14" ht="16.5" customHeight="1">
      <c r="B1340" s="1610"/>
      <c r="C1340" s="1610"/>
      <c r="D1340" s="129" t="s">
        <v>426</v>
      </c>
      <c r="E1340" s="129">
        <v>40173126</v>
      </c>
      <c r="F1340" s="31" t="s">
        <v>1693</v>
      </c>
      <c r="G1340" s="1448"/>
      <c r="H1340" s="30">
        <v>30217069</v>
      </c>
      <c r="I1340" s="30">
        <v>15900</v>
      </c>
      <c r="J1340" s="64">
        <v>0.1</v>
      </c>
      <c r="K1340" s="30">
        <v>10</v>
      </c>
      <c r="L1340" s="30">
        <v>10000</v>
      </c>
      <c r="M1340" s="1454"/>
      <c r="N1340" s="1461"/>
    </row>
    <row r="1341" spans="2:14" ht="16.5" customHeight="1">
      <c r="B1341" s="1610"/>
      <c r="C1341" s="1610"/>
      <c r="D1341" s="129" t="s">
        <v>426</v>
      </c>
      <c r="E1341" s="129">
        <v>42006807</v>
      </c>
      <c r="F1341" s="31" t="s">
        <v>1694</v>
      </c>
      <c r="G1341" s="1448"/>
      <c r="H1341" s="30">
        <v>30217068</v>
      </c>
      <c r="I1341" s="30">
        <v>15900</v>
      </c>
      <c r="J1341" s="64">
        <v>0.1</v>
      </c>
      <c r="K1341" s="30">
        <v>10</v>
      </c>
      <c r="L1341" s="30">
        <v>10000</v>
      </c>
      <c r="M1341" s="1454"/>
      <c r="N1341" s="1461"/>
    </row>
    <row r="1342" spans="2:14" ht="16.5" customHeight="1">
      <c r="B1342" s="1610"/>
      <c r="C1342" s="1610"/>
      <c r="D1342" s="129" t="s">
        <v>426</v>
      </c>
      <c r="E1342" s="129">
        <v>44686314</v>
      </c>
      <c r="F1342" s="31" t="s">
        <v>1695</v>
      </c>
      <c r="G1342" s="1448"/>
      <c r="H1342" s="30">
        <v>30217067</v>
      </c>
      <c r="I1342" s="30">
        <v>14900</v>
      </c>
      <c r="J1342" s="64">
        <v>0.1</v>
      </c>
      <c r="K1342" s="30">
        <v>10</v>
      </c>
      <c r="L1342" s="30">
        <v>10000</v>
      </c>
      <c r="M1342" s="1454"/>
      <c r="N1342" s="1461"/>
    </row>
    <row r="1343" spans="2:14" ht="16.5" customHeight="1">
      <c r="B1343" s="1610"/>
      <c r="C1343" s="1609"/>
      <c r="D1343" s="129" t="s">
        <v>426</v>
      </c>
      <c r="E1343" s="129">
        <v>41925663</v>
      </c>
      <c r="F1343" s="31" t="s">
        <v>1696</v>
      </c>
      <c r="G1343" s="1448"/>
      <c r="H1343" s="30">
        <v>30217066</v>
      </c>
      <c r="I1343" s="30">
        <v>14900</v>
      </c>
      <c r="J1343" s="64">
        <v>0.1</v>
      </c>
      <c r="K1343" s="30">
        <v>10</v>
      </c>
      <c r="L1343" s="30">
        <v>10000</v>
      </c>
      <c r="M1343" s="1454"/>
      <c r="N1343" s="1461"/>
    </row>
    <row r="1344" spans="2:14" ht="16.5" customHeight="1">
      <c r="B1344" s="1610"/>
      <c r="C1344" s="1608">
        <v>7</v>
      </c>
      <c r="D1344" s="129" t="s">
        <v>439</v>
      </c>
      <c r="E1344" s="129">
        <v>75409458</v>
      </c>
      <c r="F1344" s="31" t="s">
        <v>1697</v>
      </c>
      <c r="G1344" s="1454" t="s">
        <v>1698</v>
      </c>
      <c r="H1344" s="30">
        <v>30217065</v>
      </c>
      <c r="I1344" s="30">
        <v>10900</v>
      </c>
      <c r="J1344" s="64">
        <v>0.1</v>
      </c>
      <c r="K1344" s="30">
        <v>10</v>
      </c>
      <c r="L1344" s="30">
        <v>10000</v>
      </c>
      <c r="M1344" s="1454" t="s">
        <v>1699</v>
      </c>
      <c r="N1344" s="1461">
        <v>20250115076</v>
      </c>
    </row>
    <row r="1345" spans="2:14" ht="16.5" customHeight="1">
      <c r="B1345" s="1610"/>
      <c r="C1345" s="1610"/>
      <c r="D1345" s="129" t="s">
        <v>439</v>
      </c>
      <c r="E1345" s="129">
        <v>75409474</v>
      </c>
      <c r="F1345" s="31" t="s">
        <v>1700</v>
      </c>
      <c r="G1345" s="1454"/>
      <c r="H1345" s="30">
        <v>30217064</v>
      </c>
      <c r="I1345" s="30">
        <v>15900</v>
      </c>
      <c r="J1345" s="64">
        <v>0.1</v>
      </c>
      <c r="K1345" s="30">
        <v>10</v>
      </c>
      <c r="L1345" s="30">
        <v>10000</v>
      </c>
      <c r="M1345" s="1454"/>
      <c r="N1345" s="1461"/>
    </row>
    <row r="1346" spans="2:14" ht="16.5" customHeight="1">
      <c r="B1346" s="1610"/>
      <c r="C1346" s="1610"/>
      <c r="D1346" s="129" t="s">
        <v>439</v>
      </c>
      <c r="E1346" s="129">
        <v>70189255</v>
      </c>
      <c r="F1346" s="31" t="s">
        <v>1701</v>
      </c>
      <c r="G1346" s="1454"/>
      <c r="H1346" s="30">
        <v>30215005</v>
      </c>
      <c r="I1346" s="30">
        <v>11900</v>
      </c>
      <c r="J1346" s="64">
        <v>0.1</v>
      </c>
      <c r="K1346" s="30">
        <v>10</v>
      </c>
      <c r="L1346" s="30">
        <v>10000</v>
      </c>
      <c r="M1346" s="1454"/>
      <c r="N1346" s="1461"/>
    </row>
    <row r="1347" spans="2:14" ht="16.5" customHeight="1">
      <c r="B1347" s="1610"/>
      <c r="C1347" s="1610"/>
      <c r="D1347" s="129" t="s">
        <v>439</v>
      </c>
      <c r="E1347" s="129">
        <v>70189257</v>
      </c>
      <c r="F1347" s="31" t="s">
        <v>1702</v>
      </c>
      <c r="G1347" s="1454"/>
      <c r="H1347" s="30">
        <v>30215006</v>
      </c>
      <c r="I1347" s="30">
        <v>11900</v>
      </c>
      <c r="J1347" s="64">
        <v>0.1</v>
      </c>
      <c r="K1347" s="30">
        <v>10</v>
      </c>
      <c r="L1347" s="30">
        <v>10000</v>
      </c>
      <c r="M1347" s="1454"/>
      <c r="N1347" s="1461"/>
    </row>
    <row r="1348" spans="2:14" ht="16.5" customHeight="1">
      <c r="B1348" s="1610"/>
      <c r="C1348" s="1610"/>
      <c r="D1348" s="129" t="s">
        <v>439</v>
      </c>
      <c r="E1348" s="129">
        <v>70190068</v>
      </c>
      <c r="F1348" s="31" t="s">
        <v>1703</v>
      </c>
      <c r="G1348" s="1454"/>
      <c r="H1348" s="30">
        <v>30215004</v>
      </c>
      <c r="I1348" s="30">
        <v>22900</v>
      </c>
      <c r="J1348" s="64">
        <v>0.1</v>
      </c>
      <c r="K1348" s="30">
        <v>10</v>
      </c>
      <c r="L1348" s="30">
        <v>10000</v>
      </c>
      <c r="M1348" s="1454"/>
      <c r="N1348" s="1461"/>
    </row>
    <row r="1349" spans="2:14" ht="16.5" customHeight="1">
      <c r="B1349" s="1610"/>
      <c r="C1349" s="1609"/>
      <c r="D1349" s="129" t="s">
        <v>439</v>
      </c>
      <c r="E1349" s="129">
        <v>70190070</v>
      </c>
      <c r="F1349" s="31" t="s">
        <v>1704</v>
      </c>
      <c r="G1349" s="1454"/>
      <c r="H1349" s="30">
        <v>30215003</v>
      </c>
      <c r="I1349" s="30">
        <v>22900</v>
      </c>
      <c r="J1349" s="64">
        <v>0.1</v>
      </c>
      <c r="K1349" s="30">
        <v>10</v>
      </c>
      <c r="L1349" s="30">
        <v>10000</v>
      </c>
      <c r="M1349" s="1454"/>
      <c r="N1349" s="1461"/>
    </row>
    <row r="1350" spans="2:14" ht="16.5" customHeight="1">
      <c r="B1350" s="1610"/>
      <c r="C1350" s="1608">
        <v>9</v>
      </c>
      <c r="D1350" s="129" t="s">
        <v>426</v>
      </c>
      <c r="E1350" s="129">
        <v>69081816</v>
      </c>
      <c r="F1350" s="31" t="s">
        <v>1705</v>
      </c>
      <c r="G1350" s="1454" t="s">
        <v>1705</v>
      </c>
      <c r="H1350" s="30">
        <v>30217063</v>
      </c>
      <c r="I1350" s="30">
        <v>16900</v>
      </c>
      <c r="J1350" s="64">
        <v>0.1</v>
      </c>
      <c r="K1350" s="30">
        <v>10</v>
      </c>
      <c r="L1350" s="30">
        <v>10000</v>
      </c>
      <c r="M1350" s="1454" t="s">
        <v>1706</v>
      </c>
      <c r="N1350" s="1461">
        <v>20250115077</v>
      </c>
    </row>
    <row r="1351" spans="2:14" ht="16.5" customHeight="1">
      <c r="B1351" s="1610"/>
      <c r="C1351" s="1610"/>
      <c r="D1351" s="129" t="s">
        <v>426</v>
      </c>
      <c r="E1351" s="129">
        <v>72259669</v>
      </c>
      <c r="F1351" s="31" t="s">
        <v>1707</v>
      </c>
      <c r="G1351" s="1454"/>
      <c r="H1351" s="30">
        <v>30217062</v>
      </c>
      <c r="I1351" s="30">
        <v>18900</v>
      </c>
      <c r="J1351" s="64">
        <v>0.1</v>
      </c>
      <c r="K1351" s="30">
        <v>10</v>
      </c>
      <c r="L1351" s="30">
        <v>10000</v>
      </c>
      <c r="M1351" s="1454"/>
      <c r="N1351" s="1461"/>
    </row>
    <row r="1352" spans="2:14" ht="16.5" customHeight="1">
      <c r="B1352" s="1610"/>
      <c r="C1352" s="1610"/>
      <c r="D1352" s="129" t="s">
        <v>426</v>
      </c>
      <c r="E1352" s="129">
        <v>70091563</v>
      </c>
      <c r="F1352" s="31" t="s">
        <v>1708</v>
      </c>
      <c r="G1352" s="1454"/>
      <c r="H1352" s="30">
        <v>30217061</v>
      </c>
      <c r="I1352" s="30">
        <v>14900</v>
      </c>
      <c r="J1352" s="64">
        <v>0.1</v>
      </c>
      <c r="K1352" s="30">
        <v>10</v>
      </c>
      <c r="L1352" s="30">
        <v>10000</v>
      </c>
      <c r="M1352" s="1454"/>
      <c r="N1352" s="1461"/>
    </row>
    <row r="1353" spans="2:14" ht="16.5" customHeight="1">
      <c r="B1353" s="1610"/>
      <c r="C1353" s="1609"/>
      <c r="D1353" s="129" t="s">
        <v>426</v>
      </c>
      <c r="E1353" s="129">
        <v>69079739</v>
      </c>
      <c r="F1353" s="31" t="s">
        <v>1709</v>
      </c>
      <c r="G1353" s="1454"/>
      <c r="H1353" s="30">
        <v>30217060</v>
      </c>
      <c r="I1353" s="30">
        <v>24900</v>
      </c>
      <c r="J1353" s="64">
        <v>0.1</v>
      </c>
      <c r="K1353" s="30">
        <v>10</v>
      </c>
      <c r="L1353" s="30">
        <v>10000</v>
      </c>
      <c r="M1353" s="1454"/>
      <c r="N1353" s="1461"/>
    </row>
    <row r="1354" spans="2:14" ht="16.5" customHeight="1">
      <c r="B1354" s="1610"/>
      <c r="C1354" s="1608">
        <v>10</v>
      </c>
      <c r="D1354" s="129" t="s">
        <v>469</v>
      </c>
      <c r="E1354" s="129">
        <v>30213451</v>
      </c>
      <c r="F1354" s="31" t="s">
        <v>473</v>
      </c>
      <c r="G1354" s="1454" t="s">
        <v>1710</v>
      </c>
      <c r="H1354" s="30">
        <v>30213466</v>
      </c>
      <c r="I1354" s="30">
        <v>11500</v>
      </c>
      <c r="J1354" s="64">
        <v>0.1</v>
      </c>
      <c r="K1354" s="30">
        <v>10</v>
      </c>
      <c r="L1354" s="30">
        <v>10000</v>
      </c>
      <c r="M1354" s="1454" t="s">
        <v>1711</v>
      </c>
      <c r="N1354" s="1461">
        <v>20250115078</v>
      </c>
    </row>
    <row r="1355" spans="2:14" ht="16.5" customHeight="1">
      <c r="B1355" s="1610"/>
      <c r="C1355" s="1610"/>
      <c r="D1355" s="129" t="s">
        <v>469</v>
      </c>
      <c r="E1355" s="129">
        <v>48595249</v>
      </c>
      <c r="F1355" s="31" t="s">
        <v>470</v>
      </c>
      <c r="G1355" s="1454"/>
      <c r="H1355" s="30">
        <v>30214992</v>
      </c>
      <c r="I1355" s="30">
        <v>12900</v>
      </c>
      <c r="J1355" s="64">
        <v>0.1</v>
      </c>
      <c r="K1355" s="30">
        <v>10</v>
      </c>
      <c r="L1355" s="30">
        <v>10000</v>
      </c>
      <c r="M1355" s="1454"/>
      <c r="N1355" s="1461"/>
    </row>
    <row r="1356" spans="2:14" ht="16.5" customHeight="1">
      <c r="B1356" s="1610"/>
      <c r="C1356" s="1610"/>
      <c r="D1356" s="129" t="s">
        <v>469</v>
      </c>
      <c r="E1356" s="129">
        <v>48595246</v>
      </c>
      <c r="F1356" s="31" t="s">
        <v>1270</v>
      </c>
      <c r="G1356" s="1454"/>
      <c r="H1356" s="30">
        <v>30217059</v>
      </c>
      <c r="I1356" s="30">
        <v>8500</v>
      </c>
      <c r="J1356" s="64">
        <v>0.1</v>
      </c>
      <c r="K1356" s="30">
        <v>10</v>
      </c>
      <c r="L1356" s="30">
        <v>10000</v>
      </c>
      <c r="M1356" s="1454"/>
      <c r="N1356" s="1461"/>
    </row>
    <row r="1357" spans="2:14" ht="16.5" customHeight="1">
      <c r="B1357" s="1610"/>
      <c r="C1357" s="1610"/>
      <c r="D1357" s="129" t="s">
        <v>469</v>
      </c>
      <c r="E1357" s="129">
        <v>48594586</v>
      </c>
      <c r="F1357" s="31" t="s">
        <v>474</v>
      </c>
      <c r="G1357" s="1454"/>
      <c r="H1357" s="30">
        <v>30213446</v>
      </c>
      <c r="I1357" s="30">
        <v>22500</v>
      </c>
      <c r="J1357" s="64">
        <v>0.1</v>
      </c>
      <c r="K1357" s="30">
        <v>10</v>
      </c>
      <c r="L1357" s="30">
        <v>10000</v>
      </c>
      <c r="M1357" s="1454"/>
      <c r="N1357" s="1461"/>
    </row>
    <row r="1358" spans="2:14" ht="16.5" customHeight="1">
      <c r="B1358" s="1610"/>
      <c r="C1358" s="1610"/>
      <c r="D1358" s="129" t="s">
        <v>469</v>
      </c>
      <c r="E1358" s="129">
        <v>48595067</v>
      </c>
      <c r="F1358" s="31" t="s">
        <v>1712</v>
      </c>
      <c r="G1358" s="1454"/>
      <c r="H1358" s="30">
        <v>30217058</v>
      </c>
      <c r="I1358" s="30">
        <v>22900</v>
      </c>
      <c r="J1358" s="64">
        <v>0.1</v>
      </c>
      <c r="K1358" s="30">
        <v>10</v>
      </c>
      <c r="L1358" s="30">
        <v>10000</v>
      </c>
      <c r="M1358" s="1454"/>
      <c r="N1358" s="1461"/>
    </row>
    <row r="1359" spans="2:14" ht="16.5" customHeight="1">
      <c r="B1359" s="1610"/>
      <c r="C1359" s="1610"/>
      <c r="D1359" s="129" t="s">
        <v>469</v>
      </c>
      <c r="E1359" s="129">
        <v>49008741</v>
      </c>
      <c r="F1359" s="31" t="s">
        <v>1272</v>
      </c>
      <c r="G1359" s="1454"/>
      <c r="H1359" s="30">
        <v>30217056</v>
      </c>
      <c r="I1359" s="30">
        <v>12900</v>
      </c>
      <c r="J1359" s="64">
        <v>0.1</v>
      </c>
      <c r="K1359" s="30">
        <v>10</v>
      </c>
      <c r="L1359" s="30">
        <v>10000</v>
      </c>
      <c r="M1359" s="1454"/>
      <c r="N1359" s="1461"/>
    </row>
    <row r="1360" spans="2:14" ht="16.5" customHeight="1">
      <c r="B1360" s="1610"/>
      <c r="C1360" s="1610"/>
      <c r="D1360" s="129" t="s">
        <v>469</v>
      </c>
      <c r="E1360" s="129">
        <v>48607237</v>
      </c>
      <c r="F1360" s="31" t="s">
        <v>1273</v>
      </c>
      <c r="G1360" s="1454"/>
      <c r="H1360" s="30">
        <v>30217055</v>
      </c>
      <c r="I1360" s="30">
        <v>21900</v>
      </c>
      <c r="J1360" s="64">
        <v>0.1</v>
      </c>
      <c r="K1360" s="30">
        <v>10</v>
      </c>
      <c r="L1360" s="30">
        <v>10000</v>
      </c>
      <c r="M1360" s="1454"/>
      <c r="N1360" s="1461"/>
    </row>
    <row r="1361" spans="2:15" ht="16.5" customHeight="1">
      <c r="B1361" s="1610"/>
      <c r="C1361" s="1610"/>
      <c r="D1361" s="129" t="s">
        <v>469</v>
      </c>
      <c r="E1361" s="129">
        <v>48607225</v>
      </c>
      <c r="F1361" s="31" t="s">
        <v>1274</v>
      </c>
      <c r="G1361" s="1454"/>
      <c r="H1361" s="30">
        <v>30217054</v>
      </c>
      <c r="I1361" s="30">
        <v>40900</v>
      </c>
      <c r="J1361" s="64">
        <v>0.1</v>
      </c>
      <c r="K1361" s="30">
        <v>10</v>
      </c>
      <c r="L1361" s="30">
        <v>10000</v>
      </c>
      <c r="M1361" s="1454"/>
      <c r="N1361" s="1461"/>
    </row>
    <row r="1362" spans="2:15" ht="16.5" customHeight="1">
      <c r="B1362" s="1610"/>
      <c r="C1362" s="1610"/>
      <c r="D1362" s="129" t="s">
        <v>469</v>
      </c>
      <c r="E1362" s="129">
        <v>48606686</v>
      </c>
      <c r="F1362" s="31" t="s">
        <v>1275</v>
      </c>
      <c r="G1362" s="1454"/>
      <c r="H1362" s="30">
        <v>30217053</v>
      </c>
      <c r="I1362" s="30">
        <v>21900</v>
      </c>
      <c r="J1362" s="64">
        <v>0.1</v>
      </c>
      <c r="K1362" s="30">
        <v>10</v>
      </c>
      <c r="L1362" s="30">
        <v>10000</v>
      </c>
      <c r="M1362" s="1454"/>
      <c r="N1362" s="1461"/>
    </row>
    <row r="1363" spans="2:15" ht="16.5" customHeight="1">
      <c r="B1363" s="1610"/>
      <c r="C1363" s="1610"/>
      <c r="D1363" s="129" t="s">
        <v>469</v>
      </c>
      <c r="E1363" s="129">
        <v>48606973</v>
      </c>
      <c r="F1363" s="31" t="s">
        <v>1276</v>
      </c>
      <c r="G1363" s="1454"/>
      <c r="H1363" s="30">
        <v>30217052</v>
      </c>
      <c r="I1363" s="30">
        <v>11900</v>
      </c>
      <c r="J1363" s="64">
        <v>0.1</v>
      </c>
      <c r="K1363" s="30">
        <v>10</v>
      </c>
      <c r="L1363" s="30">
        <v>10000</v>
      </c>
      <c r="M1363" s="1454"/>
      <c r="N1363" s="1461"/>
    </row>
    <row r="1364" spans="2:15" ht="16.5" customHeight="1">
      <c r="B1364" s="1609"/>
      <c r="C1364" s="1609"/>
      <c r="D1364" s="129" t="s">
        <v>469</v>
      </c>
      <c r="E1364" s="129">
        <v>48607074</v>
      </c>
      <c r="F1364" s="31" t="s">
        <v>1277</v>
      </c>
      <c r="G1364" s="1454"/>
      <c r="H1364" s="30">
        <v>30217051</v>
      </c>
      <c r="I1364" s="30">
        <v>16500</v>
      </c>
      <c r="J1364" s="64">
        <v>0.1</v>
      </c>
      <c r="K1364" s="30">
        <v>10</v>
      </c>
      <c r="L1364" s="30">
        <v>10000</v>
      </c>
      <c r="M1364" s="1454"/>
      <c r="N1364" s="1461"/>
    </row>
    <row r="1365" spans="2:15" ht="16.5" customHeight="1">
      <c r="B1365" s="1608" t="s">
        <v>910</v>
      </c>
      <c r="C1365" s="1608">
        <v>1</v>
      </c>
      <c r="D1365" s="1608" t="s">
        <v>925</v>
      </c>
      <c r="E1365" s="129">
        <v>30155636</v>
      </c>
      <c r="F1365" s="31" t="s">
        <v>1713</v>
      </c>
      <c r="G1365" s="1454" t="s">
        <v>1714</v>
      </c>
      <c r="H1365" s="30">
        <v>30216595</v>
      </c>
      <c r="I1365" s="35">
        <v>16900</v>
      </c>
      <c r="J1365" s="64">
        <v>0.12</v>
      </c>
      <c r="K1365" s="30">
        <v>5</v>
      </c>
      <c r="L1365" s="35">
        <v>84500</v>
      </c>
      <c r="M1365" s="1454" t="s">
        <v>1715</v>
      </c>
      <c r="N1365" s="1461">
        <v>20250115079</v>
      </c>
    </row>
    <row r="1366" spans="2:15" ht="16.5" customHeight="1">
      <c r="B1366" s="1610"/>
      <c r="C1366" s="1610"/>
      <c r="D1366" s="1610"/>
      <c r="E1366" s="129">
        <v>30155384</v>
      </c>
      <c r="F1366" s="31" t="s">
        <v>1716</v>
      </c>
      <c r="G1366" s="1448"/>
      <c r="H1366" s="30">
        <v>30216603</v>
      </c>
      <c r="I1366" s="35">
        <v>17900</v>
      </c>
      <c r="J1366" s="64">
        <v>0.12</v>
      </c>
      <c r="K1366" s="30">
        <v>5</v>
      </c>
      <c r="L1366" s="35">
        <v>89500</v>
      </c>
      <c r="M1366" s="1454"/>
      <c r="N1366" s="1461"/>
    </row>
    <row r="1367" spans="2:15" ht="16.5" customHeight="1">
      <c r="B1367" s="1610"/>
      <c r="C1367" s="1609"/>
      <c r="D1367" s="1609"/>
      <c r="E1367" s="129">
        <v>30216492</v>
      </c>
      <c r="F1367" s="31" t="s">
        <v>1717</v>
      </c>
      <c r="G1367" s="1448"/>
      <c r="H1367" s="30">
        <v>30216605</v>
      </c>
      <c r="I1367" s="35">
        <v>24900</v>
      </c>
      <c r="J1367" s="64">
        <v>0.12</v>
      </c>
      <c r="K1367" s="30">
        <v>5</v>
      </c>
      <c r="L1367" s="35">
        <v>124500</v>
      </c>
      <c r="M1367" s="1454"/>
      <c r="N1367" s="1461"/>
    </row>
    <row r="1368" spans="2:15" ht="16.5" customHeight="1">
      <c r="B1368" s="1610"/>
      <c r="C1368" s="1608">
        <v>2</v>
      </c>
      <c r="D1368" s="1608" t="s">
        <v>915</v>
      </c>
      <c r="E1368" s="129">
        <v>10361276</v>
      </c>
      <c r="F1368" s="31" t="s">
        <v>1718</v>
      </c>
      <c r="G1368" s="1454" t="s">
        <v>1719</v>
      </c>
      <c r="H1368" s="30">
        <v>30175572</v>
      </c>
      <c r="I1368" s="35">
        <v>9500</v>
      </c>
      <c r="J1368" s="64">
        <v>0.1</v>
      </c>
      <c r="K1368" s="30">
        <v>10</v>
      </c>
      <c r="L1368" s="35">
        <v>95000</v>
      </c>
      <c r="M1368" s="1454" t="s">
        <v>1720</v>
      </c>
      <c r="N1368" s="1461">
        <v>20250115080</v>
      </c>
      <c r="O1368" s="4" t="s">
        <v>1721</v>
      </c>
    </row>
    <row r="1369" spans="2:15" ht="16.5" customHeight="1">
      <c r="B1369" s="1610"/>
      <c r="C1369" s="1610"/>
      <c r="D1369" s="1610"/>
      <c r="E1369" s="129">
        <v>30176130</v>
      </c>
      <c r="F1369" s="31" t="s">
        <v>1722</v>
      </c>
      <c r="G1369" s="1448"/>
      <c r="H1369" s="30">
        <v>30213468</v>
      </c>
      <c r="I1369" s="35">
        <v>9900</v>
      </c>
      <c r="J1369" s="64">
        <v>0.1</v>
      </c>
      <c r="K1369" s="30">
        <v>10</v>
      </c>
      <c r="L1369" s="35">
        <v>99000</v>
      </c>
      <c r="M1369" s="1454"/>
      <c r="N1369" s="1461"/>
    </row>
    <row r="1370" spans="2:15" ht="16.5" customHeight="1">
      <c r="B1370" s="1610"/>
      <c r="C1370" s="1610"/>
      <c r="D1370" s="1610"/>
      <c r="E1370" s="129">
        <v>30186878</v>
      </c>
      <c r="F1370" s="31" t="s">
        <v>395</v>
      </c>
      <c r="G1370" s="1448"/>
      <c r="H1370" s="30">
        <v>30216247</v>
      </c>
      <c r="I1370" s="35">
        <v>12900</v>
      </c>
      <c r="J1370" s="64">
        <v>0.1</v>
      </c>
      <c r="K1370" s="30">
        <v>10</v>
      </c>
      <c r="L1370" s="35">
        <v>129000</v>
      </c>
      <c r="M1370" s="1454"/>
      <c r="N1370" s="1461"/>
    </row>
    <row r="1371" spans="2:15" ht="16.5" customHeight="1">
      <c r="B1371" s="1610"/>
      <c r="C1371" s="1609"/>
      <c r="D1371" s="1609"/>
      <c r="E1371" s="129">
        <v>30176676</v>
      </c>
      <c r="F1371" s="31" t="s">
        <v>1723</v>
      </c>
      <c r="G1371" s="1448"/>
      <c r="H1371" s="30">
        <v>30176676</v>
      </c>
      <c r="I1371" s="35">
        <v>13900</v>
      </c>
      <c r="J1371" s="64">
        <v>0.1</v>
      </c>
      <c r="K1371" s="30">
        <v>10</v>
      </c>
      <c r="L1371" s="35">
        <v>139000</v>
      </c>
      <c r="M1371" s="1454"/>
      <c r="N1371" s="1461"/>
    </row>
    <row r="1372" spans="2:15" ht="16.5" customHeight="1">
      <c r="B1372" s="1610"/>
      <c r="C1372" s="1608">
        <v>3</v>
      </c>
      <c r="D1372" s="1608" t="s">
        <v>930</v>
      </c>
      <c r="E1372" s="129">
        <v>30120475</v>
      </c>
      <c r="F1372" s="31" t="s">
        <v>1724</v>
      </c>
      <c r="G1372" s="1454" t="s">
        <v>1725</v>
      </c>
      <c r="H1372" s="30">
        <v>30216225</v>
      </c>
      <c r="I1372" s="35">
        <v>16700</v>
      </c>
      <c r="J1372" s="64">
        <v>0.1</v>
      </c>
      <c r="K1372" s="30">
        <v>5</v>
      </c>
      <c r="L1372" s="35">
        <v>83500</v>
      </c>
      <c r="M1372" s="1454" t="s">
        <v>1726</v>
      </c>
      <c r="N1372" s="1461">
        <v>20250115081</v>
      </c>
    </row>
    <row r="1373" spans="2:15" ht="16.5" customHeight="1">
      <c r="B1373" s="1610"/>
      <c r="C1373" s="1610"/>
      <c r="D1373" s="1610"/>
      <c r="E1373" s="129">
        <v>30120491</v>
      </c>
      <c r="F1373" s="31" t="s">
        <v>1727</v>
      </c>
      <c r="G1373" s="1454"/>
      <c r="H1373" s="30">
        <v>30210874</v>
      </c>
      <c r="I1373" s="35">
        <v>31000</v>
      </c>
      <c r="J1373" s="64">
        <v>0.1</v>
      </c>
      <c r="K1373" s="30">
        <v>5</v>
      </c>
      <c r="L1373" s="35">
        <v>155000</v>
      </c>
      <c r="M1373" s="1454"/>
      <c r="N1373" s="1461"/>
    </row>
    <row r="1374" spans="2:15" ht="16.5" customHeight="1">
      <c r="B1374" s="1610"/>
      <c r="C1374" s="1609"/>
      <c r="D1374" s="1609"/>
      <c r="E1374" s="129">
        <v>30120687</v>
      </c>
      <c r="F1374" s="31" t="s">
        <v>1728</v>
      </c>
      <c r="G1374" s="1448"/>
      <c r="H1374" s="30">
        <v>30216230</v>
      </c>
      <c r="I1374" s="35">
        <v>16700</v>
      </c>
      <c r="J1374" s="64">
        <v>0.1</v>
      </c>
      <c r="K1374" s="30">
        <v>5</v>
      </c>
      <c r="L1374" s="35">
        <v>83500</v>
      </c>
      <c r="M1374" s="1454"/>
      <c r="N1374" s="1461"/>
    </row>
    <row r="1375" spans="2:15" ht="16.5" customHeight="1">
      <c r="B1375" s="1610"/>
      <c r="C1375" s="1608">
        <v>4</v>
      </c>
      <c r="D1375" s="1608" t="s">
        <v>935</v>
      </c>
      <c r="E1375" s="129">
        <v>30215989</v>
      </c>
      <c r="F1375" s="31" t="s">
        <v>1729</v>
      </c>
      <c r="G1375" s="1454" t="s">
        <v>1730</v>
      </c>
      <c r="H1375" s="30">
        <v>30216608</v>
      </c>
      <c r="I1375" s="35">
        <v>8400</v>
      </c>
      <c r="J1375" s="64">
        <v>0.13</v>
      </c>
      <c r="K1375" s="30">
        <v>10</v>
      </c>
      <c r="L1375" s="35">
        <v>84000</v>
      </c>
      <c r="M1375" s="1454" t="s">
        <v>1731</v>
      </c>
      <c r="N1375" s="1461">
        <v>20250115082</v>
      </c>
    </row>
    <row r="1376" spans="2:15" ht="16.5" customHeight="1">
      <c r="B1376" s="1610"/>
      <c r="C1376" s="1610"/>
      <c r="D1376" s="1610"/>
      <c r="E1376" s="129">
        <v>30215990</v>
      </c>
      <c r="F1376" s="31" t="s">
        <v>1732</v>
      </c>
      <c r="G1376" s="1448"/>
      <c r="H1376" s="30">
        <v>30216610</v>
      </c>
      <c r="I1376" s="35">
        <v>8400</v>
      </c>
      <c r="J1376" s="64">
        <v>0.13</v>
      </c>
      <c r="K1376" s="30">
        <v>10</v>
      </c>
      <c r="L1376" s="35">
        <v>84000</v>
      </c>
      <c r="M1376" s="1454"/>
      <c r="N1376" s="1461"/>
    </row>
    <row r="1377" spans="2:14" ht="16.5" customHeight="1">
      <c r="B1377" s="1610"/>
      <c r="C1377" s="1610"/>
      <c r="D1377" s="1610"/>
      <c r="E1377" s="129">
        <v>30215991</v>
      </c>
      <c r="F1377" s="31" t="s">
        <v>1733</v>
      </c>
      <c r="G1377" s="1448"/>
      <c r="H1377" s="30">
        <v>30216613</v>
      </c>
      <c r="I1377" s="35">
        <v>8400</v>
      </c>
      <c r="J1377" s="64">
        <v>0.13</v>
      </c>
      <c r="K1377" s="30">
        <v>10</v>
      </c>
      <c r="L1377" s="35">
        <v>84000</v>
      </c>
      <c r="M1377" s="1454"/>
      <c r="N1377" s="1461"/>
    </row>
    <row r="1378" spans="2:14" ht="16.5" customHeight="1">
      <c r="B1378" s="1610"/>
      <c r="C1378" s="1610"/>
      <c r="D1378" s="1610"/>
      <c r="E1378" s="129">
        <v>30215992</v>
      </c>
      <c r="F1378" s="31" t="s">
        <v>1734</v>
      </c>
      <c r="G1378" s="1448"/>
      <c r="H1378" s="30">
        <v>30216616</v>
      </c>
      <c r="I1378" s="35">
        <v>8400</v>
      </c>
      <c r="J1378" s="64">
        <v>0.13</v>
      </c>
      <c r="K1378" s="30">
        <v>10</v>
      </c>
      <c r="L1378" s="35">
        <v>84000</v>
      </c>
      <c r="M1378" s="1454"/>
      <c r="N1378" s="1461"/>
    </row>
    <row r="1379" spans="2:14" ht="16.5" customHeight="1">
      <c r="B1379" s="1610"/>
      <c r="C1379" s="1609"/>
      <c r="D1379" s="1609"/>
      <c r="E1379" s="129">
        <v>30215993</v>
      </c>
      <c r="F1379" s="31" t="s">
        <v>1735</v>
      </c>
      <c r="G1379" s="1448"/>
      <c r="H1379" s="30">
        <v>30216620</v>
      </c>
      <c r="I1379" s="35">
        <v>8400</v>
      </c>
      <c r="J1379" s="64">
        <v>0.13</v>
      </c>
      <c r="K1379" s="30">
        <v>10</v>
      </c>
      <c r="L1379" s="35">
        <v>84000</v>
      </c>
      <c r="M1379" s="1454"/>
      <c r="N1379" s="1461"/>
    </row>
    <row r="1380" spans="2:14" ht="16.5" customHeight="1">
      <c r="B1380" s="1609"/>
      <c r="C1380" s="135">
        <v>5</v>
      </c>
      <c r="D1380" s="135" t="s">
        <v>919</v>
      </c>
      <c r="E1380" s="129">
        <v>76294020</v>
      </c>
      <c r="F1380" s="31" t="s">
        <v>1736</v>
      </c>
      <c r="G1380" s="31" t="s">
        <v>1737</v>
      </c>
      <c r="H1380" s="30">
        <v>30216232</v>
      </c>
      <c r="I1380" s="35">
        <v>19000</v>
      </c>
      <c r="J1380" s="64">
        <v>0.12</v>
      </c>
      <c r="K1380" s="30">
        <v>5</v>
      </c>
      <c r="L1380" s="35">
        <v>95000</v>
      </c>
      <c r="M1380" s="31" t="s">
        <v>1738</v>
      </c>
      <c r="N1380" s="69">
        <v>20250115083</v>
      </c>
    </row>
    <row r="1381" spans="2:14" ht="16.5" customHeight="1">
      <c r="B1381" s="1608" t="s">
        <v>942</v>
      </c>
      <c r="C1381" s="1608">
        <v>1</v>
      </c>
      <c r="D1381" s="1608" t="s">
        <v>404</v>
      </c>
      <c r="E1381" s="129">
        <v>72088882</v>
      </c>
      <c r="F1381" s="31" t="s">
        <v>1739</v>
      </c>
      <c r="G1381" s="1454" t="s">
        <v>1740</v>
      </c>
      <c r="H1381" s="30">
        <v>30216233</v>
      </c>
      <c r="I1381" s="35">
        <v>32900</v>
      </c>
      <c r="J1381" s="64">
        <v>0.1</v>
      </c>
      <c r="K1381" s="30">
        <v>5</v>
      </c>
      <c r="L1381" s="35">
        <v>164500</v>
      </c>
      <c r="M1381" s="1454" t="s">
        <v>1741</v>
      </c>
      <c r="N1381" s="1461">
        <v>20250115084</v>
      </c>
    </row>
    <row r="1382" spans="2:14" ht="16.5" customHeight="1">
      <c r="B1382" s="1610"/>
      <c r="C1382" s="1610"/>
      <c r="D1382" s="1610"/>
      <c r="E1382" s="129">
        <v>72088879</v>
      </c>
      <c r="F1382" s="31" t="s">
        <v>1742</v>
      </c>
      <c r="G1382" s="1454"/>
      <c r="H1382" s="30">
        <v>30216235</v>
      </c>
      <c r="I1382" s="35">
        <v>32900</v>
      </c>
      <c r="J1382" s="64">
        <v>0.1</v>
      </c>
      <c r="K1382" s="30">
        <v>5</v>
      </c>
      <c r="L1382" s="35">
        <v>164500</v>
      </c>
      <c r="M1382" s="1454"/>
      <c r="N1382" s="1461"/>
    </row>
    <row r="1383" spans="2:14" ht="16.5" customHeight="1">
      <c r="B1383" s="1610"/>
      <c r="C1383" s="1609"/>
      <c r="D1383" s="1609"/>
      <c r="E1383" s="129">
        <v>72088876</v>
      </c>
      <c r="F1383" s="31" t="s">
        <v>1743</v>
      </c>
      <c r="G1383" s="1454"/>
      <c r="H1383" s="30">
        <v>30216236</v>
      </c>
      <c r="I1383" s="35">
        <v>32900</v>
      </c>
      <c r="J1383" s="64">
        <v>0.1</v>
      </c>
      <c r="K1383" s="30">
        <v>5</v>
      </c>
      <c r="L1383" s="35">
        <v>164500</v>
      </c>
      <c r="M1383" s="1454"/>
      <c r="N1383" s="1461"/>
    </row>
    <row r="1384" spans="2:14" ht="16.5" customHeight="1">
      <c r="B1384" s="1610"/>
      <c r="C1384" s="1608">
        <v>2</v>
      </c>
      <c r="D1384" s="1608" t="s">
        <v>951</v>
      </c>
      <c r="E1384" s="129">
        <v>30208832</v>
      </c>
      <c r="F1384" s="31" t="s">
        <v>1744</v>
      </c>
      <c r="G1384" s="1454" t="s">
        <v>1745</v>
      </c>
      <c r="H1384" s="30">
        <v>30216239</v>
      </c>
      <c r="I1384" s="35">
        <v>10900</v>
      </c>
      <c r="J1384" s="64">
        <v>0.1</v>
      </c>
      <c r="K1384" s="30">
        <v>10</v>
      </c>
      <c r="L1384" s="35">
        <v>109000</v>
      </c>
      <c r="M1384" s="1454" t="s">
        <v>1746</v>
      </c>
      <c r="N1384" s="1461">
        <v>20250115085</v>
      </c>
    </row>
    <row r="1385" spans="2:14" ht="16.5" customHeight="1">
      <c r="B1385" s="1610"/>
      <c r="C1385" s="1610"/>
      <c r="D1385" s="1610"/>
      <c r="E1385" s="129">
        <v>30208833</v>
      </c>
      <c r="F1385" s="31" t="s">
        <v>1747</v>
      </c>
      <c r="G1385" s="1448"/>
      <c r="H1385" s="30">
        <v>30216240</v>
      </c>
      <c r="I1385" s="35">
        <v>10900</v>
      </c>
      <c r="J1385" s="64">
        <v>0.1</v>
      </c>
      <c r="K1385" s="30">
        <v>10</v>
      </c>
      <c r="L1385" s="35">
        <v>109000</v>
      </c>
      <c r="M1385" s="1454"/>
      <c r="N1385" s="1461"/>
    </row>
    <row r="1386" spans="2:14" ht="16.5" customHeight="1">
      <c r="B1386" s="1610"/>
      <c r="C1386" s="1609"/>
      <c r="D1386" s="1609"/>
      <c r="E1386" s="129">
        <v>30208834</v>
      </c>
      <c r="F1386" s="31" t="s">
        <v>1748</v>
      </c>
      <c r="G1386" s="1448"/>
      <c r="H1386" s="30">
        <v>30216241</v>
      </c>
      <c r="I1386" s="35">
        <v>10900</v>
      </c>
      <c r="J1386" s="64">
        <v>0.1</v>
      </c>
      <c r="K1386" s="30">
        <v>10</v>
      </c>
      <c r="L1386" s="35">
        <v>109000</v>
      </c>
      <c r="M1386" s="1454"/>
      <c r="N1386" s="1461"/>
    </row>
    <row r="1387" spans="2:14" ht="16.5" customHeight="1">
      <c r="B1387" s="1610"/>
      <c r="C1387" s="1608">
        <v>3</v>
      </c>
      <c r="D1387" s="1608" t="s">
        <v>947</v>
      </c>
      <c r="E1387" s="129">
        <v>30207063</v>
      </c>
      <c r="F1387" s="31" t="s">
        <v>1749</v>
      </c>
      <c r="G1387" s="1454" t="s">
        <v>1750</v>
      </c>
      <c r="H1387" s="30">
        <v>30216623</v>
      </c>
      <c r="I1387" s="35">
        <v>11900</v>
      </c>
      <c r="J1387" s="64">
        <v>0.1</v>
      </c>
      <c r="K1387" s="30">
        <v>10</v>
      </c>
      <c r="L1387" s="35">
        <v>119000</v>
      </c>
      <c r="M1387" s="1454" t="s">
        <v>1751</v>
      </c>
      <c r="N1387" s="1461">
        <v>20250115086</v>
      </c>
    </row>
    <row r="1388" spans="2:14" ht="16.5" customHeight="1">
      <c r="B1388" s="1610"/>
      <c r="C1388" s="1610"/>
      <c r="D1388" s="1610"/>
      <c r="E1388" s="129">
        <v>30207061</v>
      </c>
      <c r="F1388" s="31" t="s">
        <v>1752</v>
      </c>
      <c r="G1388" s="1448"/>
      <c r="H1388" s="30">
        <v>30216625</v>
      </c>
      <c r="I1388" s="35">
        <v>11900</v>
      </c>
      <c r="J1388" s="64">
        <v>0.1</v>
      </c>
      <c r="K1388" s="30">
        <v>10</v>
      </c>
      <c r="L1388" s="35">
        <v>119000</v>
      </c>
      <c r="M1388" s="1454"/>
      <c r="N1388" s="1461"/>
    </row>
    <row r="1389" spans="2:14" ht="16.5" customHeight="1">
      <c r="B1389" s="1609"/>
      <c r="C1389" s="1609"/>
      <c r="D1389" s="1609"/>
      <c r="E1389" s="129">
        <v>30207064</v>
      </c>
      <c r="F1389" s="31" t="s">
        <v>1753</v>
      </c>
      <c r="G1389" s="1448"/>
      <c r="H1389" s="30">
        <v>30216627</v>
      </c>
      <c r="I1389" s="35">
        <v>11900</v>
      </c>
      <c r="J1389" s="64">
        <v>0.1</v>
      </c>
      <c r="K1389" s="30">
        <v>10</v>
      </c>
      <c r="L1389" s="35">
        <v>119000</v>
      </c>
      <c r="M1389" s="1454"/>
      <c r="N1389" s="1461"/>
    </row>
    <row r="1390" spans="2:14" ht="16.5" customHeight="1">
      <c r="B1390" s="1608" t="s">
        <v>221</v>
      </c>
      <c r="C1390" s="1608">
        <v>1</v>
      </c>
      <c r="D1390" s="1608" t="s">
        <v>1754</v>
      </c>
      <c r="E1390" s="129">
        <v>73220177</v>
      </c>
      <c r="F1390" s="31" t="s">
        <v>1755</v>
      </c>
      <c r="G1390" s="1454" t="s">
        <v>1756</v>
      </c>
      <c r="H1390" s="30">
        <v>30216633</v>
      </c>
      <c r="I1390" s="35">
        <v>7800</v>
      </c>
      <c r="J1390" s="64">
        <v>0.18</v>
      </c>
      <c r="K1390" s="30">
        <v>10</v>
      </c>
      <c r="L1390" s="35">
        <v>78000</v>
      </c>
      <c r="M1390" s="1454" t="s">
        <v>1757</v>
      </c>
      <c r="N1390" s="1461">
        <v>20250115087</v>
      </c>
    </row>
    <row r="1391" spans="2:14" ht="16.5" customHeight="1">
      <c r="B1391" s="1610"/>
      <c r="C1391" s="1610"/>
      <c r="D1391" s="1610"/>
      <c r="E1391" s="129">
        <v>44449856</v>
      </c>
      <c r="F1391" s="31" t="s">
        <v>1758</v>
      </c>
      <c r="G1391" s="1448"/>
      <c r="H1391" s="30">
        <v>30163479</v>
      </c>
      <c r="I1391" s="35">
        <v>10900</v>
      </c>
      <c r="J1391" s="64">
        <v>0.18</v>
      </c>
      <c r="K1391" s="30">
        <v>10</v>
      </c>
      <c r="L1391" s="35">
        <v>109000</v>
      </c>
      <c r="M1391" s="1448"/>
      <c r="N1391" s="1461"/>
    </row>
    <row r="1392" spans="2:14" ht="16.5" customHeight="1">
      <c r="B1392" s="1610"/>
      <c r="C1392" s="1610"/>
      <c r="D1392" s="1610"/>
      <c r="E1392" s="129">
        <v>44447972</v>
      </c>
      <c r="F1392" s="31" t="s">
        <v>1759</v>
      </c>
      <c r="G1392" s="1448"/>
      <c r="H1392" s="30">
        <v>30206832</v>
      </c>
      <c r="I1392" s="35">
        <v>10900</v>
      </c>
      <c r="J1392" s="64">
        <v>0.18</v>
      </c>
      <c r="K1392" s="30">
        <v>10</v>
      </c>
      <c r="L1392" s="35">
        <v>109000</v>
      </c>
      <c r="M1392" s="1448"/>
      <c r="N1392" s="1461"/>
    </row>
    <row r="1393" spans="2:14" ht="16.5" customHeight="1">
      <c r="B1393" s="1610"/>
      <c r="C1393" s="1609"/>
      <c r="D1393" s="1609"/>
      <c r="E1393" s="129">
        <v>44447983</v>
      </c>
      <c r="F1393" s="31" t="s">
        <v>1760</v>
      </c>
      <c r="G1393" s="1448"/>
      <c r="H1393" s="30">
        <v>30206834</v>
      </c>
      <c r="I1393" s="35">
        <v>10900</v>
      </c>
      <c r="J1393" s="64">
        <v>0.18</v>
      </c>
      <c r="K1393" s="30">
        <v>10</v>
      </c>
      <c r="L1393" s="35">
        <v>109000</v>
      </c>
      <c r="M1393" s="1448"/>
      <c r="N1393" s="1461"/>
    </row>
    <row r="1394" spans="2:14" ht="16.5" customHeight="1">
      <c r="B1394" s="1610"/>
      <c r="C1394" s="1608">
        <v>2</v>
      </c>
      <c r="D1394" s="1608" t="s">
        <v>956</v>
      </c>
      <c r="E1394" s="129">
        <v>47615244</v>
      </c>
      <c r="F1394" s="31" t="s">
        <v>1761</v>
      </c>
      <c r="G1394" s="1454" t="s">
        <v>1762</v>
      </c>
      <c r="H1394" s="30">
        <v>30164991</v>
      </c>
      <c r="I1394" s="35">
        <v>30900</v>
      </c>
      <c r="J1394" s="64">
        <v>0.1</v>
      </c>
      <c r="K1394" s="30">
        <v>5</v>
      </c>
      <c r="L1394" s="35">
        <v>154500</v>
      </c>
      <c r="M1394" s="1454" t="s">
        <v>1763</v>
      </c>
      <c r="N1394" s="1461">
        <v>20250115088</v>
      </c>
    </row>
    <row r="1395" spans="2:14" ht="16.5" customHeight="1">
      <c r="B1395" s="1609"/>
      <c r="C1395" s="1609"/>
      <c r="D1395" s="1609"/>
      <c r="E1395" s="129">
        <v>76292938</v>
      </c>
      <c r="F1395" s="31" t="s">
        <v>1764</v>
      </c>
      <c r="G1395" s="1448"/>
      <c r="H1395" s="30">
        <v>30216881</v>
      </c>
      <c r="I1395" s="35">
        <v>23900</v>
      </c>
      <c r="J1395" s="64">
        <v>0.1</v>
      </c>
      <c r="K1395" s="30">
        <v>5</v>
      </c>
      <c r="L1395" s="35">
        <v>119500</v>
      </c>
      <c r="M1395" s="1448"/>
      <c r="N1395" s="1461"/>
    </row>
    <row r="1396" spans="2:14" ht="16.5" customHeight="1">
      <c r="B1396" s="1608" t="s">
        <v>795</v>
      </c>
      <c r="C1396" s="129">
        <v>1</v>
      </c>
      <c r="D1396" s="1608" t="s">
        <v>257</v>
      </c>
      <c r="E1396" s="129">
        <v>30191902</v>
      </c>
      <c r="F1396" s="31" t="s">
        <v>1765</v>
      </c>
      <c r="G1396" s="30" t="s">
        <v>1766</v>
      </c>
      <c r="H1396" s="30">
        <v>30192498</v>
      </c>
      <c r="I1396" s="35">
        <v>25900</v>
      </c>
      <c r="J1396" s="64">
        <v>0.15</v>
      </c>
      <c r="K1396" s="30">
        <v>10</v>
      </c>
      <c r="L1396" s="30">
        <f>I1396*K1396</f>
        <v>259000</v>
      </c>
      <c r="M1396" s="31" t="s">
        <v>1767</v>
      </c>
      <c r="N1396" s="69">
        <v>20250115094</v>
      </c>
    </row>
    <row r="1397" spans="2:14" ht="16.5" customHeight="1">
      <c r="B1397" s="1610"/>
      <c r="C1397" s="1608">
        <v>2</v>
      </c>
      <c r="D1397" s="1610"/>
      <c r="E1397" s="129">
        <v>30032107</v>
      </c>
      <c r="F1397" s="31" t="s">
        <v>801</v>
      </c>
      <c r="G1397" s="1448" t="s">
        <v>1768</v>
      </c>
      <c r="H1397" s="30">
        <v>30217434</v>
      </c>
      <c r="I1397" s="35">
        <v>17500</v>
      </c>
      <c r="J1397" s="64">
        <v>0.15</v>
      </c>
      <c r="K1397" s="1448">
        <v>10</v>
      </c>
      <c r="L1397" s="1459">
        <f>I1397*K1397</f>
        <v>175000</v>
      </c>
      <c r="M1397" s="1454" t="s">
        <v>1769</v>
      </c>
      <c r="N1397" s="1461">
        <v>20250115095</v>
      </c>
    </row>
    <row r="1398" spans="2:14" ht="16.5" customHeight="1">
      <c r="B1398" s="1610"/>
      <c r="C1398" s="1610"/>
      <c r="D1398" s="1610"/>
      <c r="E1398" s="129">
        <v>30207441</v>
      </c>
      <c r="F1398" s="31" t="s">
        <v>1770</v>
      </c>
      <c r="G1398" s="1448"/>
      <c r="H1398" s="30">
        <v>30217438</v>
      </c>
      <c r="I1398" s="35">
        <v>21500</v>
      </c>
      <c r="J1398" s="64">
        <v>0.15</v>
      </c>
      <c r="K1398" s="1448"/>
      <c r="L1398" s="1459"/>
      <c r="M1398" s="1454"/>
      <c r="N1398" s="1461"/>
    </row>
    <row r="1399" spans="2:14" ht="16.5" customHeight="1">
      <c r="B1399" s="1610"/>
      <c r="C1399" s="1610"/>
      <c r="D1399" s="1610"/>
      <c r="E1399" s="129">
        <v>30104223</v>
      </c>
      <c r="F1399" s="31" t="s">
        <v>1771</v>
      </c>
      <c r="G1399" s="1448"/>
      <c r="H1399" s="30">
        <v>30217439</v>
      </c>
      <c r="I1399" s="35">
        <v>28900</v>
      </c>
      <c r="J1399" s="64">
        <v>0.15</v>
      </c>
      <c r="K1399" s="1448"/>
      <c r="L1399" s="1459"/>
      <c r="M1399" s="1454"/>
      <c r="N1399" s="1461"/>
    </row>
    <row r="1400" spans="2:14" ht="16.5" customHeight="1">
      <c r="B1400" s="1610"/>
      <c r="C1400" s="1609"/>
      <c r="D1400" s="1609"/>
      <c r="E1400" s="129">
        <v>30185568</v>
      </c>
      <c r="F1400" s="31" t="s">
        <v>1772</v>
      </c>
      <c r="G1400" s="1448"/>
      <c r="H1400" s="382">
        <v>30217441</v>
      </c>
      <c r="I1400" s="35">
        <v>41900</v>
      </c>
      <c r="J1400" s="64">
        <v>0.15</v>
      </c>
      <c r="K1400" s="1448"/>
      <c r="L1400" s="1459"/>
      <c r="M1400" s="1454"/>
      <c r="N1400" s="1461"/>
    </row>
    <row r="1401" spans="2:14" ht="16.5" customHeight="1">
      <c r="B1401" s="1610"/>
      <c r="C1401" s="1608">
        <v>3</v>
      </c>
      <c r="D1401" s="1608" t="s">
        <v>1773</v>
      </c>
      <c r="E1401" s="129">
        <v>76334902</v>
      </c>
      <c r="F1401" s="31" t="s">
        <v>1774</v>
      </c>
      <c r="G1401" s="1448" t="s">
        <v>1775</v>
      </c>
      <c r="H1401" s="30">
        <v>30217416</v>
      </c>
      <c r="I1401" s="35">
        <v>10900</v>
      </c>
      <c r="J1401" s="64">
        <v>0.1</v>
      </c>
      <c r="K1401" s="1454">
        <v>10</v>
      </c>
      <c r="L1401" s="1448">
        <f>I1401*K1401</f>
        <v>109000</v>
      </c>
      <c r="M1401" s="1454" t="s">
        <v>1776</v>
      </c>
      <c r="N1401" s="1461">
        <v>20250115089</v>
      </c>
    </row>
    <row r="1402" spans="2:14" ht="16.5" customHeight="1">
      <c r="B1402" s="1610"/>
      <c r="C1402" s="1609"/>
      <c r="D1402" s="1609"/>
      <c r="E1402" s="129">
        <v>76334897</v>
      </c>
      <c r="F1402" s="31" t="s">
        <v>1777</v>
      </c>
      <c r="G1402" s="1448"/>
      <c r="H1402" s="30">
        <v>30217419</v>
      </c>
      <c r="I1402" s="30">
        <v>14900</v>
      </c>
      <c r="J1402" s="64">
        <v>0.1</v>
      </c>
      <c r="K1402" s="1454"/>
      <c r="L1402" s="1448"/>
      <c r="M1402" s="1454"/>
      <c r="N1402" s="1461"/>
    </row>
    <row r="1403" spans="2:14" ht="16.5" customHeight="1">
      <c r="B1403" s="1610"/>
      <c r="C1403" s="1608">
        <v>4</v>
      </c>
      <c r="D1403" s="1612" t="s">
        <v>1778</v>
      </c>
      <c r="E1403" s="129">
        <v>72296631</v>
      </c>
      <c r="F1403" s="31" t="s">
        <v>1779</v>
      </c>
      <c r="G1403" s="1448" t="s">
        <v>1780</v>
      </c>
      <c r="H1403" s="30">
        <v>30217400</v>
      </c>
      <c r="I1403" s="35">
        <v>15400</v>
      </c>
      <c r="J1403" s="64">
        <v>0.1</v>
      </c>
      <c r="K1403" s="1448">
        <v>10</v>
      </c>
      <c r="L1403" s="1448">
        <f>I1403*K1403</f>
        <v>154000</v>
      </c>
      <c r="M1403" s="1454" t="s">
        <v>1781</v>
      </c>
      <c r="N1403" s="1461">
        <v>20250115090</v>
      </c>
    </row>
    <row r="1404" spans="2:14" ht="16.5" customHeight="1">
      <c r="B1404" s="1610"/>
      <c r="C1404" s="1610"/>
      <c r="D1404" s="1613"/>
      <c r="E1404" s="129">
        <v>72296722</v>
      </c>
      <c r="F1404" s="31" t="s">
        <v>1782</v>
      </c>
      <c r="G1404" s="1448"/>
      <c r="H1404" s="30">
        <v>30217401</v>
      </c>
      <c r="I1404" s="35">
        <v>15400</v>
      </c>
      <c r="J1404" s="64">
        <v>0.1</v>
      </c>
      <c r="K1404" s="1448"/>
      <c r="L1404" s="1448"/>
      <c r="M1404" s="1454"/>
      <c r="N1404" s="1461"/>
    </row>
    <row r="1405" spans="2:14" ht="16.5" customHeight="1">
      <c r="B1405" s="1610"/>
      <c r="C1405" s="1610"/>
      <c r="D1405" s="1613"/>
      <c r="E1405" s="129">
        <v>72296763</v>
      </c>
      <c r="F1405" s="31" t="s">
        <v>1783</v>
      </c>
      <c r="G1405" s="1448"/>
      <c r="H1405" s="30">
        <v>30217402</v>
      </c>
      <c r="I1405" s="35">
        <v>15400</v>
      </c>
      <c r="J1405" s="64">
        <v>0.1</v>
      </c>
      <c r="K1405" s="1448"/>
      <c r="L1405" s="1448"/>
      <c r="M1405" s="1454"/>
      <c r="N1405" s="1461"/>
    </row>
    <row r="1406" spans="2:14" ht="16.5" customHeight="1">
      <c r="B1406" s="1610"/>
      <c r="C1406" s="1610"/>
      <c r="D1406" s="1613"/>
      <c r="E1406" s="129">
        <v>72296653</v>
      </c>
      <c r="F1406" s="31" t="s">
        <v>1784</v>
      </c>
      <c r="G1406" s="1448"/>
      <c r="H1406" s="30">
        <v>30217404</v>
      </c>
      <c r="I1406" s="35">
        <v>15400</v>
      </c>
      <c r="J1406" s="64">
        <v>0.1</v>
      </c>
      <c r="K1406" s="1448"/>
      <c r="L1406" s="1448"/>
      <c r="M1406" s="1454"/>
      <c r="N1406" s="1461"/>
    </row>
    <row r="1407" spans="2:14" ht="16.5" customHeight="1">
      <c r="B1407" s="1611"/>
      <c r="C1407" s="1609"/>
      <c r="D1407" s="1614"/>
      <c r="E1407" s="129">
        <v>72296798</v>
      </c>
      <c r="F1407" s="31" t="s">
        <v>1785</v>
      </c>
      <c r="G1407" s="1448"/>
      <c r="H1407" s="30">
        <v>30217407</v>
      </c>
      <c r="I1407" s="35">
        <v>15400</v>
      </c>
      <c r="J1407" s="64">
        <v>0.1</v>
      </c>
      <c r="K1407" s="1448"/>
      <c r="L1407" s="1448"/>
      <c r="M1407" s="1454"/>
      <c r="N1407" s="1461"/>
    </row>
    <row r="1408" spans="2:14" ht="16.5" customHeight="1">
      <c r="B1408" s="1462" t="s">
        <v>137</v>
      </c>
      <c r="C1408" s="1462">
        <v>1</v>
      </c>
      <c r="D1408" s="1462" t="s">
        <v>773</v>
      </c>
      <c r="E1408" s="38">
        <v>30211423</v>
      </c>
      <c r="F1408" s="38" t="s">
        <v>1786</v>
      </c>
      <c r="G1408" s="1521" t="s">
        <v>1787</v>
      </c>
      <c r="H1408" s="40">
        <v>30211429</v>
      </c>
      <c r="I1408" s="41">
        <v>9900</v>
      </c>
      <c r="J1408" s="42">
        <v>0.1</v>
      </c>
      <c r="K1408" s="1462">
        <v>3</v>
      </c>
      <c r="L1408" s="1525">
        <v>29700</v>
      </c>
      <c r="M1408" s="1521" t="s">
        <v>1788</v>
      </c>
      <c r="N1408" s="1445">
        <v>20250115091</v>
      </c>
    </row>
    <row r="1409" spans="2:14" ht="16.5" customHeight="1">
      <c r="B1409" s="1462"/>
      <c r="C1409" s="1462"/>
      <c r="D1409" s="1462"/>
      <c r="E1409" s="38">
        <v>30096652</v>
      </c>
      <c r="F1409" s="38" t="s">
        <v>1789</v>
      </c>
      <c r="G1409" s="1521"/>
      <c r="H1409" s="40">
        <v>30206869</v>
      </c>
      <c r="I1409" s="41">
        <v>11000</v>
      </c>
      <c r="J1409" s="42">
        <v>0.1</v>
      </c>
      <c r="K1409" s="1462"/>
      <c r="L1409" s="1525"/>
      <c r="M1409" s="1521"/>
      <c r="N1409" s="1446"/>
    </row>
    <row r="1410" spans="2:14" ht="16.5" customHeight="1">
      <c r="B1410" s="1462"/>
      <c r="C1410" s="1462"/>
      <c r="D1410" s="1462"/>
      <c r="E1410" s="38">
        <v>30205302</v>
      </c>
      <c r="F1410" s="38" t="s">
        <v>1790</v>
      </c>
      <c r="G1410" s="1521"/>
      <c r="H1410" s="40">
        <v>30216132</v>
      </c>
      <c r="I1410" s="41">
        <v>11000</v>
      </c>
      <c r="J1410" s="42">
        <v>0.1</v>
      </c>
      <c r="K1410" s="1462"/>
      <c r="L1410" s="1525"/>
      <c r="M1410" s="1521"/>
      <c r="N1410" s="1446"/>
    </row>
    <row r="1411" spans="2:14" ht="16.5" customHeight="1">
      <c r="B1411" s="1462"/>
      <c r="C1411" s="1462"/>
      <c r="D1411" s="1462"/>
      <c r="E1411" s="38">
        <v>30197018</v>
      </c>
      <c r="F1411" s="38" t="s">
        <v>1791</v>
      </c>
      <c r="G1411" s="1521"/>
      <c r="H1411" s="40">
        <v>30211430</v>
      </c>
      <c r="I1411" s="41">
        <v>12900</v>
      </c>
      <c r="J1411" s="42">
        <v>0.1</v>
      </c>
      <c r="K1411" s="1462"/>
      <c r="L1411" s="1525"/>
      <c r="M1411" s="1521"/>
      <c r="N1411" s="1446"/>
    </row>
    <row r="1412" spans="2:14" ht="16.5" customHeight="1">
      <c r="B1412" s="1462"/>
      <c r="C1412" s="1462"/>
      <c r="D1412" s="1462"/>
      <c r="E1412" s="38">
        <v>30174189</v>
      </c>
      <c r="F1412" s="38" t="s">
        <v>1792</v>
      </c>
      <c r="G1412" s="1521"/>
      <c r="H1412" s="40">
        <v>30211431</v>
      </c>
      <c r="I1412" s="41">
        <v>15900</v>
      </c>
      <c r="J1412" s="42">
        <v>0.1</v>
      </c>
      <c r="K1412" s="1462"/>
      <c r="L1412" s="1525"/>
      <c r="M1412" s="1521"/>
      <c r="N1412" s="1446"/>
    </row>
    <row r="1413" spans="2:14" ht="16.5" customHeight="1">
      <c r="B1413" s="1462"/>
      <c r="C1413" s="1462"/>
      <c r="D1413" s="1462"/>
      <c r="E1413" s="38">
        <v>30211425</v>
      </c>
      <c r="F1413" s="38" t="s">
        <v>1793</v>
      </c>
      <c r="G1413" s="1521"/>
      <c r="H1413" s="40">
        <v>30211427</v>
      </c>
      <c r="I1413" s="41">
        <v>9900</v>
      </c>
      <c r="J1413" s="42">
        <v>0.1</v>
      </c>
      <c r="K1413" s="1462"/>
      <c r="L1413" s="1525"/>
      <c r="M1413" s="1521"/>
      <c r="N1413" s="1447"/>
    </row>
    <row r="1414" spans="2:14" ht="16.5" customHeight="1">
      <c r="B1414" s="1462"/>
      <c r="C1414" s="1448">
        <v>2</v>
      </c>
      <c r="D1414" s="1454" t="s">
        <v>158</v>
      </c>
      <c r="E1414" s="92">
        <v>30206801</v>
      </c>
      <c r="F1414" s="74" t="s">
        <v>159</v>
      </c>
      <c r="G1414" s="1606" t="s">
        <v>159</v>
      </c>
      <c r="H1414" s="92">
        <v>30206801</v>
      </c>
      <c r="I1414" s="202">
        <v>5900</v>
      </c>
      <c r="J1414" s="203">
        <v>0.15</v>
      </c>
      <c r="K1414" s="1524">
        <v>5</v>
      </c>
      <c r="L1414" s="1526">
        <v>29500</v>
      </c>
      <c r="M1414" s="1527" t="s">
        <v>1794</v>
      </c>
      <c r="N1414" s="1445">
        <v>20250115092</v>
      </c>
    </row>
    <row r="1415" spans="2:14" ht="16.5" customHeight="1">
      <c r="B1415" s="1462"/>
      <c r="C1415" s="1448"/>
      <c r="D1415" s="1454"/>
      <c r="E1415" s="92">
        <v>30206805</v>
      </c>
      <c r="F1415" s="74" t="s">
        <v>1795</v>
      </c>
      <c r="G1415" s="1606"/>
      <c r="H1415" s="92">
        <v>30206805</v>
      </c>
      <c r="I1415" s="202">
        <v>15800</v>
      </c>
      <c r="J1415" s="203">
        <v>0.15</v>
      </c>
      <c r="K1415" s="1524"/>
      <c r="L1415" s="1526"/>
      <c r="M1415" s="1527"/>
      <c r="N1415" s="1446"/>
    </row>
    <row r="1416" spans="2:14" ht="16.5" customHeight="1">
      <c r="B1416" s="1462"/>
      <c r="C1416" s="1448"/>
      <c r="D1416" s="1454"/>
      <c r="E1416" s="92">
        <v>30210613</v>
      </c>
      <c r="F1416" s="74" t="s">
        <v>1796</v>
      </c>
      <c r="G1416" s="1606"/>
      <c r="H1416" s="92">
        <v>30210613</v>
      </c>
      <c r="I1416" s="202">
        <v>13800</v>
      </c>
      <c r="J1416" s="203">
        <v>0.15</v>
      </c>
      <c r="K1416" s="1524"/>
      <c r="L1416" s="1526"/>
      <c r="M1416" s="1607"/>
      <c r="N1416" s="1446"/>
    </row>
    <row r="1417" spans="2:14" ht="16.5" customHeight="1">
      <c r="B1417" s="1462"/>
      <c r="C1417" s="1448"/>
      <c r="D1417" s="1454"/>
      <c r="E1417" s="92">
        <v>30210614</v>
      </c>
      <c r="F1417" s="74" t="s">
        <v>1797</v>
      </c>
      <c r="G1417" s="1606"/>
      <c r="H1417" s="92">
        <v>30210614</v>
      </c>
      <c r="I1417" s="202">
        <v>17800</v>
      </c>
      <c r="J1417" s="203">
        <v>0.15</v>
      </c>
      <c r="K1417" s="1524"/>
      <c r="L1417" s="1526"/>
      <c r="M1417" s="1607"/>
      <c r="N1417" s="1447"/>
    </row>
    <row r="1418" spans="2:14" ht="16.5" customHeight="1">
      <c r="B1418" s="1462"/>
      <c r="C1418" s="1448">
        <v>3</v>
      </c>
      <c r="D1418" s="1528" t="s">
        <v>147</v>
      </c>
      <c r="E1418" s="46">
        <v>42757964</v>
      </c>
      <c r="F1418" s="46" t="s">
        <v>1798</v>
      </c>
      <c r="G1418" s="1529" t="s">
        <v>1799</v>
      </c>
      <c r="H1418" s="46">
        <v>30203275</v>
      </c>
      <c r="I1418" s="48">
        <v>13900</v>
      </c>
      <c r="J1418" s="49">
        <v>0.1</v>
      </c>
      <c r="K1418" s="1597">
        <v>3</v>
      </c>
      <c r="L1418" s="1600">
        <v>41700</v>
      </c>
      <c r="M1418" s="1603" t="s">
        <v>1800</v>
      </c>
      <c r="N1418" s="1445">
        <v>20250115093</v>
      </c>
    </row>
    <row r="1419" spans="2:14" ht="16.5" customHeight="1">
      <c r="B1419" s="1462"/>
      <c r="C1419" s="1448"/>
      <c r="D1419" s="1528"/>
      <c r="E1419" s="46">
        <v>46132048</v>
      </c>
      <c r="F1419" s="46" t="s">
        <v>1801</v>
      </c>
      <c r="G1419" s="1529"/>
      <c r="H1419" s="46">
        <v>30172486</v>
      </c>
      <c r="I1419" s="48">
        <v>10900</v>
      </c>
      <c r="J1419" s="49">
        <v>0.1</v>
      </c>
      <c r="K1419" s="1598"/>
      <c r="L1419" s="1601"/>
      <c r="M1419" s="1604"/>
      <c r="N1419" s="1446"/>
    </row>
    <row r="1420" spans="2:14" ht="16.5" customHeight="1">
      <c r="B1420" s="1462"/>
      <c r="C1420" s="1448"/>
      <c r="D1420" s="1528"/>
      <c r="E1420" s="46">
        <v>58126811</v>
      </c>
      <c r="F1420" s="46" t="s">
        <v>1802</v>
      </c>
      <c r="G1420" s="1529"/>
      <c r="H1420" s="46">
        <v>30167024</v>
      </c>
      <c r="I1420" s="48">
        <v>11900</v>
      </c>
      <c r="J1420" s="49">
        <v>0.1</v>
      </c>
      <c r="K1420" s="1598"/>
      <c r="L1420" s="1601"/>
      <c r="M1420" s="1604"/>
      <c r="N1420" s="1446"/>
    </row>
    <row r="1421" spans="2:14" ht="16.5" customHeight="1">
      <c r="B1421" s="1462"/>
      <c r="C1421" s="1448"/>
      <c r="D1421" s="1528"/>
      <c r="E1421" s="46">
        <v>30037212</v>
      </c>
      <c r="F1421" s="46" t="s">
        <v>1803</v>
      </c>
      <c r="G1421" s="1529"/>
      <c r="H1421" s="46">
        <v>30167038</v>
      </c>
      <c r="I1421" s="48">
        <v>12900</v>
      </c>
      <c r="J1421" s="49">
        <v>0.1</v>
      </c>
      <c r="K1421" s="1598"/>
      <c r="L1421" s="1601"/>
      <c r="M1421" s="1604"/>
      <c r="N1421" s="1446"/>
    </row>
    <row r="1422" spans="2:14" ht="16.5" customHeight="1">
      <c r="B1422" s="1462"/>
      <c r="C1422" s="1448"/>
      <c r="D1422" s="1528"/>
      <c r="E1422" s="46">
        <v>43166995</v>
      </c>
      <c r="F1422" s="46" t="s">
        <v>1804</v>
      </c>
      <c r="G1422" s="1529"/>
      <c r="H1422" s="46">
        <v>30167028</v>
      </c>
      <c r="I1422" s="48">
        <v>11900</v>
      </c>
      <c r="J1422" s="49">
        <v>0.1</v>
      </c>
      <c r="K1422" s="1599"/>
      <c r="L1422" s="1602"/>
      <c r="M1422" s="1605"/>
      <c r="N1422" s="1447"/>
    </row>
    <row r="1423" spans="2:14">
      <c r="B1423" s="253"/>
      <c r="C1423" s="253"/>
      <c r="D1423" s="127"/>
      <c r="E1423" s="127"/>
      <c r="F1423" s="128"/>
      <c r="G1423" s="254"/>
      <c r="H1423" s="127"/>
      <c r="I1423" s="127"/>
      <c r="J1423" s="255"/>
      <c r="K1423" s="127"/>
      <c r="L1423" s="256"/>
      <c r="M1423" s="254"/>
      <c r="N1423" s="127"/>
    </row>
    <row r="1424" spans="2:14" ht="31.5">
      <c r="B1424" s="1441" t="s">
        <v>1805</v>
      </c>
      <c r="C1424" s="1442"/>
      <c r="D1424" s="1442"/>
      <c r="E1424" s="1442"/>
      <c r="F1424" s="1442"/>
      <c r="G1424" s="1442"/>
      <c r="H1424" s="1442"/>
      <c r="I1424" s="1442"/>
      <c r="J1424" s="1442"/>
      <c r="K1424" s="1442"/>
      <c r="L1424" s="1442"/>
      <c r="M1424" s="1442"/>
      <c r="N1424" s="1442"/>
    </row>
    <row r="1425" spans="2:15" ht="31.5">
      <c r="B1425" s="15" t="s">
        <v>524</v>
      </c>
      <c r="C1425" s="15"/>
      <c r="D1425" s="15"/>
      <c r="E1425" s="15"/>
      <c r="F1425" s="15"/>
      <c r="G1425" s="15"/>
      <c r="H1425" s="15"/>
      <c r="I1425" s="15"/>
      <c r="J1425" s="15"/>
      <c r="K1425" s="15"/>
      <c r="L1425" s="15"/>
      <c r="M1425" s="15"/>
      <c r="N1425" s="15"/>
    </row>
    <row r="1426" spans="2:15" ht="16.5" customHeight="1">
      <c r="B1426" s="1448" t="s">
        <v>32</v>
      </c>
      <c r="C1426" s="1448">
        <v>1</v>
      </c>
      <c r="D1426" s="1448" t="s">
        <v>33</v>
      </c>
      <c r="E1426" s="30"/>
      <c r="F1426" s="31" t="s">
        <v>34</v>
      </c>
      <c r="G1426" s="1454" t="s">
        <v>35</v>
      </c>
      <c r="H1426" s="30">
        <v>30212257</v>
      </c>
      <c r="I1426" s="30">
        <v>145000</v>
      </c>
      <c r="J1426" s="30">
        <v>7</v>
      </c>
      <c r="K1426" s="30">
        <v>1</v>
      </c>
      <c r="L1426" s="30"/>
      <c r="M1426" s="1454" t="s">
        <v>36</v>
      </c>
      <c r="N1426" s="1461">
        <v>20250122098</v>
      </c>
      <c r="O1426" s="4" t="s">
        <v>1806</v>
      </c>
    </row>
    <row r="1427" spans="2:15" ht="16.5" customHeight="1">
      <c r="B1427" s="1448"/>
      <c r="C1427" s="1448"/>
      <c r="D1427" s="1448"/>
      <c r="E1427" s="30"/>
      <c r="F1427" s="31" t="s">
        <v>37</v>
      </c>
      <c r="G1427" s="1454"/>
      <c r="H1427" s="30">
        <v>30212992</v>
      </c>
      <c r="I1427" s="35">
        <v>69900</v>
      </c>
      <c r="J1427" s="30">
        <v>7</v>
      </c>
      <c r="K1427" s="30">
        <v>1</v>
      </c>
      <c r="L1427" s="30"/>
      <c r="M1427" s="1454"/>
      <c r="N1427" s="1461"/>
    </row>
    <row r="1428" spans="2:15" ht="16.5" customHeight="1">
      <c r="B1428" s="1448"/>
      <c r="C1428" s="1448"/>
      <c r="D1428" s="1448"/>
      <c r="E1428" s="30"/>
      <c r="F1428" s="31" t="s">
        <v>37</v>
      </c>
      <c r="G1428" s="1454"/>
      <c r="H1428" s="30">
        <v>30213192</v>
      </c>
      <c r="I1428" s="35">
        <v>59900</v>
      </c>
      <c r="J1428" s="30">
        <v>7</v>
      </c>
      <c r="K1428" s="30">
        <v>1</v>
      </c>
      <c r="L1428" s="30"/>
      <c r="M1428" s="1454"/>
      <c r="N1428" s="1461"/>
    </row>
    <row r="1429" spans="2:15" ht="16.5" customHeight="1">
      <c r="B1429" s="1448"/>
      <c r="C1429" s="1448"/>
      <c r="D1429" s="1448"/>
      <c r="E1429" s="30"/>
      <c r="F1429" s="31" t="s">
        <v>38</v>
      </c>
      <c r="G1429" s="1454"/>
      <c r="H1429" s="30">
        <v>30212357</v>
      </c>
      <c r="I1429" s="30"/>
      <c r="J1429" s="30">
        <v>7</v>
      </c>
      <c r="K1429" s="30">
        <v>1</v>
      </c>
      <c r="L1429" s="30"/>
      <c r="M1429" s="1454"/>
      <c r="N1429" s="1461"/>
    </row>
    <row r="1430" spans="2:15" ht="16.5" customHeight="1">
      <c r="B1430" s="1448"/>
      <c r="C1430" s="1448"/>
      <c r="D1430" s="1448"/>
      <c r="E1430" s="30"/>
      <c r="F1430" s="31" t="s">
        <v>39</v>
      </c>
      <c r="G1430" s="1454"/>
      <c r="H1430" s="30">
        <v>30212329</v>
      </c>
      <c r="I1430" s="30"/>
      <c r="J1430" s="30">
        <v>7</v>
      </c>
      <c r="K1430" s="30">
        <v>1</v>
      </c>
      <c r="L1430" s="30"/>
      <c r="M1430" s="1454"/>
      <c r="N1430" s="1461"/>
    </row>
    <row r="1431" spans="2:15" ht="16.5" customHeight="1">
      <c r="B1431" s="1448"/>
      <c r="C1431" s="1448"/>
      <c r="D1431" s="1448"/>
      <c r="E1431" s="30"/>
      <c r="F1431" s="31" t="s">
        <v>40</v>
      </c>
      <c r="G1431" s="1454"/>
      <c r="H1431" s="30">
        <v>30212314</v>
      </c>
      <c r="I1431" s="30"/>
      <c r="J1431" s="30">
        <v>7</v>
      </c>
      <c r="K1431" s="30">
        <v>1</v>
      </c>
      <c r="L1431" s="30"/>
      <c r="M1431" s="1454"/>
      <c r="N1431" s="1461"/>
    </row>
    <row r="1432" spans="2:15" ht="16.5" customHeight="1">
      <c r="B1432" s="1448"/>
      <c r="C1432" s="1448"/>
      <c r="D1432" s="1448"/>
      <c r="E1432" s="30"/>
      <c r="F1432" s="31" t="s">
        <v>41</v>
      </c>
      <c r="G1432" s="1454"/>
      <c r="H1432" s="30">
        <v>30212166</v>
      </c>
      <c r="I1432" s="30"/>
      <c r="J1432" s="30">
        <v>7</v>
      </c>
      <c r="K1432" s="30">
        <v>1</v>
      </c>
      <c r="L1432" s="30"/>
      <c r="M1432" s="1454"/>
      <c r="N1432" s="1461"/>
    </row>
    <row r="1433" spans="2:15" ht="16.5" customHeight="1">
      <c r="B1433" s="1448"/>
      <c r="C1433" s="1448"/>
      <c r="D1433" s="1448"/>
      <c r="E1433" s="30"/>
      <c r="F1433" s="31" t="s">
        <v>42</v>
      </c>
      <c r="G1433" s="1454"/>
      <c r="H1433" s="30">
        <v>30212188</v>
      </c>
      <c r="I1433" s="30"/>
      <c r="J1433" s="30">
        <v>7</v>
      </c>
      <c r="K1433" s="30">
        <v>1</v>
      </c>
      <c r="L1433" s="30"/>
      <c r="M1433" s="1454"/>
      <c r="N1433" s="1461"/>
    </row>
    <row r="1434" spans="2:15" ht="16.5" customHeight="1">
      <c r="B1434" s="1448"/>
      <c r="C1434" s="1448"/>
      <c r="D1434" s="1448"/>
      <c r="E1434" s="30"/>
      <c r="F1434" s="31" t="s">
        <v>43</v>
      </c>
      <c r="G1434" s="1454"/>
      <c r="H1434" s="30">
        <v>30212302</v>
      </c>
      <c r="I1434" s="30"/>
      <c r="J1434" s="30">
        <v>7</v>
      </c>
      <c r="K1434" s="30">
        <v>1</v>
      </c>
      <c r="L1434" s="30"/>
      <c r="M1434" s="1454"/>
      <c r="N1434" s="1461"/>
    </row>
    <row r="1435" spans="2:15" ht="16.5" customHeight="1">
      <c r="B1435" s="1448"/>
      <c r="C1435" s="1448"/>
      <c r="D1435" s="1448"/>
      <c r="E1435" s="30"/>
      <c r="F1435" s="31" t="s">
        <v>44</v>
      </c>
      <c r="G1435" s="1454"/>
      <c r="H1435" s="30">
        <v>30212138</v>
      </c>
      <c r="I1435" s="30"/>
      <c r="J1435" s="30">
        <v>7</v>
      </c>
      <c r="K1435" s="30">
        <v>1</v>
      </c>
      <c r="L1435" s="30"/>
      <c r="M1435" s="1454"/>
      <c r="N1435" s="1461"/>
    </row>
    <row r="1436" spans="2:15" ht="16.5" customHeight="1">
      <c r="B1436" s="1448"/>
      <c r="C1436" s="1448"/>
      <c r="D1436" s="1448"/>
      <c r="E1436" s="30"/>
      <c r="F1436" s="31" t="s">
        <v>45</v>
      </c>
      <c r="G1436" s="1454"/>
      <c r="H1436" s="30">
        <v>30212206</v>
      </c>
      <c r="I1436" s="30"/>
      <c r="J1436" s="30">
        <v>7</v>
      </c>
      <c r="K1436" s="30">
        <v>1</v>
      </c>
      <c r="L1436" s="30"/>
      <c r="M1436" s="1454"/>
      <c r="N1436" s="1461"/>
    </row>
    <row r="1437" spans="2:15" ht="16.5" customHeight="1">
      <c r="B1437" s="1448"/>
      <c r="C1437" s="1448"/>
      <c r="D1437" s="1448"/>
      <c r="E1437" s="30"/>
      <c r="F1437" s="31" t="s">
        <v>46</v>
      </c>
      <c r="G1437" s="1454"/>
      <c r="H1437" s="30">
        <v>30212350</v>
      </c>
      <c r="I1437" s="30"/>
      <c r="J1437" s="30">
        <v>7</v>
      </c>
      <c r="K1437" s="30">
        <v>1</v>
      </c>
      <c r="L1437" s="30"/>
      <c r="M1437" s="1454"/>
      <c r="N1437" s="1461"/>
    </row>
    <row r="1438" spans="2:15" ht="16.5" customHeight="1">
      <c r="B1438" s="1448"/>
      <c r="C1438" s="1448"/>
      <c r="D1438" s="1448"/>
      <c r="E1438" s="30"/>
      <c r="F1438" s="31" t="s">
        <v>47</v>
      </c>
      <c r="G1438" s="1454"/>
      <c r="H1438" s="30">
        <v>30212198</v>
      </c>
      <c r="I1438" s="30"/>
      <c r="J1438" s="30">
        <v>7</v>
      </c>
      <c r="K1438" s="30">
        <v>1</v>
      </c>
      <c r="L1438" s="30"/>
      <c r="M1438" s="1454"/>
      <c r="N1438" s="1461"/>
    </row>
    <row r="1439" spans="2:15" ht="16.5" customHeight="1">
      <c r="B1439" s="1448"/>
      <c r="C1439" s="1448"/>
      <c r="D1439" s="1448"/>
      <c r="E1439" s="30"/>
      <c r="F1439" s="31" t="s">
        <v>48</v>
      </c>
      <c r="G1439" s="1454"/>
      <c r="H1439" s="30">
        <v>30212249</v>
      </c>
      <c r="I1439" s="30"/>
      <c r="J1439" s="30">
        <v>7</v>
      </c>
      <c r="K1439" s="30">
        <v>1</v>
      </c>
      <c r="L1439" s="30"/>
      <c r="M1439" s="1454"/>
      <c r="N1439" s="1461"/>
    </row>
    <row r="1440" spans="2:15" ht="16.5" customHeight="1">
      <c r="B1440" s="1448"/>
      <c r="C1440" s="1448"/>
      <c r="D1440" s="1448"/>
      <c r="E1440" s="30"/>
      <c r="F1440" s="31" t="s">
        <v>49</v>
      </c>
      <c r="G1440" s="1454"/>
      <c r="H1440" s="30">
        <v>30212181</v>
      </c>
      <c r="I1440" s="30"/>
      <c r="J1440" s="30">
        <v>7</v>
      </c>
      <c r="K1440" s="30">
        <v>1</v>
      </c>
      <c r="L1440" s="30"/>
      <c r="M1440" s="1454"/>
      <c r="N1440" s="1461"/>
    </row>
    <row r="1441" spans="2:14" ht="16.5" customHeight="1">
      <c r="B1441" s="1448"/>
      <c r="C1441" s="1448"/>
      <c r="D1441" s="1448"/>
      <c r="E1441" s="30"/>
      <c r="F1441" s="31" t="s">
        <v>50</v>
      </c>
      <c r="G1441" s="1454"/>
      <c r="H1441" s="30">
        <v>30212178</v>
      </c>
      <c r="I1441" s="30"/>
      <c r="J1441" s="30">
        <v>7</v>
      </c>
      <c r="K1441" s="30">
        <v>1</v>
      </c>
      <c r="L1441" s="30"/>
      <c r="M1441" s="1454"/>
      <c r="N1441" s="1461"/>
    </row>
    <row r="1442" spans="2:14" ht="16.5" customHeight="1">
      <c r="B1442" s="1448"/>
      <c r="C1442" s="1448"/>
      <c r="D1442" s="1448"/>
      <c r="E1442" s="30"/>
      <c r="F1442" s="31" t="s">
        <v>51</v>
      </c>
      <c r="G1442" s="1454"/>
      <c r="H1442" s="30">
        <v>30212346</v>
      </c>
      <c r="I1442" s="30"/>
      <c r="J1442" s="30">
        <v>7</v>
      </c>
      <c r="K1442" s="30">
        <v>1</v>
      </c>
      <c r="L1442" s="30"/>
      <c r="M1442" s="1454"/>
      <c r="N1442" s="1461"/>
    </row>
    <row r="1443" spans="2:14" ht="16.5" customHeight="1">
      <c r="B1443" s="1448"/>
      <c r="C1443" s="1448"/>
      <c r="D1443" s="1448"/>
      <c r="E1443" s="30"/>
      <c r="F1443" s="31" t="s">
        <v>52</v>
      </c>
      <c r="G1443" s="1454"/>
      <c r="H1443" s="30">
        <v>30212300</v>
      </c>
      <c r="I1443" s="30"/>
      <c r="J1443" s="30">
        <v>7</v>
      </c>
      <c r="K1443" s="30">
        <v>1</v>
      </c>
      <c r="L1443" s="30"/>
      <c r="M1443" s="1454"/>
      <c r="N1443" s="1461"/>
    </row>
    <row r="1444" spans="2:14" ht="16.5" customHeight="1">
      <c r="B1444" s="1448"/>
      <c r="C1444" s="1448"/>
      <c r="D1444" s="1448"/>
      <c r="E1444" s="30"/>
      <c r="F1444" s="31" t="s">
        <v>53</v>
      </c>
      <c r="G1444" s="1454"/>
      <c r="H1444" s="30">
        <v>30212191</v>
      </c>
      <c r="I1444" s="30"/>
      <c r="J1444" s="30">
        <v>7</v>
      </c>
      <c r="K1444" s="30">
        <v>1</v>
      </c>
      <c r="L1444" s="30"/>
      <c r="M1444" s="1454"/>
      <c r="N1444" s="1461"/>
    </row>
    <row r="1445" spans="2:14" ht="16.5" customHeight="1">
      <c r="B1445" s="1448"/>
      <c r="C1445" s="1448">
        <v>2</v>
      </c>
      <c r="D1445" s="1448" t="s">
        <v>54</v>
      </c>
      <c r="E1445" s="30"/>
      <c r="F1445" s="31" t="s">
        <v>1807</v>
      </c>
      <c r="G1445" s="1454" t="s">
        <v>56</v>
      </c>
      <c r="H1445" s="30">
        <v>30209572</v>
      </c>
      <c r="I1445" s="35">
        <v>10900</v>
      </c>
      <c r="J1445" s="30">
        <v>6</v>
      </c>
      <c r="K1445" s="30">
        <v>1</v>
      </c>
      <c r="L1445" s="30"/>
      <c r="M1445" s="1454" t="s">
        <v>57</v>
      </c>
      <c r="N1445" s="1461">
        <v>20250122099</v>
      </c>
    </row>
    <row r="1446" spans="2:14" ht="16.5" customHeight="1">
      <c r="B1446" s="1448"/>
      <c r="C1446" s="1448"/>
      <c r="D1446" s="1448"/>
      <c r="E1446" s="30"/>
      <c r="F1446" s="31" t="s">
        <v>1808</v>
      </c>
      <c r="G1446" s="1454"/>
      <c r="H1446" s="30">
        <v>30209573</v>
      </c>
      <c r="I1446" s="35">
        <v>26900</v>
      </c>
      <c r="J1446" s="30">
        <v>6</v>
      </c>
      <c r="K1446" s="30">
        <v>1</v>
      </c>
      <c r="L1446" s="30"/>
      <c r="M1446" s="1454"/>
      <c r="N1446" s="1461"/>
    </row>
    <row r="1447" spans="2:14" ht="16.5" customHeight="1">
      <c r="B1447" s="1448"/>
      <c r="C1447" s="1448"/>
      <c r="D1447" s="1448"/>
      <c r="E1447" s="30"/>
      <c r="F1447" s="31" t="s">
        <v>1809</v>
      </c>
      <c r="G1447" s="1454"/>
      <c r="H1447" s="30">
        <v>30209570</v>
      </c>
      <c r="I1447" s="35">
        <v>29900</v>
      </c>
      <c r="J1447" s="30">
        <v>6</v>
      </c>
      <c r="K1447" s="30">
        <v>1</v>
      </c>
      <c r="L1447" s="30"/>
      <c r="M1447" s="1454"/>
      <c r="N1447" s="1461"/>
    </row>
    <row r="1448" spans="2:14" ht="16.5" customHeight="1">
      <c r="B1448" s="1448"/>
      <c r="C1448" s="1448"/>
      <c r="D1448" s="1448"/>
      <c r="E1448" s="30"/>
      <c r="F1448" s="31" t="s">
        <v>1810</v>
      </c>
      <c r="G1448" s="1454"/>
      <c r="H1448" s="30">
        <v>30209575</v>
      </c>
      <c r="I1448" s="35">
        <v>49900</v>
      </c>
      <c r="J1448" s="30">
        <v>6</v>
      </c>
      <c r="K1448" s="30">
        <v>1</v>
      </c>
      <c r="L1448" s="30"/>
      <c r="M1448" s="1454"/>
      <c r="N1448" s="1461"/>
    </row>
    <row r="1449" spans="2:14" ht="16.5" customHeight="1">
      <c r="B1449" s="1448"/>
      <c r="C1449" s="1448"/>
      <c r="D1449" s="1448"/>
      <c r="E1449" s="30"/>
      <c r="F1449" s="31" t="s">
        <v>1811</v>
      </c>
      <c r="G1449" s="1454"/>
      <c r="H1449" s="30">
        <v>30209571</v>
      </c>
      <c r="I1449" s="35">
        <v>49900</v>
      </c>
      <c r="J1449" s="30"/>
      <c r="K1449" s="30"/>
      <c r="L1449" s="30"/>
      <c r="M1449" s="1454"/>
      <c r="N1449" s="1461"/>
    </row>
    <row r="1450" spans="2:14" ht="16.5" customHeight="1">
      <c r="B1450" s="1448"/>
      <c r="C1450" s="1448"/>
      <c r="D1450" s="1448"/>
      <c r="E1450" s="30"/>
      <c r="F1450" s="31" t="s">
        <v>1812</v>
      </c>
      <c r="G1450" s="1454"/>
      <c r="H1450" s="30">
        <v>30217941</v>
      </c>
      <c r="I1450" s="35">
        <v>68900</v>
      </c>
      <c r="J1450" s="30"/>
      <c r="K1450" s="30"/>
      <c r="L1450" s="30"/>
      <c r="M1450" s="1454"/>
      <c r="N1450" s="1461"/>
    </row>
    <row r="1451" spans="2:14" ht="16.5" customHeight="1">
      <c r="B1451" s="1448"/>
      <c r="C1451" s="1448"/>
      <c r="D1451" s="1448"/>
      <c r="E1451" s="30"/>
      <c r="F1451" s="31" t="s">
        <v>1813</v>
      </c>
      <c r="G1451" s="1454"/>
      <c r="H1451" s="30">
        <v>30212529</v>
      </c>
      <c r="I1451" s="35">
        <v>99000</v>
      </c>
      <c r="J1451" s="30">
        <v>6</v>
      </c>
      <c r="K1451" s="30">
        <v>1</v>
      </c>
      <c r="L1451" s="30"/>
      <c r="M1451" s="1454"/>
      <c r="N1451" s="1461"/>
    </row>
    <row r="1452" spans="2:14" ht="16.5" customHeight="1">
      <c r="B1452" s="1448"/>
      <c r="C1452" s="1448"/>
      <c r="D1452" s="1448"/>
      <c r="E1452" s="30"/>
      <c r="F1452" s="31" t="s">
        <v>1814</v>
      </c>
      <c r="G1452" s="1454"/>
      <c r="H1452" s="30">
        <v>30209576</v>
      </c>
      <c r="I1452" s="35">
        <v>68900</v>
      </c>
      <c r="J1452" s="30">
        <v>6</v>
      </c>
      <c r="K1452" s="30">
        <v>1</v>
      </c>
      <c r="L1452" s="30"/>
      <c r="M1452" s="1454"/>
      <c r="N1452" s="1461"/>
    </row>
    <row r="1453" spans="2:14" ht="16.5" customHeight="1">
      <c r="B1453" s="1448"/>
      <c r="C1453" s="1448"/>
      <c r="D1453" s="1448"/>
      <c r="E1453" s="30"/>
      <c r="F1453" s="31" t="s">
        <v>1815</v>
      </c>
      <c r="G1453" s="1454"/>
      <c r="H1453" s="30">
        <v>30209578</v>
      </c>
      <c r="I1453" s="35">
        <v>109000</v>
      </c>
      <c r="J1453" s="30">
        <v>6</v>
      </c>
      <c r="K1453" s="30">
        <v>1</v>
      </c>
      <c r="L1453" s="30"/>
      <c r="M1453" s="1454"/>
      <c r="N1453" s="1461"/>
    </row>
    <row r="1454" spans="2:14" ht="16.5" customHeight="1">
      <c r="B1454" s="1448"/>
      <c r="C1454" s="1448"/>
      <c r="D1454" s="1448"/>
      <c r="E1454" s="30"/>
      <c r="F1454" s="31" t="s">
        <v>1816</v>
      </c>
      <c r="G1454" s="1454"/>
      <c r="H1454" s="30">
        <v>30209577</v>
      </c>
      <c r="I1454" s="35">
        <v>109000</v>
      </c>
      <c r="J1454" s="30">
        <v>6</v>
      </c>
      <c r="K1454" s="30">
        <v>1</v>
      </c>
      <c r="L1454" s="30"/>
      <c r="M1454" s="1454"/>
      <c r="N1454" s="1461"/>
    </row>
    <row r="1455" spans="2:14" ht="16.5" customHeight="1">
      <c r="B1455" s="1448"/>
      <c r="C1455" s="1448">
        <v>3</v>
      </c>
      <c r="D1455" s="1448" t="s">
        <v>65</v>
      </c>
      <c r="E1455" s="30"/>
      <c r="F1455" s="31" t="s">
        <v>1817</v>
      </c>
      <c r="G1455" s="1454" t="s">
        <v>67</v>
      </c>
      <c r="H1455" s="30">
        <v>30209602</v>
      </c>
      <c r="I1455" s="35">
        <v>9900</v>
      </c>
      <c r="J1455" s="30">
        <v>6</v>
      </c>
      <c r="K1455" s="30">
        <v>1</v>
      </c>
      <c r="L1455" s="30"/>
      <c r="M1455" s="1454" t="s">
        <v>68</v>
      </c>
      <c r="N1455" s="1461">
        <v>20250122100</v>
      </c>
    </row>
    <row r="1456" spans="2:14" ht="16.5" customHeight="1">
      <c r="B1456" s="1448"/>
      <c r="C1456" s="1448"/>
      <c r="D1456" s="1448"/>
      <c r="E1456" s="30"/>
      <c r="F1456" s="31" t="s">
        <v>1818</v>
      </c>
      <c r="G1456" s="1454"/>
      <c r="H1456" s="30">
        <v>30209606</v>
      </c>
      <c r="I1456" s="35">
        <v>18900</v>
      </c>
      <c r="J1456" s="30">
        <v>6</v>
      </c>
      <c r="K1456" s="30">
        <v>1</v>
      </c>
      <c r="L1456" s="30"/>
      <c r="M1456" s="1454"/>
      <c r="N1456" s="1461"/>
    </row>
    <row r="1457" spans="2:14" ht="16.5" customHeight="1">
      <c r="B1457" s="1448"/>
      <c r="C1457" s="1448"/>
      <c r="D1457" s="1448"/>
      <c r="E1457" s="30"/>
      <c r="F1457" s="31" t="s">
        <v>1819</v>
      </c>
      <c r="G1457" s="1454"/>
      <c r="H1457" s="30">
        <v>30209608</v>
      </c>
      <c r="I1457" s="35">
        <v>20900</v>
      </c>
      <c r="J1457" s="30">
        <v>6</v>
      </c>
      <c r="K1457" s="30">
        <v>1</v>
      </c>
      <c r="L1457" s="30"/>
      <c r="M1457" s="1454"/>
      <c r="N1457" s="1461"/>
    </row>
    <row r="1458" spans="2:14" ht="16.5" customHeight="1">
      <c r="B1458" s="1448"/>
      <c r="C1458" s="1448"/>
      <c r="D1458" s="1448"/>
      <c r="E1458" s="30"/>
      <c r="F1458" s="31" t="s">
        <v>1820</v>
      </c>
      <c r="G1458" s="1454"/>
      <c r="H1458" s="30">
        <v>30209610</v>
      </c>
      <c r="I1458" s="35">
        <v>23900</v>
      </c>
      <c r="J1458" s="30">
        <v>6</v>
      </c>
      <c r="K1458" s="30">
        <v>1</v>
      </c>
      <c r="L1458" s="30"/>
      <c r="M1458" s="1454"/>
      <c r="N1458" s="1461"/>
    </row>
    <row r="1459" spans="2:14" ht="16.5" customHeight="1">
      <c r="B1459" s="1448"/>
      <c r="C1459" s="1448"/>
      <c r="D1459" s="1448"/>
      <c r="E1459" s="30"/>
      <c r="F1459" s="31" t="s">
        <v>1821</v>
      </c>
      <c r="G1459" s="1454"/>
      <c r="H1459" s="30">
        <v>30209613</v>
      </c>
      <c r="I1459" s="35">
        <v>28900</v>
      </c>
      <c r="J1459" s="30">
        <v>6</v>
      </c>
      <c r="K1459" s="30">
        <v>1</v>
      </c>
      <c r="L1459" s="30"/>
      <c r="M1459" s="1454"/>
      <c r="N1459" s="1461"/>
    </row>
    <row r="1460" spans="2:14" ht="16.5" customHeight="1">
      <c r="B1460" s="1448"/>
      <c r="C1460" s="1448"/>
      <c r="D1460" s="1448"/>
      <c r="E1460" s="30"/>
      <c r="F1460" s="31" t="s">
        <v>1822</v>
      </c>
      <c r="G1460" s="1454"/>
      <c r="H1460" s="30">
        <v>30212530</v>
      </c>
      <c r="I1460" s="35">
        <v>26900</v>
      </c>
      <c r="J1460" s="30">
        <v>6</v>
      </c>
      <c r="K1460" s="30">
        <v>1</v>
      </c>
      <c r="L1460" s="30"/>
      <c r="M1460" s="1454"/>
      <c r="N1460" s="1461"/>
    </row>
    <row r="1461" spans="2:14" ht="16.5" customHeight="1">
      <c r="B1461" s="1448"/>
      <c r="C1461" s="1448"/>
      <c r="D1461" s="1448"/>
      <c r="E1461" s="30"/>
      <c r="F1461" s="31" t="s">
        <v>1823</v>
      </c>
      <c r="G1461" s="1454"/>
      <c r="H1461" s="30">
        <v>30212533</v>
      </c>
      <c r="I1461" s="35">
        <v>33900</v>
      </c>
      <c r="J1461" s="30">
        <v>6</v>
      </c>
      <c r="K1461" s="30">
        <v>1</v>
      </c>
      <c r="L1461" s="30"/>
      <c r="M1461" s="1454"/>
      <c r="N1461" s="1461"/>
    </row>
    <row r="1462" spans="2:14" ht="16.5" customHeight="1">
      <c r="B1462" s="1448"/>
      <c r="C1462" s="1448"/>
      <c r="D1462" s="1448"/>
      <c r="E1462" s="30"/>
      <c r="F1462" s="31" t="s">
        <v>1824</v>
      </c>
      <c r="G1462" s="1454"/>
      <c r="H1462" s="30">
        <v>30209615</v>
      </c>
      <c r="I1462" s="35">
        <v>45900</v>
      </c>
      <c r="J1462" s="30">
        <v>6</v>
      </c>
      <c r="K1462" s="30">
        <v>1</v>
      </c>
      <c r="L1462" s="30"/>
      <c r="M1462" s="1454"/>
      <c r="N1462" s="1461"/>
    </row>
    <row r="1463" spans="2:14" ht="16.5" customHeight="1">
      <c r="B1463" s="1448"/>
      <c r="C1463" s="1448"/>
      <c r="D1463" s="1448"/>
      <c r="E1463" s="30"/>
      <c r="F1463" s="31" t="s">
        <v>1825</v>
      </c>
      <c r="G1463" s="1454"/>
      <c r="H1463" s="30">
        <v>30209614</v>
      </c>
      <c r="I1463" s="35">
        <v>45900</v>
      </c>
      <c r="J1463" s="30">
        <v>6</v>
      </c>
      <c r="K1463" s="30">
        <v>1</v>
      </c>
      <c r="L1463" s="30"/>
      <c r="M1463" s="1454"/>
      <c r="N1463" s="1461"/>
    </row>
    <row r="1464" spans="2:14" ht="16.5" customHeight="1">
      <c r="B1464" s="1448"/>
      <c r="C1464" s="1448">
        <v>4</v>
      </c>
      <c r="D1464" s="1448" t="s">
        <v>80</v>
      </c>
      <c r="E1464" s="30"/>
      <c r="F1464" s="31" t="s">
        <v>81</v>
      </c>
      <c r="G1464" s="1454" t="s">
        <v>82</v>
      </c>
      <c r="H1464" s="30">
        <v>30215955</v>
      </c>
      <c r="I1464" s="35"/>
      <c r="J1464" s="30">
        <v>6</v>
      </c>
      <c r="K1464" s="30">
        <v>1</v>
      </c>
      <c r="L1464" s="30"/>
      <c r="M1464" s="1454" t="s">
        <v>83</v>
      </c>
      <c r="N1464" s="1461">
        <v>20250122101</v>
      </c>
    </row>
    <row r="1465" spans="2:14" ht="16.5" customHeight="1">
      <c r="B1465" s="1448"/>
      <c r="C1465" s="1448"/>
      <c r="D1465" s="1448"/>
      <c r="E1465" s="30"/>
      <c r="F1465" s="31" t="s">
        <v>1011</v>
      </c>
      <c r="G1465" s="1454"/>
      <c r="H1465" s="30">
        <v>30212029</v>
      </c>
      <c r="I1465" s="35"/>
      <c r="J1465" s="30">
        <v>6</v>
      </c>
      <c r="K1465" s="30">
        <v>1</v>
      </c>
      <c r="L1465" s="30"/>
      <c r="M1465" s="1454"/>
      <c r="N1465" s="1461"/>
    </row>
    <row r="1466" spans="2:14" ht="16.5" customHeight="1">
      <c r="B1466" s="1448"/>
      <c r="C1466" s="1448"/>
      <c r="D1466" s="1448"/>
      <c r="E1466" s="30"/>
      <c r="F1466" s="31" t="s">
        <v>85</v>
      </c>
      <c r="G1466" s="1454"/>
      <c r="H1466" s="30">
        <v>30212030</v>
      </c>
      <c r="I1466" s="35"/>
      <c r="J1466" s="30">
        <v>6</v>
      </c>
      <c r="K1466" s="30">
        <v>1</v>
      </c>
      <c r="L1466" s="30"/>
      <c r="M1466" s="1454"/>
      <c r="N1466" s="1461"/>
    </row>
    <row r="1467" spans="2:14" ht="16.5" customHeight="1">
      <c r="B1467" s="1448"/>
      <c r="C1467" s="1448"/>
      <c r="D1467" s="1448"/>
      <c r="E1467" s="30"/>
      <c r="F1467" s="31" t="s">
        <v>86</v>
      </c>
      <c r="G1467" s="1454"/>
      <c r="H1467" s="30">
        <v>30212031</v>
      </c>
      <c r="I1467" s="35"/>
      <c r="J1467" s="30">
        <v>6</v>
      </c>
      <c r="K1467" s="30">
        <v>1</v>
      </c>
      <c r="L1467" s="30"/>
      <c r="M1467" s="1454"/>
      <c r="N1467" s="1461"/>
    </row>
    <row r="1468" spans="2:14" ht="16.5" customHeight="1">
      <c r="B1468" s="1448"/>
      <c r="C1468" s="1448"/>
      <c r="D1468" s="1448"/>
      <c r="E1468" s="30"/>
      <c r="F1468" s="31" t="s">
        <v>87</v>
      </c>
      <c r="G1468" s="1454"/>
      <c r="H1468" s="30">
        <v>30212032</v>
      </c>
      <c r="I1468" s="35"/>
      <c r="J1468" s="30">
        <v>6</v>
      </c>
      <c r="K1468" s="30">
        <v>1</v>
      </c>
      <c r="L1468" s="30"/>
      <c r="M1468" s="1454"/>
      <c r="N1468" s="1461"/>
    </row>
    <row r="1469" spans="2:14" ht="16.5" customHeight="1">
      <c r="B1469" s="1448"/>
      <c r="C1469" s="1448"/>
      <c r="D1469" s="1448"/>
      <c r="E1469" s="30"/>
      <c r="F1469" s="31" t="s">
        <v>88</v>
      </c>
      <c r="G1469" s="1454"/>
      <c r="H1469" s="30">
        <v>30212033</v>
      </c>
      <c r="I1469" s="35"/>
      <c r="J1469" s="30">
        <v>6</v>
      </c>
      <c r="K1469" s="30">
        <v>1</v>
      </c>
      <c r="L1469" s="30"/>
      <c r="M1469" s="1454"/>
      <c r="N1469" s="1461"/>
    </row>
    <row r="1470" spans="2:14" ht="16.5" customHeight="1">
      <c r="B1470" s="1448"/>
      <c r="C1470" s="1448"/>
      <c r="D1470" s="1448"/>
      <c r="E1470" s="30"/>
      <c r="F1470" s="31" t="s">
        <v>1012</v>
      </c>
      <c r="G1470" s="1454"/>
      <c r="H1470" s="30">
        <v>30215961</v>
      </c>
      <c r="I1470" s="35"/>
      <c r="J1470" s="30">
        <v>6</v>
      </c>
      <c r="K1470" s="30">
        <v>1</v>
      </c>
      <c r="L1470" s="30"/>
      <c r="M1470" s="1454"/>
      <c r="N1470" s="1461"/>
    </row>
    <row r="1471" spans="2:14" ht="16.5" customHeight="1">
      <c r="B1471" s="1448"/>
      <c r="C1471" s="1448"/>
      <c r="D1471" s="1448"/>
      <c r="E1471" s="30"/>
      <c r="F1471" s="31" t="s">
        <v>1013</v>
      </c>
      <c r="G1471" s="1454"/>
      <c r="H1471" s="30">
        <v>30215960</v>
      </c>
      <c r="I1471" s="35"/>
      <c r="J1471" s="30">
        <v>6</v>
      </c>
      <c r="K1471" s="30">
        <v>1</v>
      </c>
      <c r="L1471" s="30"/>
      <c r="M1471" s="1454"/>
      <c r="N1471" s="1461"/>
    </row>
    <row r="1472" spans="2:14" ht="16.5" customHeight="1">
      <c r="B1472" s="1448"/>
      <c r="C1472" s="1448"/>
      <c r="D1472" s="1448"/>
      <c r="E1472" s="30"/>
      <c r="F1472" s="31" t="s">
        <v>91</v>
      </c>
      <c r="G1472" s="1454"/>
      <c r="H1472" s="30">
        <v>30212026</v>
      </c>
      <c r="I1472" s="35"/>
      <c r="J1472" s="30">
        <v>6</v>
      </c>
      <c r="K1472" s="30">
        <v>1</v>
      </c>
      <c r="L1472" s="30"/>
      <c r="M1472" s="1454"/>
      <c r="N1472" s="1461"/>
    </row>
    <row r="1473" spans="2:14" ht="16.5" customHeight="1">
      <c r="B1473" s="1448"/>
      <c r="C1473" s="1448"/>
      <c r="D1473" s="1448"/>
      <c r="E1473" s="30"/>
      <c r="F1473" s="31" t="s">
        <v>1014</v>
      </c>
      <c r="G1473" s="1454"/>
      <c r="H1473" s="30">
        <v>30215956</v>
      </c>
      <c r="I1473" s="35"/>
      <c r="J1473" s="30">
        <v>6</v>
      </c>
      <c r="K1473" s="30">
        <v>1</v>
      </c>
      <c r="L1473" s="30"/>
      <c r="M1473" s="1454"/>
      <c r="N1473" s="1461"/>
    </row>
    <row r="1474" spans="2:14" ht="16.5" customHeight="1">
      <c r="B1474" s="1448"/>
      <c r="C1474" s="1448"/>
      <c r="D1474" s="1448"/>
      <c r="E1474" s="30"/>
      <c r="F1474" s="31" t="s">
        <v>1015</v>
      </c>
      <c r="G1474" s="1454"/>
      <c r="H1474" s="30">
        <v>30215959</v>
      </c>
      <c r="I1474" s="35"/>
      <c r="J1474" s="30">
        <v>6</v>
      </c>
      <c r="K1474" s="30">
        <v>1</v>
      </c>
      <c r="L1474" s="30"/>
      <c r="M1474" s="1454"/>
      <c r="N1474" s="1461"/>
    </row>
    <row r="1475" spans="2:14" ht="16.5" customHeight="1">
      <c r="B1475" s="1448"/>
      <c r="C1475" s="1448"/>
      <c r="D1475" s="1448"/>
      <c r="E1475" s="30"/>
      <c r="F1475" s="31" t="s">
        <v>92</v>
      </c>
      <c r="G1475" s="1454"/>
      <c r="H1475" s="30">
        <v>30212027</v>
      </c>
      <c r="I1475" s="35"/>
      <c r="J1475" s="30">
        <v>6</v>
      </c>
      <c r="K1475" s="30">
        <v>1</v>
      </c>
      <c r="L1475" s="30"/>
      <c r="M1475" s="1454"/>
      <c r="N1475" s="1461"/>
    </row>
    <row r="1476" spans="2:14" ht="16.5" customHeight="1">
      <c r="B1476" s="1448"/>
      <c r="C1476" s="1448"/>
      <c r="D1476" s="1448"/>
      <c r="E1476" s="30"/>
      <c r="F1476" s="31" t="s">
        <v>1016</v>
      </c>
      <c r="G1476" s="1454"/>
      <c r="H1476" s="30">
        <v>30215957</v>
      </c>
      <c r="I1476" s="35"/>
      <c r="J1476" s="30">
        <v>6</v>
      </c>
      <c r="K1476" s="30">
        <v>1</v>
      </c>
      <c r="L1476" s="30"/>
      <c r="M1476" s="1454"/>
      <c r="N1476" s="1461"/>
    </row>
    <row r="1477" spans="2:14" ht="16.5" customHeight="1">
      <c r="B1477" s="1448"/>
      <c r="C1477" s="1448"/>
      <c r="D1477" s="1448"/>
      <c r="E1477" s="30"/>
      <c r="F1477" s="31" t="s">
        <v>90</v>
      </c>
      <c r="G1477" s="1454"/>
      <c r="H1477" s="30">
        <v>30212028</v>
      </c>
      <c r="I1477" s="35"/>
      <c r="J1477" s="30">
        <v>6</v>
      </c>
      <c r="K1477" s="30">
        <v>1</v>
      </c>
      <c r="L1477" s="30"/>
      <c r="M1477" s="1454"/>
      <c r="N1477" s="1461"/>
    </row>
    <row r="1478" spans="2:14" ht="16.5" customHeight="1">
      <c r="B1478" s="1448"/>
      <c r="C1478" s="1448"/>
      <c r="D1478" s="1448" t="s">
        <v>1017</v>
      </c>
      <c r="E1478" s="30"/>
      <c r="F1478" s="31" t="s">
        <v>1018</v>
      </c>
      <c r="G1478" s="1454" t="s">
        <v>1019</v>
      </c>
      <c r="H1478" s="30">
        <v>30215874</v>
      </c>
      <c r="I1478" s="35"/>
      <c r="J1478" s="30">
        <v>6</v>
      </c>
      <c r="K1478" s="30">
        <v>1</v>
      </c>
      <c r="L1478" s="30"/>
      <c r="M1478" s="1454" t="s">
        <v>1019</v>
      </c>
      <c r="N1478" s="1461">
        <v>20250122102</v>
      </c>
    </row>
    <row r="1479" spans="2:14" ht="16.5" customHeight="1">
      <c r="B1479" s="1448"/>
      <c r="C1479" s="1448"/>
      <c r="D1479" s="1448"/>
      <c r="E1479" s="30"/>
      <c r="F1479" s="31" t="s">
        <v>1020</v>
      </c>
      <c r="G1479" s="1454"/>
      <c r="H1479" s="30">
        <v>30215875</v>
      </c>
      <c r="I1479" s="35"/>
      <c r="J1479" s="30">
        <v>6</v>
      </c>
      <c r="K1479" s="30">
        <v>1</v>
      </c>
      <c r="L1479" s="30"/>
      <c r="M1479" s="1454"/>
      <c r="N1479" s="1461"/>
    </row>
    <row r="1480" spans="2:14" ht="16.5" customHeight="1">
      <c r="B1480" s="1448"/>
      <c r="C1480" s="1448"/>
      <c r="D1480" s="1448"/>
      <c r="E1480" s="30"/>
      <c r="F1480" s="31" t="s">
        <v>1021</v>
      </c>
      <c r="G1480" s="1454"/>
      <c r="H1480" s="30">
        <v>30215863</v>
      </c>
      <c r="I1480" s="35"/>
      <c r="J1480" s="30">
        <v>6</v>
      </c>
      <c r="K1480" s="30">
        <v>1</v>
      </c>
      <c r="L1480" s="30"/>
      <c r="M1480" s="1454"/>
      <c r="N1480" s="1461"/>
    </row>
    <row r="1481" spans="2:14" ht="16.5" customHeight="1">
      <c r="B1481" s="1448"/>
      <c r="C1481" s="1448"/>
      <c r="D1481" s="1448"/>
      <c r="E1481" s="30"/>
      <c r="F1481" s="31" t="s">
        <v>1022</v>
      </c>
      <c r="G1481" s="1454"/>
      <c r="H1481" s="30">
        <v>30215864</v>
      </c>
      <c r="I1481" s="35"/>
      <c r="J1481" s="30">
        <v>6</v>
      </c>
      <c r="K1481" s="30">
        <v>1</v>
      </c>
      <c r="L1481" s="30"/>
      <c r="M1481" s="1454"/>
      <c r="N1481" s="1461"/>
    </row>
    <row r="1482" spans="2:14" ht="16.5" customHeight="1">
      <c r="B1482" s="1448"/>
      <c r="C1482" s="1448"/>
      <c r="D1482" s="1448"/>
      <c r="E1482" s="30"/>
      <c r="F1482" s="31" t="s">
        <v>1023</v>
      </c>
      <c r="G1482" s="1454"/>
      <c r="H1482" s="30">
        <v>30215865</v>
      </c>
      <c r="I1482" s="35"/>
      <c r="J1482" s="30">
        <v>6</v>
      </c>
      <c r="K1482" s="30">
        <v>1</v>
      </c>
      <c r="L1482" s="30"/>
      <c r="M1482" s="1454"/>
      <c r="N1482" s="1461"/>
    </row>
    <row r="1483" spans="2:14" ht="16.5" customHeight="1">
      <c r="B1483" s="1448"/>
      <c r="C1483" s="1448"/>
      <c r="D1483" s="1448"/>
      <c r="E1483" s="30"/>
      <c r="F1483" s="31" t="s">
        <v>1024</v>
      </c>
      <c r="G1483" s="1454"/>
      <c r="H1483" s="30">
        <v>30215866</v>
      </c>
      <c r="I1483" s="35"/>
      <c r="J1483" s="30">
        <v>6</v>
      </c>
      <c r="K1483" s="30">
        <v>1</v>
      </c>
      <c r="L1483" s="30"/>
      <c r="M1483" s="1454"/>
      <c r="N1483" s="1461"/>
    </row>
    <row r="1484" spans="2:14" ht="16.5" customHeight="1">
      <c r="B1484" s="1448"/>
      <c r="C1484" s="1448"/>
      <c r="D1484" s="1448"/>
      <c r="E1484" s="30"/>
      <c r="F1484" s="31" t="s">
        <v>1025</v>
      </c>
      <c r="G1484" s="1454"/>
      <c r="H1484" s="30">
        <v>30215868</v>
      </c>
      <c r="I1484" s="35"/>
      <c r="J1484" s="30">
        <v>6</v>
      </c>
      <c r="K1484" s="30">
        <v>1</v>
      </c>
      <c r="L1484" s="30"/>
      <c r="M1484" s="1454"/>
      <c r="N1484" s="1461"/>
    </row>
    <row r="1485" spans="2:14" ht="16.5" customHeight="1">
      <c r="B1485" s="1448"/>
      <c r="C1485" s="1448"/>
      <c r="D1485" s="1448"/>
      <c r="E1485" s="30"/>
      <c r="F1485" s="31" t="s">
        <v>1026</v>
      </c>
      <c r="G1485" s="1454"/>
      <c r="H1485" s="30">
        <v>30215869</v>
      </c>
      <c r="I1485" s="35"/>
      <c r="J1485" s="30">
        <v>6</v>
      </c>
      <c r="K1485" s="30">
        <v>1</v>
      </c>
      <c r="L1485" s="30"/>
      <c r="M1485" s="1454"/>
      <c r="N1485" s="1461"/>
    </row>
    <row r="1486" spans="2:14" ht="16.5" customHeight="1">
      <c r="B1486" s="1448"/>
      <c r="C1486" s="1448"/>
      <c r="D1486" s="1448"/>
      <c r="E1486" s="30"/>
      <c r="F1486" s="31" t="s">
        <v>1027</v>
      </c>
      <c r="G1486" s="1454"/>
      <c r="H1486" s="30">
        <v>30215870</v>
      </c>
      <c r="I1486" s="35"/>
      <c r="J1486" s="30">
        <v>6</v>
      </c>
      <c r="K1486" s="30">
        <v>1</v>
      </c>
      <c r="L1486" s="30"/>
      <c r="M1486" s="1454"/>
      <c r="N1486" s="1461"/>
    </row>
    <row r="1487" spans="2:14" ht="16.5" customHeight="1">
      <c r="B1487" s="1448"/>
      <c r="C1487" s="1448"/>
      <c r="D1487" s="1448"/>
      <c r="E1487" s="30"/>
      <c r="F1487" s="31" t="s">
        <v>1028</v>
      </c>
      <c r="G1487" s="1454"/>
      <c r="H1487" s="30">
        <v>30215871</v>
      </c>
      <c r="I1487" s="35"/>
      <c r="J1487" s="30">
        <v>6</v>
      </c>
      <c r="K1487" s="30">
        <v>1</v>
      </c>
      <c r="L1487" s="30"/>
      <c r="M1487" s="1454"/>
      <c r="N1487" s="1461"/>
    </row>
    <row r="1488" spans="2:14" ht="16.5" customHeight="1">
      <c r="B1488" s="1448"/>
      <c r="C1488" s="1448"/>
      <c r="D1488" s="1448"/>
      <c r="E1488" s="30"/>
      <c r="F1488" s="31" t="s">
        <v>1029</v>
      </c>
      <c r="G1488" s="1454"/>
      <c r="H1488" s="30">
        <v>30215872</v>
      </c>
      <c r="I1488" s="35"/>
      <c r="J1488" s="30">
        <v>6</v>
      </c>
      <c r="K1488" s="30">
        <v>1</v>
      </c>
      <c r="L1488" s="30"/>
      <c r="M1488" s="1454"/>
      <c r="N1488" s="1461"/>
    </row>
    <row r="1489" spans="2:14" ht="16.5" customHeight="1">
      <c r="B1489" s="1448"/>
      <c r="C1489" s="1448"/>
      <c r="D1489" s="1448"/>
      <c r="E1489" s="30"/>
      <c r="F1489" s="31" t="s">
        <v>1030</v>
      </c>
      <c r="G1489" s="1454"/>
      <c r="H1489" s="30">
        <v>30215873</v>
      </c>
      <c r="I1489" s="35"/>
      <c r="J1489" s="30">
        <v>6</v>
      </c>
      <c r="K1489" s="30">
        <v>1</v>
      </c>
      <c r="L1489" s="30"/>
      <c r="M1489" s="1454"/>
      <c r="N1489" s="1461"/>
    </row>
    <row r="1490" spans="2:14" ht="16.5" customHeight="1">
      <c r="B1490" s="1448"/>
      <c r="C1490" s="1448"/>
      <c r="D1490" s="1448" t="s">
        <v>1031</v>
      </c>
      <c r="E1490" s="30"/>
      <c r="F1490" s="31" t="s">
        <v>1032</v>
      </c>
      <c r="G1490" s="1454" t="s">
        <v>1033</v>
      </c>
      <c r="H1490" s="30">
        <v>30215876</v>
      </c>
      <c r="I1490" s="35"/>
      <c r="J1490" s="30">
        <v>6</v>
      </c>
      <c r="K1490" s="30">
        <v>1</v>
      </c>
      <c r="L1490" s="30"/>
      <c r="M1490" s="1454" t="s">
        <v>1033</v>
      </c>
      <c r="N1490" s="1461">
        <v>20250122103</v>
      </c>
    </row>
    <row r="1491" spans="2:14" ht="16.5" customHeight="1">
      <c r="B1491" s="1448"/>
      <c r="C1491" s="1448"/>
      <c r="D1491" s="1448"/>
      <c r="E1491" s="30"/>
      <c r="F1491" s="31" t="s">
        <v>1034</v>
      </c>
      <c r="G1491" s="1454"/>
      <c r="H1491" s="30">
        <v>30215877</v>
      </c>
      <c r="I1491" s="35"/>
      <c r="J1491" s="30">
        <v>6</v>
      </c>
      <c r="K1491" s="30">
        <v>1</v>
      </c>
      <c r="L1491" s="30"/>
      <c r="M1491" s="1454"/>
      <c r="N1491" s="1461"/>
    </row>
    <row r="1492" spans="2:14" ht="16.5" customHeight="1">
      <c r="B1492" s="1448"/>
      <c r="C1492" s="1448"/>
      <c r="D1492" s="1448"/>
      <c r="E1492" s="30"/>
      <c r="F1492" s="31" t="s">
        <v>1035</v>
      </c>
      <c r="G1492" s="1454"/>
      <c r="H1492" s="30">
        <v>30215878</v>
      </c>
      <c r="I1492" s="35"/>
      <c r="J1492" s="30">
        <v>6</v>
      </c>
      <c r="K1492" s="30">
        <v>1</v>
      </c>
      <c r="L1492" s="30"/>
      <c r="M1492" s="1454"/>
      <c r="N1492" s="1461"/>
    </row>
    <row r="1493" spans="2:14" ht="16.5" customHeight="1">
      <c r="B1493" s="1448"/>
      <c r="C1493" s="1448"/>
      <c r="D1493" s="1448"/>
      <c r="E1493" s="30"/>
      <c r="F1493" s="31" t="s">
        <v>1036</v>
      </c>
      <c r="G1493" s="1454"/>
      <c r="H1493" s="30">
        <v>30215879</v>
      </c>
      <c r="I1493" s="35"/>
      <c r="J1493" s="30">
        <v>6</v>
      </c>
      <c r="K1493" s="30">
        <v>1</v>
      </c>
      <c r="L1493" s="30"/>
      <c r="M1493" s="1454"/>
      <c r="N1493" s="1461"/>
    </row>
    <row r="1494" spans="2:14" ht="16.5" customHeight="1">
      <c r="B1494" s="1448"/>
      <c r="C1494" s="1448"/>
      <c r="D1494" s="1448"/>
      <c r="E1494" s="30"/>
      <c r="F1494" s="31" t="s">
        <v>1037</v>
      </c>
      <c r="G1494" s="1454"/>
      <c r="H1494" s="30">
        <v>30215880</v>
      </c>
      <c r="I1494" s="35"/>
      <c r="J1494" s="30">
        <v>6</v>
      </c>
      <c r="K1494" s="30">
        <v>1</v>
      </c>
      <c r="L1494" s="30"/>
      <c r="M1494" s="1454"/>
      <c r="N1494" s="1461"/>
    </row>
    <row r="1495" spans="2:14" ht="16.5" customHeight="1">
      <c r="B1495" s="1448"/>
      <c r="C1495" s="1448"/>
      <c r="D1495" s="1448"/>
      <c r="E1495" s="30"/>
      <c r="F1495" s="31" t="s">
        <v>1038</v>
      </c>
      <c r="G1495" s="1454"/>
      <c r="H1495" s="30">
        <v>30216425</v>
      </c>
      <c r="I1495" s="35"/>
      <c r="J1495" s="30">
        <v>6</v>
      </c>
      <c r="K1495" s="30">
        <v>1</v>
      </c>
      <c r="L1495" s="30"/>
      <c r="M1495" s="1454"/>
      <c r="N1495" s="1461"/>
    </row>
    <row r="1496" spans="2:14" ht="16.5" customHeight="1">
      <c r="B1496" s="1448"/>
      <c r="C1496" s="1448"/>
      <c r="D1496" s="1448"/>
      <c r="E1496" s="30"/>
      <c r="F1496" s="31" t="s">
        <v>1039</v>
      </c>
      <c r="G1496" s="1454"/>
      <c r="H1496" s="30">
        <v>30215883</v>
      </c>
      <c r="I1496" s="35"/>
      <c r="J1496" s="30">
        <v>6</v>
      </c>
      <c r="K1496" s="30">
        <v>1</v>
      </c>
      <c r="L1496" s="30"/>
      <c r="M1496" s="1454"/>
      <c r="N1496" s="1461"/>
    </row>
    <row r="1497" spans="2:14" ht="16.5" customHeight="1">
      <c r="B1497" s="1448"/>
      <c r="C1497" s="1448"/>
      <c r="D1497" s="1448"/>
      <c r="E1497" s="30"/>
      <c r="F1497" s="31" t="s">
        <v>1040</v>
      </c>
      <c r="G1497" s="1454"/>
      <c r="H1497" s="30">
        <v>76301260</v>
      </c>
      <c r="I1497" s="35"/>
      <c r="J1497" s="30">
        <v>6</v>
      </c>
      <c r="K1497" s="30">
        <v>1</v>
      </c>
      <c r="L1497" s="30"/>
      <c r="M1497" s="1454"/>
      <c r="N1497" s="1461"/>
    </row>
    <row r="1498" spans="2:14" ht="16.5" customHeight="1">
      <c r="B1498" s="1448"/>
      <c r="C1498" s="1448"/>
      <c r="D1498" s="1448"/>
      <c r="E1498" s="30"/>
      <c r="F1498" s="31" t="s">
        <v>1041</v>
      </c>
      <c r="G1498" s="1454"/>
      <c r="H1498" s="30">
        <v>76301262</v>
      </c>
      <c r="I1498" s="35"/>
      <c r="J1498" s="30">
        <v>6</v>
      </c>
      <c r="K1498" s="30">
        <v>1</v>
      </c>
      <c r="L1498" s="30"/>
      <c r="M1498" s="1454"/>
      <c r="N1498" s="1461"/>
    </row>
    <row r="1499" spans="2:14" ht="16.5" customHeight="1">
      <c r="B1499" s="1448"/>
      <c r="C1499" s="1448"/>
      <c r="D1499" s="1448"/>
      <c r="E1499" s="30"/>
      <c r="F1499" s="31" t="s">
        <v>1042</v>
      </c>
      <c r="G1499" s="1454"/>
      <c r="H1499" s="30">
        <v>76301266</v>
      </c>
      <c r="I1499" s="35"/>
      <c r="J1499" s="30">
        <v>6</v>
      </c>
      <c r="K1499" s="30">
        <v>1</v>
      </c>
      <c r="L1499" s="30"/>
      <c r="M1499" s="1454"/>
      <c r="N1499" s="1461"/>
    </row>
    <row r="1500" spans="2:14" ht="16.5" customHeight="1">
      <c r="B1500" s="1448"/>
      <c r="C1500" s="1448">
        <v>5</v>
      </c>
      <c r="D1500" s="1448" t="s">
        <v>93</v>
      </c>
      <c r="E1500" s="30"/>
      <c r="F1500" s="31" t="s">
        <v>104</v>
      </c>
      <c r="G1500" s="1448" t="s">
        <v>95</v>
      </c>
      <c r="H1500" s="30">
        <v>73080054</v>
      </c>
      <c r="I1500" s="35"/>
      <c r="J1500" s="30">
        <v>6</v>
      </c>
      <c r="K1500" s="30">
        <v>1</v>
      </c>
      <c r="L1500" s="30"/>
      <c r="M1500" s="1454" t="s">
        <v>95</v>
      </c>
      <c r="N1500" s="1461">
        <v>20250122104</v>
      </c>
    </row>
    <row r="1501" spans="2:14" ht="16.5" customHeight="1">
      <c r="B1501" s="1448"/>
      <c r="C1501" s="1448"/>
      <c r="D1501" s="1448"/>
      <c r="E1501" s="30"/>
      <c r="F1501" s="31" t="s">
        <v>103</v>
      </c>
      <c r="G1501" s="1448"/>
      <c r="H1501" s="30">
        <v>30215897</v>
      </c>
      <c r="I1501" s="35"/>
      <c r="J1501" s="30">
        <v>6</v>
      </c>
      <c r="K1501" s="30">
        <v>1</v>
      </c>
      <c r="L1501" s="30"/>
      <c r="M1501" s="1454"/>
      <c r="N1501" s="1461"/>
    </row>
    <row r="1502" spans="2:14" ht="16.5" customHeight="1">
      <c r="B1502" s="1448"/>
      <c r="C1502" s="1448"/>
      <c r="D1502" s="1448"/>
      <c r="E1502" s="30"/>
      <c r="F1502" s="31" t="s">
        <v>1043</v>
      </c>
      <c r="G1502" s="1448"/>
      <c r="H1502" s="30">
        <v>30215896</v>
      </c>
      <c r="I1502" s="35"/>
      <c r="J1502" s="30">
        <v>6</v>
      </c>
      <c r="K1502" s="30">
        <v>1</v>
      </c>
      <c r="L1502" s="30"/>
      <c r="M1502" s="1454"/>
      <c r="N1502" s="1461"/>
    </row>
    <row r="1503" spans="2:14" ht="16.5" customHeight="1">
      <c r="B1503" s="1448"/>
      <c r="C1503" s="1448"/>
      <c r="D1503" s="1448"/>
      <c r="E1503" s="30"/>
      <c r="F1503" s="31" t="s">
        <v>1044</v>
      </c>
      <c r="G1503" s="1448"/>
      <c r="H1503" s="30">
        <v>30215895</v>
      </c>
      <c r="I1503" s="35"/>
      <c r="J1503" s="30">
        <v>6</v>
      </c>
      <c r="K1503" s="30">
        <v>1</v>
      </c>
      <c r="L1503" s="30"/>
      <c r="M1503" s="1454"/>
      <c r="N1503" s="1461"/>
    </row>
    <row r="1504" spans="2:14" ht="16.5" customHeight="1">
      <c r="B1504" s="1448"/>
      <c r="C1504" s="1448"/>
      <c r="D1504" s="1448"/>
      <c r="E1504" s="30"/>
      <c r="F1504" s="31" t="s">
        <v>105</v>
      </c>
      <c r="G1504" s="1448"/>
      <c r="H1504" s="30">
        <v>30211994</v>
      </c>
      <c r="I1504" s="35"/>
      <c r="J1504" s="30">
        <v>6</v>
      </c>
      <c r="K1504" s="30">
        <v>1</v>
      </c>
      <c r="L1504" s="30"/>
      <c r="M1504" s="1454"/>
      <c r="N1504" s="1461"/>
    </row>
    <row r="1505" spans="2:14" ht="16.5" customHeight="1">
      <c r="B1505" s="1448"/>
      <c r="C1505" s="1448"/>
      <c r="D1505" s="1448"/>
      <c r="E1505" s="30"/>
      <c r="F1505" s="31" t="s">
        <v>99</v>
      </c>
      <c r="G1505" s="1448"/>
      <c r="H1505" s="30">
        <v>30211993</v>
      </c>
      <c r="I1505" s="35"/>
      <c r="J1505" s="30">
        <v>6</v>
      </c>
      <c r="K1505" s="30">
        <v>1</v>
      </c>
      <c r="L1505" s="30"/>
      <c r="M1505" s="1454"/>
      <c r="N1505" s="1461"/>
    </row>
    <row r="1506" spans="2:14" ht="16.5" customHeight="1">
      <c r="B1506" s="1448"/>
      <c r="C1506" s="1448"/>
      <c r="D1506" s="1448"/>
      <c r="E1506" s="30"/>
      <c r="F1506" s="31" t="s">
        <v>102</v>
      </c>
      <c r="G1506" s="1448"/>
      <c r="H1506" s="30">
        <v>30210471</v>
      </c>
      <c r="I1506" s="35"/>
      <c r="J1506" s="30">
        <v>6</v>
      </c>
      <c r="K1506" s="30">
        <v>1</v>
      </c>
      <c r="L1506" s="30"/>
      <c r="M1506" s="1454"/>
      <c r="N1506" s="1461"/>
    </row>
    <row r="1507" spans="2:14" ht="16.5" customHeight="1">
      <c r="B1507" s="1448"/>
      <c r="C1507" s="1448"/>
      <c r="D1507" s="1448"/>
      <c r="E1507" s="30"/>
      <c r="F1507" s="31" t="s">
        <v>100</v>
      </c>
      <c r="G1507" s="1448"/>
      <c r="H1507" s="30">
        <v>30207516</v>
      </c>
      <c r="I1507" s="35"/>
      <c r="J1507" s="30">
        <v>6</v>
      </c>
      <c r="K1507" s="30">
        <v>1</v>
      </c>
      <c r="L1507" s="30"/>
      <c r="M1507" s="1454"/>
      <c r="N1507" s="1461"/>
    </row>
    <row r="1508" spans="2:14" ht="16.5" customHeight="1">
      <c r="B1508" s="1448"/>
      <c r="C1508" s="1448"/>
      <c r="D1508" s="1448"/>
      <c r="E1508" s="30"/>
      <c r="F1508" s="31" t="s">
        <v>101</v>
      </c>
      <c r="G1508" s="1448"/>
      <c r="H1508" s="30">
        <v>30207515</v>
      </c>
      <c r="I1508" s="35"/>
      <c r="J1508" s="30">
        <v>6</v>
      </c>
      <c r="K1508" s="30">
        <v>1</v>
      </c>
      <c r="L1508" s="30"/>
      <c r="M1508" s="1454"/>
      <c r="N1508" s="1461"/>
    </row>
    <row r="1509" spans="2:14" ht="16.5" customHeight="1">
      <c r="B1509" s="1448"/>
      <c r="C1509" s="1448"/>
      <c r="D1509" s="1448"/>
      <c r="E1509" s="30"/>
      <c r="F1509" s="31" t="s">
        <v>1045</v>
      </c>
      <c r="G1509" s="1448"/>
      <c r="H1509" s="30">
        <v>30207514</v>
      </c>
      <c r="I1509" s="35"/>
      <c r="J1509" s="30">
        <v>6</v>
      </c>
      <c r="K1509" s="30">
        <v>1</v>
      </c>
      <c r="L1509" s="30"/>
      <c r="M1509" s="1454"/>
      <c r="N1509" s="1461"/>
    </row>
    <row r="1510" spans="2:14" ht="16.5" customHeight="1">
      <c r="B1510" s="1448"/>
      <c r="C1510" s="1448"/>
      <c r="D1510" s="1448"/>
      <c r="E1510" s="30"/>
      <c r="F1510" s="31" t="s">
        <v>1046</v>
      </c>
      <c r="G1510" s="1448"/>
      <c r="H1510" s="30">
        <v>30207513</v>
      </c>
      <c r="I1510" s="35"/>
      <c r="J1510" s="30">
        <v>6</v>
      </c>
      <c r="K1510" s="30">
        <v>1</v>
      </c>
      <c r="L1510" s="30"/>
      <c r="M1510" s="1454"/>
      <c r="N1510" s="1461"/>
    </row>
    <row r="1511" spans="2:14" ht="16.5" customHeight="1">
      <c r="B1511" s="1448"/>
      <c r="C1511" s="1448"/>
      <c r="D1511" s="1448"/>
      <c r="E1511" s="30"/>
      <c r="F1511" s="31" t="s">
        <v>96</v>
      </c>
      <c r="G1511" s="1448"/>
      <c r="H1511" s="30">
        <v>30207512</v>
      </c>
      <c r="I1511" s="35"/>
      <c r="J1511" s="30">
        <v>6</v>
      </c>
      <c r="K1511" s="30">
        <v>1</v>
      </c>
      <c r="L1511" s="30"/>
      <c r="M1511" s="1454"/>
      <c r="N1511" s="1461"/>
    </row>
    <row r="1512" spans="2:14" ht="16.5" customHeight="1">
      <c r="B1512" s="1448"/>
      <c r="C1512" s="1448"/>
      <c r="D1512" s="1448"/>
      <c r="E1512" s="30"/>
      <c r="F1512" s="31" t="s">
        <v>94</v>
      </c>
      <c r="G1512" s="1448"/>
      <c r="H1512" s="30">
        <v>30207511</v>
      </c>
      <c r="I1512" s="35"/>
      <c r="J1512" s="30">
        <v>6</v>
      </c>
      <c r="K1512" s="30">
        <v>1</v>
      </c>
      <c r="L1512" s="30"/>
      <c r="M1512" s="1454"/>
      <c r="N1512" s="1461"/>
    </row>
    <row r="1513" spans="2:14" ht="16.5" customHeight="1">
      <c r="B1513" s="1448"/>
      <c r="C1513" s="1448"/>
      <c r="D1513" s="1448"/>
      <c r="E1513" s="30"/>
      <c r="F1513" s="31" t="s">
        <v>97</v>
      </c>
      <c r="G1513" s="1448"/>
      <c r="H1513" s="30">
        <v>30207510</v>
      </c>
      <c r="I1513" s="35"/>
      <c r="J1513" s="30">
        <v>6</v>
      </c>
      <c r="K1513" s="30">
        <v>1</v>
      </c>
      <c r="L1513" s="30"/>
      <c r="M1513" s="1454"/>
      <c r="N1513" s="1461"/>
    </row>
    <row r="1514" spans="2:14" ht="16.5" customHeight="1">
      <c r="B1514" s="1448"/>
      <c r="C1514" s="1448"/>
      <c r="D1514" s="1448"/>
      <c r="E1514" s="30"/>
      <c r="F1514" s="31" t="s">
        <v>98</v>
      </c>
      <c r="G1514" s="1448"/>
      <c r="H1514" s="30">
        <v>30207509</v>
      </c>
      <c r="I1514" s="35"/>
      <c r="J1514" s="30">
        <v>6</v>
      </c>
      <c r="K1514" s="30">
        <v>1</v>
      </c>
      <c r="L1514" s="30"/>
      <c r="M1514" s="1454"/>
      <c r="N1514" s="1461"/>
    </row>
    <row r="1515" spans="2:14" ht="16.5" customHeight="1">
      <c r="B1515" s="1448"/>
      <c r="C1515" s="1448">
        <v>6</v>
      </c>
      <c r="D1515" s="1448" t="s">
        <v>106</v>
      </c>
      <c r="E1515" s="30"/>
      <c r="F1515" s="31" t="s">
        <v>107</v>
      </c>
      <c r="G1515" s="1454" t="s">
        <v>108</v>
      </c>
      <c r="H1515" s="30">
        <v>30212010</v>
      </c>
      <c r="I1515" s="35"/>
      <c r="J1515" s="30">
        <v>6</v>
      </c>
      <c r="K1515" s="30">
        <v>1</v>
      </c>
      <c r="L1515" s="30"/>
      <c r="M1515" s="1454" t="s">
        <v>108</v>
      </c>
      <c r="N1515" s="1461">
        <v>20250122163</v>
      </c>
    </row>
    <row r="1516" spans="2:14" ht="16.5" customHeight="1">
      <c r="B1516" s="1448"/>
      <c r="C1516" s="1448"/>
      <c r="D1516" s="1448"/>
      <c r="E1516" s="30"/>
      <c r="F1516" s="31" t="s">
        <v>109</v>
      </c>
      <c r="G1516" s="1454"/>
      <c r="H1516" s="30">
        <v>30212011</v>
      </c>
      <c r="I1516" s="35"/>
      <c r="J1516" s="30">
        <v>6</v>
      </c>
      <c r="K1516" s="30">
        <v>1</v>
      </c>
      <c r="L1516" s="30"/>
      <c r="M1516" s="1454"/>
      <c r="N1516" s="1461"/>
    </row>
    <row r="1517" spans="2:14" ht="16.5" customHeight="1">
      <c r="B1517" s="1448"/>
      <c r="C1517" s="1448"/>
      <c r="D1517" s="1448"/>
      <c r="E1517" s="30"/>
      <c r="F1517" s="31" t="s">
        <v>110</v>
      </c>
      <c r="G1517" s="1454"/>
      <c r="H1517" s="30">
        <v>30207631</v>
      </c>
      <c r="I1517" s="35"/>
      <c r="J1517" s="30">
        <v>6</v>
      </c>
      <c r="K1517" s="30">
        <v>1</v>
      </c>
      <c r="L1517" s="30"/>
      <c r="M1517" s="1454"/>
      <c r="N1517" s="1461"/>
    </row>
    <row r="1518" spans="2:14" ht="16.5" customHeight="1">
      <c r="B1518" s="1448"/>
      <c r="C1518" s="1448"/>
      <c r="D1518" s="1448"/>
      <c r="E1518" s="30"/>
      <c r="F1518" s="31" t="s">
        <v>111</v>
      </c>
      <c r="G1518" s="1454"/>
      <c r="H1518" s="30">
        <v>30212014</v>
      </c>
      <c r="I1518" s="35"/>
      <c r="J1518" s="30">
        <v>6</v>
      </c>
      <c r="K1518" s="30">
        <v>1</v>
      </c>
      <c r="L1518" s="30"/>
      <c r="M1518" s="1454"/>
      <c r="N1518" s="1461"/>
    </row>
    <row r="1519" spans="2:14" ht="16.5" customHeight="1">
      <c r="B1519" s="1448"/>
      <c r="C1519" s="1448"/>
      <c r="D1519" s="1448"/>
      <c r="E1519" s="30"/>
      <c r="F1519" s="31" t="s">
        <v>1047</v>
      </c>
      <c r="G1519" s="1454"/>
      <c r="H1519" s="30">
        <v>30215952</v>
      </c>
      <c r="I1519" s="35"/>
      <c r="J1519" s="30">
        <v>6</v>
      </c>
      <c r="K1519" s="30">
        <v>1</v>
      </c>
      <c r="L1519" s="30"/>
      <c r="M1519" s="1454"/>
      <c r="N1519" s="1461"/>
    </row>
    <row r="1520" spans="2:14" ht="16.5" customHeight="1">
      <c r="B1520" s="1448"/>
      <c r="C1520" s="1448"/>
      <c r="D1520" s="1448"/>
      <c r="E1520" s="30"/>
      <c r="F1520" s="31" t="s">
        <v>112</v>
      </c>
      <c r="G1520" s="1454"/>
      <c r="H1520" s="30">
        <v>30212007</v>
      </c>
      <c r="I1520" s="35"/>
      <c r="J1520" s="30">
        <v>6</v>
      </c>
      <c r="K1520" s="30">
        <v>1</v>
      </c>
      <c r="L1520" s="30"/>
      <c r="M1520" s="1454"/>
      <c r="N1520" s="1461"/>
    </row>
    <row r="1521" spans="2:15" ht="16.5" customHeight="1">
      <c r="B1521" s="1448"/>
      <c r="C1521" s="1448"/>
      <c r="D1521" s="1448"/>
      <c r="E1521" s="30"/>
      <c r="F1521" s="31" t="s">
        <v>113</v>
      </c>
      <c r="G1521" s="1454"/>
      <c r="H1521" s="30">
        <v>30212006</v>
      </c>
      <c r="I1521" s="35"/>
      <c r="J1521" s="30">
        <v>6</v>
      </c>
      <c r="K1521" s="30">
        <v>1</v>
      </c>
      <c r="L1521" s="30"/>
      <c r="M1521" s="1454"/>
      <c r="N1521" s="1461"/>
    </row>
    <row r="1522" spans="2:15" ht="16.5" customHeight="1">
      <c r="B1522" s="1448"/>
      <c r="C1522" s="1448"/>
      <c r="D1522" s="1448"/>
      <c r="E1522" s="30"/>
      <c r="F1522" s="31" t="s">
        <v>114</v>
      </c>
      <c r="G1522" s="1454"/>
      <c r="H1522" s="30">
        <v>30212012</v>
      </c>
      <c r="I1522" s="35"/>
      <c r="J1522" s="30">
        <v>6</v>
      </c>
      <c r="K1522" s="30">
        <v>1</v>
      </c>
      <c r="L1522" s="30"/>
      <c r="M1522" s="1454"/>
      <c r="N1522" s="1461"/>
    </row>
    <row r="1523" spans="2:15" ht="16.5" customHeight="1">
      <c r="B1523" s="1448"/>
      <c r="C1523" s="1448"/>
      <c r="D1523" s="1448"/>
      <c r="E1523" s="30"/>
      <c r="F1523" s="31" t="s">
        <v>115</v>
      </c>
      <c r="G1523" s="1454"/>
      <c r="H1523" s="30">
        <v>30212013</v>
      </c>
      <c r="I1523" s="35"/>
      <c r="J1523" s="30">
        <v>6</v>
      </c>
      <c r="K1523" s="30">
        <v>1</v>
      </c>
      <c r="L1523" s="30"/>
      <c r="M1523" s="1454"/>
      <c r="N1523" s="1461"/>
    </row>
    <row r="1524" spans="2:15" ht="16.5" customHeight="1">
      <c r="B1524" s="1448"/>
      <c r="C1524" s="1448"/>
      <c r="D1524" s="1448"/>
      <c r="E1524" s="30"/>
      <c r="F1524" s="31" t="s">
        <v>116</v>
      </c>
      <c r="G1524" s="1454"/>
      <c r="H1524" s="30">
        <v>30212008</v>
      </c>
      <c r="I1524" s="35"/>
      <c r="J1524" s="30">
        <v>6</v>
      </c>
      <c r="K1524" s="30">
        <v>1</v>
      </c>
      <c r="L1524" s="30"/>
      <c r="M1524" s="1454"/>
      <c r="N1524" s="1461"/>
    </row>
    <row r="1525" spans="2:15" ht="16.5" customHeight="1">
      <c r="B1525" s="1448"/>
      <c r="C1525" s="1448"/>
      <c r="D1525" s="1448"/>
      <c r="E1525" s="30"/>
      <c r="F1525" s="31" t="s">
        <v>117</v>
      </c>
      <c r="G1525" s="1454"/>
      <c r="H1525" s="30">
        <v>30212009</v>
      </c>
      <c r="I1525" s="35"/>
      <c r="J1525" s="30">
        <v>6</v>
      </c>
      <c r="K1525" s="30">
        <v>1</v>
      </c>
      <c r="L1525" s="30"/>
      <c r="M1525" s="1454"/>
      <c r="N1525" s="1461"/>
    </row>
    <row r="1526" spans="2:15" ht="16.5" customHeight="1">
      <c r="B1526" s="1448"/>
      <c r="C1526" s="1448"/>
      <c r="D1526" s="1448"/>
      <c r="E1526" s="30"/>
      <c r="F1526" s="31" t="s">
        <v>1048</v>
      </c>
      <c r="G1526" s="1454"/>
      <c r="H1526" s="30">
        <v>30215953</v>
      </c>
      <c r="I1526" s="35"/>
      <c r="J1526" s="30">
        <v>6</v>
      </c>
      <c r="K1526" s="30">
        <v>1</v>
      </c>
      <c r="L1526" s="30"/>
      <c r="M1526" s="1454"/>
      <c r="N1526" s="1461"/>
    </row>
    <row r="1527" spans="2:15" ht="16.5" customHeight="1">
      <c r="B1527" s="1448"/>
      <c r="C1527" s="1448"/>
      <c r="D1527" s="1448"/>
      <c r="E1527" s="30"/>
      <c r="F1527" s="31" t="s">
        <v>1049</v>
      </c>
      <c r="G1527" s="1454"/>
      <c r="H1527" s="30">
        <v>30215949</v>
      </c>
      <c r="I1527" s="35"/>
      <c r="J1527" s="30">
        <v>6</v>
      </c>
      <c r="K1527" s="30">
        <v>1</v>
      </c>
      <c r="L1527" s="30"/>
      <c r="M1527" s="1454"/>
      <c r="N1527" s="1461"/>
    </row>
    <row r="1528" spans="2:15" ht="16.5" customHeight="1">
      <c r="B1528" s="1448"/>
      <c r="C1528" s="1448"/>
      <c r="D1528" s="1448"/>
      <c r="E1528" s="30"/>
      <c r="F1528" s="31" t="s">
        <v>1050</v>
      </c>
      <c r="G1528" s="1454"/>
      <c r="H1528" s="30">
        <v>30215950</v>
      </c>
      <c r="I1528" s="35"/>
      <c r="J1528" s="30">
        <v>6</v>
      </c>
      <c r="K1528" s="30">
        <v>1</v>
      </c>
      <c r="L1528" s="30"/>
      <c r="M1528" s="1454"/>
      <c r="N1528" s="1461"/>
    </row>
    <row r="1529" spans="2:15" ht="16.5" customHeight="1">
      <c r="B1529" s="1448"/>
      <c r="C1529" s="1448"/>
      <c r="D1529" s="1448"/>
      <c r="E1529" s="30"/>
      <c r="F1529" s="31" t="s">
        <v>1051</v>
      </c>
      <c r="G1529" s="1454"/>
      <c r="H1529" s="30">
        <v>30215951</v>
      </c>
      <c r="I1529" s="35"/>
      <c r="J1529" s="30">
        <v>6</v>
      </c>
      <c r="K1529" s="30">
        <v>1</v>
      </c>
      <c r="L1529" s="30"/>
      <c r="M1529" s="1454"/>
      <c r="N1529" s="1461"/>
    </row>
    <row r="1530" spans="2:15" ht="16.5" customHeight="1">
      <c r="B1530" s="1448"/>
      <c r="C1530" s="1448">
        <v>7</v>
      </c>
      <c r="D1530" s="1448" t="s">
        <v>118</v>
      </c>
      <c r="E1530" s="30"/>
      <c r="F1530" s="31" t="s">
        <v>119</v>
      </c>
      <c r="G1530" s="1454" t="s">
        <v>120</v>
      </c>
      <c r="H1530" s="30">
        <v>30211488</v>
      </c>
      <c r="I1530" s="35">
        <v>17900</v>
      </c>
      <c r="J1530" s="30">
        <v>6</v>
      </c>
      <c r="K1530" s="30">
        <v>1</v>
      </c>
      <c r="L1530" s="30"/>
      <c r="M1530" s="1454" t="s">
        <v>120</v>
      </c>
      <c r="N1530" s="1461">
        <v>20250122105</v>
      </c>
    </row>
    <row r="1531" spans="2:15" ht="16.5" customHeight="1">
      <c r="B1531" s="1448"/>
      <c r="C1531" s="1448"/>
      <c r="D1531" s="1448"/>
      <c r="E1531" s="30"/>
      <c r="F1531" s="31" t="s">
        <v>121</v>
      </c>
      <c r="G1531" s="1454"/>
      <c r="H1531" s="30">
        <v>30211489</v>
      </c>
      <c r="I1531" s="35">
        <v>17900</v>
      </c>
      <c r="J1531" s="30">
        <v>6</v>
      </c>
      <c r="K1531" s="30">
        <v>1</v>
      </c>
      <c r="L1531" s="30"/>
      <c r="M1531" s="1454"/>
      <c r="N1531" s="1461"/>
    </row>
    <row r="1532" spans="2:15" ht="16.5" customHeight="1">
      <c r="B1532" s="1448"/>
      <c r="C1532" s="1448"/>
      <c r="D1532" s="1448"/>
      <c r="E1532" s="30"/>
      <c r="F1532" s="31" t="s">
        <v>122</v>
      </c>
      <c r="G1532" s="1454"/>
      <c r="H1532" s="30">
        <v>30211490</v>
      </c>
      <c r="I1532" s="35">
        <v>20900</v>
      </c>
      <c r="J1532" s="30">
        <v>6</v>
      </c>
      <c r="K1532" s="30">
        <v>1</v>
      </c>
      <c r="L1532" s="30"/>
      <c r="M1532" s="1454"/>
      <c r="N1532" s="1461"/>
    </row>
    <row r="1533" spans="2:15" ht="16.5" customHeight="1">
      <c r="B1533" s="1448"/>
      <c r="C1533" s="1448">
        <v>8</v>
      </c>
      <c r="D1533" s="1448" t="s">
        <v>123</v>
      </c>
      <c r="E1533" s="30"/>
      <c r="F1533" s="31" t="s">
        <v>124</v>
      </c>
      <c r="G1533" s="1454" t="s">
        <v>125</v>
      </c>
      <c r="H1533" s="30">
        <v>30211492</v>
      </c>
      <c r="I1533" s="35">
        <v>39900</v>
      </c>
      <c r="J1533" s="30">
        <v>6</v>
      </c>
      <c r="K1533" s="30">
        <v>1</v>
      </c>
      <c r="L1533" s="30"/>
      <c r="M1533" s="1454" t="s">
        <v>125</v>
      </c>
      <c r="N1533" s="1461">
        <v>20250122106</v>
      </c>
    </row>
    <row r="1534" spans="2:15" ht="16.5" customHeight="1">
      <c r="B1534" s="1448"/>
      <c r="C1534" s="1448"/>
      <c r="D1534" s="1448"/>
      <c r="E1534" s="30"/>
      <c r="F1534" s="31" t="s">
        <v>126</v>
      </c>
      <c r="G1534" s="1454"/>
      <c r="H1534" s="30">
        <v>30211493</v>
      </c>
      <c r="I1534" s="35">
        <v>39900</v>
      </c>
      <c r="J1534" s="30">
        <v>6</v>
      </c>
      <c r="K1534" s="30">
        <v>1</v>
      </c>
      <c r="L1534" s="30"/>
      <c r="M1534" s="1454"/>
      <c r="N1534" s="1461"/>
    </row>
    <row r="1535" spans="2:15" ht="16.5" customHeight="1">
      <c r="B1535" s="1448"/>
      <c r="C1535" s="1448">
        <v>9</v>
      </c>
      <c r="D1535" s="1448" t="s">
        <v>127</v>
      </c>
      <c r="E1535" s="30"/>
      <c r="F1535" s="31" t="s">
        <v>135</v>
      </c>
      <c r="G1535" s="1454" t="s">
        <v>129</v>
      </c>
      <c r="H1535" s="30">
        <v>30211502</v>
      </c>
      <c r="I1535" s="35">
        <v>8900</v>
      </c>
      <c r="J1535" s="30">
        <v>6</v>
      </c>
      <c r="K1535" s="30">
        <v>1</v>
      </c>
      <c r="L1535" s="30"/>
      <c r="M1535" s="1454" t="s">
        <v>129</v>
      </c>
      <c r="N1535" s="1461">
        <v>20250122107</v>
      </c>
      <c r="O1535" s="4" t="s">
        <v>1174</v>
      </c>
    </row>
    <row r="1536" spans="2:15" ht="16.5" customHeight="1">
      <c r="B1536" s="1448"/>
      <c r="C1536" s="1448"/>
      <c r="D1536" s="1448"/>
      <c r="E1536" s="30"/>
      <c r="F1536" s="31" t="s">
        <v>136</v>
      </c>
      <c r="G1536" s="1454"/>
      <c r="H1536" s="30">
        <v>30211503</v>
      </c>
      <c r="I1536" s="35">
        <v>12900</v>
      </c>
      <c r="J1536" s="30">
        <v>6</v>
      </c>
      <c r="K1536" s="30">
        <v>1</v>
      </c>
      <c r="L1536" s="30"/>
      <c r="M1536" s="1454"/>
      <c r="N1536" s="1461"/>
    </row>
    <row r="1537" spans="2:14" ht="16.5" customHeight="1">
      <c r="B1537" s="1448"/>
      <c r="C1537" s="1448"/>
      <c r="D1537" s="1448"/>
      <c r="E1537" s="30"/>
      <c r="F1537" s="31" t="s">
        <v>132</v>
      </c>
      <c r="G1537" s="1454"/>
      <c r="H1537" s="30">
        <v>30211498</v>
      </c>
      <c r="I1537" s="35">
        <v>16900</v>
      </c>
      <c r="J1537" s="30">
        <v>6</v>
      </c>
      <c r="K1537" s="30">
        <v>1</v>
      </c>
      <c r="L1537" s="30"/>
      <c r="M1537" s="1454"/>
      <c r="N1537" s="1461"/>
    </row>
    <row r="1538" spans="2:14" ht="16.5" customHeight="1">
      <c r="B1538" s="1448"/>
      <c r="C1538" s="1448"/>
      <c r="D1538" s="1448"/>
      <c r="E1538" s="30"/>
      <c r="F1538" s="31" t="s">
        <v>133</v>
      </c>
      <c r="G1538" s="1454"/>
      <c r="H1538" s="30">
        <v>30211499</v>
      </c>
      <c r="I1538" s="35">
        <v>21900</v>
      </c>
      <c r="J1538" s="30">
        <v>6</v>
      </c>
      <c r="K1538" s="30">
        <v>1</v>
      </c>
      <c r="L1538" s="30"/>
      <c r="M1538" s="1454"/>
      <c r="N1538" s="1461"/>
    </row>
    <row r="1539" spans="2:14" ht="16.5" customHeight="1">
      <c r="B1539" s="1448"/>
      <c r="C1539" s="1448"/>
      <c r="D1539" s="1448"/>
      <c r="E1539" s="30"/>
      <c r="F1539" s="31" t="s">
        <v>131</v>
      </c>
      <c r="G1539" s="1454"/>
      <c r="H1539" s="30">
        <v>30211497</v>
      </c>
      <c r="I1539" s="35">
        <v>21500</v>
      </c>
      <c r="J1539" s="30">
        <v>6</v>
      </c>
      <c r="K1539" s="30">
        <v>1</v>
      </c>
      <c r="L1539" s="30"/>
      <c r="M1539" s="1454"/>
      <c r="N1539" s="1461"/>
    </row>
    <row r="1540" spans="2:14" ht="16.5" customHeight="1">
      <c r="B1540" s="1448"/>
      <c r="C1540" s="1448"/>
      <c r="D1540" s="1448"/>
      <c r="E1540" s="30"/>
      <c r="F1540" s="31" t="s">
        <v>134</v>
      </c>
      <c r="G1540" s="1454"/>
      <c r="H1540" s="30">
        <v>30211501</v>
      </c>
      <c r="I1540" s="35">
        <v>23900</v>
      </c>
      <c r="J1540" s="30">
        <v>6</v>
      </c>
      <c r="K1540" s="30">
        <v>1</v>
      </c>
      <c r="L1540" s="30"/>
      <c r="M1540" s="1454"/>
      <c r="N1540" s="1461"/>
    </row>
    <row r="1541" spans="2:14" ht="16.5" customHeight="1">
      <c r="B1541" s="1448"/>
      <c r="C1541" s="1448"/>
      <c r="D1541" s="1448"/>
      <c r="E1541" s="30"/>
      <c r="F1541" s="31" t="s">
        <v>130</v>
      </c>
      <c r="G1541" s="1454"/>
      <c r="H1541" s="30">
        <v>30211495</v>
      </c>
      <c r="I1541" s="35">
        <v>23900</v>
      </c>
      <c r="J1541" s="30">
        <v>6</v>
      </c>
      <c r="K1541" s="30">
        <v>1</v>
      </c>
      <c r="L1541" s="30"/>
      <c r="M1541" s="1454"/>
      <c r="N1541" s="1461"/>
    </row>
    <row r="1542" spans="2:14" ht="16.5" customHeight="1">
      <c r="B1542" s="1448"/>
      <c r="C1542" s="1448"/>
      <c r="D1542" s="1448"/>
      <c r="E1542" s="30"/>
      <c r="F1542" s="31" t="s">
        <v>128</v>
      </c>
      <c r="G1542" s="1454"/>
      <c r="H1542" s="30">
        <v>30211626</v>
      </c>
      <c r="I1542" s="35">
        <v>16500</v>
      </c>
      <c r="J1542" s="30">
        <v>6</v>
      </c>
      <c r="K1542" s="30">
        <v>1</v>
      </c>
      <c r="L1542" s="30"/>
      <c r="M1542" s="1454"/>
      <c r="N1542" s="1461"/>
    </row>
    <row r="1543" spans="2:14" ht="16.5" customHeight="1">
      <c r="B1543" s="1592" t="s">
        <v>910</v>
      </c>
      <c r="C1543" s="1458">
        <v>1</v>
      </c>
      <c r="D1543" s="1458" t="s">
        <v>930</v>
      </c>
      <c r="E1543" s="30">
        <v>30191365</v>
      </c>
      <c r="F1543" s="31" t="s">
        <v>1826</v>
      </c>
      <c r="G1543" s="1448" t="s">
        <v>1827</v>
      </c>
      <c r="H1543" s="30">
        <v>30204431</v>
      </c>
      <c r="I1543" s="35">
        <v>20500</v>
      </c>
      <c r="J1543" s="64">
        <v>0.1</v>
      </c>
      <c r="K1543" s="30">
        <v>5</v>
      </c>
      <c r="L1543" s="35">
        <v>102500</v>
      </c>
      <c r="M1543" s="1454" t="s">
        <v>1828</v>
      </c>
      <c r="N1543" s="1461">
        <v>20250122108</v>
      </c>
    </row>
    <row r="1544" spans="2:14" ht="16.5" customHeight="1">
      <c r="B1544" s="1592"/>
      <c r="C1544" s="1458"/>
      <c r="D1544" s="1458"/>
      <c r="E1544" s="30">
        <v>30196905</v>
      </c>
      <c r="F1544" s="31" t="s">
        <v>1829</v>
      </c>
      <c r="G1544" s="1448"/>
      <c r="H1544" s="30">
        <v>30201314</v>
      </c>
      <c r="I1544" s="35">
        <v>25900</v>
      </c>
      <c r="J1544" s="64">
        <v>0.1</v>
      </c>
      <c r="K1544" s="30">
        <v>5</v>
      </c>
      <c r="L1544" s="35">
        <v>129500</v>
      </c>
      <c r="M1544" s="1454"/>
      <c r="N1544" s="1461"/>
    </row>
    <row r="1545" spans="2:14" ht="16.5" customHeight="1">
      <c r="B1545" s="1592"/>
      <c r="C1545" s="1458"/>
      <c r="D1545" s="1458"/>
      <c r="E1545" s="30">
        <v>30202570</v>
      </c>
      <c r="F1545" s="31" t="s">
        <v>1830</v>
      </c>
      <c r="G1545" s="1448"/>
      <c r="H1545" s="30">
        <v>30217403</v>
      </c>
      <c r="I1545" s="35">
        <v>29900</v>
      </c>
      <c r="J1545" s="64">
        <v>0.1</v>
      </c>
      <c r="K1545" s="30">
        <v>5</v>
      </c>
      <c r="L1545" s="35">
        <v>149500</v>
      </c>
      <c r="M1545" s="1454"/>
      <c r="N1545" s="1461"/>
    </row>
    <row r="1546" spans="2:14" ht="16.5" customHeight="1">
      <c r="B1546" s="1592"/>
      <c r="C1546" s="1593">
        <v>2</v>
      </c>
      <c r="D1546" s="1596" t="s">
        <v>935</v>
      </c>
      <c r="E1546" s="30">
        <v>30215994</v>
      </c>
      <c r="F1546" s="31" t="s">
        <v>1831</v>
      </c>
      <c r="G1546" s="1454" t="s">
        <v>1832</v>
      </c>
      <c r="H1546" s="30">
        <v>30217406</v>
      </c>
      <c r="I1546" s="35">
        <v>8400</v>
      </c>
      <c r="J1546" s="64">
        <v>0.1</v>
      </c>
      <c r="K1546" s="30">
        <v>10</v>
      </c>
      <c r="L1546" s="35">
        <v>84000</v>
      </c>
      <c r="M1546" s="1454" t="s">
        <v>1833</v>
      </c>
      <c r="N1546" s="1461">
        <v>20250122109</v>
      </c>
    </row>
    <row r="1547" spans="2:14" ht="16.5" customHeight="1">
      <c r="B1547" s="1592"/>
      <c r="C1547" s="1593"/>
      <c r="D1547" s="1596"/>
      <c r="E1547" s="30">
        <v>30215995</v>
      </c>
      <c r="F1547" s="31" t="s">
        <v>1834</v>
      </c>
      <c r="G1547" s="1448"/>
      <c r="H1547" s="30">
        <v>30217410</v>
      </c>
      <c r="I1547" s="35">
        <v>8400</v>
      </c>
      <c r="J1547" s="64">
        <v>0.1</v>
      </c>
      <c r="K1547" s="30">
        <v>10</v>
      </c>
      <c r="L1547" s="35">
        <v>84000</v>
      </c>
      <c r="M1547" s="1454"/>
      <c r="N1547" s="1461"/>
    </row>
    <row r="1548" spans="2:14" ht="16.5" customHeight="1">
      <c r="B1548" s="1592"/>
      <c r="C1548" s="1593"/>
      <c r="D1548" s="1596"/>
      <c r="E1548" s="30">
        <v>30215997</v>
      </c>
      <c r="F1548" s="31" t="s">
        <v>1835</v>
      </c>
      <c r="G1548" s="1448"/>
      <c r="H1548" s="30">
        <v>30217414</v>
      </c>
      <c r="I1548" s="35">
        <v>8400</v>
      </c>
      <c r="J1548" s="64">
        <v>0.1</v>
      </c>
      <c r="K1548" s="30">
        <v>10</v>
      </c>
      <c r="L1548" s="35">
        <v>84000</v>
      </c>
      <c r="M1548" s="1454"/>
      <c r="N1548" s="1461"/>
    </row>
    <row r="1549" spans="2:14" ht="16.5" customHeight="1">
      <c r="B1549" s="1592"/>
      <c r="C1549" s="1593"/>
      <c r="D1549" s="1596"/>
      <c r="E1549" s="30">
        <v>30215998</v>
      </c>
      <c r="F1549" s="31" t="s">
        <v>1836</v>
      </c>
      <c r="G1549" s="1448"/>
      <c r="H1549" s="30">
        <v>30217415</v>
      </c>
      <c r="I1549" s="35">
        <v>8400</v>
      </c>
      <c r="J1549" s="64">
        <v>0.1</v>
      </c>
      <c r="K1549" s="30">
        <v>10</v>
      </c>
      <c r="L1549" s="35">
        <v>84000</v>
      </c>
      <c r="M1549" s="1454"/>
      <c r="N1549" s="1461"/>
    </row>
    <row r="1550" spans="2:14" ht="16.5" customHeight="1">
      <c r="B1550" s="1592"/>
      <c r="C1550" s="1593"/>
      <c r="D1550" s="1596"/>
      <c r="E1550" s="30">
        <v>30215999</v>
      </c>
      <c r="F1550" s="31" t="s">
        <v>1837</v>
      </c>
      <c r="G1550" s="1448"/>
      <c r="H1550" s="30">
        <v>30217418</v>
      </c>
      <c r="I1550" s="35">
        <v>8400</v>
      </c>
      <c r="J1550" s="64">
        <v>0.1</v>
      </c>
      <c r="K1550" s="30">
        <v>10</v>
      </c>
      <c r="L1550" s="35">
        <v>84000</v>
      </c>
      <c r="M1550" s="1454"/>
      <c r="N1550" s="1461"/>
    </row>
    <row r="1551" spans="2:14" ht="16.5" customHeight="1">
      <c r="B1551" s="1592"/>
      <c r="C1551" s="1593">
        <v>3</v>
      </c>
      <c r="D1551" s="1596" t="s">
        <v>1838</v>
      </c>
      <c r="E1551" s="30">
        <v>30178488</v>
      </c>
      <c r="F1551" s="31" t="s">
        <v>1839</v>
      </c>
      <c r="G1551" s="1454" t="s">
        <v>1840</v>
      </c>
      <c r="H1551" s="30">
        <v>30217462</v>
      </c>
      <c r="I1551" s="35">
        <v>13900</v>
      </c>
      <c r="J1551" s="64">
        <v>0.12</v>
      </c>
      <c r="K1551" s="30">
        <v>10</v>
      </c>
      <c r="L1551" s="35">
        <v>139000</v>
      </c>
      <c r="M1551" s="1454" t="s">
        <v>1841</v>
      </c>
      <c r="N1551" s="1461">
        <v>20250122110</v>
      </c>
    </row>
    <row r="1552" spans="2:14" ht="16.5" customHeight="1">
      <c r="B1552" s="1592"/>
      <c r="C1552" s="1593"/>
      <c r="D1552" s="1596"/>
      <c r="E1552" s="30">
        <v>75750453</v>
      </c>
      <c r="F1552" s="31" t="s">
        <v>1842</v>
      </c>
      <c r="G1552" s="1454"/>
      <c r="H1552" s="30">
        <v>30217464</v>
      </c>
      <c r="I1552" s="35">
        <v>17900</v>
      </c>
      <c r="J1552" s="64">
        <v>0.12</v>
      </c>
      <c r="K1552" s="30">
        <v>5</v>
      </c>
      <c r="L1552" s="35">
        <v>89500</v>
      </c>
      <c r="M1552" s="1454"/>
      <c r="N1552" s="1461"/>
    </row>
    <row r="1553" spans="2:14" ht="16.5" customHeight="1">
      <c r="B1553" s="1592"/>
      <c r="C1553" s="1593"/>
      <c r="D1553" s="1596"/>
      <c r="E1553" s="30">
        <v>30178429</v>
      </c>
      <c r="F1553" s="31" t="s">
        <v>1843</v>
      </c>
      <c r="G1553" s="1454"/>
      <c r="H1553" s="30">
        <v>30217519</v>
      </c>
      <c r="I1553" s="35">
        <v>19900</v>
      </c>
      <c r="J1553" s="64">
        <v>0.12</v>
      </c>
      <c r="K1553" s="30">
        <v>5</v>
      </c>
      <c r="L1553" s="35">
        <v>99500</v>
      </c>
      <c r="M1553" s="1454"/>
      <c r="N1553" s="1461"/>
    </row>
    <row r="1554" spans="2:14" ht="16.5" customHeight="1">
      <c r="B1554" s="383" t="s">
        <v>252</v>
      </c>
      <c r="C1554" s="1593">
        <v>4</v>
      </c>
      <c r="D1554" s="1596" t="s">
        <v>915</v>
      </c>
      <c r="E1554" s="30">
        <v>30215834</v>
      </c>
      <c r="F1554" s="31" t="s">
        <v>1844</v>
      </c>
      <c r="G1554" s="1454" t="s">
        <v>1845</v>
      </c>
      <c r="H1554" s="30">
        <v>30217474</v>
      </c>
      <c r="I1554" s="35">
        <v>8900</v>
      </c>
      <c r="J1554" s="64">
        <v>0.1</v>
      </c>
      <c r="K1554" s="30">
        <v>10</v>
      </c>
      <c r="L1554" s="35">
        <v>89000</v>
      </c>
      <c r="M1554" s="1454" t="s">
        <v>1846</v>
      </c>
      <c r="N1554" s="1461">
        <v>20250122111</v>
      </c>
    </row>
    <row r="1555" spans="2:14" ht="16.5" customHeight="1">
      <c r="B1555" s="383" t="s">
        <v>252</v>
      </c>
      <c r="C1555" s="1593"/>
      <c r="D1555" s="1596"/>
      <c r="E1555" s="30">
        <v>10169671</v>
      </c>
      <c r="F1555" s="31" t="s">
        <v>1847</v>
      </c>
      <c r="G1555" s="1448"/>
      <c r="H1555" s="30">
        <v>30209871</v>
      </c>
      <c r="I1555" s="35">
        <v>12900</v>
      </c>
      <c r="J1555" s="64">
        <v>0.1</v>
      </c>
      <c r="K1555" s="30">
        <v>10</v>
      </c>
      <c r="L1555" s="35">
        <v>129000</v>
      </c>
      <c r="M1555" s="1454"/>
      <c r="N1555" s="1461"/>
    </row>
    <row r="1556" spans="2:14" ht="16.5" customHeight="1">
      <c r="B1556" s="383" t="s">
        <v>252</v>
      </c>
      <c r="C1556" s="1593"/>
      <c r="D1556" s="1596"/>
      <c r="E1556" s="30">
        <v>10169673</v>
      </c>
      <c r="F1556" s="31" t="s">
        <v>1848</v>
      </c>
      <c r="G1556" s="1448"/>
      <c r="H1556" s="30">
        <v>30209874</v>
      </c>
      <c r="I1556" s="35">
        <v>16900</v>
      </c>
      <c r="J1556" s="64">
        <v>0.1</v>
      </c>
      <c r="K1556" s="30">
        <v>5</v>
      </c>
      <c r="L1556" s="35">
        <v>84500</v>
      </c>
      <c r="M1556" s="1454"/>
      <c r="N1556" s="1461"/>
    </row>
    <row r="1557" spans="2:14" ht="16.5" customHeight="1">
      <c r="B1557" s="1592" t="s">
        <v>942</v>
      </c>
      <c r="C1557" s="1593">
        <v>1</v>
      </c>
      <c r="D1557" s="1596" t="s">
        <v>947</v>
      </c>
      <c r="E1557" s="30">
        <v>30212175</v>
      </c>
      <c r="F1557" s="31" t="s">
        <v>1849</v>
      </c>
      <c r="G1557" s="1454" t="s">
        <v>1850</v>
      </c>
      <c r="H1557" s="30">
        <v>30217475</v>
      </c>
      <c r="I1557" s="35">
        <v>9500</v>
      </c>
      <c r="J1557" s="64">
        <v>0.1</v>
      </c>
      <c r="K1557" s="30">
        <v>10</v>
      </c>
      <c r="L1557" s="35">
        <v>95000</v>
      </c>
      <c r="M1557" s="1454" t="s">
        <v>1851</v>
      </c>
      <c r="N1557" s="1461">
        <v>20250122112</v>
      </c>
    </row>
    <row r="1558" spans="2:14" ht="16.5" customHeight="1">
      <c r="B1558" s="1592"/>
      <c r="C1558" s="1593"/>
      <c r="D1558" s="1596"/>
      <c r="E1558" s="30">
        <v>30139114</v>
      </c>
      <c r="F1558" s="31" t="s">
        <v>1852</v>
      </c>
      <c r="G1558" s="1448"/>
      <c r="H1558" s="30">
        <v>30217476</v>
      </c>
      <c r="I1558" s="35">
        <v>9900</v>
      </c>
      <c r="J1558" s="64">
        <v>0.1</v>
      </c>
      <c r="K1558" s="30">
        <v>10</v>
      </c>
      <c r="L1558" s="35">
        <v>99000</v>
      </c>
      <c r="M1558" s="1454"/>
      <c r="N1558" s="1461"/>
    </row>
    <row r="1559" spans="2:14" ht="16.5" customHeight="1">
      <c r="B1559" s="1592"/>
      <c r="C1559" s="1593"/>
      <c r="D1559" s="1596"/>
      <c r="E1559" s="30">
        <v>30139168</v>
      </c>
      <c r="F1559" s="31" t="s">
        <v>1853</v>
      </c>
      <c r="G1559" s="1448"/>
      <c r="H1559" s="30">
        <v>30217477</v>
      </c>
      <c r="I1559" s="35">
        <v>9900</v>
      </c>
      <c r="J1559" s="64">
        <v>0.1</v>
      </c>
      <c r="K1559" s="30">
        <v>10</v>
      </c>
      <c r="L1559" s="35">
        <v>99000</v>
      </c>
      <c r="M1559" s="1454"/>
      <c r="N1559" s="1461"/>
    </row>
    <row r="1560" spans="2:14" ht="16.5" customHeight="1">
      <c r="B1560" s="383" t="s">
        <v>252</v>
      </c>
      <c r="C1560" s="1593">
        <v>2</v>
      </c>
      <c r="D1560" s="1596" t="s">
        <v>404</v>
      </c>
      <c r="E1560" s="30">
        <v>58305152</v>
      </c>
      <c r="F1560" s="31" t="s">
        <v>1854</v>
      </c>
      <c r="G1560" s="1454" t="s">
        <v>1855</v>
      </c>
      <c r="H1560" s="30">
        <v>30217479</v>
      </c>
      <c r="I1560" s="35">
        <v>15900</v>
      </c>
      <c r="J1560" s="64">
        <v>0.12</v>
      </c>
      <c r="K1560" s="30">
        <v>5</v>
      </c>
      <c r="L1560" s="35">
        <v>79500</v>
      </c>
      <c r="M1560" s="1454" t="s">
        <v>1856</v>
      </c>
      <c r="N1560" s="1461">
        <v>20250122113</v>
      </c>
    </row>
    <row r="1561" spans="2:14" ht="16.5" customHeight="1">
      <c r="B1561" s="383" t="s">
        <v>252</v>
      </c>
      <c r="C1561" s="1593"/>
      <c r="D1561" s="1596"/>
      <c r="E1561" s="30">
        <v>61054466</v>
      </c>
      <c r="F1561" s="31" t="s">
        <v>1857</v>
      </c>
      <c r="G1561" s="1448"/>
      <c r="H1561" s="30">
        <v>30217480</v>
      </c>
      <c r="I1561" s="35">
        <v>15900</v>
      </c>
      <c r="J1561" s="64">
        <v>0.12</v>
      </c>
      <c r="K1561" s="30">
        <v>5</v>
      </c>
      <c r="L1561" s="35">
        <v>79500</v>
      </c>
      <c r="M1561" s="1454"/>
      <c r="N1561" s="1461"/>
    </row>
    <row r="1562" spans="2:14" ht="16.5" customHeight="1">
      <c r="B1562" s="383" t="s">
        <v>252</v>
      </c>
      <c r="C1562" s="1593"/>
      <c r="D1562" s="1596"/>
      <c r="E1562" s="30">
        <v>58304904</v>
      </c>
      <c r="F1562" s="31" t="s">
        <v>1858</v>
      </c>
      <c r="G1562" s="1448"/>
      <c r="H1562" s="30">
        <v>30217491</v>
      </c>
      <c r="I1562" s="35">
        <v>7900</v>
      </c>
      <c r="J1562" s="64">
        <v>0.12</v>
      </c>
      <c r="K1562" s="30">
        <v>10</v>
      </c>
      <c r="L1562" s="35">
        <v>79000</v>
      </c>
      <c r="M1562" s="1454"/>
      <c r="N1562" s="1461"/>
    </row>
    <row r="1563" spans="2:14" ht="16.5" customHeight="1">
      <c r="B1563" s="383"/>
      <c r="C1563" s="384">
        <v>3</v>
      </c>
      <c r="D1563" s="386" t="s">
        <v>1859</v>
      </c>
      <c r="E1563" s="30">
        <v>30218288</v>
      </c>
      <c r="F1563" s="31" t="s">
        <v>1860</v>
      </c>
      <c r="G1563" s="33" t="s">
        <v>1861</v>
      </c>
      <c r="H1563" s="30">
        <v>30218288</v>
      </c>
      <c r="I1563" s="35">
        <v>49900</v>
      </c>
      <c r="J1563" s="64">
        <v>0.2</v>
      </c>
      <c r="K1563" s="30">
        <v>5</v>
      </c>
      <c r="L1563" s="35">
        <v>249500</v>
      </c>
      <c r="M1563" s="33" t="s">
        <v>1862</v>
      </c>
      <c r="N1563" s="69">
        <v>20250122114</v>
      </c>
    </row>
    <row r="1564" spans="2:14" ht="16.5" customHeight="1">
      <c r="B1564" s="383"/>
      <c r="C1564" s="384">
        <v>4</v>
      </c>
      <c r="D1564" s="386" t="s">
        <v>1863</v>
      </c>
      <c r="E1564" s="30">
        <v>30190267</v>
      </c>
      <c r="F1564" s="31" t="s">
        <v>1864</v>
      </c>
      <c r="G1564" s="33" t="s">
        <v>1865</v>
      </c>
      <c r="H1564" s="70">
        <v>30197234</v>
      </c>
      <c r="I1564" s="35">
        <v>9900</v>
      </c>
      <c r="J1564" s="35">
        <v>10</v>
      </c>
      <c r="K1564" s="64">
        <v>0.1</v>
      </c>
      <c r="L1564" s="35">
        <v>99000</v>
      </c>
      <c r="M1564" s="33" t="s">
        <v>1866</v>
      </c>
      <c r="N1564" s="69">
        <v>20250122115</v>
      </c>
    </row>
    <row r="1565" spans="2:14" ht="16.5" customHeight="1">
      <c r="B1565" s="383"/>
      <c r="C1565" s="384">
        <v>5</v>
      </c>
      <c r="D1565" s="386" t="s">
        <v>1867</v>
      </c>
      <c r="E1565" s="30">
        <v>76545205</v>
      </c>
      <c r="F1565" s="31" t="s">
        <v>1868</v>
      </c>
      <c r="G1565" s="31" t="s">
        <v>1869</v>
      </c>
      <c r="H1565" s="30">
        <v>30218059</v>
      </c>
      <c r="I1565" s="35">
        <v>49000</v>
      </c>
      <c r="J1565" s="64">
        <v>0.15</v>
      </c>
      <c r="K1565" s="30">
        <v>5</v>
      </c>
      <c r="L1565" s="35">
        <v>245000</v>
      </c>
      <c r="M1565" s="33" t="s">
        <v>1870</v>
      </c>
      <c r="N1565" s="69">
        <v>20250122116</v>
      </c>
    </row>
    <row r="1566" spans="2:14" ht="16.5" customHeight="1">
      <c r="B1566" s="383"/>
      <c r="C1566" s="384">
        <v>6</v>
      </c>
      <c r="D1566" s="385" t="s">
        <v>1871</v>
      </c>
      <c r="E1566" s="30">
        <v>30213516</v>
      </c>
      <c r="F1566" s="31" t="s">
        <v>1872</v>
      </c>
      <c r="G1566" s="29" t="s">
        <v>1873</v>
      </c>
      <c r="H1566" s="30">
        <v>30213516</v>
      </c>
      <c r="I1566" s="35">
        <v>9900</v>
      </c>
      <c r="J1566" s="64">
        <v>0.1</v>
      </c>
      <c r="K1566" s="30">
        <v>5</v>
      </c>
      <c r="L1566" s="35">
        <v>49500</v>
      </c>
      <c r="M1566" s="33" t="s">
        <v>1874</v>
      </c>
      <c r="N1566" s="69">
        <v>20250122117</v>
      </c>
    </row>
    <row r="1567" spans="2:14" ht="16.5" customHeight="1">
      <c r="B1567" s="1592" t="s">
        <v>221</v>
      </c>
      <c r="C1567" s="1593">
        <v>1</v>
      </c>
      <c r="D1567" s="1594" t="s">
        <v>956</v>
      </c>
      <c r="E1567" s="30">
        <v>48136075</v>
      </c>
      <c r="F1567" s="31" t="s">
        <v>1875</v>
      </c>
      <c r="G1567" s="1454" t="s">
        <v>1876</v>
      </c>
      <c r="H1567" s="30">
        <v>30217492</v>
      </c>
      <c r="I1567" s="35">
        <v>47200</v>
      </c>
      <c r="J1567" s="64">
        <v>0.1</v>
      </c>
      <c r="K1567" s="30">
        <v>5</v>
      </c>
      <c r="L1567" s="35">
        <v>236000</v>
      </c>
      <c r="M1567" s="1454" t="s">
        <v>1877</v>
      </c>
      <c r="N1567" s="1461">
        <v>20250122118</v>
      </c>
    </row>
    <row r="1568" spans="2:14" ht="16.5" customHeight="1">
      <c r="B1568" s="1592"/>
      <c r="C1568" s="1593"/>
      <c r="D1568" s="1594"/>
      <c r="E1568" s="30">
        <v>55351067</v>
      </c>
      <c r="F1568" s="31" t="s">
        <v>1878</v>
      </c>
      <c r="G1568" s="1448"/>
      <c r="H1568" s="30">
        <v>30217493</v>
      </c>
      <c r="I1568" s="35">
        <v>39200</v>
      </c>
      <c r="J1568" s="64">
        <v>0.1</v>
      </c>
      <c r="K1568" s="30">
        <v>5</v>
      </c>
      <c r="L1568" s="35">
        <v>196000</v>
      </c>
      <c r="M1568" s="1454"/>
      <c r="N1568" s="1461"/>
    </row>
    <row r="1569" spans="2:15" ht="16.5" customHeight="1">
      <c r="B1569" s="1592"/>
      <c r="C1569" s="1593">
        <v>2</v>
      </c>
      <c r="D1569" s="1595" t="s">
        <v>411</v>
      </c>
      <c r="E1569" s="30">
        <v>10607179</v>
      </c>
      <c r="F1569" s="31" t="s">
        <v>1879</v>
      </c>
      <c r="G1569" s="1448" t="s">
        <v>1880</v>
      </c>
      <c r="H1569" s="30">
        <v>30207167</v>
      </c>
      <c r="I1569" s="35">
        <v>14900</v>
      </c>
      <c r="J1569" s="64">
        <v>0.1</v>
      </c>
      <c r="K1569" s="30">
        <v>5</v>
      </c>
      <c r="L1569" s="35">
        <v>74500</v>
      </c>
      <c r="M1569" s="1454" t="s">
        <v>1881</v>
      </c>
      <c r="N1569" s="1461">
        <v>20250122119</v>
      </c>
    </row>
    <row r="1570" spans="2:15" ht="16.5" customHeight="1">
      <c r="B1570" s="1592"/>
      <c r="C1570" s="1593"/>
      <c r="D1570" s="1595"/>
      <c r="E1570" s="30">
        <v>10607174</v>
      </c>
      <c r="F1570" s="31" t="s">
        <v>1882</v>
      </c>
      <c r="G1570" s="1448"/>
      <c r="H1570" s="30">
        <v>30207168</v>
      </c>
      <c r="I1570" s="35">
        <v>14900</v>
      </c>
      <c r="J1570" s="64">
        <v>0.1</v>
      </c>
      <c r="K1570" s="30">
        <v>5</v>
      </c>
      <c r="L1570" s="35">
        <v>74500</v>
      </c>
      <c r="M1570" s="1454"/>
      <c r="N1570" s="1461"/>
    </row>
    <row r="1571" spans="2:15" ht="16.5" customHeight="1">
      <c r="B1571" s="1592"/>
      <c r="C1571" s="1593"/>
      <c r="D1571" s="1595"/>
      <c r="E1571" s="30">
        <v>43392434</v>
      </c>
      <c r="F1571" s="31" t="s">
        <v>1883</v>
      </c>
      <c r="G1571" s="1448"/>
      <c r="H1571" s="30">
        <v>30202753</v>
      </c>
      <c r="I1571" s="35">
        <v>15900</v>
      </c>
      <c r="J1571" s="64">
        <v>0.1</v>
      </c>
      <c r="K1571" s="30">
        <v>5</v>
      </c>
      <c r="L1571" s="35">
        <v>79500</v>
      </c>
      <c r="M1571" s="1454"/>
      <c r="N1571" s="1461"/>
    </row>
    <row r="1572" spans="2:15" ht="16.5" customHeight="1">
      <c r="B1572" s="1592"/>
      <c r="C1572" s="1593"/>
      <c r="D1572" s="1595"/>
      <c r="E1572" s="30">
        <v>10055467</v>
      </c>
      <c r="F1572" s="31" t="s">
        <v>1884</v>
      </c>
      <c r="G1572" s="1448"/>
      <c r="H1572" s="30">
        <v>30202757</v>
      </c>
      <c r="I1572" s="35">
        <v>21900</v>
      </c>
      <c r="J1572" s="64">
        <v>0.1</v>
      </c>
      <c r="K1572" s="30">
        <v>5</v>
      </c>
      <c r="L1572" s="35">
        <v>109500</v>
      </c>
      <c r="M1572" s="1454"/>
      <c r="N1572" s="1461"/>
    </row>
    <row r="1573" spans="2:15" ht="16.5" customHeight="1">
      <c r="B1573" s="1448" t="s">
        <v>795</v>
      </c>
      <c r="C1573" s="1448">
        <v>1</v>
      </c>
      <c r="D1573" s="1520" t="s">
        <v>257</v>
      </c>
      <c r="E1573" s="38">
        <v>30185926</v>
      </c>
      <c r="F1573" s="38" t="s">
        <v>1232</v>
      </c>
      <c r="G1573" s="1590" t="s">
        <v>1885</v>
      </c>
      <c r="H1573" s="173">
        <v>30198440</v>
      </c>
      <c r="I1573" s="41">
        <v>15500</v>
      </c>
      <c r="J1573" s="42">
        <v>0.15</v>
      </c>
      <c r="K1573" s="1520">
        <v>10</v>
      </c>
      <c r="L1573" s="1523">
        <v>155000</v>
      </c>
      <c r="M1573" s="1521" t="s">
        <v>1886</v>
      </c>
      <c r="N1573" s="1461">
        <v>20250122164</v>
      </c>
      <c r="O1573" s="4" t="s">
        <v>19</v>
      </c>
    </row>
    <row r="1574" spans="2:15" ht="16.5" customHeight="1">
      <c r="B1574" s="1448"/>
      <c r="C1574" s="1448"/>
      <c r="D1574" s="1520"/>
      <c r="E1574" s="38">
        <v>30185932</v>
      </c>
      <c r="F1574" s="38" t="s">
        <v>1235</v>
      </c>
      <c r="G1574" s="1590"/>
      <c r="H1574" s="173">
        <v>30198439</v>
      </c>
      <c r="I1574" s="41">
        <v>20500</v>
      </c>
      <c r="J1574" s="42">
        <v>0.15</v>
      </c>
      <c r="K1574" s="1520"/>
      <c r="L1574" s="1520"/>
      <c r="M1574" s="1521"/>
      <c r="N1574" s="1461"/>
    </row>
    <row r="1575" spans="2:15" ht="16.5" customHeight="1">
      <c r="B1575" s="1448"/>
      <c r="C1575" s="1448"/>
      <c r="D1575" s="1520"/>
      <c r="E1575" s="38">
        <v>30185933</v>
      </c>
      <c r="F1575" s="38" t="s">
        <v>1236</v>
      </c>
      <c r="G1575" s="1590"/>
      <c r="H1575" s="173">
        <v>30197906</v>
      </c>
      <c r="I1575" s="41">
        <v>26500</v>
      </c>
      <c r="J1575" s="42">
        <v>0.15</v>
      </c>
      <c r="K1575" s="1520"/>
      <c r="L1575" s="1520"/>
      <c r="M1575" s="1521"/>
      <c r="N1575" s="1461"/>
    </row>
    <row r="1576" spans="2:15" ht="16.5" customHeight="1">
      <c r="B1576" s="1448"/>
      <c r="C1576" s="1448">
        <v>2</v>
      </c>
      <c r="D1576" s="1524" t="s">
        <v>1887</v>
      </c>
      <c r="E1576" s="40">
        <v>70333697</v>
      </c>
      <c r="F1576" s="40" t="s">
        <v>1888</v>
      </c>
      <c r="G1576" s="1591" t="s">
        <v>1888</v>
      </c>
      <c r="H1576" s="30">
        <v>30201198</v>
      </c>
      <c r="I1576" s="202">
        <v>11900</v>
      </c>
      <c r="J1576" s="203">
        <v>0.1</v>
      </c>
      <c r="K1576" s="1448">
        <v>5</v>
      </c>
      <c r="L1576" s="1448">
        <f>I1576*5</f>
        <v>59500</v>
      </c>
      <c r="M1576" s="1454" t="s">
        <v>1889</v>
      </c>
      <c r="N1576" s="1461">
        <v>20250122165</v>
      </c>
    </row>
    <row r="1577" spans="2:15" ht="16.5" customHeight="1">
      <c r="B1577" s="1448"/>
      <c r="C1577" s="1448"/>
      <c r="D1577" s="1524"/>
      <c r="E1577" s="40">
        <v>70333692</v>
      </c>
      <c r="F1577" s="40" t="s">
        <v>1890</v>
      </c>
      <c r="G1577" s="1591"/>
      <c r="H1577" s="30">
        <v>30201199</v>
      </c>
      <c r="I1577" s="202">
        <v>11900</v>
      </c>
      <c r="J1577" s="203">
        <v>0.1</v>
      </c>
      <c r="K1577" s="1448"/>
      <c r="L1577" s="1448"/>
      <c r="M1577" s="1454"/>
      <c r="N1577" s="1461"/>
    </row>
    <row r="1578" spans="2:15" ht="16.5" customHeight="1">
      <c r="B1578" s="1448"/>
      <c r="C1578" s="1448"/>
      <c r="D1578" s="1524"/>
      <c r="E1578" s="40">
        <v>70333685</v>
      </c>
      <c r="F1578" s="40" t="s">
        <v>1891</v>
      </c>
      <c r="G1578" s="1591"/>
      <c r="H1578" s="30">
        <v>30201200</v>
      </c>
      <c r="I1578" s="202">
        <v>16500</v>
      </c>
      <c r="J1578" s="203">
        <v>0.1</v>
      </c>
      <c r="K1578" s="1448"/>
      <c r="L1578" s="1448"/>
      <c r="M1578" s="1454"/>
      <c r="N1578" s="1461"/>
    </row>
    <row r="1579" spans="2:15" ht="16.5" customHeight="1">
      <c r="B1579" s="1588" t="s">
        <v>137</v>
      </c>
      <c r="C1579" s="1588">
        <v>1</v>
      </c>
      <c r="D1579" s="1588" t="s">
        <v>1892</v>
      </c>
      <c r="E1579" s="46">
        <v>30007767</v>
      </c>
      <c r="F1579" s="46" t="s">
        <v>1893</v>
      </c>
      <c r="G1579" s="1589" t="s">
        <v>1894</v>
      </c>
      <c r="H1579" s="387">
        <v>30166057</v>
      </c>
      <c r="I1579" s="202">
        <v>8500</v>
      </c>
      <c r="J1579" s="49">
        <v>0.1</v>
      </c>
      <c r="K1579" s="1528">
        <v>3</v>
      </c>
      <c r="L1579" s="1530">
        <v>25500</v>
      </c>
      <c r="M1579" s="1529" t="s">
        <v>1895</v>
      </c>
      <c r="N1579" s="1461">
        <v>20250122166</v>
      </c>
    </row>
    <row r="1580" spans="2:15" ht="16.5" customHeight="1">
      <c r="B1580" s="1588"/>
      <c r="C1580" s="1588"/>
      <c r="D1580" s="1588"/>
      <c r="E1580" s="46">
        <v>30022311</v>
      </c>
      <c r="F1580" s="46" t="s">
        <v>1366</v>
      </c>
      <c r="G1580" s="1589"/>
      <c r="H1580" s="387">
        <v>30172484</v>
      </c>
      <c r="I1580" s="202">
        <v>10900</v>
      </c>
      <c r="J1580" s="49">
        <v>0.1</v>
      </c>
      <c r="K1580" s="1528"/>
      <c r="L1580" s="1530"/>
      <c r="M1580" s="1529"/>
      <c r="N1580" s="1461"/>
    </row>
    <row r="1581" spans="2:15" ht="16.5" customHeight="1">
      <c r="B1581" s="1588"/>
      <c r="C1581" s="1588"/>
      <c r="D1581" s="1588"/>
      <c r="E1581" s="46">
        <v>71196376</v>
      </c>
      <c r="F1581" s="46" t="s">
        <v>1896</v>
      </c>
      <c r="G1581" s="1589"/>
      <c r="H1581" s="387">
        <v>30205054</v>
      </c>
      <c r="I1581" s="202">
        <v>13900</v>
      </c>
      <c r="J1581" s="49">
        <v>0.1</v>
      </c>
      <c r="K1581" s="1528"/>
      <c r="L1581" s="1530"/>
      <c r="M1581" s="1529"/>
      <c r="N1581" s="1461"/>
    </row>
    <row r="1582" spans="2:15" ht="16.5" customHeight="1">
      <c r="B1582" s="1588"/>
      <c r="C1582" s="1588"/>
      <c r="D1582" s="1588"/>
      <c r="E1582" s="46">
        <v>71196395</v>
      </c>
      <c r="F1582" s="46" t="s">
        <v>1897</v>
      </c>
      <c r="G1582" s="1589"/>
      <c r="H1582" s="387">
        <v>30205055</v>
      </c>
      <c r="I1582" s="202">
        <v>14900</v>
      </c>
      <c r="J1582" s="49">
        <v>0.1</v>
      </c>
      <c r="K1582" s="1528"/>
      <c r="L1582" s="1530"/>
      <c r="M1582" s="1529"/>
      <c r="N1582" s="1461"/>
    </row>
    <row r="1583" spans="2:15" ht="16.5" customHeight="1">
      <c r="B1583" s="1588"/>
      <c r="C1583" s="1588"/>
      <c r="D1583" s="1588"/>
      <c r="E1583" s="46">
        <v>69317971</v>
      </c>
      <c r="F1583" s="46" t="s">
        <v>1898</v>
      </c>
      <c r="G1583" s="1589"/>
      <c r="H1583" s="387">
        <v>30205056</v>
      </c>
      <c r="I1583" s="202">
        <v>9900</v>
      </c>
      <c r="J1583" s="49">
        <v>0.1</v>
      </c>
      <c r="K1583" s="1528"/>
      <c r="L1583" s="1530"/>
      <c r="M1583" s="1529"/>
      <c r="N1583" s="1461"/>
    </row>
    <row r="1584" spans="2:15" ht="16.5" customHeight="1">
      <c r="B1584" s="1588"/>
      <c r="C1584" s="1588">
        <v>2</v>
      </c>
      <c r="D1584" s="1524" t="s">
        <v>158</v>
      </c>
      <c r="E1584" s="40">
        <v>30218056</v>
      </c>
      <c r="F1584" s="38" t="s">
        <v>1899</v>
      </c>
      <c r="G1584" s="1464" t="s">
        <v>1899</v>
      </c>
      <c r="H1584" s="201">
        <v>30218056</v>
      </c>
      <c r="I1584" s="202">
        <v>12900</v>
      </c>
      <c r="J1584" s="203">
        <v>0.15</v>
      </c>
      <c r="K1584" s="1524">
        <v>5</v>
      </c>
      <c r="L1584" s="1526">
        <v>64500</v>
      </c>
      <c r="M1584" s="1527" t="s">
        <v>1900</v>
      </c>
      <c r="N1584" s="1445">
        <v>20250122167</v>
      </c>
    </row>
    <row r="1585" spans="2:15" ht="16.5" customHeight="1">
      <c r="B1585" s="1588"/>
      <c r="C1585" s="1588"/>
      <c r="D1585" s="1588"/>
      <c r="E1585" s="40">
        <v>30214757</v>
      </c>
      <c r="F1585" s="38" t="s">
        <v>791</v>
      </c>
      <c r="G1585" s="1464"/>
      <c r="H1585" s="201">
        <v>30214757</v>
      </c>
      <c r="I1585" s="202">
        <v>15800</v>
      </c>
      <c r="J1585" s="203">
        <v>0.15</v>
      </c>
      <c r="K1585" s="1524"/>
      <c r="L1585" s="1526"/>
      <c r="M1585" s="1527"/>
      <c r="N1585" s="1446"/>
    </row>
    <row r="1586" spans="2:15" ht="16.5" customHeight="1">
      <c r="B1586" s="1588"/>
      <c r="C1586" s="1588"/>
      <c r="D1586" s="1588"/>
      <c r="E1586" s="40">
        <v>30206804</v>
      </c>
      <c r="F1586" s="38" t="s">
        <v>789</v>
      </c>
      <c r="G1586" s="1464"/>
      <c r="H1586" s="201">
        <v>30206804</v>
      </c>
      <c r="I1586" s="202">
        <v>15800</v>
      </c>
      <c r="J1586" s="203">
        <v>0.15</v>
      </c>
      <c r="K1586" s="1524"/>
      <c r="L1586" s="1526"/>
      <c r="M1586" s="1527"/>
      <c r="N1586" s="1446"/>
    </row>
    <row r="1587" spans="2:15" ht="16.5" customHeight="1">
      <c r="B1587" s="1588"/>
      <c r="C1587" s="1588"/>
      <c r="D1587" s="1588"/>
      <c r="E1587" s="40">
        <v>30218060</v>
      </c>
      <c r="F1587" s="38" t="s">
        <v>1901</v>
      </c>
      <c r="G1587" s="1464"/>
      <c r="H1587" s="201">
        <v>30218060</v>
      </c>
      <c r="I1587" s="202">
        <v>17800</v>
      </c>
      <c r="J1587" s="203">
        <v>0.15</v>
      </c>
      <c r="K1587" s="1524"/>
      <c r="L1587" s="1526"/>
      <c r="M1587" s="1527"/>
      <c r="N1587" s="1446"/>
    </row>
    <row r="1588" spans="2:15" ht="16.5" customHeight="1">
      <c r="B1588" s="1588"/>
      <c r="C1588" s="1588">
        <v>3</v>
      </c>
      <c r="D1588" s="1462" t="s">
        <v>1902</v>
      </c>
      <c r="E1588" s="38">
        <v>50534969</v>
      </c>
      <c r="F1588" s="38" t="s">
        <v>1903</v>
      </c>
      <c r="G1588" s="1590" t="s">
        <v>1904</v>
      </c>
      <c r="H1588" s="201">
        <v>30218387</v>
      </c>
      <c r="I1588" s="41">
        <v>9900</v>
      </c>
      <c r="J1588" s="42">
        <v>0.15</v>
      </c>
      <c r="K1588" s="1524">
        <v>5</v>
      </c>
      <c r="L1588" s="1526">
        <f>I1588*K1588</f>
        <v>49500</v>
      </c>
      <c r="M1588" s="1587" t="s">
        <v>1905</v>
      </c>
      <c r="N1588" s="1445">
        <v>20250122168</v>
      </c>
    </row>
    <row r="1589" spans="2:15" ht="16.5" customHeight="1">
      <c r="B1589" s="1588"/>
      <c r="C1589" s="1588"/>
      <c r="D1589" s="1588"/>
      <c r="E1589" s="38">
        <v>76807005</v>
      </c>
      <c r="F1589" s="38" t="s">
        <v>1906</v>
      </c>
      <c r="G1589" s="1590"/>
      <c r="H1589" s="201">
        <v>30218388</v>
      </c>
      <c r="I1589" s="41">
        <v>10900</v>
      </c>
      <c r="J1589" s="42">
        <v>0.15</v>
      </c>
      <c r="K1589" s="1524"/>
      <c r="L1589" s="1526"/>
      <c r="M1589" s="1587"/>
      <c r="N1589" s="1446"/>
    </row>
    <row r="1590" spans="2:15" ht="16.5" customHeight="1">
      <c r="B1590" s="1588"/>
      <c r="C1590" s="1588"/>
      <c r="D1590" s="1588"/>
      <c r="E1590" s="38">
        <v>48575041</v>
      </c>
      <c r="F1590" s="38" t="s">
        <v>1907</v>
      </c>
      <c r="G1590" s="1590"/>
      <c r="H1590" s="201">
        <v>30218389</v>
      </c>
      <c r="I1590" s="41">
        <v>9900</v>
      </c>
      <c r="J1590" s="42">
        <v>0.15</v>
      </c>
      <c r="K1590" s="1524"/>
      <c r="L1590" s="1526"/>
      <c r="M1590" s="1587"/>
      <c r="N1590" s="1446"/>
    </row>
    <row r="1591" spans="2:15" ht="16.5" customHeight="1">
      <c r="B1591" s="1588"/>
      <c r="C1591" s="1588"/>
      <c r="D1591" s="1588"/>
      <c r="E1591" s="38">
        <v>76807016</v>
      </c>
      <c r="F1591" s="38" t="s">
        <v>1908</v>
      </c>
      <c r="G1591" s="1590"/>
      <c r="H1591" s="201">
        <v>30218390</v>
      </c>
      <c r="I1591" s="41">
        <v>10900</v>
      </c>
      <c r="J1591" s="42">
        <v>0.15</v>
      </c>
      <c r="K1591" s="1524"/>
      <c r="L1591" s="1526"/>
      <c r="M1591" s="1587"/>
      <c r="N1591" s="1446"/>
    </row>
    <row r="1592" spans="2:15" ht="16.5" customHeight="1">
      <c r="B1592" s="1588"/>
      <c r="C1592" s="1588"/>
      <c r="D1592" s="1588"/>
      <c r="E1592" s="38">
        <v>56032343</v>
      </c>
      <c r="F1592" s="38" t="s">
        <v>1909</v>
      </c>
      <c r="G1592" s="1590"/>
      <c r="H1592" s="201">
        <v>30218393</v>
      </c>
      <c r="I1592" s="41">
        <v>10900</v>
      </c>
      <c r="J1592" s="42">
        <v>0.15</v>
      </c>
      <c r="K1592" s="1524"/>
      <c r="L1592" s="1526"/>
      <c r="M1592" s="1587"/>
      <c r="N1592" s="1446"/>
    </row>
    <row r="1593" spans="2:15" ht="16.5" customHeight="1">
      <c r="B1593" s="1588"/>
      <c r="C1593" s="1588"/>
      <c r="D1593" s="1588"/>
      <c r="E1593" s="38">
        <v>56427953</v>
      </c>
      <c r="F1593" s="38" t="s">
        <v>1910</v>
      </c>
      <c r="G1593" s="1590"/>
      <c r="H1593" s="201">
        <v>30218395</v>
      </c>
      <c r="I1593" s="41">
        <v>13900</v>
      </c>
      <c r="J1593" s="42">
        <v>0.15</v>
      </c>
      <c r="K1593" s="1524"/>
      <c r="L1593" s="1526"/>
      <c r="M1593" s="1587"/>
      <c r="N1593" s="1447"/>
    </row>
    <row r="1594" spans="2:15" ht="16.5" customHeight="1">
      <c r="B1594" s="1448" t="s">
        <v>185</v>
      </c>
      <c r="C1594" s="1448">
        <v>1</v>
      </c>
      <c r="D1594" s="1448" t="s">
        <v>189</v>
      </c>
      <c r="E1594" s="198">
        <v>30212728</v>
      </c>
      <c r="F1594" s="92" t="s">
        <v>1911</v>
      </c>
      <c r="G1594" s="1449" t="s">
        <v>1912</v>
      </c>
      <c r="H1594" s="30">
        <v>30213390</v>
      </c>
      <c r="I1594" s="202">
        <v>29900</v>
      </c>
      <c r="J1594" s="304">
        <v>0.13</v>
      </c>
      <c r="K1594" s="1449">
        <v>5</v>
      </c>
      <c r="L1594" s="1586">
        <f t="shared" ref="L1594:L1630" si="6">I1594*K1594</f>
        <v>149500</v>
      </c>
      <c r="M1594" s="1586" t="s">
        <v>1913</v>
      </c>
      <c r="N1594" s="1461">
        <v>20250122120</v>
      </c>
      <c r="O1594" s="4" t="s">
        <v>1914</v>
      </c>
    </row>
    <row r="1595" spans="2:15" ht="16.5" customHeight="1">
      <c r="B1595" s="1448"/>
      <c r="C1595" s="1448"/>
      <c r="D1595" s="1448"/>
      <c r="E1595" s="198">
        <v>30217296</v>
      </c>
      <c r="F1595" s="92" t="s">
        <v>1915</v>
      </c>
      <c r="G1595" s="1449"/>
      <c r="H1595" s="30">
        <v>30218109</v>
      </c>
      <c r="I1595" s="202">
        <v>54900</v>
      </c>
      <c r="J1595" s="304">
        <v>0.13</v>
      </c>
      <c r="K1595" s="1449"/>
      <c r="L1595" s="1586">
        <f t="shared" si="6"/>
        <v>0</v>
      </c>
      <c r="M1595" s="1586"/>
      <c r="N1595" s="1461"/>
    </row>
    <row r="1596" spans="2:15" ht="16.5" customHeight="1">
      <c r="B1596" s="1448"/>
      <c r="C1596" s="29">
        <v>2</v>
      </c>
      <c r="D1596" s="29" t="s">
        <v>186</v>
      </c>
      <c r="E1596" s="198">
        <v>30214186</v>
      </c>
      <c r="F1596" s="92" t="s">
        <v>187</v>
      </c>
      <c r="G1596" s="306" t="s">
        <v>187</v>
      </c>
      <c r="H1596" s="30">
        <v>30214186</v>
      </c>
      <c r="I1596" s="202">
        <v>19900</v>
      </c>
      <c r="J1596" s="304">
        <v>0.15</v>
      </c>
      <c r="K1596" s="306">
        <v>5</v>
      </c>
      <c r="L1596" s="388">
        <f t="shared" si="6"/>
        <v>99500</v>
      </c>
      <c r="M1596" s="388" t="s">
        <v>188</v>
      </c>
      <c r="N1596" s="69">
        <v>20250122121</v>
      </c>
    </row>
    <row r="1597" spans="2:15" ht="16.5" customHeight="1">
      <c r="B1597" s="1448"/>
      <c r="C1597" s="29">
        <v>3</v>
      </c>
      <c r="D1597" s="29" t="s">
        <v>722</v>
      </c>
      <c r="E1597" s="198">
        <v>30183808</v>
      </c>
      <c r="F1597" s="92" t="s">
        <v>210</v>
      </c>
      <c r="G1597" s="306" t="s">
        <v>210</v>
      </c>
      <c r="H1597" s="30">
        <v>30214192</v>
      </c>
      <c r="I1597" s="202">
        <v>11900</v>
      </c>
      <c r="J1597" s="304">
        <v>0.1</v>
      </c>
      <c r="K1597" s="306">
        <v>5</v>
      </c>
      <c r="L1597" s="388">
        <f t="shared" si="6"/>
        <v>59500</v>
      </c>
      <c r="M1597" s="388" t="s">
        <v>211</v>
      </c>
      <c r="N1597" s="69">
        <v>20250122122</v>
      </c>
    </row>
    <row r="1598" spans="2:15" ht="16.5" customHeight="1">
      <c r="B1598" s="1448"/>
      <c r="C1598" s="29">
        <v>4</v>
      </c>
      <c r="D1598" s="29" t="s">
        <v>722</v>
      </c>
      <c r="E1598" s="198">
        <v>30172333</v>
      </c>
      <c r="F1598" s="92" t="s">
        <v>1916</v>
      </c>
      <c r="G1598" s="306" t="s">
        <v>1916</v>
      </c>
      <c r="H1598" s="30">
        <v>30207794</v>
      </c>
      <c r="I1598" s="202">
        <v>27900</v>
      </c>
      <c r="J1598" s="304">
        <v>0.1</v>
      </c>
      <c r="K1598" s="306">
        <v>5</v>
      </c>
      <c r="L1598" s="388">
        <f t="shared" si="6"/>
        <v>139500</v>
      </c>
      <c r="M1598" s="388" t="s">
        <v>1917</v>
      </c>
      <c r="N1598" s="69">
        <v>20250122123</v>
      </c>
    </row>
    <row r="1599" spans="2:15" ht="16.5" customHeight="1">
      <c r="B1599" s="1448"/>
      <c r="C1599" s="29">
        <v>5</v>
      </c>
      <c r="D1599" s="29" t="s">
        <v>495</v>
      </c>
      <c r="E1599" s="198">
        <v>41991231</v>
      </c>
      <c r="F1599" s="92" t="s">
        <v>1918</v>
      </c>
      <c r="G1599" s="389" t="s">
        <v>1918</v>
      </c>
      <c r="H1599" s="30">
        <v>30205117</v>
      </c>
      <c r="I1599" s="202">
        <v>33900</v>
      </c>
      <c r="J1599" s="304">
        <v>0.1</v>
      </c>
      <c r="K1599" s="306">
        <v>5</v>
      </c>
      <c r="L1599" s="388">
        <f t="shared" si="6"/>
        <v>169500</v>
      </c>
      <c r="M1599" s="388" t="s">
        <v>1596</v>
      </c>
      <c r="N1599" s="69">
        <v>20250122169</v>
      </c>
    </row>
    <row r="1600" spans="2:15" ht="16.5" customHeight="1">
      <c r="B1600" s="1448"/>
      <c r="C1600" s="1448">
        <v>6</v>
      </c>
      <c r="D1600" s="1448" t="s">
        <v>212</v>
      </c>
      <c r="E1600" s="198">
        <v>30180093</v>
      </c>
      <c r="F1600" s="92" t="s">
        <v>1919</v>
      </c>
      <c r="G1600" s="1449" t="s">
        <v>1920</v>
      </c>
      <c r="H1600" s="30">
        <v>30218117</v>
      </c>
      <c r="I1600" s="202">
        <v>19900</v>
      </c>
      <c r="J1600" s="304">
        <v>0.17</v>
      </c>
      <c r="K1600" s="1449">
        <v>5</v>
      </c>
      <c r="L1600" s="1586">
        <f t="shared" si="6"/>
        <v>99500</v>
      </c>
      <c r="M1600" s="1586" t="s">
        <v>1921</v>
      </c>
      <c r="N1600" s="1461">
        <v>20250122124</v>
      </c>
    </row>
    <row r="1601" spans="2:15" ht="16.5" customHeight="1">
      <c r="B1601" s="1448"/>
      <c r="C1601" s="1448"/>
      <c r="D1601" s="1448"/>
      <c r="E1601" s="198">
        <v>30180097</v>
      </c>
      <c r="F1601" s="92" t="s">
        <v>1922</v>
      </c>
      <c r="G1601" s="1449"/>
      <c r="H1601" s="30">
        <v>30218124</v>
      </c>
      <c r="I1601" s="202">
        <v>37900</v>
      </c>
      <c r="J1601" s="304">
        <v>0.17</v>
      </c>
      <c r="K1601" s="1449"/>
      <c r="L1601" s="1586">
        <f t="shared" si="6"/>
        <v>0</v>
      </c>
      <c r="M1601" s="1586"/>
      <c r="N1601" s="1461"/>
    </row>
    <row r="1602" spans="2:15" ht="16.5" customHeight="1">
      <c r="B1602" s="1448"/>
      <c r="C1602" s="1448"/>
      <c r="D1602" s="1448"/>
      <c r="E1602" s="198">
        <v>30180098</v>
      </c>
      <c r="F1602" s="92" t="s">
        <v>1923</v>
      </c>
      <c r="G1602" s="1449"/>
      <c r="H1602" s="30">
        <v>30218127</v>
      </c>
      <c r="I1602" s="202">
        <v>66900</v>
      </c>
      <c r="J1602" s="304">
        <v>0.17</v>
      </c>
      <c r="K1602" s="1449"/>
      <c r="L1602" s="1586">
        <f t="shared" si="6"/>
        <v>0</v>
      </c>
      <c r="M1602" s="1586"/>
      <c r="N1602" s="1461"/>
    </row>
    <row r="1603" spans="2:15" ht="16.5" customHeight="1">
      <c r="B1603" s="1448" t="s">
        <v>221</v>
      </c>
      <c r="C1603" s="1448">
        <v>1</v>
      </c>
      <c r="D1603" s="1448" t="s">
        <v>222</v>
      </c>
      <c r="E1603" s="390">
        <v>30188088</v>
      </c>
      <c r="F1603" s="391" t="s">
        <v>1924</v>
      </c>
      <c r="G1603" s="1449" t="s">
        <v>1925</v>
      </c>
      <c r="H1603" s="30">
        <v>30189419</v>
      </c>
      <c r="I1603" s="202">
        <v>9900</v>
      </c>
      <c r="J1603" s="392">
        <v>0.15</v>
      </c>
      <c r="K1603" s="1449">
        <v>5</v>
      </c>
      <c r="L1603" s="1586">
        <f t="shared" si="6"/>
        <v>49500</v>
      </c>
      <c r="M1603" s="1586" t="s">
        <v>1926</v>
      </c>
      <c r="N1603" s="1461">
        <v>20250122125</v>
      </c>
      <c r="O1603" s="4" t="s">
        <v>1009</v>
      </c>
    </row>
    <row r="1604" spans="2:15" ht="16.5" customHeight="1">
      <c r="B1604" s="1448"/>
      <c r="C1604" s="1448"/>
      <c r="D1604" s="1448"/>
      <c r="E1604" s="390">
        <v>30115854</v>
      </c>
      <c r="F1604" s="391" t="s">
        <v>1927</v>
      </c>
      <c r="G1604" s="1449"/>
      <c r="H1604" s="30">
        <v>30189425</v>
      </c>
      <c r="I1604" s="202">
        <v>19900</v>
      </c>
      <c r="J1604" s="392">
        <v>0.15</v>
      </c>
      <c r="K1604" s="1449"/>
      <c r="L1604" s="1586">
        <f t="shared" si="6"/>
        <v>0</v>
      </c>
      <c r="M1604" s="1586"/>
      <c r="N1604" s="1461"/>
      <c r="O1604" s="4" t="s">
        <v>1928</v>
      </c>
    </row>
    <row r="1605" spans="2:15" ht="16.5" customHeight="1">
      <c r="B1605" s="1448"/>
      <c r="C1605" s="1448"/>
      <c r="D1605" s="1448"/>
      <c r="E1605" s="390">
        <v>30188087</v>
      </c>
      <c r="F1605" s="391" t="s">
        <v>1929</v>
      </c>
      <c r="G1605" s="1449"/>
      <c r="H1605" s="30">
        <v>30189429</v>
      </c>
      <c r="I1605" s="202">
        <v>32900</v>
      </c>
      <c r="J1605" s="392">
        <v>0.15</v>
      </c>
      <c r="K1605" s="1449"/>
      <c r="L1605" s="1586">
        <f t="shared" si="6"/>
        <v>0</v>
      </c>
      <c r="M1605" s="1586"/>
      <c r="N1605" s="1461"/>
    </row>
    <row r="1606" spans="2:15" ht="16.5" customHeight="1">
      <c r="B1606" s="1448"/>
      <c r="C1606" s="1448">
        <v>2</v>
      </c>
      <c r="D1606" s="1448" t="s">
        <v>239</v>
      </c>
      <c r="E1606" s="390">
        <v>76044736</v>
      </c>
      <c r="F1606" s="391" t="s">
        <v>1930</v>
      </c>
      <c r="G1606" s="1449" t="s">
        <v>1930</v>
      </c>
      <c r="H1606" s="30">
        <v>30218154</v>
      </c>
      <c r="I1606" s="202">
        <v>19900</v>
      </c>
      <c r="J1606" s="392">
        <v>0.15</v>
      </c>
      <c r="K1606" s="1449">
        <v>5</v>
      </c>
      <c r="L1606" s="1586">
        <f t="shared" si="6"/>
        <v>99500</v>
      </c>
      <c r="M1606" s="1586" t="s">
        <v>1931</v>
      </c>
      <c r="N1606" s="1461">
        <v>20250122126</v>
      </c>
    </row>
    <row r="1607" spans="2:15" ht="16.5" customHeight="1">
      <c r="B1607" s="1448"/>
      <c r="C1607" s="1448"/>
      <c r="D1607" s="1448"/>
      <c r="E1607" s="390">
        <v>55021709</v>
      </c>
      <c r="F1607" s="391" t="s">
        <v>1932</v>
      </c>
      <c r="G1607" s="1449"/>
      <c r="H1607" s="30">
        <v>30155268</v>
      </c>
      <c r="I1607" s="202">
        <v>14900</v>
      </c>
      <c r="J1607" s="392">
        <v>0.15</v>
      </c>
      <c r="K1607" s="1449"/>
      <c r="L1607" s="1586">
        <f t="shared" si="6"/>
        <v>0</v>
      </c>
      <c r="M1607" s="1586"/>
      <c r="N1607" s="1461"/>
    </row>
    <row r="1608" spans="2:15" ht="16.5" customHeight="1">
      <c r="B1608" s="1448"/>
      <c r="C1608" s="1448"/>
      <c r="D1608" s="1448"/>
      <c r="E1608" s="390">
        <v>55021969</v>
      </c>
      <c r="F1608" s="391" t="s">
        <v>1933</v>
      </c>
      <c r="G1608" s="1449"/>
      <c r="H1608" s="30">
        <v>30158611</v>
      </c>
      <c r="I1608" s="202">
        <v>19900</v>
      </c>
      <c r="J1608" s="392">
        <v>0.15</v>
      </c>
      <c r="K1608" s="1449"/>
      <c r="L1608" s="1586">
        <f t="shared" si="6"/>
        <v>0</v>
      </c>
      <c r="M1608" s="1586"/>
      <c r="N1608" s="1461"/>
    </row>
    <row r="1609" spans="2:15" ht="16.5" customHeight="1">
      <c r="B1609" s="1448"/>
      <c r="C1609" s="1448">
        <v>3</v>
      </c>
      <c r="D1609" s="1448" t="s">
        <v>234</v>
      </c>
      <c r="E1609" s="390">
        <v>30176141</v>
      </c>
      <c r="F1609" s="391" t="s">
        <v>235</v>
      </c>
      <c r="G1609" s="1449" t="s">
        <v>1934</v>
      </c>
      <c r="H1609" s="30">
        <v>30176141</v>
      </c>
      <c r="I1609" s="202">
        <v>8900</v>
      </c>
      <c r="J1609" s="392">
        <v>0.17</v>
      </c>
      <c r="K1609" s="1449">
        <v>5</v>
      </c>
      <c r="L1609" s="1586">
        <f t="shared" si="6"/>
        <v>44500</v>
      </c>
      <c r="M1609" s="1586" t="s">
        <v>236</v>
      </c>
      <c r="N1609" s="1461">
        <v>20250122127</v>
      </c>
    </row>
    <row r="1610" spans="2:15" ht="16.5" customHeight="1">
      <c r="B1610" s="1448"/>
      <c r="C1610" s="1448"/>
      <c r="D1610" s="1448"/>
      <c r="E1610" s="390">
        <v>30154257</v>
      </c>
      <c r="F1610" s="391" t="s">
        <v>237</v>
      </c>
      <c r="G1610" s="1449"/>
      <c r="H1610" s="30">
        <v>30154257</v>
      </c>
      <c r="I1610" s="202">
        <v>18900</v>
      </c>
      <c r="J1610" s="392">
        <v>0.17</v>
      </c>
      <c r="K1610" s="1449"/>
      <c r="L1610" s="1586">
        <f t="shared" si="6"/>
        <v>0</v>
      </c>
      <c r="M1610" s="1586"/>
      <c r="N1610" s="1461"/>
    </row>
    <row r="1611" spans="2:15" ht="16.5" customHeight="1">
      <c r="B1611" s="1448"/>
      <c r="C1611" s="1448"/>
      <c r="D1611" s="1448"/>
      <c r="E1611" s="390">
        <v>55188757</v>
      </c>
      <c r="F1611" s="391" t="s">
        <v>238</v>
      </c>
      <c r="G1611" s="1449"/>
      <c r="H1611" s="30">
        <v>30210116</v>
      </c>
      <c r="I1611" s="202">
        <v>36900</v>
      </c>
      <c r="J1611" s="392">
        <v>0.17</v>
      </c>
      <c r="K1611" s="1449"/>
      <c r="L1611" s="1586">
        <f t="shared" si="6"/>
        <v>0</v>
      </c>
      <c r="M1611" s="1586"/>
      <c r="N1611" s="1461"/>
    </row>
    <row r="1612" spans="2:15" ht="16.5" customHeight="1">
      <c r="B1612" s="1448"/>
      <c r="C1612" s="29">
        <v>4</v>
      </c>
      <c r="D1612" s="29" t="s">
        <v>248</v>
      </c>
      <c r="E1612" s="390">
        <v>30205938</v>
      </c>
      <c r="F1612" s="391" t="s">
        <v>765</v>
      </c>
      <c r="G1612" s="393" t="s">
        <v>765</v>
      </c>
      <c r="H1612" s="30">
        <v>30205947</v>
      </c>
      <c r="I1612" s="202">
        <v>3900</v>
      </c>
      <c r="J1612" s="392">
        <v>0.15</v>
      </c>
      <c r="K1612" s="393">
        <v>5</v>
      </c>
      <c r="L1612" s="394">
        <f t="shared" si="6"/>
        <v>19500</v>
      </c>
      <c r="M1612" s="394" t="s">
        <v>766</v>
      </c>
      <c r="N1612" s="69">
        <v>20250122128</v>
      </c>
    </row>
    <row r="1613" spans="2:15" ht="16.5" customHeight="1">
      <c r="B1613" s="1448"/>
      <c r="C1613" s="1448">
        <v>5</v>
      </c>
      <c r="D1613" s="1448" t="s">
        <v>248</v>
      </c>
      <c r="E1613" s="390">
        <v>30189618</v>
      </c>
      <c r="F1613" s="391" t="s">
        <v>1935</v>
      </c>
      <c r="G1613" s="1449" t="s">
        <v>1935</v>
      </c>
      <c r="H1613" s="30">
        <v>30218162</v>
      </c>
      <c r="I1613" s="202">
        <v>22900</v>
      </c>
      <c r="J1613" s="392">
        <v>0.15</v>
      </c>
      <c r="K1613" s="1449">
        <v>5</v>
      </c>
      <c r="L1613" s="1586">
        <f t="shared" si="6"/>
        <v>114500</v>
      </c>
      <c r="M1613" s="1586" t="s">
        <v>1936</v>
      </c>
      <c r="N1613" s="1461">
        <v>20250122129</v>
      </c>
    </row>
    <row r="1614" spans="2:15" ht="16.5" customHeight="1">
      <c r="B1614" s="1448"/>
      <c r="C1614" s="1448"/>
      <c r="D1614" s="1448"/>
      <c r="E1614" s="390">
        <v>30208898</v>
      </c>
      <c r="F1614" s="391" t="s">
        <v>1937</v>
      </c>
      <c r="G1614" s="1449"/>
      <c r="H1614" s="30">
        <v>30218165</v>
      </c>
      <c r="I1614" s="202">
        <v>34900</v>
      </c>
      <c r="J1614" s="392">
        <v>0.15</v>
      </c>
      <c r="K1614" s="1449"/>
      <c r="L1614" s="1586">
        <f t="shared" si="6"/>
        <v>0</v>
      </c>
      <c r="M1614" s="1586"/>
      <c r="N1614" s="1461"/>
    </row>
    <row r="1615" spans="2:15" ht="16.5" customHeight="1">
      <c r="B1615" s="1448"/>
      <c r="C1615" s="1448"/>
      <c r="D1615" s="1448"/>
      <c r="E1615" s="390">
        <v>30206298</v>
      </c>
      <c r="F1615" s="391" t="s">
        <v>1938</v>
      </c>
      <c r="G1615" s="1449"/>
      <c r="H1615" s="30">
        <v>30207044</v>
      </c>
      <c r="I1615" s="202">
        <v>28900</v>
      </c>
      <c r="J1615" s="392">
        <v>0.15</v>
      </c>
      <c r="K1615" s="1449"/>
      <c r="L1615" s="1586">
        <f t="shared" si="6"/>
        <v>0</v>
      </c>
      <c r="M1615" s="1586" t="s">
        <v>252</v>
      </c>
      <c r="N1615" s="1461"/>
    </row>
    <row r="1616" spans="2:15" ht="16.5" customHeight="1">
      <c r="B1616" s="1448"/>
      <c r="C1616" s="1448"/>
      <c r="D1616" s="1448"/>
      <c r="E1616" s="390">
        <v>30213231</v>
      </c>
      <c r="F1616" s="391" t="s">
        <v>1939</v>
      </c>
      <c r="G1616" s="1449"/>
      <c r="H1616" s="30">
        <v>30218166</v>
      </c>
      <c r="I1616" s="202">
        <v>28900</v>
      </c>
      <c r="J1616" s="392">
        <v>0.15</v>
      </c>
      <c r="K1616" s="1449"/>
      <c r="L1616" s="1586">
        <f t="shared" si="6"/>
        <v>0</v>
      </c>
      <c r="M1616" s="1586" t="s">
        <v>252</v>
      </c>
      <c r="N1616" s="1461"/>
    </row>
    <row r="1617" spans="2:15" ht="16.5" customHeight="1">
      <c r="B1617" s="1448"/>
      <c r="C1617" s="1448"/>
      <c r="D1617" s="1448"/>
      <c r="E1617" s="390">
        <v>30203592</v>
      </c>
      <c r="F1617" s="391" t="s">
        <v>1940</v>
      </c>
      <c r="G1617" s="1449"/>
      <c r="H1617" s="30">
        <v>30218167</v>
      </c>
      <c r="I1617" s="202">
        <v>26900</v>
      </c>
      <c r="J1617" s="392">
        <v>0.15</v>
      </c>
      <c r="K1617" s="1449"/>
      <c r="L1617" s="1586">
        <f t="shared" si="6"/>
        <v>0</v>
      </c>
      <c r="M1617" s="1586" t="s">
        <v>252</v>
      </c>
      <c r="N1617" s="1461"/>
    </row>
    <row r="1618" spans="2:15" ht="16.5" customHeight="1">
      <c r="B1618" s="1448"/>
      <c r="C1618" s="1448"/>
      <c r="D1618" s="1448"/>
      <c r="E1618" s="390">
        <v>30199228</v>
      </c>
      <c r="F1618" s="391" t="s">
        <v>1941</v>
      </c>
      <c r="G1618" s="1449"/>
      <c r="H1618" s="30">
        <v>30218168</v>
      </c>
      <c r="I1618" s="202">
        <v>35900</v>
      </c>
      <c r="J1618" s="392">
        <v>0.15</v>
      </c>
      <c r="K1618" s="1449"/>
      <c r="L1618" s="1586">
        <f t="shared" si="6"/>
        <v>0</v>
      </c>
      <c r="M1618" s="1586" t="s">
        <v>252</v>
      </c>
      <c r="N1618" s="1461"/>
    </row>
    <row r="1619" spans="2:15" ht="16.5" customHeight="1">
      <c r="B1619" s="1448"/>
      <c r="C1619" s="1448"/>
      <c r="D1619" s="1448"/>
      <c r="E1619" s="390">
        <v>30174585</v>
      </c>
      <c r="F1619" s="391" t="s">
        <v>1942</v>
      </c>
      <c r="G1619" s="1449"/>
      <c r="H1619" s="30">
        <v>30218169</v>
      </c>
      <c r="I1619" s="202">
        <v>32900</v>
      </c>
      <c r="J1619" s="392">
        <v>0.15</v>
      </c>
      <c r="K1619" s="1449"/>
      <c r="L1619" s="1586">
        <f t="shared" si="6"/>
        <v>0</v>
      </c>
      <c r="M1619" s="1586" t="s">
        <v>252</v>
      </c>
      <c r="N1619" s="1461"/>
    </row>
    <row r="1620" spans="2:15" ht="16.5" customHeight="1">
      <c r="B1620" s="1448"/>
      <c r="C1620" s="1448">
        <v>6</v>
      </c>
      <c r="D1620" s="1448" t="s">
        <v>257</v>
      </c>
      <c r="E1620" s="390">
        <v>30171699</v>
      </c>
      <c r="F1620" s="391" t="s">
        <v>258</v>
      </c>
      <c r="G1620" s="1449" t="s">
        <v>258</v>
      </c>
      <c r="H1620" s="30">
        <v>30172955</v>
      </c>
      <c r="I1620" s="202">
        <v>12900</v>
      </c>
      <c r="J1620" s="392">
        <v>0.15</v>
      </c>
      <c r="K1620" s="1449">
        <v>5</v>
      </c>
      <c r="L1620" s="1586">
        <f t="shared" si="6"/>
        <v>64500</v>
      </c>
      <c r="M1620" s="1586" t="s">
        <v>1943</v>
      </c>
      <c r="N1620" s="1461">
        <v>20250122130</v>
      </c>
    </row>
    <row r="1621" spans="2:15" ht="16.5" customHeight="1">
      <c r="B1621" s="1448"/>
      <c r="C1621" s="1448"/>
      <c r="D1621" s="1448"/>
      <c r="E1621" s="390">
        <v>30171703</v>
      </c>
      <c r="F1621" s="391" t="s">
        <v>260</v>
      </c>
      <c r="G1621" s="1449"/>
      <c r="H1621" s="30">
        <v>30172959</v>
      </c>
      <c r="I1621" s="202">
        <v>12900</v>
      </c>
      <c r="J1621" s="392">
        <v>0.15</v>
      </c>
      <c r="K1621" s="1449"/>
      <c r="L1621" s="1586">
        <f t="shared" si="6"/>
        <v>0</v>
      </c>
      <c r="M1621" s="1586"/>
      <c r="N1621" s="1461"/>
    </row>
    <row r="1622" spans="2:15" ht="16.5" customHeight="1">
      <c r="B1622" s="1448"/>
      <c r="C1622" s="1448"/>
      <c r="D1622" s="1448"/>
      <c r="E1622" s="390">
        <v>30171694</v>
      </c>
      <c r="F1622" s="391" t="s">
        <v>261</v>
      </c>
      <c r="G1622" s="1449"/>
      <c r="H1622" s="30">
        <v>30172945</v>
      </c>
      <c r="I1622" s="202">
        <v>13500</v>
      </c>
      <c r="J1622" s="392">
        <v>0.15</v>
      </c>
      <c r="K1622" s="1449"/>
      <c r="L1622" s="1586">
        <f t="shared" si="6"/>
        <v>0</v>
      </c>
      <c r="M1622" s="1586"/>
      <c r="N1622" s="1461"/>
    </row>
    <row r="1623" spans="2:15" ht="16.5" customHeight="1">
      <c r="B1623" s="1448"/>
      <c r="C1623" s="1448"/>
      <c r="D1623" s="1448"/>
      <c r="E1623" s="390">
        <v>30171697</v>
      </c>
      <c r="F1623" s="391" t="s">
        <v>262</v>
      </c>
      <c r="G1623" s="1449"/>
      <c r="H1623" s="30">
        <v>30172953</v>
      </c>
      <c r="I1623" s="202">
        <v>16900</v>
      </c>
      <c r="J1623" s="392">
        <v>0.15</v>
      </c>
      <c r="K1623" s="1449"/>
      <c r="L1623" s="1586">
        <f t="shared" si="6"/>
        <v>0</v>
      </c>
      <c r="M1623" s="1586"/>
      <c r="N1623" s="1461"/>
    </row>
    <row r="1624" spans="2:15" ht="16.5" customHeight="1">
      <c r="B1624" s="1448"/>
      <c r="C1624" s="1448"/>
      <c r="D1624" s="1448"/>
      <c r="E1624" s="390">
        <v>30175703</v>
      </c>
      <c r="F1624" s="391" t="s">
        <v>263</v>
      </c>
      <c r="G1624" s="1449"/>
      <c r="H1624" s="30">
        <v>30176294</v>
      </c>
      <c r="I1624" s="202">
        <v>17900</v>
      </c>
      <c r="J1624" s="392">
        <v>0.15</v>
      </c>
      <c r="K1624" s="1449"/>
      <c r="L1624" s="1586">
        <f t="shared" si="6"/>
        <v>0</v>
      </c>
      <c r="M1624" s="1586"/>
      <c r="N1624" s="1461"/>
    </row>
    <row r="1625" spans="2:15" ht="16.5" customHeight="1">
      <c r="B1625" s="1448"/>
      <c r="C1625" s="1448">
        <v>7</v>
      </c>
      <c r="D1625" s="1448" t="s">
        <v>239</v>
      </c>
      <c r="E1625" s="390">
        <v>55017643</v>
      </c>
      <c r="F1625" s="391" t="s">
        <v>1944</v>
      </c>
      <c r="G1625" s="1449" t="s">
        <v>1944</v>
      </c>
      <c r="H1625" s="30">
        <v>30167819</v>
      </c>
      <c r="I1625" s="202">
        <v>18900</v>
      </c>
      <c r="J1625" s="392">
        <v>0.15</v>
      </c>
      <c r="K1625" s="1449">
        <v>5</v>
      </c>
      <c r="L1625" s="1586">
        <f t="shared" si="6"/>
        <v>94500</v>
      </c>
      <c r="M1625" s="1586" t="s">
        <v>1945</v>
      </c>
      <c r="N1625" s="1461">
        <v>20250122131</v>
      </c>
    </row>
    <row r="1626" spans="2:15" ht="16.5" customHeight="1">
      <c r="B1626" s="1448"/>
      <c r="C1626" s="1448"/>
      <c r="D1626" s="1448"/>
      <c r="E1626" s="390">
        <v>55017630</v>
      </c>
      <c r="F1626" s="391" t="s">
        <v>1946</v>
      </c>
      <c r="G1626" s="1449"/>
      <c r="H1626" s="30">
        <v>30163475</v>
      </c>
      <c r="I1626" s="202">
        <v>16900</v>
      </c>
      <c r="J1626" s="392">
        <v>0.15</v>
      </c>
      <c r="K1626" s="1449"/>
      <c r="L1626" s="1586">
        <f t="shared" si="6"/>
        <v>0</v>
      </c>
      <c r="M1626" s="1586"/>
      <c r="N1626" s="1461"/>
    </row>
    <row r="1627" spans="2:15" ht="16.5" customHeight="1">
      <c r="B1627" s="1448"/>
      <c r="C1627" s="1448"/>
      <c r="D1627" s="1448"/>
      <c r="E1627" s="390">
        <v>55017581</v>
      </c>
      <c r="F1627" s="391" t="s">
        <v>1171</v>
      </c>
      <c r="G1627" s="1449"/>
      <c r="H1627" s="30">
        <v>30171296</v>
      </c>
      <c r="I1627" s="202">
        <v>21900</v>
      </c>
      <c r="J1627" s="392">
        <v>0.15</v>
      </c>
      <c r="K1627" s="1449"/>
      <c r="L1627" s="1586">
        <f t="shared" si="6"/>
        <v>0</v>
      </c>
      <c r="M1627" s="1586"/>
      <c r="N1627" s="1461"/>
    </row>
    <row r="1628" spans="2:15" ht="16.5" customHeight="1">
      <c r="B1628" s="1448"/>
      <c r="C1628" s="1448">
        <v>8</v>
      </c>
      <c r="D1628" s="1448" t="s">
        <v>226</v>
      </c>
      <c r="E1628" s="198">
        <v>68490979</v>
      </c>
      <c r="F1628" s="92" t="s">
        <v>1947</v>
      </c>
      <c r="G1628" s="1449" t="s">
        <v>1948</v>
      </c>
      <c r="H1628" s="30">
        <v>30218173</v>
      </c>
      <c r="I1628" s="202">
        <v>24900</v>
      </c>
      <c r="J1628" s="304">
        <v>0.15</v>
      </c>
      <c r="K1628" s="1449">
        <v>5</v>
      </c>
      <c r="L1628" s="1586">
        <f t="shared" si="6"/>
        <v>124500</v>
      </c>
      <c r="M1628" s="1586" t="s">
        <v>1949</v>
      </c>
      <c r="N1628" s="1461">
        <v>20250122132</v>
      </c>
    </row>
    <row r="1629" spans="2:15" ht="16.5" customHeight="1">
      <c r="B1629" s="1448"/>
      <c r="C1629" s="1448"/>
      <c r="D1629" s="1448"/>
      <c r="E1629" s="198">
        <v>68490977</v>
      </c>
      <c r="F1629" s="92" t="s">
        <v>1950</v>
      </c>
      <c r="G1629" s="1449"/>
      <c r="H1629" s="30">
        <v>30207014</v>
      </c>
      <c r="I1629" s="202">
        <v>42900</v>
      </c>
      <c r="J1629" s="304">
        <v>0.15</v>
      </c>
      <c r="K1629" s="1449"/>
      <c r="L1629" s="1586">
        <f t="shared" si="6"/>
        <v>0</v>
      </c>
      <c r="M1629" s="1586"/>
      <c r="N1629" s="1461"/>
    </row>
    <row r="1630" spans="2:15" ht="16.5" customHeight="1">
      <c r="B1630" s="1448"/>
      <c r="C1630" s="1448"/>
      <c r="D1630" s="1448"/>
      <c r="E1630" s="198">
        <v>68490976</v>
      </c>
      <c r="F1630" s="92" t="s">
        <v>1951</v>
      </c>
      <c r="G1630" s="1449"/>
      <c r="H1630" s="30">
        <v>30218183</v>
      </c>
      <c r="I1630" s="202">
        <v>59900</v>
      </c>
      <c r="J1630" s="304">
        <v>0.15</v>
      </c>
      <c r="K1630" s="1449"/>
      <c r="L1630" s="1586">
        <f t="shared" si="6"/>
        <v>0</v>
      </c>
      <c r="M1630" s="1586"/>
      <c r="N1630" s="1461"/>
    </row>
    <row r="1631" spans="2:15" ht="16.5" customHeight="1">
      <c r="B1631" s="1448" t="s">
        <v>417</v>
      </c>
      <c r="C1631" s="1448">
        <v>1</v>
      </c>
      <c r="D1631" s="1448" t="s">
        <v>439</v>
      </c>
      <c r="E1631" s="30">
        <v>69145947</v>
      </c>
      <c r="F1631" s="31" t="s">
        <v>1952</v>
      </c>
      <c r="G1631" s="1454" t="s">
        <v>1952</v>
      </c>
      <c r="H1631" s="30">
        <v>30198796</v>
      </c>
      <c r="I1631" s="202">
        <v>12900</v>
      </c>
      <c r="J1631" s="64">
        <v>0.1</v>
      </c>
      <c r="K1631" s="30">
        <v>10</v>
      </c>
      <c r="L1631" s="35">
        <v>100000</v>
      </c>
      <c r="M1631" s="1454" t="s">
        <v>1953</v>
      </c>
      <c r="N1631" s="1461">
        <v>20250122133</v>
      </c>
      <c r="O1631" s="4" t="s">
        <v>1954</v>
      </c>
    </row>
    <row r="1632" spans="2:15" ht="16.5" customHeight="1">
      <c r="B1632" s="1448"/>
      <c r="C1632" s="1448"/>
      <c r="D1632" s="1448"/>
      <c r="E1632" s="30">
        <v>69146249</v>
      </c>
      <c r="F1632" s="31" t="s">
        <v>1955</v>
      </c>
      <c r="G1632" s="1454"/>
      <c r="H1632" s="30">
        <v>30198797</v>
      </c>
      <c r="I1632" s="202">
        <v>11900</v>
      </c>
      <c r="J1632" s="64">
        <v>0.1</v>
      </c>
      <c r="K1632" s="30">
        <v>10</v>
      </c>
      <c r="L1632" s="35">
        <v>100000</v>
      </c>
      <c r="M1632" s="1454"/>
      <c r="N1632" s="1461"/>
    </row>
    <row r="1633" spans="2:14" ht="16.5" customHeight="1">
      <c r="B1633" s="1448"/>
      <c r="C1633" s="1448"/>
      <c r="D1633" s="1448"/>
      <c r="E1633" s="30">
        <v>69146414</v>
      </c>
      <c r="F1633" s="31" t="s">
        <v>1956</v>
      </c>
      <c r="G1633" s="1454"/>
      <c r="H1633" s="30">
        <v>30198800</v>
      </c>
      <c r="I1633" s="202">
        <v>11900</v>
      </c>
      <c r="J1633" s="64">
        <v>0.1</v>
      </c>
      <c r="K1633" s="30">
        <v>10</v>
      </c>
      <c r="L1633" s="35">
        <v>100000</v>
      </c>
      <c r="M1633" s="1454"/>
      <c r="N1633" s="1461"/>
    </row>
    <row r="1634" spans="2:14" ht="16.5" customHeight="1">
      <c r="B1634" s="1448"/>
      <c r="C1634" s="1448"/>
      <c r="D1634" s="1448"/>
      <c r="E1634" s="30">
        <v>69146784</v>
      </c>
      <c r="F1634" s="31" t="s">
        <v>1957</v>
      </c>
      <c r="G1634" s="1454"/>
      <c r="H1634" s="30">
        <v>30198801</v>
      </c>
      <c r="I1634" s="202">
        <v>12900</v>
      </c>
      <c r="J1634" s="64">
        <v>0.1</v>
      </c>
      <c r="K1634" s="30">
        <v>10</v>
      </c>
      <c r="L1634" s="35">
        <v>100000</v>
      </c>
      <c r="M1634" s="1454"/>
      <c r="N1634" s="1461"/>
    </row>
    <row r="1635" spans="2:14" ht="16.5" customHeight="1">
      <c r="B1635" s="1448"/>
      <c r="C1635" s="1448"/>
      <c r="D1635" s="1448"/>
      <c r="E1635" s="30">
        <v>69146924</v>
      </c>
      <c r="F1635" s="31" t="s">
        <v>1958</v>
      </c>
      <c r="G1635" s="1454"/>
      <c r="H1635" s="30">
        <v>30198802</v>
      </c>
      <c r="I1635" s="202">
        <v>11900</v>
      </c>
      <c r="J1635" s="64">
        <v>0.1</v>
      </c>
      <c r="K1635" s="30">
        <v>10</v>
      </c>
      <c r="L1635" s="35">
        <v>100000</v>
      </c>
      <c r="M1635" s="1454"/>
      <c r="N1635" s="1461"/>
    </row>
    <row r="1636" spans="2:14" ht="16.5" customHeight="1">
      <c r="B1636" s="1448"/>
      <c r="C1636" s="1448"/>
      <c r="D1636" s="1448"/>
      <c r="E1636" s="30">
        <v>69147018</v>
      </c>
      <c r="F1636" s="31" t="s">
        <v>1959</v>
      </c>
      <c r="G1636" s="1454"/>
      <c r="H1636" s="30">
        <v>30198803</v>
      </c>
      <c r="I1636" s="30">
        <v>11900</v>
      </c>
      <c r="J1636" s="64">
        <v>0.1</v>
      </c>
      <c r="K1636" s="30">
        <v>10</v>
      </c>
      <c r="L1636" s="35">
        <v>100000</v>
      </c>
      <c r="M1636" s="1454"/>
      <c r="N1636" s="1461"/>
    </row>
    <row r="1637" spans="2:14" ht="16.5" customHeight="1">
      <c r="B1637" s="1448"/>
      <c r="C1637" s="1448"/>
      <c r="D1637" s="1448"/>
      <c r="E1637" s="30">
        <v>69147115</v>
      </c>
      <c r="F1637" s="31" t="s">
        <v>1960</v>
      </c>
      <c r="G1637" s="1454"/>
      <c r="H1637" s="30">
        <v>30198804</v>
      </c>
      <c r="I1637" s="30">
        <v>10900</v>
      </c>
      <c r="J1637" s="64">
        <v>0.1</v>
      </c>
      <c r="K1637" s="30">
        <v>10</v>
      </c>
      <c r="L1637" s="35">
        <v>100000</v>
      </c>
      <c r="M1637" s="1454"/>
      <c r="N1637" s="1461"/>
    </row>
    <row r="1638" spans="2:14" ht="16.5" customHeight="1">
      <c r="B1638" s="1448"/>
      <c r="C1638" s="1448">
        <v>2</v>
      </c>
      <c r="D1638" s="1448" t="s">
        <v>1961</v>
      </c>
      <c r="E1638" s="30">
        <v>71443789</v>
      </c>
      <c r="F1638" s="31" t="s">
        <v>1962</v>
      </c>
      <c r="G1638" s="1454" t="s">
        <v>1962</v>
      </c>
      <c r="H1638" s="30">
        <v>30209009</v>
      </c>
      <c r="I1638" s="30">
        <v>11900</v>
      </c>
      <c r="J1638" s="64">
        <v>0.1</v>
      </c>
      <c r="K1638" s="30">
        <v>10</v>
      </c>
      <c r="L1638" s="35">
        <v>100000</v>
      </c>
      <c r="M1638" s="1454" t="s">
        <v>1963</v>
      </c>
      <c r="N1638" s="1461">
        <v>20250122134</v>
      </c>
    </row>
    <row r="1639" spans="2:14" ht="16.5" customHeight="1">
      <c r="B1639" s="1448"/>
      <c r="C1639" s="1448"/>
      <c r="D1639" s="1448"/>
      <c r="E1639" s="30">
        <v>71443803</v>
      </c>
      <c r="F1639" s="31" t="s">
        <v>1964</v>
      </c>
      <c r="G1639" s="1454"/>
      <c r="H1639" s="30">
        <v>30218091</v>
      </c>
      <c r="I1639" s="30">
        <v>21900</v>
      </c>
      <c r="J1639" s="64">
        <v>0.1</v>
      </c>
      <c r="K1639" s="30">
        <v>10</v>
      </c>
      <c r="L1639" s="35">
        <v>100000</v>
      </c>
      <c r="M1639" s="1454"/>
      <c r="N1639" s="1461"/>
    </row>
    <row r="1640" spans="2:14" ht="16.5" customHeight="1">
      <c r="B1640" s="1448"/>
      <c r="C1640" s="1448"/>
      <c r="D1640" s="1448"/>
      <c r="E1640" s="30">
        <v>71443756</v>
      </c>
      <c r="F1640" s="31" t="s">
        <v>1965</v>
      </c>
      <c r="G1640" s="1454"/>
      <c r="H1640" s="30">
        <v>30209010</v>
      </c>
      <c r="I1640" s="30">
        <v>13900</v>
      </c>
      <c r="J1640" s="64">
        <v>0.1</v>
      </c>
      <c r="K1640" s="30">
        <v>10</v>
      </c>
      <c r="L1640" s="35">
        <v>100000</v>
      </c>
      <c r="M1640" s="1454"/>
      <c r="N1640" s="1461"/>
    </row>
    <row r="1641" spans="2:14" ht="16.5" customHeight="1">
      <c r="B1641" s="1448"/>
      <c r="C1641" s="1448"/>
      <c r="D1641" s="1448"/>
      <c r="E1641" s="30">
        <v>71443762</v>
      </c>
      <c r="F1641" s="31" t="s">
        <v>1966</v>
      </c>
      <c r="G1641" s="1454"/>
      <c r="H1641" s="30">
        <v>30218090</v>
      </c>
      <c r="I1641" s="30">
        <v>24900</v>
      </c>
      <c r="J1641" s="64">
        <v>0.1</v>
      </c>
      <c r="K1641" s="30">
        <v>10</v>
      </c>
      <c r="L1641" s="35">
        <v>100000</v>
      </c>
      <c r="M1641" s="1454"/>
      <c r="N1641" s="1461"/>
    </row>
    <row r="1642" spans="2:14" ht="16.5" customHeight="1">
      <c r="B1642" s="1448"/>
      <c r="C1642" s="1448"/>
      <c r="D1642" s="1448"/>
      <c r="E1642" s="30">
        <v>71443840</v>
      </c>
      <c r="F1642" s="31" t="s">
        <v>1967</v>
      </c>
      <c r="G1642" s="1454"/>
      <c r="H1642" s="30">
        <v>30209012</v>
      </c>
      <c r="I1642" s="30">
        <v>12500</v>
      </c>
      <c r="J1642" s="64">
        <v>0.1</v>
      </c>
      <c r="K1642" s="30">
        <v>10</v>
      </c>
      <c r="L1642" s="35">
        <v>100000</v>
      </c>
      <c r="M1642" s="1454"/>
      <c r="N1642" s="1461"/>
    </row>
    <row r="1643" spans="2:14" ht="16.5" customHeight="1">
      <c r="B1643" s="1448"/>
      <c r="C1643" s="1448"/>
      <c r="D1643" s="1448"/>
      <c r="E1643" s="30">
        <v>71443848</v>
      </c>
      <c r="F1643" s="31" t="s">
        <v>1968</v>
      </c>
      <c r="G1643" s="1454"/>
      <c r="H1643" s="30">
        <v>30218089</v>
      </c>
      <c r="I1643" s="30">
        <v>22500</v>
      </c>
      <c r="J1643" s="64">
        <v>0.1</v>
      </c>
      <c r="K1643" s="30">
        <v>10</v>
      </c>
      <c r="L1643" s="35">
        <v>100000</v>
      </c>
      <c r="M1643" s="1454"/>
      <c r="N1643" s="1461"/>
    </row>
    <row r="1644" spans="2:14" ht="16.5" customHeight="1">
      <c r="B1644" s="1448"/>
      <c r="C1644" s="1448"/>
      <c r="D1644" s="1448"/>
      <c r="E1644" s="30">
        <v>71443871</v>
      </c>
      <c r="F1644" s="31" t="s">
        <v>1969</v>
      </c>
      <c r="G1644" s="1454"/>
      <c r="H1644" s="30">
        <v>30209011</v>
      </c>
      <c r="I1644" s="30">
        <v>13900</v>
      </c>
      <c r="J1644" s="64">
        <v>0.1</v>
      </c>
      <c r="K1644" s="30">
        <v>10</v>
      </c>
      <c r="L1644" s="35">
        <v>100000</v>
      </c>
      <c r="M1644" s="1454"/>
      <c r="N1644" s="1461"/>
    </row>
    <row r="1645" spans="2:14" ht="16.5" customHeight="1">
      <c r="B1645" s="1448"/>
      <c r="C1645" s="1448"/>
      <c r="D1645" s="1448"/>
      <c r="E1645" s="30">
        <v>71443872</v>
      </c>
      <c r="F1645" s="31" t="s">
        <v>1970</v>
      </c>
      <c r="G1645" s="1454"/>
      <c r="H1645" s="30">
        <v>30218087</v>
      </c>
      <c r="I1645" s="30">
        <v>24900</v>
      </c>
      <c r="J1645" s="64">
        <v>0.1</v>
      </c>
      <c r="K1645" s="30">
        <v>10</v>
      </c>
      <c r="L1645" s="35">
        <v>100000</v>
      </c>
      <c r="M1645" s="1454"/>
      <c r="N1645" s="1461"/>
    </row>
    <row r="1646" spans="2:14" ht="16.5" customHeight="1">
      <c r="B1646" s="1448"/>
      <c r="C1646" s="1448">
        <v>3</v>
      </c>
      <c r="D1646" s="1448" t="s">
        <v>426</v>
      </c>
      <c r="E1646" s="30">
        <v>11011539</v>
      </c>
      <c r="F1646" s="31" t="s">
        <v>1971</v>
      </c>
      <c r="G1646" s="1454" t="s">
        <v>1971</v>
      </c>
      <c r="H1646" s="30">
        <v>30163599</v>
      </c>
      <c r="I1646" s="30">
        <v>12900</v>
      </c>
      <c r="J1646" s="64">
        <v>0.1</v>
      </c>
      <c r="K1646" s="30">
        <v>10</v>
      </c>
      <c r="L1646" s="35">
        <v>100000</v>
      </c>
      <c r="M1646" s="1454" t="s">
        <v>1972</v>
      </c>
      <c r="N1646" s="1461">
        <v>20250122135</v>
      </c>
    </row>
    <row r="1647" spans="2:14" ht="16.5" customHeight="1">
      <c r="B1647" s="1448"/>
      <c r="C1647" s="1448"/>
      <c r="D1647" s="1448"/>
      <c r="E1647" s="30">
        <v>40173146</v>
      </c>
      <c r="F1647" s="31" t="s">
        <v>1973</v>
      </c>
      <c r="G1647" s="1454"/>
      <c r="H1647" s="30">
        <v>30218171</v>
      </c>
      <c r="I1647" s="30">
        <v>14900</v>
      </c>
      <c r="J1647" s="64">
        <v>0.1</v>
      </c>
      <c r="K1647" s="30">
        <v>10</v>
      </c>
      <c r="L1647" s="35">
        <v>100000</v>
      </c>
      <c r="M1647" s="1454"/>
      <c r="N1647" s="1461"/>
    </row>
    <row r="1648" spans="2:14" ht="16.5" customHeight="1">
      <c r="B1648" s="1448"/>
      <c r="C1648" s="1448"/>
      <c r="D1648" s="1448"/>
      <c r="E1648" s="30">
        <v>40173147</v>
      </c>
      <c r="F1648" s="31" t="s">
        <v>1974</v>
      </c>
      <c r="G1648" s="1454"/>
      <c r="H1648" s="30">
        <v>30218113</v>
      </c>
      <c r="I1648" s="30">
        <v>14900</v>
      </c>
      <c r="J1648" s="64">
        <v>0.1</v>
      </c>
      <c r="K1648" s="30">
        <v>10</v>
      </c>
      <c r="L1648" s="35">
        <v>100000</v>
      </c>
      <c r="M1648" s="1454"/>
      <c r="N1648" s="1461"/>
    </row>
    <row r="1649" spans="2:15" ht="16.5" customHeight="1">
      <c r="B1649" s="1448"/>
      <c r="C1649" s="1448"/>
      <c r="D1649" s="1448"/>
      <c r="E1649" s="30">
        <v>40173140</v>
      </c>
      <c r="F1649" s="31" t="s">
        <v>1975</v>
      </c>
      <c r="G1649" s="1454"/>
      <c r="H1649" s="30">
        <v>30163598</v>
      </c>
      <c r="I1649" s="30">
        <v>22900</v>
      </c>
      <c r="J1649" s="64">
        <v>0.1</v>
      </c>
      <c r="K1649" s="30">
        <v>10</v>
      </c>
      <c r="L1649" s="35">
        <v>100000</v>
      </c>
      <c r="M1649" s="1454"/>
      <c r="N1649" s="1461"/>
    </row>
    <row r="1650" spans="2:15" ht="16.5" customHeight="1">
      <c r="B1650" s="1448"/>
      <c r="C1650" s="1448">
        <v>4</v>
      </c>
      <c r="D1650" s="1448" t="s">
        <v>1241</v>
      </c>
      <c r="E1650" s="30">
        <v>46477676</v>
      </c>
      <c r="F1650" s="31" t="s">
        <v>1976</v>
      </c>
      <c r="G1650" s="1454" t="s">
        <v>1976</v>
      </c>
      <c r="H1650" s="30">
        <v>30170045</v>
      </c>
      <c r="I1650" s="30">
        <v>10900</v>
      </c>
      <c r="J1650" s="64">
        <v>0.1</v>
      </c>
      <c r="K1650" s="30">
        <v>10</v>
      </c>
      <c r="L1650" s="35">
        <v>100000</v>
      </c>
      <c r="M1650" s="1454" t="s">
        <v>1977</v>
      </c>
      <c r="N1650" s="1461">
        <v>20250122136</v>
      </c>
    </row>
    <row r="1651" spans="2:15" ht="16.5" customHeight="1">
      <c r="B1651" s="1448"/>
      <c r="C1651" s="1448"/>
      <c r="D1651" s="1448"/>
      <c r="E1651" s="30">
        <v>46477673</v>
      </c>
      <c r="F1651" s="31" t="s">
        <v>1978</v>
      </c>
      <c r="G1651" s="1454"/>
      <c r="H1651" s="30">
        <v>30170044</v>
      </c>
      <c r="I1651" s="30">
        <v>18900</v>
      </c>
      <c r="J1651" s="64">
        <v>0.1</v>
      </c>
      <c r="K1651" s="30">
        <v>10</v>
      </c>
      <c r="L1651" s="35">
        <v>100000</v>
      </c>
      <c r="M1651" s="1454"/>
      <c r="N1651" s="1461"/>
    </row>
    <row r="1652" spans="2:15" ht="16.5" customHeight="1">
      <c r="B1652" s="1448"/>
      <c r="C1652" s="1448"/>
      <c r="D1652" s="1448"/>
      <c r="E1652" s="30">
        <v>76691483</v>
      </c>
      <c r="F1652" s="31" t="s">
        <v>1979</v>
      </c>
      <c r="G1652" s="1454"/>
      <c r="H1652" s="30">
        <v>30218107</v>
      </c>
      <c r="I1652" s="30">
        <v>25900</v>
      </c>
      <c r="J1652" s="64">
        <v>0.1</v>
      </c>
      <c r="K1652" s="30">
        <v>10</v>
      </c>
      <c r="L1652" s="35">
        <v>100000</v>
      </c>
      <c r="M1652" s="1454"/>
      <c r="N1652" s="1461"/>
    </row>
    <row r="1653" spans="2:15" ht="16.5" customHeight="1">
      <c r="B1653" s="1448"/>
      <c r="C1653" s="1448"/>
      <c r="D1653" s="1448"/>
      <c r="E1653" s="30">
        <v>76691481</v>
      </c>
      <c r="F1653" s="31" t="s">
        <v>1980</v>
      </c>
      <c r="G1653" s="1454"/>
      <c r="H1653" s="30">
        <v>30218105</v>
      </c>
      <c r="I1653" s="30">
        <v>32900</v>
      </c>
      <c r="J1653" s="64">
        <v>0.1</v>
      </c>
      <c r="K1653" s="30">
        <v>10</v>
      </c>
      <c r="L1653" s="35">
        <v>100000</v>
      </c>
      <c r="M1653" s="1454"/>
      <c r="N1653" s="1461"/>
    </row>
    <row r="1654" spans="2:15" ht="16.5" customHeight="1">
      <c r="B1654" s="1448"/>
      <c r="C1654" s="1448"/>
      <c r="D1654" s="1448"/>
      <c r="E1654" s="30">
        <v>48253658</v>
      </c>
      <c r="F1654" s="31" t="s">
        <v>1981</v>
      </c>
      <c r="G1654" s="1454"/>
      <c r="H1654" s="30">
        <v>30218098</v>
      </c>
      <c r="I1654" s="30">
        <v>12600</v>
      </c>
      <c r="J1654" s="64">
        <v>0.1</v>
      </c>
      <c r="K1654" s="30">
        <v>10</v>
      </c>
      <c r="L1654" s="35">
        <v>100000</v>
      </c>
      <c r="M1654" s="1454"/>
      <c r="N1654" s="1461"/>
    </row>
    <row r="1655" spans="2:15" ht="16.5" customHeight="1">
      <c r="B1655" s="1448"/>
      <c r="C1655" s="1448"/>
      <c r="D1655" s="1448"/>
      <c r="E1655" s="30">
        <v>48253668</v>
      </c>
      <c r="F1655" s="31" t="s">
        <v>1982</v>
      </c>
      <c r="G1655" s="1454"/>
      <c r="H1655" s="30">
        <v>30218097</v>
      </c>
      <c r="I1655" s="30">
        <v>9900</v>
      </c>
      <c r="J1655" s="64">
        <v>0.1</v>
      </c>
      <c r="K1655" s="30">
        <v>10</v>
      </c>
      <c r="L1655" s="35">
        <v>100000</v>
      </c>
      <c r="M1655" s="1454"/>
      <c r="N1655" s="1461"/>
    </row>
    <row r="1656" spans="2:15" ht="16.5" customHeight="1">
      <c r="B1656" s="1448"/>
      <c r="C1656" s="1448"/>
      <c r="D1656" s="1448"/>
      <c r="E1656" s="30">
        <v>48253653</v>
      </c>
      <c r="F1656" s="31" t="s">
        <v>1983</v>
      </c>
      <c r="G1656" s="1454"/>
      <c r="H1656" s="30">
        <v>30218095</v>
      </c>
      <c r="I1656" s="30">
        <v>8500</v>
      </c>
      <c r="J1656" s="64">
        <v>0.1</v>
      </c>
      <c r="K1656" s="30">
        <v>10</v>
      </c>
      <c r="L1656" s="35">
        <v>100000</v>
      </c>
      <c r="M1656" s="1454"/>
      <c r="N1656" s="1461"/>
    </row>
    <row r="1657" spans="2:15" ht="16.5" customHeight="1">
      <c r="B1657" s="1448"/>
      <c r="C1657" s="1448"/>
      <c r="D1657" s="1448"/>
      <c r="E1657" s="30">
        <v>48253623</v>
      </c>
      <c r="F1657" s="31" t="s">
        <v>1984</v>
      </c>
      <c r="G1657" s="1454"/>
      <c r="H1657" s="30">
        <v>30218092</v>
      </c>
      <c r="I1657" s="30">
        <v>10900</v>
      </c>
      <c r="J1657" s="64">
        <v>0.1</v>
      </c>
      <c r="K1657" s="30">
        <v>10</v>
      </c>
      <c r="L1657" s="35">
        <v>100000</v>
      </c>
      <c r="M1657" s="1454"/>
      <c r="N1657" s="1461"/>
    </row>
    <row r="1658" spans="2:15" ht="16.5" customHeight="1">
      <c r="B1658" s="1448"/>
      <c r="C1658" s="1448">
        <v>5</v>
      </c>
      <c r="D1658" s="1448" t="s">
        <v>426</v>
      </c>
      <c r="E1658" s="30">
        <v>56704840</v>
      </c>
      <c r="F1658" s="31" t="s">
        <v>1985</v>
      </c>
      <c r="G1658" s="1448" t="s">
        <v>1985</v>
      </c>
      <c r="H1658" s="30">
        <v>30169213</v>
      </c>
      <c r="I1658" s="30">
        <v>15900</v>
      </c>
      <c r="J1658" s="64">
        <v>0.1</v>
      </c>
      <c r="K1658" s="30">
        <v>10</v>
      </c>
      <c r="L1658" s="35">
        <v>100000</v>
      </c>
      <c r="M1658" s="1454" t="s">
        <v>1986</v>
      </c>
      <c r="N1658" s="1461">
        <v>20250122137</v>
      </c>
    </row>
    <row r="1659" spans="2:15" ht="16.5" customHeight="1">
      <c r="B1659" s="1448"/>
      <c r="C1659" s="1448"/>
      <c r="D1659" s="1448"/>
      <c r="E1659" s="30">
        <v>56704836</v>
      </c>
      <c r="F1659" s="31" t="s">
        <v>1987</v>
      </c>
      <c r="G1659" s="1448"/>
      <c r="H1659" s="30">
        <v>30169212</v>
      </c>
      <c r="I1659" s="30">
        <v>24900</v>
      </c>
      <c r="J1659" s="64">
        <v>0.1</v>
      </c>
      <c r="K1659" s="30">
        <v>10</v>
      </c>
      <c r="L1659" s="35">
        <v>100000</v>
      </c>
      <c r="M1659" s="1454"/>
      <c r="N1659" s="1461"/>
    </row>
    <row r="1660" spans="2:15" ht="16.5" customHeight="1">
      <c r="B1660" s="1448"/>
      <c r="C1660" s="1448"/>
      <c r="D1660" s="1448"/>
      <c r="E1660" s="30">
        <v>56704833</v>
      </c>
      <c r="F1660" s="31" t="s">
        <v>1988</v>
      </c>
      <c r="G1660" s="1448"/>
      <c r="H1660" s="30">
        <v>30169211</v>
      </c>
      <c r="I1660" s="30">
        <v>29900</v>
      </c>
      <c r="J1660" s="64">
        <v>0.1</v>
      </c>
      <c r="K1660" s="30">
        <v>10</v>
      </c>
      <c r="L1660" s="35">
        <v>100000</v>
      </c>
      <c r="M1660" s="1454"/>
      <c r="N1660" s="1461"/>
    </row>
    <row r="1661" spans="2:15" ht="16.5" customHeight="1">
      <c r="B1661" s="1448"/>
      <c r="C1661" s="1448"/>
      <c r="D1661" s="1448"/>
      <c r="E1661" s="30">
        <v>56704830</v>
      </c>
      <c r="F1661" s="31" t="s">
        <v>1989</v>
      </c>
      <c r="G1661" s="1448"/>
      <c r="H1661" s="30">
        <v>30169210</v>
      </c>
      <c r="I1661" s="30">
        <v>41900</v>
      </c>
      <c r="J1661" s="64">
        <v>0.1</v>
      </c>
      <c r="K1661" s="30">
        <v>10</v>
      </c>
      <c r="L1661" s="35">
        <v>100000</v>
      </c>
      <c r="M1661" s="1454"/>
      <c r="N1661" s="1461"/>
    </row>
    <row r="1662" spans="2:15" ht="16.5" customHeight="1">
      <c r="B1662" s="1448" t="s">
        <v>477</v>
      </c>
      <c r="C1662" s="1543">
        <v>1</v>
      </c>
      <c r="D1662" s="1543" t="s">
        <v>1990</v>
      </c>
      <c r="E1662" s="234" t="s">
        <v>1991</v>
      </c>
      <c r="F1662" s="228" t="s">
        <v>1992</v>
      </c>
      <c r="G1662" s="1543" t="s">
        <v>1992</v>
      </c>
      <c r="H1662" s="234">
        <v>30212237</v>
      </c>
      <c r="I1662" s="234">
        <v>36900</v>
      </c>
      <c r="J1662" s="321">
        <v>7.0873786407766981E-2</v>
      </c>
      <c r="K1662" s="234">
        <v>10</v>
      </c>
      <c r="L1662" s="234">
        <f t="shared" ref="L1662:L1693" si="7">I1662*10</f>
        <v>369000</v>
      </c>
      <c r="M1662" s="1584" t="s">
        <v>1993</v>
      </c>
      <c r="N1662" s="1543">
        <v>20250121097</v>
      </c>
      <c r="O1662" s="4" t="s">
        <v>1282</v>
      </c>
    </row>
    <row r="1663" spans="2:15" ht="16.5" customHeight="1">
      <c r="B1663" s="1448"/>
      <c r="C1663" s="1543"/>
      <c r="D1663" s="1543"/>
      <c r="E1663" s="234" t="s">
        <v>1994</v>
      </c>
      <c r="F1663" s="228" t="s">
        <v>1995</v>
      </c>
      <c r="G1663" s="1543"/>
      <c r="H1663" s="234">
        <v>30212238</v>
      </c>
      <c r="I1663" s="234">
        <v>30900</v>
      </c>
      <c r="J1663" s="321">
        <v>6.385542168674696E-2</v>
      </c>
      <c r="K1663" s="234">
        <v>10</v>
      </c>
      <c r="L1663" s="234">
        <f t="shared" si="7"/>
        <v>309000</v>
      </c>
      <c r="M1663" s="1584"/>
      <c r="N1663" s="1543"/>
      <c r="O1663" s="4" t="s">
        <v>1285</v>
      </c>
    </row>
    <row r="1664" spans="2:15" ht="16.5" customHeight="1">
      <c r="B1664" s="1448"/>
      <c r="C1664" s="1543"/>
      <c r="D1664" s="1543"/>
      <c r="E1664" s="234" t="s">
        <v>1996</v>
      </c>
      <c r="F1664" s="228" t="s">
        <v>1997</v>
      </c>
      <c r="G1664" s="1543"/>
      <c r="H1664" s="234">
        <v>30212239</v>
      </c>
      <c r="I1664" s="234">
        <v>24900</v>
      </c>
      <c r="J1664" s="321">
        <v>6.9832402234636826E-2</v>
      </c>
      <c r="K1664" s="234">
        <v>10</v>
      </c>
      <c r="L1664" s="234">
        <f t="shared" si="7"/>
        <v>249000</v>
      </c>
      <c r="M1664" s="1584"/>
      <c r="N1664" s="1543"/>
    </row>
    <row r="1665" spans="2:15" ht="16.5" customHeight="1">
      <c r="B1665" s="1448"/>
      <c r="C1665" s="1543"/>
      <c r="D1665" s="1543"/>
      <c r="E1665" s="234" t="s">
        <v>1998</v>
      </c>
      <c r="F1665" s="228" t="s">
        <v>1999</v>
      </c>
      <c r="G1665" s="1543"/>
      <c r="H1665" s="234">
        <v>30212240</v>
      </c>
      <c r="I1665" s="234">
        <v>17900</v>
      </c>
      <c r="J1665" s="321">
        <v>5.5633802816901445E-2</v>
      </c>
      <c r="K1665" s="234">
        <v>10</v>
      </c>
      <c r="L1665" s="234">
        <f t="shared" si="7"/>
        <v>179000</v>
      </c>
      <c r="M1665" s="1584"/>
      <c r="N1665" s="1543"/>
    </row>
    <row r="1666" spans="2:15" ht="16.5" customHeight="1">
      <c r="B1666" s="1448"/>
      <c r="C1666" s="1543"/>
      <c r="D1666" s="1543"/>
      <c r="E1666" s="234" t="s">
        <v>2000</v>
      </c>
      <c r="F1666" s="228" t="s">
        <v>2001</v>
      </c>
      <c r="G1666" s="1543"/>
      <c r="H1666" s="234">
        <v>30212241</v>
      </c>
      <c r="I1666" s="234">
        <v>14200</v>
      </c>
      <c r="J1666" s="321">
        <v>6.1851851851851825E-2</v>
      </c>
      <c r="K1666" s="234">
        <v>10</v>
      </c>
      <c r="L1666" s="234">
        <f t="shared" si="7"/>
        <v>142000</v>
      </c>
      <c r="M1666" s="1584"/>
      <c r="N1666" s="1543"/>
    </row>
    <row r="1667" spans="2:15" ht="16.5" customHeight="1">
      <c r="B1667" s="1448"/>
      <c r="C1667" s="30">
        <v>2</v>
      </c>
      <c r="D1667" s="29" t="s">
        <v>803</v>
      </c>
      <c r="E1667" s="30">
        <v>56709957</v>
      </c>
      <c r="F1667" s="31" t="s">
        <v>804</v>
      </c>
      <c r="G1667" s="31" t="s">
        <v>804</v>
      </c>
      <c r="H1667" s="30">
        <v>30215068</v>
      </c>
      <c r="I1667" s="30">
        <v>13500</v>
      </c>
      <c r="J1667" s="64">
        <v>4.9408284023668592E-2</v>
      </c>
      <c r="K1667" s="30">
        <v>10</v>
      </c>
      <c r="L1667" s="30">
        <f t="shared" si="7"/>
        <v>135000</v>
      </c>
      <c r="M1667" s="31" t="s">
        <v>2002</v>
      </c>
      <c r="N1667" s="69">
        <v>20250122138</v>
      </c>
    </row>
    <row r="1668" spans="2:15" ht="16.5" customHeight="1">
      <c r="B1668" s="1448"/>
      <c r="C1668" s="1583">
        <v>3</v>
      </c>
      <c r="D1668" s="1583" t="s">
        <v>803</v>
      </c>
      <c r="E1668" s="395">
        <v>76702517</v>
      </c>
      <c r="F1668" s="396" t="s">
        <v>2003</v>
      </c>
      <c r="G1668" s="1585" t="s">
        <v>2003</v>
      </c>
      <c r="H1668" s="395">
        <v>30218177</v>
      </c>
      <c r="I1668" s="395">
        <v>16900</v>
      </c>
      <c r="J1668" s="397">
        <v>5.4934210526315752E-2</v>
      </c>
      <c r="K1668" s="395">
        <v>10</v>
      </c>
      <c r="L1668" s="395">
        <f t="shared" si="7"/>
        <v>169000</v>
      </c>
      <c r="M1668" s="1585" t="s">
        <v>2004</v>
      </c>
      <c r="N1668" s="1583">
        <v>20250122139</v>
      </c>
      <c r="O1668" s="4" t="s">
        <v>2005</v>
      </c>
    </row>
    <row r="1669" spans="2:15" ht="16.5" customHeight="1">
      <c r="B1669" s="1448"/>
      <c r="C1669" s="1583"/>
      <c r="D1669" s="1583"/>
      <c r="E1669" s="395">
        <v>76702507</v>
      </c>
      <c r="F1669" s="396" t="s">
        <v>2006</v>
      </c>
      <c r="G1669" s="1585"/>
      <c r="H1669" s="395">
        <v>30218175</v>
      </c>
      <c r="I1669" s="395">
        <v>15200</v>
      </c>
      <c r="J1669" s="397">
        <v>5.4850746268656714E-2</v>
      </c>
      <c r="K1669" s="395">
        <v>10</v>
      </c>
      <c r="L1669" s="395">
        <f t="shared" si="7"/>
        <v>152000</v>
      </c>
      <c r="M1669" s="1585"/>
      <c r="N1669" s="1583"/>
      <c r="O1669" s="4" t="s">
        <v>2007</v>
      </c>
    </row>
    <row r="1670" spans="2:15" ht="16.5" customHeight="1">
      <c r="B1670" s="1448"/>
      <c r="C1670" s="1583"/>
      <c r="D1670" s="1583"/>
      <c r="E1670" s="395">
        <v>76702512</v>
      </c>
      <c r="F1670" s="396" t="s">
        <v>2008</v>
      </c>
      <c r="G1670" s="1585"/>
      <c r="H1670" s="395">
        <v>30218174</v>
      </c>
      <c r="I1670" s="395">
        <v>13400</v>
      </c>
      <c r="J1670" s="397">
        <v>8.5326086956521774E-2</v>
      </c>
      <c r="K1670" s="395">
        <v>10</v>
      </c>
      <c r="L1670" s="395">
        <f t="shared" si="7"/>
        <v>134000</v>
      </c>
      <c r="M1670" s="1585"/>
      <c r="N1670" s="1583"/>
      <c r="O1670" s="4" t="s">
        <v>2009</v>
      </c>
    </row>
    <row r="1671" spans="2:15" ht="16.5" customHeight="1">
      <c r="B1671" s="1448"/>
      <c r="C1671" s="1448">
        <v>4</v>
      </c>
      <c r="D1671" s="1448" t="s">
        <v>2010</v>
      </c>
      <c r="E1671" s="30" t="s">
        <v>2011</v>
      </c>
      <c r="F1671" s="31" t="s">
        <v>2012</v>
      </c>
      <c r="G1671" s="1448" t="s">
        <v>2012</v>
      </c>
      <c r="H1671" s="30">
        <v>30218198</v>
      </c>
      <c r="I1671" s="30">
        <v>9200</v>
      </c>
      <c r="J1671" s="64">
        <v>8.8848920863309311E-2</v>
      </c>
      <c r="K1671" s="30">
        <v>10</v>
      </c>
      <c r="L1671" s="30">
        <f t="shared" si="7"/>
        <v>92000</v>
      </c>
      <c r="M1671" s="1454" t="s">
        <v>2013</v>
      </c>
      <c r="N1671" s="1461">
        <v>20250122140</v>
      </c>
    </row>
    <row r="1672" spans="2:15" ht="16.5" customHeight="1">
      <c r="B1672" s="1448"/>
      <c r="C1672" s="1448"/>
      <c r="D1672" s="1448"/>
      <c r="E1672" s="30" t="s">
        <v>2014</v>
      </c>
      <c r="F1672" s="31" t="s">
        <v>2015</v>
      </c>
      <c r="G1672" s="1448"/>
      <c r="H1672" s="30">
        <v>30218197</v>
      </c>
      <c r="I1672" s="30">
        <v>13900</v>
      </c>
      <c r="J1672" s="64">
        <v>9.9704142011834307E-2</v>
      </c>
      <c r="K1672" s="30">
        <v>10</v>
      </c>
      <c r="L1672" s="30">
        <f t="shared" si="7"/>
        <v>139000</v>
      </c>
      <c r="M1672" s="1454"/>
      <c r="N1672" s="1461"/>
    </row>
    <row r="1673" spans="2:15" ht="16.5" customHeight="1">
      <c r="B1673" s="1448"/>
      <c r="C1673" s="1448"/>
      <c r="D1673" s="1448"/>
      <c r="E1673" s="30" t="s">
        <v>2016</v>
      </c>
      <c r="F1673" s="31" t="s">
        <v>2017</v>
      </c>
      <c r="G1673" s="1448"/>
      <c r="H1673" s="30">
        <v>30218195</v>
      </c>
      <c r="I1673" s="30">
        <v>16900</v>
      </c>
      <c r="J1673" s="64">
        <v>9.8223350253807129E-2</v>
      </c>
      <c r="K1673" s="30">
        <v>10</v>
      </c>
      <c r="L1673" s="30">
        <f t="shared" si="7"/>
        <v>169000</v>
      </c>
      <c r="M1673" s="1454"/>
      <c r="N1673" s="1461"/>
    </row>
    <row r="1674" spans="2:15" ht="16.5" customHeight="1">
      <c r="B1674" s="1448"/>
      <c r="C1674" s="1448"/>
      <c r="D1674" s="1448"/>
      <c r="E1674" s="30" t="s">
        <v>2018</v>
      </c>
      <c r="F1674" s="31" t="s">
        <v>2019</v>
      </c>
      <c r="G1674" s="1448"/>
      <c r="H1674" s="30">
        <v>30218194</v>
      </c>
      <c r="I1674" s="30">
        <v>19700</v>
      </c>
      <c r="J1674" s="64">
        <v>9.7111111111111148E-2</v>
      </c>
      <c r="K1674" s="30">
        <v>10</v>
      </c>
      <c r="L1674" s="30">
        <f t="shared" si="7"/>
        <v>197000</v>
      </c>
      <c r="M1674" s="1454"/>
      <c r="N1674" s="1461"/>
    </row>
    <row r="1675" spans="2:15" ht="16.5" customHeight="1">
      <c r="B1675" s="1448"/>
      <c r="C1675" s="1448"/>
      <c r="D1675" s="1448"/>
      <c r="E1675" s="30" t="s">
        <v>2020</v>
      </c>
      <c r="F1675" s="31" t="s">
        <v>2021</v>
      </c>
      <c r="G1675" s="1448"/>
      <c r="H1675" s="30">
        <v>30218192</v>
      </c>
      <c r="I1675" s="30">
        <v>22500</v>
      </c>
      <c r="J1675" s="64">
        <v>0.10333333333333339</v>
      </c>
      <c r="K1675" s="30">
        <v>10</v>
      </c>
      <c r="L1675" s="30">
        <f t="shared" si="7"/>
        <v>225000</v>
      </c>
      <c r="M1675" s="1454"/>
      <c r="N1675" s="1461"/>
    </row>
    <row r="1676" spans="2:15" ht="16.5" customHeight="1">
      <c r="B1676" s="1448"/>
      <c r="C1676" s="1448"/>
      <c r="D1676" s="1448"/>
      <c r="E1676" s="30" t="s">
        <v>2022</v>
      </c>
      <c r="F1676" s="31" t="s">
        <v>2023</v>
      </c>
      <c r="G1676" s="1448"/>
      <c r="H1676" s="30">
        <v>30218191</v>
      </c>
      <c r="I1676" s="30">
        <v>25500</v>
      </c>
      <c r="J1676" s="64">
        <v>7.4162679425837319E-2</v>
      </c>
      <c r="K1676" s="30">
        <v>10</v>
      </c>
      <c r="L1676" s="30">
        <f t="shared" si="7"/>
        <v>255000</v>
      </c>
      <c r="M1676" s="1454"/>
      <c r="N1676" s="1461"/>
    </row>
    <row r="1677" spans="2:15" ht="16.5" customHeight="1">
      <c r="B1677" s="1448"/>
      <c r="C1677" s="1448">
        <v>5</v>
      </c>
      <c r="D1677" s="1448" t="s">
        <v>495</v>
      </c>
      <c r="E1677" s="30" t="s">
        <v>2024</v>
      </c>
      <c r="F1677" s="31" t="s">
        <v>2025</v>
      </c>
      <c r="G1677" s="1448" t="s">
        <v>2025</v>
      </c>
      <c r="H1677" s="30">
        <v>30218190</v>
      </c>
      <c r="I1677" s="30">
        <v>20900</v>
      </c>
      <c r="J1677" s="64">
        <v>5.9888579387186613E-2</v>
      </c>
      <c r="K1677" s="30">
        <v>10</v>
      </c>
      <c r="L1677" s="30">
        <f t="shared" si="7"/>
        <v>209000</v>
      </c>
      <c r="M1677" s="1454" t="s">
        <v>2026</v>
      </c>
      <c r="N1677" s="1461">
        <v>20250122141</v>
      </c>
    </row>
    <row r="1678" spans="2:15" ht="16.5" customHeight="1">
      <c r="B1678" s="1448"/>
      <c r="C1678" s="1448"/>
      <c r="D1678" s="1448"/>
      <c r="E1678" s="30" t="s">
        <v>2027</v>
      </c>
      <c r="F1678" s="31" t="s">
        <v>2028</v>
      </c>
      <c r="G1678" s="1448"/>
      <c r="H1678" s="30">
        <v>30218189</v>
      </c>
      <c r="I1678" s="30">
        <v>35900</v>
      </c>
      <c r="J1678" s="64">
        <v>5.4027504911591362E-2</v>
      </c>
      <c r="K1678" s="30">
        <v>10</v>
      </c>
      <c r="L1678" s="30">
        <f t="shared" si="7"/>
        <v>359000</v>
      </c>
      <c r="M1678" s="1454"/>
      <c r="N1678" s="1461"/>
    </row>
    <row r="1679" spans="2:15" ht="16.5" customHeight="1">
      <c r="B1679" s="1448"/>
      <c r="C1679" s="1448"/>
      <c r="D1679" s="1448"/>
      <c r="E1679" s="30" t="s">
        <v>2029</v>
      </c>
      <c r="F1679" s="31" t="s">
        <v>2030</v>
      </c>
      <c r="G1679" s="1448"/>
      <c r="H1679" s="30">
        <v>30218188</v>
      </c>
      <c r="I1679" s="30">
        <v>50900</v>
      </c>
      <c r="J1679" s="64">
        <v>9.9999999999999978E-2</v>
      </c>
      <c r="K1679" s="30">
        <v>10</v>
      </c>
      <c r="L1679" s="30">
        <f t="shared" si="7"/>
        <v>509000</v>
      </c>
      <c r="M1679" s="1454"/>
      <c r="N1679" s="1461"/>
    </row>
    <row r="1680" spans="2:15" ht="16.5" customHeight="1">
      <c r="B1680" s="1448"/>
      <c r="C1680" s="1448">
        <v>6</v>
      </c>
      <c r="D1680" s="1448" t="s">
        <v>1306</v>
      </c>
      <c r="E1680" s="30">
        <v>49344202</v>
      </c>
      <c r="F1680" s="31" t="s">
        <v>2031</v>
      </c>
      <c r="G1680" s="1448" t="s">
        <v>2031</v>
      </c>
      <c r="H1680" s="30">
        <v>30212222</v>
      </c>
      <c r="I1680" s="30">
        <v>10900</v>
      </c>
      <c r="J1680" s="64">
        <v>9.9999999999999978E-2</v>
      </c>
      <c r="K1680" s="30">
        <v>10</v>
      </c>
      <c r="L1680" s="30">
        <f t="shared" si="7"/>
        <v>109000</v>
      </c>
      <c r="M1680" s="1454" t="s">
        <v>2032</v>
      </c>
      <c r="N1680" s="1461">
        <v>20250122142</v>
      </c>
    </row>
    <row r="1681" spans="2:14" ht="16.5" customHeight="1">
      <c r="B1681" s="1448"/>
      <c r="C1681" s="1448"/>
      <c r="D1681" s="1448"/>
      <c r="E1681" s="30">
        <v>72472601</v>
      </c>
      <c r="F1681" s="31" t="s">
        <v>2033</v>
      </c>
      <c r="G1681" s="1448"/>
      <c r="H1681" s="30">
        <v>30212219</v>
      </c>
      <c r="I1681" s="30">
        <v>12900</v>
      </c>
      <c r="J1681" s="64">
        <v>9.9999999999999978E-2</v>
      </c>
      <c r="K1681" s="30">
        <v>10</v>
      </c>
      <c r="L1681" s="30">
        <f t="shared" si="7"/>
        <v>129000</v>
      </c>
      <c r="M1681" s="1454"/>
      <c r="N1681" s="1461"/>
    </row>
    <row r="1682" spans="2:14" ht="16.5" customHeight="1">
      <c r="B1682" s="1448"/>
      <c r="C1682" s="1448"/>
      <c r="D1682" s="1448"/>
      <c r="E1682" s="30">
        <v>61127299</v>
      </c>
      <c r="F1682" s="31" t="s">
        <v>2034</v>
      </c>
      <c r="G1682" s="1448"/>
      <c r="H1682" s="30">
        <v>30212223</v>
      </c>
      <c r="I1682" s="30">
        <v>13500</v>
      </c>
      <c r="J1682" s="64">
        <v>9.9999999999999978E-2</v>
      </c>
      <c r="K1682" s="30">
        <v>10</v>
      </c>
      <c r="L1682" s="30">
        <f t="shared" si="7"/>
        <v>135000</v>
      </c>
      <c r="M1682" s="1454"/>
      <c r="N1682" s="1461"/>
    </row>
    <row r="1683" spans="2:14" ht="16.5" customHeight="1">
      <c r="B1683" s="1448"/>
      <c r="C1683" s="1448"/>
      <c r="D1683" s="1448"/>
      <c r="E1683" s="30">
        <v>76559448</v>
      </c>
      <c r="F1683" s="31" t="s">
        <v>2035</v>
      </c>
      <c r="G1683" s="1448"/>
      <c r="H1683" s="30">
        <v>30218187</v>
      </c>
      <c r="I1683" s="30">
        <v>13500</v>
      </c>
      <c r="J1683" s="64">
        <v>9.9999999999999978E-2</v>
      </c>
      <c r="K1683" s="30">
        <v>10</v>
      </c>
      <c r="L1683" s="30">
        <f t="shared" si="7"/>
        <v>135000</v>
      </c>
      <c r="M1683" s="1454"/>
      <c r="N1683" s="1461"/>
    </row>
    <row r="1684" spans="2:14" ht="16.5" customHeight="1">
      <c r="B1684" s="1448"/>
      <c r="C1684" s="1448"/>
      <c r="D1684" s="1448"/>
      <c r="E1684" s="30">
        <v>49344198</v>
      </c>
      <c r="F1684" s="31" t="s">
        <v>2036</v>
      </c>
      <c r="G1684" s="1448"/>
      <c r="H1684" s="30">
        <v>30212220</v>
      </c>
      <c r="I1684" s="30">
        <v>13900</v>
      </c>
      <c r="J1684" s="64">
        <v>9.9999999999999978E-2</v>
      </c>
      <c r="K1684" s="30">
        <v>10</v>
      </c>
      <c r="L1684" s="30">
        <f t="shared" si="7"/>
        <v>139000</v>
      </c>
      <c r="M1684" s="1454"/>
      <c r="N1684" s="1461"/>
    </row>
    <row r="1685" spans="2:14" ht="16.5" customHeight="1">
      <c r="B1685" s="1448"/>
      <c r="C1685" s="1448">
        <v>7</v>
      </c>
      <c r="D1685" s="1448" t="s">
        <v>478</v>
      </c>
      <c r="E1685" s="30">
        <v>63374424</v>
      </c>
      <c r="F1685" s="31" t="s">
        <v>2037</v>
      </c>
      <c r="G1685" s="1448" t="s">
        <v>2037</v>
      </c>
      <c r="H1685" s="30">
        <v>30212308</v>
      </c>
      <c r="I1685" s="30">
        <v>10500</v>
      </c>
      <c r="J1685" s="64">
        <v>9.9999999999999978E-2</v>
      </c>
      <c r="K1685" s="30">
        <v>10</v>
      </c>
      <c r="L1685" s="30">
        <f t="shared" si="7"/>
        <v>105000</v>
      </c>
      <c r="M1685" s="1454" t="s">
        <v>2038</v>
      </c>
      <c r="N1685" s="1461">
        <v>20250122143</v>
      </c>
    </row>
    <row r="1686" spans="2:14" ht="16.5" customHeight="1">
      <c r="B1686" s="1448"/>
      <c r="C1686" s="1448"/>
      <c r="D1686" s="1448"/>
      <c r="E1686" s="30">
        <v>63374423</v>
      </c>
      <c r="F1686" s="31" t="s">
        <v>2039</v>
      </c>
      <c r="G1686" s="1448"/>
      <c r="H1686" s="30">
        <v>30218186</v>
      </c>
      <c r="I1686" s="30">
        <v>16900</v>
      </c>
      <c r="J1686" s="64">
        <v>9.9999999999999978E-2</v>
      </c>
      <c r="K1686" s="30">
        <v>10</v>
      </c>
      <c r="L1686" s="30">
        <f t="shared" si="7"/>
        <v>169000</v>
      </c>
      <c r="M1686" s="1454"/>
      <c r="N1686" s="1461"/>
    </row>
    <row r="1687" spans="2:14" ht="16.5" customHeight="1">
      <c r="B1687" s="1448"/>
      <c r="C1687" s="1448"/>
      <c r="D1687" s="1448"/>
      <c r="E1687" s="30">
        <v>63374421</v>
      </c>
      <c r="F1687" s="31" t="s">
        <v>2040</v>
      </c>
      <c r="G1687" s="1448"/>
      <c r="H1687" s="30">
        <v>30212311</v>
      </c>
      <c r="I1687" s="30">
        <v>13500</v>
      </c>
      <c r="J1687" s="64">
        <v>9.9999999999999978E-2</v>
      </c>
      <c r="K1687" s="30">
        <v>10</v>
      </c>
      <c r="L1687" s="30">
        <f t="shared" si="7"/>
        <v>135000</v>
      </c>
      <c r="M1687" s="1454"/>
      <c r="N1687" s="1461"/>
    </row>
    <row r="1688" spans="2:14" ht="16.5" customHeight="1">
      <c r="B1688" s="1448"/>
      <c r="C1688" s="1448"/>
      <c r="D1688" s="1448"/>
      <c r="E1688" s="30">
        <v>63374425</v>
      </c>
      <c r="F1688" s="31" t="s">
        <v>2041</v>
      </c>
      <c r="G1688" s="1448"/>
      <c r="H1688" s="30">
        <v>30212310</v>
      </c>
      <c r="I1688" s="30">
        <v>22900</v>
      </c>
      <c r="J1688" s="64">
        <v>9.9999999999999978E-2</v>
      </c>
      <c r="K1688" s="30">
        <v>10</v>
      </c>
      <c r="L1688" s="30">
        <f t="shared" si="7"/>
        <v>229000</v>
      </c>
      <c r="M1688" s="1454"/>
      <c r="N1688" s="1461"/>
    </row>
    <row r="1689" spans="2:14" ht="16.5" customHeight="1">
      <c r="B1689" s="1448"/>
      <c r="C1689" s="1448"/>
      <c r="D1689" s="1448"/>
      <c r="E1689" s="30">
        <v>71875862</v>
      </c>
      <c r="F1689" s="31" t="s">
        <v>2042</v>
      </c>
      <c r="G1689" s="1448"/>
      <c r="H1689" s="30">
        <v>30212307</v>
      </c>
      <c r="I1689" s="30">
        <v>11000</v>
      </c>
      <c r="J1689" s="64">
        <v>9.9999999999999978E-2</v>
      </c>
      <c r="K1689" s="30">
        <v>10</v>
      </c>
      <c r="L1689" s="30">
        <f t="shared" si="7"/>
        <v>110000</v>
      </c>
      <c r="M1689" s="1454"/>
      <c r="N1689" s="1461"/>
    </row>
    <row r="1690" spans="2:14" ht="16.5" customHeight="1">
      <c r="B1690" s="1448"/>
      <c r="C1690" s="1448">
        <v>9</v>
      </c>
      <c r="D1690" s="1448" t="s">
        <v>478</v>
      </c>
      <c r="E1690" s="30">
        <v>72201627</v>
      </c>
      <c r="F1690" s="31" t="s">
        <v>2043</v>
      </c>
      <c r="G1690" s="1448" t="s">
        <v>2043</v>
      </c>
      <c r="H1690" s="30">
        <v>30209959</v>
      </c>
      <c r="I1690" s="30">
        <v>8500</v>
      </c>
      <c r="J1690" s="64">
        <v>9.9999999999999978E-2</v>
      </c>
      <c r="K1690" s="30">
        <v>10</v>
      </c>
      <c r="L1690" s="30">
        <f t="shared" si="7"/>
        <v>85000</v>
      </c>
      <c r="M1690" s="1454" t="s">
        <v>2044</v>
      </c>
      <c r="N1690" s="1461">
        <v>20250122144</v>
      </c>
    </row>
    <row r="1691" spans="2:14" ht="16.5" customHeight="1">
      <c r="B1691" s="1448"/>
      <c r="C1691" s="1448"/>
      <c r="D1691" s="1448"/>
      <c r="E1691" s="30">
        <v>63377795</v>
      </c>
      <c r="F1691" s="31" t="s">
        <v>2045</v>
      </c>
      <c r="G1691" s="1448"/>
      <c r="H1691" s="30">
        <v>30218185</v>
      </c>
      <c r="I1691" s="30">
        <v>9900</v>
      </c>
      <c r="J1691" s="64">
        <v>9.9999999999999978E-2</v>
      </c>
      <c r="K1691" s="30">
        <v>10</v>
      </c>
      <c r="L1691" s="30">
        <f t="shared" si="7"/>
        <v>99000</v>
      </c>
      <c r="M1691" s="1454"/>
      <c r="N1691" s="1461"/>
    </row>
    <row r="1692" spans="2:14" ht="16.5" customHeight="1">
      <c r="B1692" s="1448"/>
      <c r="C1692" s="1448"/>
      <c r="D1692" s="1448"/>
      <c r="E1692" s="30">
        <v>74033181</v>
      </c>
      <c r="F1692" s="31" t="s">
        <v>2046</v>
      </c>
      <c r="G1692" s="1448"/>
      <c r="H1692" s="30">
        <v>30214206</v>
      </c>
      <c r="I1692" s="30">
        <v>10900</v>
      </c>
      <c r="J1692" s="64">
        <v>9.9999999999999978E-2</v>
      </c>
      <c r="K1692" s="30">
        <v>10</v>
      </c>
      <c r="L1692" s="30">
        <f t="shared" si="7"/>
        <v>109000</v>
      </c>
      <c r="M1692" s="1454"/>
      <c r="N1692" s="1461"/>
    </row>
    <row r="1693" spans="2:14" ht="16.5" customHeight="1">
      <c r="B1693" s="1448"/>
      <c r="C1693" s="1448"/>
      <c r="D1693" s="1448"/>
      <c r="E1693" s="30">
        <v>72836646</v>
      </c>
      <c r="F1693" s="31" t="s">
        <v>2047</v>
      </c>
      <c r="G1693" s="1448"/>
      <c r="H1693" s="30">
        <v>30218181</v>
      </c>
      <c r="I1693" s="30">
        <v>6900</v>
      </c>
      <c r="J1693" s="64">
        <v>9.9999999999999978E-2</v>
      </c>
      <c r="K1693" s="30">
        <v>10</v>
      </c>
      <c r="L1693" s="30">
        <f t="shared" si="7"/>
        <v>69000</v>
      </c>
      <c r="M1693" s="1454"/>
      <c r="N1693" s="1461"/>
    </row>
    <row r="1694" spans="2:14" ht="16.5" customHeight="1">
      <c r="B1694" s="1448"/>
      <c r="C1694" s="1448"/>
      <c r="D1694" s="1448"/>
      <c r="E1694" s="30">
        <v>76543689</v>
      </c>
      <c r="F1694" s="31" t="s">
        <v>2048</v>
      </c>
      <c r="G1694" s="1448"/>
      <c r="H1694" s="30">
        <v>30218179</v>
      </c>
      <c r="I1694" s="30">
        <v>9500</v>
      </c>
      <c r="J1694" s="64">
        <v>9.9999999999999978E-2</v>
      </c>
      <c r="K1694" s="30">
        <v>10</v>
      </c>
      <c r="L1694" s="30">
        <f>I1694*10</f>
        <v>95000</v>
      </c>
      <c r="M1694" s="1454"/>
      <c r="N1694" s="1461"/>
    </row>
    <row r="1695" spans="2:14" ht="16.5" customHeight="1">
      <c r="B1695" s="1520" t="s">
        <v>264</v>
      </c>
      <c r="C1695" s="1520">
        <v>1</v>
      </c>
      <c r="D1695" s="1520" t="s">
        <v>265</v>
      </c>
      <c r="E1695" s="38">
        <v>71220928</v>
      </c>
      <c r="F1695" s="38" t="s">
        <v>649</v>
      </c>
      <c r="G1695" s="1521" t="s">
        <v>2049</v>
      </c>
      <c r="H1695" s="38">
        <v>30210943</v>
      </c>
      <c r="I1695" s="41">
        <v>8900</v>
      </c>
      <c r="J1695" s="42">
        <v>0.1</v>
      </c>
      <c r="K1695" s="38">
        <v>5</v>
      </c>
      <c r="L1695" s="41">
        <v>44500</v>
      </c>
      <c r="M1695" s="1521" t="s">
        <v>651</v>
      </c>
      <c r="N1695" s="1461">
        <v>20250122145</v>
      </c>
    </row>
    <row r="1696" spans="2:14" ht="16.5" customHeight="1">
      <c r="B1696" s="1520"/>
      <c r="C1696" s="1520"/>
      <c r="D1696" s="1520"/>
      <c r="E1696" s="38">
        <v>70794379</v>
      </c>
      <c r="F1696" s="38" t="s">
        <v>271</v>
      </c>
      <c r="G1696" s="1521"/>
      <c r="H1696" s="38">
        <v>30208327</v>
      </c>
      <c r="I1696" s="41">
        <v>8900</v>
      </c>
      <c r="J1696" s="42">
        <v>0.1</v>
      </c>
      <c r="K1696" s="38">
        <v>5</v>
      </c>
      <c r="L1696" s="41">
        <v>44500</v>
      </c>
      <c r="M1696" s="1521"/>
      <c r="N1696" s="1461"/>
    </row>
    <row r="1697" spans="2:14" ht="16.5" customHeight="1">
      <c r="B1697" s="1520"/>
      <c r="C1697" s="1520"/>
      <c r="D1697" s="1520"/>
      <c r="E1697" s="38">
        <v>70258719</v>
      </c>
      <c r="F1697" s="38" t="s">
        <v>1413</v>
      </c>
      <c r="G1697" s="1521"/>
      <c r="H1697" s="38">
        <v>30218321</v>
      </c>
      <c r="I1697" s="41">
        <v>17900</v>
      </c>
      <c r="J1697" s="42">
        <v>0.1</v>
      </c>
      <c r="K1697" s="38">
        <v>5</v>
      </c>
      <c r="L1697" s="41">
        <v>89500</v>
      </c>
      <c r="M1697" s="1521"/>
      <c r="N1697" s="1461"/>
    </row>
    <row r="1698" spans="2:14" ht="16.5" customHeight="1">
      <c r="B1698" s="1520"/>
      <c r="C1698" s="1520"/>
      <c r="D1698" s="1520"/>
      <c r="E1698" s="38">
        <v>71007345</v>
      </c>
      <c r="F1698" s="38" t="s">
        <v>270</v>
      </c>
      <c r="G1698" s="1521"/>
      <c r="H1698" s="38">
        <v>30215387</v>
      </c>
      <c r="I1698" s="41">
        <v>10500</v>
      </c>
      <c r="J1698" s="42">
        <v>0.1</v>
      </c>
      <c r="K1698" s="38">
        <v>5</v>
      </c>
      <c r="L1698" s="41">
        <v>52500</v>
      </c>
      <c r="M1698" s="1521"/>
      <c r="N1698" s="1461"/>
    </row>
    <row r="1699" spans="2:14" ht="16.5" customHeight="1">
      <c r="B1699" s="1520"/>
      <c r="C1699" s="1520"/>
      <c r="D1699" s="1520"/>
      <c r="E1699" s="38">
        <v>66281110</v>
      </c>
      <c r="F1699" s="38" t="s">
        <v>654</v>
      </c>
      <c r="G1699" s="1521"/>
      <c r="H1699" s="38">
        <v>30215388</v>
      </c>
      <c r="I1699" s="41">
        <v>21900</v>
      </c>
      <c r="J1699" s="42">
        <v>0.1</v>
      </c>
      <c r="K1699" s="38">
        <v>5</v>
      </c>
      <c r="L1699" s="41">
        <v>109500</v>
      </c>
      <c r="M1699" s="1521"/>
      <c r="N1699" s="1461"/>
    </row>
    <row r="1700" spans="2:14" ht="16.5" customHeight="1">
      <c r="B1700" s="1520"/>
      <c r="C1700" s="1520">
        <v>2</v>
      </c>
      <c r="D1700" s="1521" t="s">
        <v>299</v>
      </c>
      <c r="E1700" s="38">
        <v>76375011</v>
      </c>
      <c r="F1700" s="38" t="s">
        <v>2050</v>
      </c>
      <c r="G1700" s="1521" t="s">
        <v>2051</v>
      </c>
      <c r="H1700" s="38">
        <v>30218322</v>
      </c>
      <c r="I1700" s="41">
        <v>14900</v>
      </c>
      <c r="J1700" s="42">
        <v>0.08</v>
      </c>
      <c r="K1700" s="38">
        <v>5</v>
      </c>
      <c r="L1700" s="41">
        <v>74500</v>
      </c>
      <c r="M1700" s="1521" t="s">
        <v>2052</v>
      </c>
      <c r="N1700" s="1461">
        <v>20250122146</v>
      </c>
    </row>
    <row r="1701" spans="2:14" ht="16.5" customHeight="1">
      <c r="B1701" s="1520"/>
      <c r="C1701" s="1520"/>
      <c r="D1701" s="1521"/>
      <c r="E1701" s="38">
        <v>76374894</v>
      </c>
      <c r="F1701" s="38" t="s">
        <v>2053</v>
      </c>
      <c r="G1701" s="1521"/>
      <c r="H1701" s="38">
        <v>30218323</v>
      </c>
      <c r="I1701" s="41">
        <v>15500</v>
      </c>
      <c r="J1701" s="42">
        <v>0.08</v>
      </c>
      <c r="K1701" s="38">
        <v>5</v>
      </c>
      <c r="L1701" s="41">
        <v>77500</v>
      </c>
      <c r="M1701" s="1521"/>
      <c r="N1701" s="1461"/>
    </row>
    <row r="1702" spans="2:14" ht="16.5" customHeight="1">
      <c r="B1702" s="1520"/>
      <c r="C1702" s="1520"/>
      <c r="D1702" s="1521"/>
      <c r="E1702" s="38">
        <v>76374812</v>
      </c>
      <c r="F1702" s="38" t="s">
        <v>2054</v>
      </c>
      <c r="G1702" s="1521"/>
      <c r="H1702" s="38">
        <v>30218324</v>
      </c>
      <c r="I1702" s="41">
        <v>15500</v>
      </c>
      <c r="J1702" s="42">
        <v>0.08</v>
      </c>
      <c r="K1702" s="38">
        <v>5</v>
      </c>
      <c r="L1702" s="41">
        <v>77500</v>
      </c>
      <c r="M1702" s="1521"/>
      <c r="N1702" s="1461"/>
    </row>
    <row r="1703" spans="2:14" ht="16.5" customHeight="1">
      <c r="B1703" s="1520"/>
      <c r="C1703" s="1520"/>
      <c r="D1703" s="1521"/>
      <c r="E1703" s="38">
        <v>76374900</v>
      </c>
      <c r="F1703" s="38" t="s">
        <v>2055</v>
      </c>
      <c r="G1703" s="1521"/>
      <c r="H1703" s="38">
        <v>30218326</v>
      </c>
      <c r="I1703" s="41">
        <v>16900</v>
      </c>
      <c r="J1703" s="42">
        <v>0.08</v>
      </c>
      <c r="K1703" s="38">
        <v>5</v>
      </c>
      <c r="L1703" s="41">
        <v>84500</v>
      </c>
      <c r="M1703" s="1521"/>
      <c r="N1703" s="1461"/>
    </row>
    <row r="1704" spans="2:14" ht="16.5" customHeight="1">
      <c r="B1704" s="1520"/>
      <c r="C1704" s="1520"/>
      <c r="D1704" s="1521"/>
      <c r="E1704" s="38">
        <v>76374819</v>
      </c>
      <c r="F1704" s="38" t="s">
        <v>2056</v>
      </c>
      <c r="G1704" s="1521"/>
      <c r="H1704" s="38">
        <v>30218328</v>
      </c>
      <c r="I1704" s="41">
        <v>16900</v>
      </c>
      <c r="J1704" s="42">
        <v>0.08</v>
      </c>
      <c r="K1704" s="38">
        <v>5</v>
      </c>
      <c r="L1704" s="41">
        <v>84500</v>
      </c>
      <c r="M1704" s="1521"/>
      <c r="N1704" s="1461"/>
    </row>
    <row r="1705" spans="2:14" ht="16.5" customHeight="1">
      <c r="B1705" s="1520"/>
      <c r="C1705" s="1520">
        <v>3</v>
      </c>
      <c r="D1705" s="1521" t="s">
        <v>315</v>
      </c>
      <c r="E1705" s="38">
        <v>76371622</v>
      </c>
      <c r="F1705" s="38" t="s">
        <v>2057</v>
      </c>
      <c r="G1705" s="1521" t="s">
        <v>2058</v>
      </c>
      <c r="H1705" s="38">
        <v>30218329</v>
      </c>
      <c r="I1705" s="41">
        <v>15800</v>
      </c>
      <c r="J1705" s="42">
        <v>0.08</v>
      </c>
      <c r="K1705" s="38">
        <v>5</v>
      </c>
      <c r="L1705" s="41">
        <v>79000</v>
      </c>
      <c r="M1705" s="1521" t="s">
        <v>2059</v>
      </c>
      <c r="N1705" s="1461">
        <v>20250122147</v>
      </c>
    </row>
    <row r="1706" spans="2:14" ht="16.5" customHeight="1">
      <c r="B1706" s="1520"/>
      <c r="C1706" s="1520"/>
      <c r="D1706" s="1521"/>
      <c r="E1706" s="38">
        <v>76371617</v>
      </c>
      <c r="F1706" s="38" t="s">
        <v>2060</v>
      </c>
      <c r="G1706" s="1521"/>
      <c r="H1706" s="38">
        <v>30218330</v>
      </c>
      <c r="I1706" s="41">
        <v>15800</v>
      </c>
      <c r="J1706" s="42">
        <v>0.08</v>
      </c>
      <c r="K1706" s="38">
        <v>5</v>
      </c>
      <c r="L1706" s="41">
        <v>79000</v>
      </c>
      <c r="M1706" s="1521"/>
      <c r="N1706" s="1461"/>
    </row>
    <row r="1707" spans="2:14" ht="16.5" customHeight="1">
      <c r="B1707" s="1520"/>
      <c r="C1707" s="1520"/>
      <c r="D1707" s="1521"/>
      <c r="E1707" s="38">
        <v>76371615</v>
      </c>
      <c r="F1707" s="38" t="s">
        <v>2061</v>
      </c>
      <c r="G1707" s="1521"/>
      <c r="H1707" s="38">
        <v>30218332</v>
      </c>
      <c r="I1707" s="41">
        <v>12800</v>
      </c>
      <c r="J1707" s="42">
        <v>0.08</v>
      </c>
      <c r="K1707" s="38">
        <v>5</v>
      </c>
      <c r="L1707" s="41">
        <v>64000</v>
      </c>
      <c r="M1707" s="1521"/>
      <c r="N1707" s="1461"/>
    </row>
    <row r="1708" spans="2:14" ht="16.5" customHeight="1">
      <c r="B1708" s="1520"/>
      <c r="C1708" s="1520"/>
      <c r="D1708" s="1521"/>
      <c r="E1708" s="38">
        <v>76371693</v>
      </c>
      <c r="F1708" s="38" t="s">
        <v>2062</v>
      </c>
      <c r="G1708" s="1521"/>
      <c r="H1708" s="38">
        <v>30218339</v>
      </c>
      <c r="I1708" s="41">
        <v>15700</v>
      </c>
      <c r="J1708" s="42">
        <v>0.08</v>
      </c>
      <c r="K1708" s="38">
        <v>5</v>
      </c>
      <c r="L1708" s="41">
        <v>78500</v>
      </c>
      <c r="M1708" s="1521"/>
      <c r="N1708" s="1461"/>
    </row>
    <row r="1709" spans="2:14" ht="16.5" customHeight="1">
      <c r="B1709" s="1520"/>
      <c r="C1709" s="1520"/>
      <c r="D1709" s="1521"/>
      <c r="E1709" s="38">
        <v>76371699</v>
      </c>
      <c r="F1709" s="38" t="s">
        <v>2063</v>
      </c>
      <c r="G1709" s="1521"/>
      <c r="H1709" s="38">
        <v>30218340</v>
      </c>
      <c r="I1709" s="41">
        <v>10900</v>
      </c>
      <c r="J1709" s="42">
        <v>0.08</v>
      </c>
      <c r="K1709" s="38">
        <v>5</v>
      </c>
      <c r="L1709" s="41">
        <v>54500</v>
      </c>
      <c r="M1709" s="1521"/>
      <c r="N1709" s="1461"/>
    </row>
    <row r="1710" spans="2:14" ht="16.5" customHeight="1">
      <c r="B1710" s="1520"/>
      <c r="C1710" s="1520">
        <v>4</v>
      </c>
      <c r="D1710" s="1521" t="s">
        <v>307</v>
      </c>
      <c r="E1710" s="38">
        <v>71798797</v>
      </c>
      <c r="F1710" s="38" t="s">
        <v>2064</v>
      </c>
      <c r="G1710" s="1521" t="s">
        <v>2065</v>
      </c>
      <c r="H1710" s="38">
        <v>30218342</v>
      </c>
      <c r="I1710" s="41">
        <v>14800</v>
      </c>
      <c r="J1710" s="42">
        <v>0.08</v>
      </c>
      <c r="K1710" s="38">
        <v>5</v>
      </c>
      <c r="L1710" s="41">
        <v>74000</v>
      </c>
      <c r="M1710" s="1521" t="s">
        <v>2066</v>
      </c>
      <c r="N1710" s="1461">
        <v>20250122148</v>
      </c>
    </row>
    <row r="1711" spans="2:14" ht="16.5" customHeight="1">
      <c r="B1711" s="1520"/>
      <c r="C1711" s="1520"/>
      <c r="D1711" s="1521"/>
      <c r="E1711" s="38">
        <v>71798788</v>
      </c>
      <c r="F1711" s="38" t="s">
        <v>2067</v>
      </c>
      <c r="G1711" s="1521"/>
      <c r="H1711" s="38">
        <v>30211912</v>
      </c>
      <c r="I1711" s="41">
        <v>10900</v>
      </c>
      <c r="J1711" s="42">
        <v>0.08</v>
      </c>
      <c r="K1711" s="38">
        <v>5</v>
      </c>
      <c r="L1711" s="41">
        <v>54500</v>
      </c>
      <c r="M1711" s="1521"/>
      <c r="N1711" s="1461"/>
    </row>
    <row r="1712" spans="2:14" ht="16.5" customHeight="1">
      <c r="B1712" s="1520"/>
      <c r="C1712" s="1520"/>
      <c r="D1712" s="1521"/>
      <c r="E1712" s="38">
        <v>72341098</v>
      </c>
      <c r="F1712" s="38" t="s">
        <v>2068</v>
      </c>
      <c r="G1712" s="1521"/>
      <c r="H1712" s="38">
        <v>30210977</v>
      </c>
      <c r="I1712" s="41">
        <v>14900</v>
      </c>
      <c r="J1712" s="42">
        <v>0.08</v>
      </c>
      <c r="K1712" s="38">
        <v>5</v>
      </c>
      <c r="L1712" s="41">
        <v>74500</v>
      </c>
      <c r="M1712" s="1521"/>
      <c r="N1712" s="1461"/>
    </row>
    <row r="1713" spans="2:14" ht="16.5" customHeight="1">
      <c r="B1713" s="1520"/>
      <c r="C1713" s="1520"/>
      <c r="D1713" s="1521"/>
      <c r="E1713" s="38">
        <v>71360224</v>
      </c>
      <c r="F1713" s="38" t="s">
        <v>2069</v>
      </c>
      <c r="G1713" s="1521"/>
      <c r="H1713" s="38">
        <v>30218343</v>
      </c>
      <c r="I1713" s="41">
        <v>16800</v>
      </c>
      <c r="J1713" s="42">
        <v>0.08</v>
      </c>
      <c r="K1713" s="38">
        <v>5</v>
      </c>
      <c r="L1713" s="41">
        <v>84000</v>
      </c>
      <c r="M1713" s="1521"/>
      <c r="N1713" s="1461"/>
    </row>
    <row r="1714" spans="2:14" ht="16.5" customHeight="1">
      <c r="B1714" s="1520"/>
      <c r="C1714" s="1520"/>
      <c r="D1714" s="1521"/>
      <c r="E1714" s="38">
        <v>71360231</v>
      </c>
      <c r="F1714" s="38" t="s">
        <v>2070</v>
      </c>
      <c r="G1714" s="1521"/>
      <c r="H1714" s="38">
        <v>30205462</v>
      </c>
      <c r="I1714" s="41">
        <v>16800</v>
      </c>
      <c r="J1714" s="42">
        <v>0.08</v>
      </c>
      <c r="K1714" s="38">
        <v>5</v>
      </c>
      <c r="L1714" s="41">
        <v>84000</v>
      </c>
      <c r="M1714" s="1521"/>
      <c r="N1714" s="1461"/>
    </row>
    <row r="1715" spans="2:14" ht="16.5" customHeight="1">
      <c r="B1715" s="1520"/>
      <c r="C1715" s="1520">
        <v>5</v>
      </c>
      <c r="D1715" s="1520" t="s">
        <v>658</v>
      </c>
      <c r="E1715" s="38">
        <v>71315774</v>
      </c>
      <c r="F1715" s="38" t="s">
        <v>2071</v>
      </c>
      <c r="G1715" s="1521" t="s">
        <v>2072</v>
      </c>
      <c r="H1715" s="38">
        <v>30218348</v>
      </c>
      <c r="I1715" s="41">
        <v>11500</v>
      </c>
      <c r="J1715" s="42">
        <v>0.1</v>
      </c>
      <c r="K1715" s="38">
        <v>5</v>
      </c>
      <c r="L1715" s="41">
        <v>57500</v>
      </c>
      <c r="M1715" s="1521" t="s">
        <v>2073</v>
      </c>
      <c r="N1715" s="1461">
        <v>20250122149</v>
      </c>
    </row>
    <row r="1716" spans="2:14" ht="16.5" customHeight="1">
      <c r="B1716" s="1520"/>
      <c r="C1716" s="1520"/>
      <c r="D1716" s="1520"/>
      <c r="E1716" s="38">
        <v>71315798</v>
      </c>
      <c r="F1716" s="38" t="s">
        <v>2074</v>
      </c>
      <c r="G1716" s="1521"/>
      <c r="H1716" s="38">
        <v>30218350</v>
      </c>
      <c r="I1716" s="41">
        <v>25900</v>
      </c>
      <c r="J1716" s="42">
        <v>0.1</v>
      </c>
      <c r="K1716" s="38">
        <v>5</v>
      </c>
      <c r="L1716" s="41">
        <v>129500</v>
      </c>
      <c r="M1716" s="1521"/>
      <c r="N1716" s="1461"/>
    </row>
    <row r="1717" spans="2:14" ht="16.5" customHeight="1">
      <c r="B1717" s="1520"/>
      <c r="C1717" s="1520"/>
      <c r="D1717" s="1520"/>
      <c r="E1717" s="38">
        <v>71315799</v>
      </c>
      <c r="F1717" s="38" t="s">
        <v>2075</v>
      </c>
      <c r="G1717" s="1521"/>
      <c r="H1717" s="38">
        <v>30218351</v>
      </c>
      <c r="I1717" s="41">
        <v>11000</v>
      </c>
      <c r="J1717" s="42">
        <v>0.1</v>
      </c>
      <c r="K1717" s="38">
        <v>5</v>
      </c>
      <c r="L1717" s="41">
        <v>55000</v>
      </c>
      <c r="M1717" s="1521"/>
      <c r="N1717" s="1461"/>
    </row>
    <row r="1718" spans="2:14" ht="16.5" customHeight="1">
      <c r="B1718" s="1520"/>
      <c r="C1718" s="1520"/>
      <c r="D1718" s="1520"/>
      <c r="E1718" s="38">
        <v>75277694</v>
      </c>
      <c r="F1718" s="39" t="s">
        <v>2076</v>
      </c>
      <c r="G1718" s="1521"/>
      <c r="H1718" s="38">
        <v>30218352</v>
      </c>
      <c r="I1718" s="41">
        <v>25900</v>
      </c>
      <c r="J1718" s="42">
        <v>0.1</v>
      </c>
      <c r="K1718" s="38">
        <v>5</v>
      </c>
      <c r="L1718" s="41">
        <v>129500</v>
      </c>
      <c r="M1718" s="1521"/>
      <c r="N1718" s="1461"/>
    </row>
    <row r="1719" spans="2:14" ht="16.5" customHeight="1">
      <c r="B1719" s="1520"/>
      <c r="C1719" s="1520"/>
      <c r="D1719" s="1520"/>
      <c r="E1719" s="38">
        <v>76341928</v>
      </c>
      <c r="F1719" s="38" t="s">
        <v>2077</v>
      </c>
      <c r="G1719" s="1521"/>
      <c r="H1719" s="38">
        <v>30218353</v>
      </c>
      <c r="I1719" s="41">
        <v>11000</v>
      </c>
      <c r="J1719" s="42">
        <v>0.1</v>
      </c>
      <c r="K1719" s="38">
        <v>5</v>
      </c>
      <c r="L1719" s="41">
        <v>55000</v>
      </c>
      <c r="M1719" s="1521"/>
      <c r="N1719" s="1461"/>
    </row>
    <row r="1720" spans="2:14" ht="16.5" customHeight="1">
      <c r="B1720" s="1520"/>
      <c r="C1720" s="1520"/>
      <c r="D1720" s="1520"/>
      <c r="E1720" s="38">
        <v>76341924</v>
      </c>
      <c r="F1720" s="38" t="s">
        <v>2078</v>
      </c>
      <c r="G1720" s="1521"/>
      <c r="H1720" s="38">
        <v>30218354</v>
      </c>
      <c r="I1720" s="41">
        <v>11000</v>
      </c>
      <c r="J1720" s="42">
        <v>0.1</v>
      </c>
      <c r="K1720" s="38">
        <v>5</v>
      </c>
      <c r="L1720" s="41">
        <v>55000</v>
      </c>
      <c r="M1720" s="1521"/>
      <c r="N1720" s="1461"/>
    </row>
    <row r="1721" spans="2:14" ht="16.5" customHeight="1">
      <c r="B1721" s="1520"/>
      <c r="C1721" s="1520">
        <v>6</v>
      </c>
      <c r="D1721" s="1520" t="s">
        <v>286</v>
      </c>
      <c r="E1721" s="84">
        <v>70260782</v>
      </c>
      <c r="F1721" s="84" t="s">
        <v>2079</v>
      </c>
      <c r="G1721" s="1521" t="s">
        <v>656</v>
      </c>
      <c r="H1721" s="84">
        <v>30218355</v>
      </c>
      <c r="I1721" s="285">
        <v>9900</v>
      </c>
      <c r="J1721" s="286">
        <v>0.13</v>
      </c>
      <c r="K1721" s="38">
        <v>5</v>
      </c>
      <c r="L1721" s="41">
        <v>49500</v>
      </c>
      <c r="M1721" s="1521" t="s">
        <v>2080</v>
      </c>
      <c r="N1721" s="1461">
        <v>20250122150</v>
      </c>
    </row>
    <row r="1722" spans="2:14" ht="16.5" customHeight="1">
      <c r="B1722" s="1520"/>
      <c r="C1722" s="1520"/>
      <c r="D1722" s="1520"/>
      <c r="E1722" s="79">
        <v>55755584</v>
      </c>
      <c r="F1722" s="79" t="s">
        <v>2081</v>
      </c>
      <c r="G1722" s="1521"/>
      <c r="H1722" s="84">
        <v>30218356</v>
      </c>
      <c r="I1722" s="285">
        <v>9900</v>
      </c>
      <c r="J1722" s="286">
        <v>0.13</v>
      </c>
      <c r="K1722" s="38">
        <v>5</v>
      </c>
      <c r="L1722" s="41">
        <v>49500</v>
      </c>
      <c r="M1722" s="1521"/>
      <c r="N1722" s="1461"/>
    </row>
    <row r="1723" spans="2:14" ht="16.5" customHeight="1">
      <c r="B1723" s="1520"/>
      <c r="C1723" s="1520"/>
      <c r="D1723" s="1520"/>
      <c r="E1723" s="84">
        <v>30211935</v>
      </c>
      <c r="F1723" s="79" t="s">
        <v>287</v>
      </c>
      <c r="G1723" s="1521"/>
      <c r="H1723" s="84">
        <v>30211935</v>
      </c>
      <c r="I1723" s="285">
        <v>14300</v>
      </c>
      <c r="J1723" s="286">
        <v>0.13</v>
      </c>
      <c r="K1723" s="38">
        <v>5</v>
      </c>
      <c r="L1723" s="41">
        <v>71500</v>
      </c>
      <c r="M1723" s="1521"/>
      <c r="N1723" s="1461"/>
    </row>
    <row r="1724" spans="2:14" ht="16.5" customHeight="1">
      <c r="B1724" s="1520"/>
      <c r="C1724" s="1520"/>
      <c r="D1724" s="1520"/>
      <c r="E1724" s="84">
        <v>30203660</v>
      </c>
      <c r="F1724" s="79" t="s">
        <v>291</v>
      </c>
      <c r="G1724" s="1521"/>
      <c r="H1724" s="84">
        <v>30163421</v>
      </c>
      <c r="I1724" s="285">
        <v>59900</v>
      </c>
      <c r="J1724" s="286">
        <v>0.13</v>
      </c>
      <c r="K1724" s="38">
        <v>5</v>
      </c>
      <c r="L1724" s="41">
        <v>299500</v>
      </c>
      <c r="M1724" s="1521"/>
      <c r="N1724" s="1461"/>
    </row>
    <row r="1725" spans="2:14" ht="16.5" customHeight="1">
      <c r="B1725" s="1520"/>
      <c r="C1725" s="1520"/>
      <c r="D1725" s="1520"/>
      <c r="E1725" s="79">
        <v>30164117</v>
      </c>
      <c r="F1725" s="84" t="s">
        <v>292</v>
      </c>
      <c r="G1725" s="1521"/>
      <c r="H1725" s="84">
        <v>30211955</v>
      </c>
      <c r="I1725" s="285">
        <v>19900</v>
      </c>
      <c r="J1725" s="286">
        <v>0.13</v>
      </c>
      <c r="K1725" s="38">
        <v>5</v>
      </c>
      <c r="L1725" s="41">
        <v>99500</v>
      </c>
      <c r="M1725" s="1521"/>
      <c r="N1725" s="1461"/>
    </row>
    <row r="1726" spans="2:14" ht="16.5" customHeight="1">
      <c r="B1726" s="1520"/>
      <c r="C1726" s="1520"/>
      <c r="D1726" s="1520"/>
      <c r="E1726" s="79">
        <v>30205340</v>
      </c>
      <c r="F1726" s="79" t="s">
        <v>296</v>
      </c>
      <c r="G1726" s="1521"/>
      <c r="H1726" s="84">
        <v>30207276</v>
      </c>
      <c r="I1726" s="285">
        <v>26900</v>
      </c>
      <c r="J1726" s="286">
        <v>0.13</v>
      </c>
      <c r="K1726" s="38">
        <v>5</v>
      </c>
      <c r="L1726" s="41">
        <v>134500</v>
      </c>
      <c r="M1726" s="1521"/>
      <c r="N1726" s="1461"/>
    </row>
    <row r="1727" spans="2:14" ht="16.5" customHeight="1">
      <c r="B1727" s="1520"/>
      <c r="C1727" s="1520"/>
      <c r="D1727" s="1520"/>
      <c r="E1727" s="79">
        <v>30205660</v>
      </c>
      <c r="F1727" s="79" t="s">
        <v>1073</v>
      </c>
      <c r="G1727" s="1521"/>
      <c r="H1727" s="38">
        <v>30165751</v>
      </c>
      <c r="I1727" s="285">
        <v>29900</v>
      </c>
      <c r="J1727" s="286">
        <v>0.13</v>
      </c>
      <c r="K1727" s="38">
        <v>5</v>
      </c>
      <c r="L1727" s="41">
        <v>149500</v>
      </c>
      <c r="M1727" s="1521"/>
      <c r="N1727" s="1461"/>
    </row>
    <row r="1728" spans="2:14" ht="16.5" customHeight="1">
      <c r="B1728" s="1520"/>
      <c r="C1728" s="1520"/>
      <c r="D1728" s="1520"/>
      <c r="E1728" s="84">
        <v>30202366</v>
      </c>
      <c r="F1728" s="79" t="s">
        <v>290</v>
      </c>
      <c r="G1728" s="1521"/>
      <c r="H1728" s="84">
        <v>30202683</v>
      </c>
      <c r="I1728" s="285">
        <v>19900</v>
      </c>
      <c r="J1728" s="286">
        <v>0.13</v>
      </c>
      <c r="K1728" s="38">
        <v>5</v>
      </c>
      <c r="L1728" s="41">
        <v>99500</v>
      </c>
      <c r="M1728" s="1521"/>
      <c r="N1728" s="1461"/>
    </row>
    <row r="1729" spans="2:14" ht="16.5" customHeight="1">
      <c r="B1729" s="1520"/>
      <c r="C1729" s="1520"/>
      <c r="D1729" s="1520"/>
      <c r="E1729" s="79">
        <v>30209083</v>
      </c>
      <c r="F1729" s="84" t="s">
        <v>1400</v>
      </c>
      <c r="G1729" s="1521"/>
      <c r="H1729" s="84">
        <v>30218360</v>
      </c>
      <c r="I1729" s="285">
        <v>24900</v>
      </c>
      <c r="J1729" s="286">
        <v>0.13</v>
      </c>
      <c r="K1729" s="38">
        <v>5</v>
      </c>
      <c r="L1729" s="41">
        <v>124500</v>
      </c>
      <c r="M1729" s="1521"/>
      <c r="N1729" s="1461"/>
    </row>
    <row r="1730" spans="2:14" ht="16.5" customHeight="1">
      <c r="B1730" s="1520" t="s">
        <v>331</v>
      </c>
      <c r="C1730" s="1462">
        <v>1</v>
      </c>
      <c r="D1730" s="1462" t="s">
        <v>332</v>
      </c>
      <c r="E1730" s="38">
        <v>72844486</v>
      </c>
      <c r="F1730" s="38" t="s">
        <v>336</v>
      </c>
      <c r="G1730" s="1520" t="s">
        <v>336</v>
      </c>
      <c r="H1730" s="38">
        <v>30218381</v>
      </c>
      <c r="I1730" s="41">
        <v>8900</v>
      </c>
      <c r="J1730" s="42">
        <v>0.1</v>
      </c>
      <c r="K1730" s="38">
        <v>5</v>
      </c>
      <c r="L1730" s="41">
        <v>44500</v>
      </c>
      <c r="M1730" s="1520" t="s">
        <v>336</v>
      </c>
      <c r="N1730" s="1461">
        <v>20250122151</v>
      </c>
    </row>
    <row r="1731" spans="2:14" ht="16.5" customHeight="1">
      <c r="B1731" s="1520"/>
      <c r="C1731" s="1462"/>
      <c r="D1731" s="1462"/>
      <c r="E1731" s="38">
        <v>68078448</v>
      </c>
      <c r="F1731" s="38" t="s">
        <v>337</v>
      </c>
      <c r="G1731" s="1520"/>
      <c r="H1731" s="38">
        <v>30214041</v>
      </c>
      <c r="I1731" s="41">
        <v>8900</v>
      </c>
      <c r="J1731" s="42">
        <v>0.1</v>
      </c>
      <c r="K1731" s="38">
        <v>5</v>
      </c>
      <c r="L1731" s="41">
        <v>44500</v>
      </c>
      <c r="M1731" s="1520"/>
      <c r="N1731" s="1461"/>
    </row>
    <row r="1732" spans="2:14" ht="16.5" customHeight="1">
      <c r="B1732" s="1520"/>
      <c r="C1732" s="1462">
        <v>2</v>
      </c>
      <c r="D1732" s="1462" t="s">
        <v>332</v>
      </c>
      <c r="E1732" s="38">
        <v>74214390</v>
      </c>
      <c r="F1732" s="38" t="s">
        <v>1474</v>
      </c>
      <c r="G1732" s="1521" t="s">
        <v>1474</v>
      </c>
      <c r="H1732" s="38">
        <v>30218382</v>
      </c>
      <c r="I1732" s="41">
        <v>11900</v>
      </c>
      <c r="J1732" s="42">
        <v>0.1</v>
      </c>
      <c r="K1732" s="38">
        <v>5</v>
      </c>
      <c r="L1732" s="41">
        <v>59500</v>
      </c>
      <c r="M1732" s="1521" t="s">
        <v>1474</v>
      </c>
      <c r="N1732" s="1461">
        <v>20250122152</v>
      </c>
    </row>
    <row r="1733" spans="2:14" ht="16.5" customHeight="1">
      <c r="B1733" s="1520"/>
      <c r="C1733" s="1462"/>
      <c r="D1733" s="1462"/>
      <c r="E1733" s="38">
        <v>68082047</v>
      </c>
      <c r="F1733" s="38" t="s">
        <v>1475</v>
      </c>
      <c r="G1733" s="1521"/>
      <c r="H1733" s="38">
        <v>30218383</v>
      </c>
      <c r="I1733" s="41">
        <v>15000</v>
      </c>
      <c r="J1733" s="42">
        <v>0.1</v>
      </c>
      <c r="K1733" s="38">
        <v>5</v>
      </c>
      <c r="L1733" s="41">
        <v>75000</v>
      </c>
      <c r="M1733" s="1521"/>
      <c r="N1733" s="1461"/>
    </row>
    <row r="1734" spans="2:14" ht="16.5" customHeight="1">
      <c r="B1734" s="1520"/>
      <c r="C1734" s="1462">
        <v>3</v>
      </c>
      <c r="D1734" s="1462" t="s">
        <v>2082</v>
      </c>
      <c r="E1734" s="38">
        <v>30210994</v>
      </c>
      <c r="F1734" s="38" t="s">
        <v>2083</v>
      </c>
      <c r="G1734" s="1462" t="s">
        <v>2084</v>
      </c>
      <c r="H1734" s="38">
        <v>30218384</v>
      </c>
      <c r="I1734" s="38">
        <v>6900</v>
      </c>
      <c r="J1734" s="38">
        <v>13</v>
      </c>
      <c r="K1734" s="38">
        <v>5</v>
      </c>
      <c r="L1734" s="41">
        <v>34500</v>
      </c>
      <c r="M1734" s="1465" t="s">
        <v>2085</v>
      </c>
      <c r="N1734" s="1461">
        <v>20250122153</v>
      </c>
    </row>
    <row r="1735" spans="2:14" ht="16.5" customHeight="1">
      <c r="B1735" s="1520"/>
      <c r="C1735" s="1462"/>
      <c r="D1735" s="1462"/>
      <c r="E1735" s="38">
        <v>30208776</v>
      </c>
      <c r="F1735" s="38" t="s">
        <v>2086</v>
      </c>
      <c r="G1735" s="1462"/>
      <c r="H1735" s="38">
        <v>30208776</v>
      </c>
      <c r="I1735" s="38">
        <v>11900</v>
      </c>
      <c r="J1735" s="38">
        <v>13</v>
      </c>
      <c r="K1735" s="38">
        <v>5</v>
      </c>
      <c r="L1735" s="41">
        <v>59500</v>
      </c>
      <c r="M1735" s="1465"/>
      <c r="N1735" s="1461"/>
    </row>
    <row r="1736" spans="2:14" ht="16.5" customHeight="1">
      <c r="B1736" s="1520"/>
      <c r="C1736" s="43">
        <v>4</v>
      </c>
      <c r="D1736" s="43" t="s">
        <v>360</v>
      </c>
      <c r="E1736" s="38">
        <v>47972361</v>
      </c>
      <c r="F1736" s="38" t="s">
        <v>703</v>
      </c>
      <c r="G1736" s="38" t="s">
        <v>703</v>
      </c>
      <c r="H1736" s="38">
        <v>30215154</v>
      </c>
      <c r="I1736" s="41">
        <v>21900</v>
      </c>
      <c r="J1736" s="42">
        <v>0.15</v>
      </c>
      <c r="K1736" s="38">
        <v>5</v>
      </c>
      <c r="L1736" s="41">
        <v>109500</v>
      </c>
      <c r="M1736" s="39" t="s">
        <v>704</v>
      </c>
      <c r="N1736" s="69">
        <v>20250122154</v>
      </c>
    </row>
    <row r="1737" spans="2:14" ht="16.5" customHeight="1">
      <c r="B1737" s="1520"/>
      <c r="C1737" s="1462">
        <v>5</v>
      </c>
      <c r="D1737" s="1462" t="s">
        <v>352</v>
      </c>
      <c r="E1737" s="38">
        <v>74142196</v>
      </c>
      <c r="F1737" s="46" t="s">
        <v>2087</v>
      </c>
      <c r="G1737" s="1551" t="s">
        <v>2088</v>
      </c>
      <c r="H1737" s="38">
        <v>30218392</v>
      </c>
      <c r="I1737" s="41">
        <v>10800</v>
      </c>
      <c r="J1737" s="42">
        <v>0.1</v>
      </c>
      <c r="K1737" s="38">
        <v>5</v>
      </c>
      <c r="L1737" s="41">
        <v>54000</v>
      </c>
      <c r="M1737" s="1521" t="s">
        <v>2089</v>
      </c>
      <c r="N1737" s="1461">
        <v>20250122155</v>
      </c>
    </row>
    <row r="1738" spans="2:14" ht="16.5" customHeight="1">
      <c r="B1738" s="1520"/>
      <c r="C1738" s="1462"/>
      <c r="D1738" s="1462"/>
      <c r="E1738" s="38">
        <v>74142186</v>
      </c>
      <c r="F1738" s="46" t="s">
        <v>2090</v>
      </c>
      <c r="G1738" s="1581"/>
      <c r="H1738" s="38">
        <v>30218394</v>
      </c>
      <c r="I1738" s="41">
        <v>11800</v>
      </c>
      <c r="J1738" s="42">
        <v>0.1</v>
      </c>
      <c r="K1738" s="38">
        <v>5</v>
      </c>
      <c r="L1738" s="41">
        <v>59000</v>
      </c>
      <c r="M1738" s="1521"/>
      <c r="N1738" s="1461"/>
    </row>
    <row r="1739" spans="2:14" ht="16.5" customHeight="1">
      <c r="B1739" s="1520"/>
      <c r="C1739" s="1462"/>
      <c r="D1739" s="1462"/>
      <c r="E1739" s="38">
        <v>11075814</v>
      </c>
      <c r="F1739" s="46" t="s">
        <v>2091</v>
      </c>
      <c r="G1739" s="1581"/>
      <c r="H1739" s="38">
        <v>30218396</v>
      </c>
      <c r="I1739" s="41">
        <v>12800</v>
      </c>
      <c r="J1739" s="42">
        <v>0.1</v>
      </c>
      <c r="K1739" s="38">
        <v>5</v>
      </c>
      <c r="L1739" s="41">
        <v>64000</v>
      </c>
      <c r="M1739" s="1521"/>
      <c r="N1739" s="1461"/>
    </row>
    <row r="1740" spans="2:14" ht="16.5" customHeight="1">
      <c r="B1740" s="1520"/>
      <c r="C1740" s="1462"/>
      <c r="D1740" s="1462"/>
      <c r="E1740" s="38">
        <v>55057463</v>
      </c>
      <c r="F1740" s="46" t="s">
        <v>2092</v>
      </c>
      <c r="G1740" s="1581"/>
      <c r="H1740" s="38">
        <v>30218397</v>
      </c>
      <c r="I1740" s="41">
        <v>11800</v>
      </c>
      <c r="J1740" s="42">
        <v>0.1</v>
      </c>
      <c r="K1740" s="38">
        <v>5</v>
      </c>
      <c r="L1740" s="41">
        <v>59000</v>
      </c>
      <c r="M1740" s="1521"/>
      <c r="N1740" s="1461"/>
    </row>
    <row r="1741" spans="2:14" ht="16.5" customHeight="1">
      <c r="B1741" s="1520"/>
      <c r="C1741" s="1462"/>
      <c r="D1741" s="1462"/>
      <c r="E1741" s="38">
        <v>76453363</v>
      </c>
      <c r="F1741" s="46" t="s">
        <v>2093</v>
      </c>
      <c r="G1741" s="1582"/>
      <c r="H1741" s="38">
        <v>30210933</v>
      </c>
      <c r="I1741" s="41">
        <v>11800</v>
      </c>
      <c r="J1741" s="42">
        <v>0.1</v>
      </c>
      <c r="K1741" s="38">
        <v>5</v>
      </c>
      <c r="L1741" s="41">
        <v>59000</v>
      </c>
      <c r="M1741" s="1521"/>
      <c r="N1741" s="1461"/>
    </row>
    <row r="1742" spans="2:14" ht="16.5" customHeight="1">
      <c r="B1742" s="1520"/>
      <c r="C1742" s="1462">
        <v>6</v>
      </c>
      <c r="D1742" s="1465" t="s">
        <v>2094</v>
      </c>
      <c r="E1742" s="38">
        <v>30216360</v>
      </c>
      <c r="F1742" s="38" t="s">
        <v>2095</v>
      </c>
      <c r="G1742" s="1551" t="s">
        <v>2096</v>
      </c>
      <c r="H1742" s="38">
        <v>30218400</v>
      </c>
      <c r="I1742" s="41">
        <v>7900</v>
      </c>
      <c r="J1742" s="42">
        <v>0.1</v>
      </c>
      <c r="K1742" s="38">
        <v>5</v>
      </c>
      <c r="L1742" s="41">
        <v>39500</v>
      </c>
      <c r="M1742" s="1521" t="s">
        <v>2097</v>
      </c>
      <c r="N1742" s="1461">
        <v>20250122156</v>
      </c>
    </row>
    <row r="1743" spans="2:14" ht="16.5" customHeight="1">
      <c r="B1743" s="1520"/>
      <c r="C1743" s="1462"/>
      <c r="D1743" s="1465"/>
      <c r="E1743" s="38">
        <v>30207303</v>
      </c>
      <c r="F1743" s="38" t="s">
        <v>2098</v>
      </c>
      <c r="G1743" s="1581"/>
      <c r="H1743" s="38">
        <v>30218401</v>
      </c>
      <c r="I1743" s="41">
        <v>9900</v>
      </c>
      <c r="J1743" s="42">
        <v>0.1</v>
      </c>
      <c r="K1743" s="38">
        <v>5</v>
      </c>
      <c r="L1743" s="41">
        <v>49500</v>
      </c>
      <c r="M1743" s="1521"/>
      <c r="N1743" s="1461"/>
    </row>
    <row r="1744" spans="2:14" ht="16.5" customHeight="1">
      <c r="B1744" s="1520"/>
      <c r="C1744" s="1462"/>
      <c r="D1744" s="1465"/>
      <c r="E1744" s="38">
        <v>30207288</v>
      </c>
      <c r="F1744" s="38" t="s">
        <v>2099</v>
      </c>
      <c r="G1744" s="1581"/>
      <c r="H1744" s="38">
        <v>30218403</v>
      </c>
      <c r="I1744" s="41">
        <v>7900</v>
      </c>
      <c r="J1744" s="42">
        <v>0.1</v>
      </c>
      <c r="K1744" s="38">
        <v>5</v>
      </c>
      <c r="L1744" s="41">
        <v>39500</v>
      </c>
      <c r="M1744" s="1521"/>
      <c r="N1744" s="1461"/>
    </row>
    <row r="1745" spans="2:14" ht="16.5" customHeight="1">
      <c r="B1745" s="1520"/>
      <c r="C1745" s="1462"/>
      <c r="D1745" s="1465"/>
      <c r="E1745" s="38">
        <v>30209408</v>
      </c>
      <c r="F1745" s="38" t="s">
        <v>2100</v>
      </c>
      <c r="G1745" s="1581"/>
      <c r="H1745" s="38">
        <v>30218405</v>
      </c>
      <c r="I1745" s="41">
        <v>10900</v>
      </c>
      <c r="J1745" s="42">
        <v>0.1</v>
      </c>
      <c r="K1745" s="38">
        <v>5</v>
      </c>
      <c r="L1745" s="41">
        <v>54500</v>
      </c>
      <c r="M1745" s="1521"/>
      <c r="N1745" s="1461"/>
    </row>
    <row r="1746" spans="2:14" ht="16.5" customHeight="1">
      <c r="B1746" s="1520"/>
      <c r="C1746" s="1462"/>
      <c r="D1746" s="1465"/>
      <c r="E1746" s="38">
        <v>30213132</v>
      </c>
      <c r="F1746" s="38" t="s">
        <v>2101</v>
      </c>
      <c r="G1746" s="1581"/>
      <c r="H1746" s="38">
        <v>30218406</v>
      </c>
      <c r="I1746" s="41">
        <v>10900</v>
      </c>
      <c r="J1746" s="42">
        <v>0.1</v>
      </c>
      <c r="K1746" s="38">
        <v>5</v>
      </c>
      <c r="L1746" s="41">
        <v>54500</v>
      </c>
      <c r="M1746" s="1521"/>
      <c r="N1746" s="1461"/>
    </row>
    <row r="1747" spans="2:14" ht="16.5" customHeight="1">
      <c r="B1747" s="1520"/>
      <c r="C1747" s="1462"/>
      <c r="D1747" s="1465"/>
      <c r="E1747" s="38">
        <v>30216370</v>
      </c>
      <c r="F1747" s="38" t="s">
        <v>2102</v>
      </c>
      <c r="G1747" s="1581"/>
      <c r="H1747" s="38">
        <v>30218407</v>
      </c>
      <c r="I1747" s="41">
        <v>8900</v>
      </c>
      <c r="J1747" s="42">
        <v>0.1</v>
      </c>
      <c r="K1747" s="38">
        <v>5</v>
      </c>
      <c r="L1747" s="41">
        <v>44500</v>
      </c>
      <c r="M1747" s="1521"/>
      <c r="N1747" s="1461"/>
    </row>
    <row r="1748" spans="2:14" ht="16.5" customHeight="1">
      <c r="B1748" s="1520"/>
      <c r="C1748" s="1462"/>
      <c r="D1748" s="1465"/>
      <c r="E1748" s="38">
        <v>30214213</v>
      </c>
      <c r="F1748" s="38" t="s">
        <v>2103</v>
      </c>
      <c r="G1748" s="1581"/>
      <c r="H1748" s="38">
        <v>30218409</v>
      </c>
      <c r="I1748" s="41">
        <v>10900</v>
      </c>
      <c r="J1748" s="42">
        <v>0.1</v>
      </c>
      <c r="K1748" s="38">
        <v>5</v>
      </c>
      <c r="L1748" s="41">
        <v>54500</v>
      </c>
      <c r="M1748" s="1521"/>
      <c r="N1748" s="1461"/>
    </row>
    <row r="1749" spans="2:14" ht="16.5" customHeight="1">
      <c r="B1749" s="1520"/>
      <c r="C1749" s="1462"/>
      <c r="D1749" s="1465"/>
      <c r="E1749" s="38">
        <v>30207261</v>
      </c>
      <c r="F1749" s="38" t="s">
        <v>2104</v>
      </c>
      <c r="G1749" s="1581"/>
      <c r="H1749" s="38">
        <v>30218410</v>
      </c>
      <c r="I1749" s="41">
        <v>8900</v>
      </c>
      <c r="J1749" s="42">
        <v>0.1</v>
      </c>
      <c r="K1749" s="38">
        <v>5</v>
      </c>
      <c r="L1749" s="41">
        <v>44500</v>
      </c>
      <c r="M1749" s="1521"/>
      <c r="N1749" s="1461"/>
    </row>
    <row r="1750" spans="2:14" ht="16.5" customHeight="1">
      <c r="B1750" s="1520"/>
      <c r="C1750" s="1462"/>
      <c r="D1750" s="1465"/>
      <c r="E1750" s="38">
        <v>30209697</v>
      </c>
      <c r="F1750" s="38" t="s">
        <v>2105</v>
      </c>
      <c r="G1750" s="1581"/>
      <c r="H1750" s="38">
        <v>30218411</v>
      </c>
      <c r="I1750" s="41">
        <v>7900</v>
      </c>
      <c r="J1750" s="42">
        <v>0.1</v>
      </c>
      <c r="K1750" s="38">
        <v>5</v>
      </c>
      <c r="L1750" s="41">
        <v>39500</v>
      </c>
      <c r="M1750" s="1521"/>
      <c r="N1750" s="1461"/>
    </row>
    <row r="1751" spans="2:14" ht="16.5" customHeight="1">
      <c r="B1751" s="1520"/>
      <c r="C1751" s="1462"/>
      <c r="D1751" s="1465"/>
      <c r="E1751" s="38">
        <v>30216542</v>
      </c>
      <c r="F1751" s="38" t="s">
        <v>2106</v>
      </c>
      <c r="G1751" s="1581"/>
      <c r="H1751" s="38">
        <v>30218414</v>
      </c>
      <c r="I1751" s="41">
        <v>10900</v>
      </c>
      <c r="J1751" s="42">
        <v>0.1</v>
      </c>
      <c r="K1751" s="38">
        <v>5</v>
      </c>
      <c r="L1751" s="41">
        <v>54500</v>
      </c>
      <c r="M1751" s="1521"/>
      <c r="N1751" s="1461"/>
    </row>
    <row r="1752" spans="2:14" ht="16.5" customHeight="1">
      <c r="B1752" s="1520"/>
      <c r="C1752" s="1462"/>
      <c r="D1752" s="1465"/>
      <c r="E1752" s="38">
        <v>30214817</v>
      </c>
      <c r="F1752" s="38" t="s">
        <v>2107</v>
      </c>
      <c r="G1752" s="1581"/>
      <c r="H1752" s="38">
        <v>30218415</v>
      </c>
      <c r="I1752" s="41">
        <v>10900</v>
      </c>
      <c r="J1752" s="42">
        <v>0.1</v>
      </c>
      <c r="K1752" s="38">
        <v>5</v>
      </c>
      <c r="L1752" s="41">
        <v>54500</v>
      </c>
      <c r="M1752" s="1521"/>
      <c r="N1752" s="1461"/>
    </row>
    <row r="1753" spans="2:14" ht="16.5" customHeight="1">
      <c r="B1753" s="1520"/>
      <c r="C1753" s="1462"/>
      <c r="D1753" s="1465"/>
      <c r="E1753" s="38">
        <v>30207260</v>
      </c>
      <c r="F1753" s="38" t="s">
        <v>2108</v>
      </c>
      <c r="G1753" s="1581"/>
      <c r="H1753" s="38">
        <v>30218416</v>
      </c>
      <c r="I1753" s="41">
        <v>10900</v>
      </c>
      <c r="J1753" s="42">
        <v>0.1</v>
      </c>
      <c r="K1753" s="38">
        <v>5</v>
      </c>
      <c r="L1753" s="41">
        <v>54500</v>
      </c>
      <c r="M1753" s="1521"/>
      <c r="N1753" s="1461"/>
    </row>
    <row r="1754" spans="2:14" ht="16.5" customHeight="1">
      <c r="B1754" s="1520"/>
      <c r="C1754" s="1462"/>
      <c r="D1754" s="1465"/>
      <c r="E1754" s="38">
        <v>30216526</v>
      </c>
      <c r="F1754" s="38" t="s">
        <v>2109</v>
      </c>
      <c r="G1754" s="1581"/>
      <c r="H1754" s="38">
        <v>30218418</v>
      </c>
      <c r="I1754" s="41">
        <v>10900</v>
      </c>
      <c r="J1754" s="42">
        <v>0.1</v>
      </c>
      <c r="K1754" s="38">
        <v>5</v>
      </c>
      <c r="L1754" s="41">
        <v>54500</v>
      </c>
      <c r="M1754" s="1521"/>
      <c r="N1754" s="1461"/>
    </row>
    <row r="1755" spans="2:14" ht="16.5" customHeight="1">
      <c r="B1755" s="1520"/>
      <c r="C1755" s="1462"/>
      <c r="D1755" s="1465"/>
      <c r="E1755" s="38">
        <v>30216553</v>
      </c>
      <c r="F1755" s="38" t="s">
        <v>2110</v>
      </c>
      <c r="G1755" s="1581"/>
      <c r="H1755" s="38">
        <v>30218419</v>
      </c>
      <c r="I1755" s="41">
        <v>6500</v>
      </c>
      <c r="J1755" s="42">
        <v>0.1</v>
      </c>
      <c r="K1755" s="38">
        <v>5</v>
      </c>
      <c r="L1755" s="41">
        <v>32500</v>
      </c>
      <c r="M1755" s="1521"/>
      <c r="N1755" s="1461"/>
    </row>
    <row r="1756" spans="2:14" ht="16.5" customHeight="1">
      <c r="B1756" s="1520"/>
      <c r="C1756" s="1462"/>
      <c r="D1756" s="1465"/>
      <c r="E1756" s="38">
        <v>30215608</v>
      </c>
      <c r="F1756" s="38" t="s">
        <v>2111</v>
      </c>
      <c r="G1756" s="1582"/>
      <c r="H1756" s="38">
        <v>30218421</v>
      </c>
      <c r="I1756" s="41">
        <v>12900</v>
      </c>
      <c r="J1756" s="42">
        <v>0.1</v>
      </c>
      <c r="K1756" s="38">
        <v>5</v>
      </c>
      <c r="L1756" s="41">
        <v>64500</v>
      </c>
      <c r="M1756" s="1521"/>
      <c r="N1756" s="1461"/>
    </row>
    <row r="1757" spans="2:14" ht="16.5" customHeight="1">
      <c r="B1757" s="1520"/>
      <c r="C1757" s="1462">
        <v>7</v>
      </c>
      <c r="D1757" s="1462" t="s">
        <v>1096</v>
      </c>
      <c r="E1757" s="38">
        <v>30202728</v>
      </c>
      <c r="F1757" s="38" t="s">
        <v>2112</v>
      </c>
      <c r="G1757" s="1521" t="s">
        <v>2113</v>
      </c>
      <c r="H1757" s="38">
        <v>30218423</v>
      </c>
      <c r="I1757" s="41">
        <v>6900</v>
      </c>
      <c r="J1757" s="42">
        <v>0.1</v>
      </c>
      <c r="K1757" s="38">
        <v>5</v>
      </c>
      <c r="L1757" s="41">
        <v>34500</v>
      </c>
      <c r="M1757" s="1521" t="s">
        <v>2114</v>
      </c>
      <c r="N1757" s="1461">
        <v>20250122157</v>
      </c>
    </row>
    <row r="1758" spans="2:14" ht="16.5" customHeight="1">
      <c r="B1758" s="1520"/>
      <c r="C1758" s="1462"/>
      <c r="D1758" s="1462"/>
      <c r="E1758" s="38">
        <v>30093860</v>
      </c>
      <c r="F1758" s="38" t="s">
        <v>2115</v>
      </c>
      <c r="G1758" s="1521"/>
      <c r="H1758" s="38">
        <v>30203416</v>
      </c>
      <c r="I1758" s="41">
        <v>7900</v>
      </c>
      <c r="J1758" s="42">
        <v>0.1</v>
      </c>
      <c r="K1758" s="38">
        <v>5</v>
      </c>
      <c r="L1758" s="41">
        <v>39500</v>
      </c>
      <c r="M1758" s="1521"/>
      <c r="N1758" s="1461"/>
    </row>
    <row r="1759" spans="2:14" ht="16.5" customHeight="1">
      <c r="B1759" s="1520"/>
      <c r="C1759" s="1462"/>
      <c r="D1759" s="1462"/>
      <c r="E1759" s="38">
        <v>30202759</v>
      </c>
      <c r="F1759" s="38" t="s">
        <v>2116</v>
      </c>
      <c r="G1759" s="1521"/>
      <c r="H1759" s="38">
        <v>30218424</v>
      </c>
      <c r="I1759" s="41">
        <v>12900</v>
      </c>
      <c r="J1759" s="42">
        <v>0.1</v>
      </c>
      <c r="K1759" s="38">
        <v>5</v>
      </c>
      <c r="L1759" s="41">
        <v>64500</v>
      </c>
      <c r="M1759" s="1521"/>
      <c r="N1759" s="1461"/>
    </row>
    <row r="1760" spans="2:14" ht="16.5" customHeight="1">
      <c r="B1760" s="1520"/>
      <c r="C1760" s="1462"/>
      <c r="D1760" s="1462"/>
      <c r="E1760" s="38">
        <v>30167026</v>
      </c>
      <c r="F1760" s="38" t="s">
        <v>2117</v>
      </c>
      <c r="G1760" s="1521"/>
      <c r="H1760" s="38">
        <v>30218425</v>
      </c>
      <c r="I1760" s="41">
        <v>13900</v>
      </c>
      <c r="J1760" s="42">
        <v>0.1</v>
      </c>
      <c r="K1760" s="38">
        <v>5</v>
      </c>
      <c r="L1760" s="41">
        <v>69500</v>
      </c>
      <c r="M1760" s="1521"/>
      <c r="N1760" s="1461"/>
    </row>
    <row r="1761" spans="2:15" ht="16.5" customHeight="1">
      <c r="B1761" s="1520"/>
      <c r="C1761" s="1462"/>
      <c r="D1761" s="1462"/>
      <c r="E1761" s="38">
        <v>30202724</v>
      </c>
      <c r="F1761" s="38" t="s">
        <v>2118</v>
      </c>
      <c r="G1761" s="1521"/>
      <c r="H1761" s="38">
        <v>30218426</v>
      </c>
      <c r="I1761" s="41">
        <v>14900</v>
      </c>
      <c r="J1761" s="42">
        <v>0.1</v>
      </c>
      <c r="K1761" s="38">
        <v>5</v>
      </c>
      <c r="L1761" s="41">
        <v>74500</v>
      </c>
      <c r="M1761" s="1521"/>
      <c r="N1761" s="1461"/>
    </row>
    <row r="1762" spans="2:15" ht="16.5" customHeight="1">
      <c r="B1762" s="1462" t="s">
        <v>165</v>
      </c>
      <c r="C1762" s="1462">
        <v>1</v>
      </c>
      <c r="D1762" s="1462" t="s">
        <v>1502</v>
      </c>
      <c r="E1762" s="38">
        <v>30217690</v>
      </c>
      <c r="F1762" s="38" t="s">
        <v>2119</v>
      </c>
      <c r="G1762" s="1465" t="s">
        <v>2120</v>
      </c>
      <c r="H1762" s="38">
        <v>30218368</v>
      </c>
      <c r="I1762" s="41">
        <v>10500</v>
      </c>
      <c r="J1762" s="42">
        <v>0.1</v>
      </c>
      <c r="K1762" s="1462">
        <v>5</v>
      </c>
      <c r="L1762" s="1525">
        <f>I1762*5</f>
        <v>52500</v>
      </c>
      <c r="M1762" s="1465" t="s">
        <v>2121</v>
      </c>
      <c r="N1762" s="1461">
        <v>20250122158</v>
      </c>
    </row>
    <row r="1763" spans="2:15" ht="16.5" customHeight="1">
      <c r="B1763" s="1462"/>
      <c r="C1763" s="1462"/>
      <c r="D1763" s="1462"/>
      <c r="E1763" s="38">
        <v>30217691</v>
      </c>
      <c r="F1763" s="38" t="s">
        <v>2122</v>
      </c>
      <c r="G1763" s="1465"/>
      <c r="H1763" s="38">
        <v>30218369</v>
      </c>
      <c r="I1763" s="41">
        <v>15500</v>
      </c>
      <c r="J1763" s="42">
        <v>0.1</v>
      </c>
      <c r="K1763" s="1462"/>
      <c r="L1763" s="1525"/>
      <c r="M1763" s="1465"/>
      <c r="N1763" s="1461"/>
    </row>
    <row r="1764" spans="2:15" ht="16.5" customHeight="1">
      <c r="B1764" s="1462"/>
      <c r="C1764" s="1462"/>
      <c r="D1764" s="1462"/>
      <c r="E1764" s="38">
        <v>30217705</v>
      </c>
      <c r="F1764" s="38" t="s">
        <v>2123</v>
      </c>
      <c r="G1764" s="1465"/>
      <c r="H1764" s="38">
        <v>30218372</v>
      </c>
      <c r="I1764" s="41">
        <v>10500</v>
      </c>
      <c r="J1764" s="42">
        <v>0.1</v>
      </c>
      <c r="K1764" s="1462"/>
      <c r="L1764" s="1525"/>
      <c r="M1764" s="1465"/>
      <c r="N1764" s="1461"/>
    </row>
    <row r="1765" spans="2:15" ht="16.5" customHeight="1">
      <c r="B1765" s="1462"/>
      <c r="C1765" s="1462">
        <v>2</v>
      </c>
      <c r="D1765" s="1462" t="s">
        <v>173</v>
      </c>
      <c r="E1765" s="38">
        <v>71361471</v>
      </c>
      <c r="F1765" s="38" t="s">
        <v>2124</v>
      </c>
      <c r="G1765" s="1465" t="s">
        <v>2125</v>
      </c>
      <c r="H1765" s="38">
        <v>30172301</v>
      </c>
      <c r="I1765" s="41">
        <v>11900</v>
      </c>
      <c r="J1765" s="42">
        <v>0.13</v>
      </c>
      <c r="K1765" s="1462">
        <v>5</v>
      </c>
      <c r="L1765" s="1525">
        <f>I1765*5</f>
        <v>59500</v>
      </c>
      <c r="M1765" s="1580" t="s">
        <v>2126</v>
      </c>
      <c r="N1765" s="1461">
        <v>20250122159</v>
      </c>
    </row>
    <row r="1766" spans="2:15" ht="16.5" customHeight="1">
      <c r="B1766" s="1462"/>
      <c r="C1766" s="1462"/>
      <c r="D1766" s="1462"/>
      <c r="E1766" s="38">
        <v>73298917</v>
      </c>
      <c r="F1766" s="38" t="s">
        <v>2127</v>
      </c>
      <c r="G1766" s="1465"/>
      <c r="H1766" s="38">
        <v>30172300</v>
      </c>
      <c r="I1766" s="41">
        <v>12900</v>
      </c>
      <c r="J1766" s="42">
        <v>0.13</v>
      </c>
      <c r="K1766" s="1462"/>
      <c r="L1766" s="1525"/>
      <c r="M1766" s="1465"/>
      <c r="N1766" s="1461"/>
    </row>
    <row r="1767" spans="2:15" ht="16.5" customHeight="1">
      <c r="B1767" s="1462"/>
      <c r="C1767" s="1462">
        <v>3</v>
      </c>
      <c r="D1767" s="1462"/>
      <c r="E1767" s="38">
        <v>73298477</v>
      </c>
      <c r="F1767" s="38" t="s">
        <v>2128</v>
      </c>
      <c r="G1767" s="1465" t="s">
        <v>2129</v>
      </c>
      <c r="H1767" s="38">
        <v>30213028</v>
      </c>
      <c r="I1767" s="41">
        <v>19900</v>
      </c>
      <c r="J1767" s="42">
        <v>0.13</v>
      </c>
      <c r="K1767" s="1462">
        <v>5</v>
      </c>
      <c r="L1767" s="1525">
        <f>I1767*5</f>
        <v>99500</v>
      </c>
      <c r="M1767" s="1465" t="s">
        <v>2130</v>
      </c>
      <c r="N1767" s="1461">
        <v>20250122160</v>
      </c>
      <c r="O1767" s="4" t="s">
        <v>1505</v>
      </c>
    </row>
    <row r="1768" spans="2:15" ht="16.5" customHeight="1">
      <c r="B1768" s="1462"/>
      <c r="C1768" s="1462"/>
      <c r="D1768" s="1462"/>
      <c r="E1768" s="38">
        <v>73298476</v>
      </c>
      <c r="F1768" s="38" t="s">
        <v>2131</v>
      </c>
      <c r="G1768" s="1465"/>
      <c r="H1768" s="38">
        <v>30213029</v>
      </c>
      <c r="I1768" s="41">
        <v>24900</v>
      </c>
      <c r="J1768" s="42">
        <v>0.13</v>
      </c>
      <c r="K1768" s="1462"/>
      <c r="L1768" s="1525"/>
      <c r="M1768" s="1465"/>
      <c r="N1768" s="1461"/>
    </row>
    <row r="1769" spans="2:15" ht="16.5" customHeight="1">
      <c r="B1769" s="1462"/>
      <c r="C1769" s="1462"/>
      <c r="D1769" s="1462"/>
      <c r="E1769" s="38">
        <v>73298475</v>
      </c>
      <c r="F1769" s="38" t="s">
        <v>2132</v>
      </c>
      <c r="G1769" s="1465"/>
      <c r="H1769" s="38">
        <v>30213030</v>
      </c>
      <c r="I1769" s="41">
        <v>29900</v>
      </c>
      <c r="J1769" s="42">
        <v>0.13</v>
      </c>
      <c r="K1769" s="1462"/>
      <c r="L1769" s="1525"/>
      <c r="M1769" s="1465"/>
      <c r="N1769" s="1461"/>
    </row>
    <row r="1770" spans="2:15" ht="16.5" customHeight="1">
      <c r="B1770" s="1462"/>
      <c r="C1770" s="1462"/>
      <c r="D1770" s="1462"/>
      <c r="E1770" s="38">
        <v>73298473</v>
      </c>
      <c r="F1770" s="38" t="s">
        <v>2133</v>
      </c>
      <c r="G1770" s="1465"/>
      <c r="H1770" s="38">
        <v>30213031</v>
      </c>
      <c r="I1770" s="41">
        <v>34900</v>
      </c>
      <c r="J1770" s="42">
        <v>0.13</v>
      </c>
      <c r="K1770" s="1462"/>
      <c r="L1770" s="1525"/>
      <c r="M1770" s="1465"/>
      <c r="N1770" s="1461"/>
    </row>
    <row r="1771" spans="2:15" ht="16.5" customHeight="1">
      <c r="B1771" s="1462"/>
      <c r="C1771" s="1462">
        <v>4</v>
      </c>
      <c r="D1771" s="1462" t="s">
        <v>166</v>
      </c>
      <c r="E1771" s="38">
        <v>30173887</v>
      </c>
      <c r="F1771" s="38" t="s">
        <v>167</v>
      </c>
      <c r="G1771" s="1465" t="s">
        <v>168</v>
      </c>
      <c r="H1771" s="38">
        <v>30205919</v>
      </c>
      <c r="I1771" s="41">
        <v>49900</v>
      </c>
      <c r="J1771" s="42">
        <v>0.05</v>
      </c>
      <c r="K1771" s="1462">
        <v>5</v>
      </c>
      <c r="L1771" s="1525">
        <v>249500</v>
      </c>
      <c r="M1771" s="1465" t="s">
        <v>169</v>
      </c>
      <c r="N1771" s="1445">
        <v>20250122161</v>
      </c>
    </row>
    <row r="1772" spans="2:15" ht="16.5" customHeight="1">
      <c r="B1772" s="1462"/>
      <c r="C1772" s="1462"/>
      <c r="D1772" s="1462"/>
      <c r="E1772" s="38">
        <v>30173888</v>
      </c>
      <c r="F1772" s="38" t="s">
        <v>170</v>
      </c>
      <c r="G1772" s="1465"/>
      <c r="H1772" s="38">
        <v>30205922</v>
      </c>
      <c r="I1772" s="41">
        <v>49900</v>
      </c>
      <c r="J1772" s="42">
        <v>0.05</v>
      </c>
      <c r="K1772" s="1462"/>
      <c r="L1772" s="1525"/>
      <c r="M1772" s="1465"/>
      <c r="N1772" s="1446"/>
    </row>
    <row r="1773" spans="2:15" ht="16.5" customHeight="1">
      <c r="B1773" s="1462"/>
      <c r="C1773" s="1462"/>
      <c r="D1773" s="1462"/>
      <c r="E1773" s="38">
        <v>30173890</v>
      </c>
      <c r="F1773" s="38" t="s">
        <v>171</v>
      </c>
      <c r="G1773" s="1465"/>
      <c r="H1773" s="38">
        <v>30205924</v>
      </c>
      <c r="I1773" s="41">
        <v>39900</v>
      </c>
      <c r="J1773" s="42">
        <v>0.05</v>
      </c>
      <c r="K1773" s="1462"/>
      <c r="L1773" s="1525"/>
      <c r="M1773" s="1465"/>
      <c r="N1773" s="1446"/>
    </row>
    <row r="1774" spans="2:15" ht="16.5" customHeight="1">
      <c r="B1774" s="1462"/>
      <c r="C1774" s="1462"/>
      <c r="D1774" s="1462"/>
      <c r="E1774" s="38">
        <v>30173893</v>
      </c>
      <c r="F1774" s="38" t="s">
        <v>172</v>
      </c>
      <c r="G1774" s="1465"/>
      <c r="H1774" s="38">
        <v>30205926</v>
      </c>
      <c r="I1774" s="41">
        <v>39900</v>
      </c>
      <c r="J1774" s="42">
        <v>0.05</v>
      </c>
      <c r="K1774" s="1462"/>
      <c r="L1774" s="1525"/>
      <c r="M1774" s="1465"/>
      <c r="N1774" s="1447"/>
    </row>
    <row r="1775" spans="2:15" ht="16.5" customHeight="1">
      <c r="B1775" s="1462" t="s">
        <v>1109</v>
      </c>
      <c r="C1775" s="1462">
        <v>1</v>
      </c>
      <c r="D1775" s="1462" t="s">
        <v>1502</v>
      </c>
      <c r="E1775" s="38">
        <v>30198823</v>
      </c>
      <c r="F1775" s="38" t="s">
        <v>1111</v>
      </c>
      <c r="G1775" s="1465" t="s">
        <v>2134</v>
      </c>
      <c r="H1775" s="38">
        <v>30201002</v>
      </c>
      <c r="I1775" s="41">
        <v>6900</v>
      </c>
      <c r="J1775" s="42">
        <v>0.1</v>
      </c>
      <c r="K1775" s="1462">
        <v>5</v>
      </c>
      <c r="L1775" s="1525">
        <f>I1775*5</f>
        <v>34500</v>
      </c>
      <c r="M1775" s="1465" t="s">
        <v>2135</v>
      </c>
      <c r="N1775" s="1461">
        <v>20250122162</v>
      </c>
    </row>
    <row r="1776" spans="2:15" ht="16.5" customHeight="1">
      <c r="B1776" s="1462"/>
      <c r="C1776" s="1462"/>
      <c r="D1776" s="1462"/>
      <c r="E1776" s="38">
        <v>30203100</v>
      </c>
      <c r="F1776" s="38" t="s">
        <v>1115</v>
      </c>
      <c r="G1776" s="1465"/>
      <c r="H1776" s="38">
        <v>30210584</v>
      </c>
      <c r="I1776" s="41">
        <v>6900</v>
      </c>
      <c r="J1776" s="42">
        <v>0.1</v>
      </c>
      <c r="K1776" s="1462"/>
      <c r="L1776" s="1525"/>
      <c r="M1776" s="1465"/>
      <c r="N1776" s="1461"/>
    </row>
    <row r="1777" spans="2:14" ht="16.5" customHeight="1">
      <c r="B1777" s="1462"/>
      <c r="C1777" s="1462"/>
      <c r="D1777" s="1462"/>
      <c r="E1777" s="38">
        <v>30201344</v>
      </c>
      <c r="F1777" s="38" t="s">
        <v>1114</v>
      </c>
      <c r="G1777" s="1465"/>
      <c r="H1777" s="38">
        <v>30210583</v>
      </c>
      <c r="I1777" s="41">
        <v>8100</v>
      </c>
      <c r="J1777" s="42">
        <v>0.1</v>
      </c>
      <c r="K1777" s="1462"/>
      <c r="L1777" s="1525"/>
      <c r="M1777" s="1465"/>
      <c r="N1777" s="1461"/>
    </row>
    <row r="1778" spans="2:14" ht="16.5" customHeight="1">
      <c r="B1778" s="1462"/>
      <c r="C1778" s="1462"/>
      <c r="D1778" s="1462"/>
      <c r="E1778" s="38">
        <v>30199749</v>
      </c>
      <c r="F1778" s="38" t="s">
        <v>1116</v>
      </c>
      <c r="G1778" s="1465"/>
      <c r="H1778" s="38">
        <v>30210597</v>
      </c>
      <c r="I1778" s="41">
        <v>6100</v>
      </c>
      <c r="J1778" s="42">
        <v>0.1</v>
      </c>
      <c r="K1778" s="1462"/>
      <c r="L1778" s="1525"/>
      <c r="M1778" s="1465"/>
      <c r="N1778" s="1461"/>
    </row>
    <row r="1779" spans="2:14" ht="16.5" customHeight="1">
      <c r="B1779" s="1462"/>
      <c r="C1779" s="1462"/>
      <c r="D1779" s="1462"/>
      <c r="E1779" s="38">
        <v>30199763</v>
      </c>
      <c r="F1779" s="38" t="s">
        <v>1506</v>
      </c>
      <c r="G1779" s="1465"/>
      <c r="H1779" s="38">
        <v>30218378</v>
      </c>
      <c r="I1779" s="41">
        <v>10900</v>
      </c>
      <c r="J1779" s="42">
        <v>0.1</v>
      </c>
      <c r="K1779" s="1462"/>
      <c r="L1779" s="1525"/>
      <c r="M1779" s="1465"/>
      <c r="N1779" s="1461"/>
    </row>
    <row r="1780" spans="2:14" ht="16.5" customHeight="1">
      <c r="B1780" s="1462"/>
      <c r="C1780" s="1462"/>
      <c r="D1780" s="1462"/>
      <c r="E1780" s="38">
        <v>30209424</v>
      </c>
      <c r="F1780" s="38" t="s">
        <v>1507</v>
      </c>
      <c r="G1780" s="1465"/>
      <c r="H1780" s="38">
        <v>30218379</v>
      </c>
      <c r="I1780" s="41">
        <v>8900</v>
      </c>
      <c r="J1780" s="42">
        <v>0.1</v>
      </c>
      <c r="K1780" s="1462"/>
      <c r="L1780" s="1525"/>
      <c r="M1780" s="1465"/>
      <c r="N1780" s="1461"/>
    </row>
    <row r="1781" spans="2:14" ht="16.5" customHeight="1">
      <c r="B1781" s="1462"/>
      <c r="C1781" s="1462"/>
      <c r="D1781" s="1462"/>
      <c r="E1781" s="38">
        <v>30199743</v>
      </c>
      <c r="F1781" s="38" t="s">
        <v>1121</v>
      </c>
      <c r="G1781" s="1465"/>
      <c r="H1781" s="38">
        <v>30210586</v>
      </c>
      <c r="I1781" s="41">
        <v>9100</v>
      </c>
      <c r="J1781" s="42">
        <v>0.1</v>
      </c>
      <c r="K1781" s="1462"/>
      <c r="L1781" s="1525"/>
      <c r="M1781" s="1465"/>
      <c r="N1781" s="1461"/>
    </row>
    <row r="1782" spans="2:14" ht="16.5" customHeight="1">
      <c r="B1782" s="1462"/>
      <c r="C1782" s="1462"/>
      <c r="D1782" s="1462"/>
      <c r="E1782" s="38">
        <v>30199754</v>
      </c>
      <c r="F1782" s="38" t="s">
        <v>1122</v>
      </c>
      <c r="G1782" s="1465"/>
      <c r="H1782" s="38">
        <v>30210587</v>
      </c>
      <c r="I1782" s="41">
        <v>7900</v>
      </c>
      <c r="J1782" s="42">
        <v>0.1</v>
      </c>
      <c r="K1782" s="1462"/>
      <c r="L1782" s="1525"/>
      <c r="M1782" s="1465"/>
      <c r="N1782" s="1461"/>
    </row>
    <row r="1783" spans="2:14" ht="16.5" customHeight="1">
      <c r="B1783" s="1462"/>
      <c r="C1783" s="1462"/>
      <c r="D1783" s="1462"/>
      <c r="E1783" s="38">
        <v>30199752</v>
      </c>
      <c r="F1783" s="38" t="s">
        <v>1123</v>
      </c>
      <c r="G1783" s="1465"/>
      <c r="H1783" s="38">
        <v>30210588</v>
      </c>
      <c r="I1783" s="41">
        <v>6100</v>
      </c>
      <c r="J1783" s="42">
        <v>0.1</v>
      </c>
      <c r="K1783" s="1462"/>
      <c r="L1783" s="1525"/>
      <c r="M1783" s="1465"/>
      <c r="N1783" s="1461"/>
    </row>
    <row r="1784" spans="2:14" ht="16.5" customHeight="1">
      <c r="B1784" s="1462"/>
      <c r="C1784" s="1462"/>
      <c r="D1784" s="1462"/>
      <c r="E1784" s="38">
        <v>30199757</v>
      </c>
      <c r="F1784" s="38" t="s">
        <v>1124</v>
      </c>
      <c r="G1784" s="1465"/>
      <c r="H1784" s="38">
        <v>30210598</v>
      </c>
      <c r="I1784" s="41">
        <v>8900</v>
      </c>
      <c r="J1784" s="42">
        <v>0.1</v>
      </c>
      <c r="K1784" s="1462"/>
      <c r="L1784" s="1525"/>
      <c r="M1784" s="1465"/>
      <c r="N1784" s="1461"/>
    </row>
    <row r="1785" spans="2:14" ht="16.5" customHeight="1">
      <c r="B1785" s="1462"/>
      <c r="C1785" s="1462"/>
      <c r="D1785" s="1462"/>
      <c r="E1785" s="38">
        <v>30199758</v>
      </c>
      <c r="F1785" s="38" t="s">
        <v>1120</v>
      </c>
      <c r="G1785" s="1465"/>
      <c r="H1785" s="38">
        <v>30210600</v>
      </c>
      <c r="I1785" s="41">
        <v>6100</v>
      </c>
      <c r="J1785" s="42">
        <v>0.1</v>
      </c>
      <c r="K1785" s="1462"/>
      <c r="L1785" s="1525"/>
      <c r="M1785" s="1465"/>
      <c r="N1785" s="1461"/>
    </row>
    <row r="1786" spans="2:14">
      <c r="B1786" s="253"/>
      <c r="C1786" s="253"/>
      <c r="D1786" s="127"/>
      <c r="E1786" s="127"/>
      <c r="F1786" s="128"/>
      <c r="G1786" s="254"/>
      <c r="H1786" s="127"/>
      <c r="I1786" s="127"/>
      <c r="J1786" s="255"/>
      <c r="K1786" s="127"/>
      <c r="L1786" s="256"/>
      <c r="M1786" s="254"/>
      <c r="N1786" s="127"/>
    </row>
    <row r="1787" spans="2:14" ht="31.5">
      <c r="B1787" s="1441" t="s">
        <v>2136</v>
      </c>
      <c r="C1787" s="1442"/>
      <c r="D1787" s="1442"/>
      <c r="E1787" s="1442"/>
      <c r="F1787" s="1442"/>
      <c r="G1787" s="1442"/>
      <c r="H1787" s="1442"/>
      <c r="I1787" s="1442"/>
      <c r="J1787" s="1442"/>
      <c r="K1787" s="1442"/>
      <c r="L1787" s="1442"/>
      <c r="M1787" s="1442"/>
      <c r="N1787" s="1442"/>
    </row>
    <row r="1788" spans="2:14" ht="31.5">
      <c r="B1788" s="398" t="s">
        <v>2137</v>
      </c>
      <c r="C1788" s="15"/>
      <c r="D1788" s="15"/>
      <c r="E1788" s="15"/>
      <c r="F1788" s="15"/>
      <c r="G1788" s="15"/>
      <c r="H1788" s="15"/>
      <c r="I1788" s="15"/>
      <c r="J1788" s="15"/>
      <c r="K1788" s="15"/>
      <c r="L1788" s="15"/>
      <c r="M1788" s="15"/>
      <c r="N1788" s="15"/>
    </row>
    <row r="1789" spans="2:14" ht="16.5" customHeight="1">
      <c r="B1789" s="1448" t="s">
        <v>165</v>
      </c>
      <c r="C1789" s="30">
        <v>1</v>
      </c>
      <c r="D1789" s="1448" t="s">
        <v>173</v>
      </c>
      <c r="E1789" s="30">
        <v>68625118</v>
      </c>
      <c r="F1789" s="31" t="s">
        <v>2138</v>
      </c>
      <c r="G1789" s="30" t="s">
        <v>2138</v>
      </c>
      <c r="H1789" s="30">
        <v>30196465</v>
      </c>
      <c r="I1789" s="35">
        <v>12900</v>
      </c>
      <c r="J1789" s="64">
        <v>0.13</v>
      </c>
      <c r="K1789" s="30">
        <v>5</v>
      </c>
      <c r="L1789" s="30">
        <f>I1789*5</f>
        <v>64500</v>
      </c>
      <c r="M1789" s="31" t="s">
        <v>2139</v>
      </c>
      <c r="N1789" s="34">
        <v>20250205171</v>
      </c>
    </row>
    <row r="1790" spans="2:14" ht="16.5" customHeight="1">
      <c r="B1790" s="1448"/>
      <c r="C1790" s="1448">
        <v>2</v>
      </c>
      <c r="D1790" s="1448"/>
      <c r="E1790" s="30">
        <v>76851819</v>
      </c>
      <c r="F1790" s="31" t="s">
        <v>2140</v>
      </c>
      <c r="G1790" s="1448" t="s">
        <v>2141</v>
      </c>
      <c r="H1790" s="30">
        <v>30218995</v>
      </c>
      <c r="I1790" s="30">
        <v>29800</v>
      </c>
      <c r="J1790" s="64">
        <v>0.13</v>
      </c>
      <c r="K1790" s="1448">
        <v>5</v>
      </c>
      <c r="L1790" s="1448">
        <f>I1790*5</f>
        <v>149000</v>
      </c>
      <c r="M1790" s="1454" t="s">
        <v>2142</v>
      </c>
      <c r="N1790" s="1445">
        <v>20250205172</v>
      </c>
    </row>
    <row r="1791" spans="2:14" ht="16.5" customHeight="1">
      <c r="B1791" s="1448"/>
      <c r="C1791" s="1448"/>
      <c r="D1791" s="1448"/>
      <c r="E1791" s="30">
        <v>76851852</v>
      </c>
      <c r="F1791" s="31" t="s">
        <v>2143</v>
      </c>
      <c r="G1791" s="1448"/>
      <c r="H1791" s="30">
        <v>30218997</v>
      </c>
      <c r="I1791" s="30">
        <v>49900</v>
      </c>
      <c r="J1791" s="64">
        <v>0.13</v>
      </c>
      <c r="K1791" s="1448"/>
      <c r="L1791" s="1448"/>
      <c r="M1791" s="1454"/>
      <c r="N1791" s="1446"/>
    </row>
    <row r="1792" spans="2:14" ht="16.5" customHeight="1">
      <c r="B1792" s="1448"/>
      <c r="C1792" s="1448"/>
      <c r="D1792" s="1448"/>
      <c r="E1792" s="30">
        <v>76851867</v>
      </c>
      <c r="F1792" s="31" t="s">
        <v>2144</v>
      </c>
      <c r="G1792" s="1448"/>
      <c r="H1792" s="30">
        <v>30219001</v>
      </c>
      <c r="I1792" s="30">
        <v>64900</v>
      </c>
      <c r="J1792" s="64">
        <v>0.13</v>
      </c>
      <c r="K1792" s="1448"/>
      <c r="L1792" s="1448"/>
      <c r="M1792" s="1454"/>
      <c r="N1792" s="1446"/>
    </row>
    <row r="1793" spans="2:14" ht="16.5" customHeight="1">
      <c r="B1793" s="1448"/>
      <c r="C1793" s="1448"/>
      <c r="D1793" s="1448"/>
      <c r="E1793" s="30">
        <v>60351753</v>
      </c>
      <c r="F1793" s="31" t="s">
        <v>2145</v>
      </c>
      <c r="G1793" s="1448"/>
      <c r="H1793" s="30">
        <v>30219005</v>
      </c>
      <c r="I1793" s="30">
        <v>34900</v>
      </c>
      <c r="J1793" s="64">
        <v>0.13</v>
      </c>
      <c r="K1793" s="1448"/>
      <c r="L1793" s="1448"/>
      <c r="M1793" s="1454"/>
      <c r="N1793" s="1446"/>
    </row>
    <row r="1794" spans="2:14" ht="16.5" customHeight="1">
      <c r="B1794" s="1448"/>
      <c r="C1794" s="1448"/>
      <c r="D1794" s="1448"/>
      <c r="E1794" s="30">
        <v>60351751</v>
      </c>
      <c r="F1794" s="31" t="s">
        <v>2146</v>
      </c>
      <c r="G1794" s="1448"/>
      <c r="H1794" s="30">
        <v>30219007</v>
      </c>
      <c r="I1794" s="30">
        <v>54900</v>
      </c>
      <c r="J1794" s="64">
        <v>0.13</v>
      </c>
      <c r="K1794" s="1448"/>
      <c r="L1794" s="1448"/>
      <c r="M1794" s="1454"/>
      <c r="N1794" s="1446"/>
    </row>
    <row r="1795" spans="2:14" ht="16.5" customHeight="1">
      <c r="B1795" s="1448"/>
      <c r="C1795" s="1448"/>
      <c r="D1795" s="1448"/>
      <c r="E1795" s="30">
        <v>60351749</v>
      </c>
      <c r="F1795" s="31" t="s">
        <v>2147</v>
      </c>
      <c r="G1795" s="1448"/>
      <c r="H1795" s="30">
        <v>30219009</v>
      </c>
      <c r="I1795" s="30">
        <v>69900</v>
      </c>
      <c r="J1795" s="64">
        <v>0.13</v>
      </c>
      <c r="K1795" s="1448"/>
      <c r="L1795" s="1448"/>
      <c r="M1795" s="1454"/>
      <c r="N1795" s="1446"/>
    </row>
    <row r="1796" spans="2:14" ht="16.5" customHeight="1">
      <c r="B1796" s="1448"/>
      <c r="C1796" s="1448"/>
      <c r="D1796" s="1448"/>
      <c r="E1796" s="30">
        <v>60351747</v>
      </c>
      <c r="F1796" s="31" t="s">
        <v>2148</v>
      </c>
      <c r="G1796" s="1448"/>
      <c r="H1796" s="30">
        <v>30219012</v>
      </c>
      <c r="I1796" s="30">
        <v>44900</v>
      </c>
      <c r="J1796" s="64">
        <v>0.13</v>
      </c>
      <c r="K1796" s="1448"/>
      <c r="L1796" s="1448"/>
      <c r="M1796" s="1454"/>
      <c r="N1796" s="1446"/>
    </row>
    <row r="1797" spans="2:14" ht="16.5" customHeight="1">
      <c r="B1797" s="1448"/>
      <c r="C1797" s="1448"/>
      <c r="D1797" s="1448"/>
      <c r="E1797" s="30">
        <v>60351746</v>
      </c>
      <c r="F1797" s="31" t="s">
        <v>2149</v>
      </c>
      <c r="G1797" s="1448"/>
      <c r="H1797" s="30">
        <v>30219014</v>
      </c>
      <c r="I1797" s="30">
        <v>64900</v>
      </c>
      <c r="J1797" s="64">
        <v>0.13</v>
      </c>
      <c r="K1797" s="1448"/>
      <c r="L1797" s="1448"/>
      <c r="M1797" s="1454"/>
      <c r="N1797" s="1446"/>
    </row>
    <row r="1798" spans="2:14" ht="16.5" customHeight="1">
      <c r="B1798" s="1448"/>
      <c r="C1798" s="1448"/>
      <c r="D1798" s="1448"/>
      <c r="E1798" s="30">
        <v>60351745</v>
      </c>
      <c r="F1798" s="31" t="s">
        <v>2150</v>
      </c>
      <c r="G1798" s="1448"/>
      <c r="H1798" s="30">
        <v>30219017</v>
      </c>
      <c r="I1798" s="30">
        <v>84900</v>
      </c>
      <c r="J1798" s="64">
        <v>0.13</v>
      </c>
      <c r="K1798" s="1448"/>
      <c r="L1798" s="1448"/>
      <c r="M1798" s="1454"/>
      <c r="N1798" s="1447"/>
    </row>
    <row r="1799" spans="2:14" ht="16.5" customHeight="1">
      <c r="B1799" s="1448"/>
      <c r="C1799" s="1448">
        <v>3</v>
      </c>
      <c r="D1799" s="1448" t="s">
        <v>166</v>
      </c>
      <c r="E1799" s="30">
        <v>30173887</v>
      </c>
      <c r="F1799" s="31" t="s">
        <v>167</v>
      </c>
      <c r="G1799" s="1448" t="s">
        <v>168</v>
      </c>
      <c r="H1799" s="30">
        <v>30204890</v>
      </c>
      <c r="I1799" s="35">
        <v>49900</v>
      </c>
      <c r="J1799" s="64">
        <v>0.05</v>
      </c>
      <c r="K1799" s="1448">
        <v>5</v>
      </c>
      <c r="L1799" s="1459">
        <v>249500</v>
      </c>
      <c r="M1799" s="1454" t="s">
        <v>169</v>
      </c>
      <c r="N1799" s="1445">
        <v>20250205173</v>
      </c>
    </row>
    <row r="1800" spans="2:14" ht="16.5" customHeight="1">
      <c r="B1800" s="1448"/>
      <c r="C1800" s="1448"/>
      <c r="D1800" s="1448"/>
      <c r="E1800" s="30">
        <v>30173888</v>
      </c>
      <c r="F1800" s="31" t="s">
        <v>170</v>
      </c>
      <c r="G1800" s="1448"/>
      <c r="H1800" s="30">
        <v>30204892</v>
      </c>
      <c r="I1800" s="35">
        <v>49900</v>
      </c>
      <c r="J1800" s="64">
        <v>0.05</v>
      </c>
      <c r="K1800" s="1448"/>
      <c r="L1800" s="1459"/>
      <c r="M1800" s="1454"/>
      <c r="N1800" s="1446"/>
    </row>
    <row r="1801" spans="2:14" ht="16.5" customHeight="1">
      <c r="B1801" s="1448"/>
      <c r="C1801" s="1448"/>
      <c r="D1801" s="1448"/>
      <c r="E1801" s="30">
        <v>30173890</v>
      </c>
      <c r="F1801" s="31" t="s">
        <v>171</v>
      </c>
      <c r="G1801" s="1448"/>
      <c r="H1801" s="30">
        <v>30204894</v>
      </c>
      <c r="I1801" s="35">
        <v>39900</v>
      </c>
      <c r="J1801" s="64">
        <v>0.05</v>
      </c>
      <c r="K1801" s="1448"/>
      <c r="L1801" s="1459"/>
      <c r="M1801" s="1454"/>
      <c r="N1801" s="1446"/>
    </row>
    <row r="1802" spans="2:14" ht="16.5" customHeight="1">
      <c r="B1802" s="1448"/>
      <c r="C1802" s="1448"/>
      <c r="D1802" s="1448"/>
      <c r="E1802" s="30">
        <v>30173893</v>
      </c>
      <c r="F1802" s="31" t="s">
        <v>172</v>
      </c>
      <c r="G1802" s="1448"/>
      <c r="H1802" s="30">
        <v>30204895</v>
      </c>
      <c r="I1802" s="35">
        <v>39900</v>
      </c>
      <c r="J1802" s="64">
        <v>0.05</v>
      </c>
      <c r="K1802" s="1448"/>
      <c r="L1802" s="1459"/>
      <c r="M1802" s="1454"/>
      <c r="N1802" s="1447"/>
    </row>
    <row r="1803" spans="2:14" ht="16.5" customHeight="1">
      <c r="B1803" s="1448"/>
      <c r="C1803" s="1448">
        <v>4</v>
      </c>
      <c r="D1803" s="1448" t="s">
        <v>622</v>
      </c>
      <c r="E1803" s="30">
        <v>42027300</v>
      </c>
      <c r="F1803" s="31" t="s">
        <v>629</v>
      </c>
      <c r="G1803" s="1448" t="s">
        <v>2151</v>
      </c>
      <c r="H1803" s="30">
        <v>30203816</v>
      </c>
      <c r="I1803" s="35">
        <v>30900</v>
      </c>
      <c r="J1803" s="64">
        <v>0.13</v>
      </c>
      <c r="K1803" s="1448">
        <v>5</v>
      </c>
      <c r="L1803" s="1448">
        <f>I1807*5</f>
        <v>62000</v>
      </c>
      <c r="M1803" s="1454" t="s">
        <v>2152</v>
      </c>
      <c r="N1803" s="1445">
        <v>20250205174</v>
      </c>
    </row>
    <row r="1804" spans="2:14" ht="16.5" customHeight="1">
      <c r="B1804" s="1448"/>
      <c r="C1804" s="1448"/>
      <c r="D1804" s="1448"/>
      <c r="E1804" s="30">
        <v>42027296</v>
      </c>
      <c r="F1804" s="31" t="s">
        <v>630</v>
      </c>
      <c r="G1804" s="1448"/>
      <c r="H1804" s="30">
        <v>30203819</v>
      </c>
      <c r="I1804" s="35">
        <v>34900</v>
      </c>
      <c r="J1804" s="64">
        <v>0.13</v>
      </c>
      <c r="K1804" s="1448"/>
      <c r="L1804" s="1448"/>
      <c r="M1804" s="1454"/>
      <c r="N1804" s="1446"/>
    </row>
    <row r="1805" spans="2:14" ht="16.5" customHeight="1">
      <c r="B1805" s="1448"/>
      <c r="C1805" s="1448"/>
      <c r="D1805" s="1448"/>
      <c r="E1805" s="30">
        <v>40636151</v>
      </c>
      <c r="F1805" s="31" t="s">
        <v>1526</v>
      </c>
      <c r="G1805" s="1448"/>
      <c r="H1805" s="30">
        <v>30219044</v>
      </c>
      <c r="I1805" s="35">
        <v>13500</v>
      </c>
      <c r="J1805" s="64">
        <v>0.13</v>
      </c>
      <c r="K1805" s="1448"/>
      <c r="L1805" s="1448"/>
      <c r="M1805" s="1454"/>
      <c r="N1805" s="1446"/>
    </row>
    <row r="1806" spans="2:14" ht="16.5" customHeight="1">
      <c r="B1806" s="1448"/>
      <c r="C1806" s="1448"/>
      <c r="D1806" s="1448"/>
      <c r="E1806" s="30">
        <v>40636150</v>
      </c>
      <c r="F1806" s="31" t="s">
        <v>1530</v>
      </c>
      <c r="G1806" s="1448"/>
      <c r="H1806" s="30">
        <v>30219045</v>
      </c>
      <c r="I1806" s="35">
        <v>15800</v>
      </c>
      <c r="J1806" s="64">
        <v>0.13</v>
      </c>
      <c r="K1806" s="1448"/>
      <c r="L1806" s="1448"/>
      <c r="M1806" s="1454"/>
      <c r="N1806" s="1446"/>
    </row>
    <row r="1807" spans="2:14" ht="16.5" customHeight="1">
      <c r="B1807" s="1448"/>
      <c r="C1807" s="1448"/>
      <c r="D1807" s="1448"/>
      <c r="E1807" s="30">
        <v>60265746</v>
      </c>
      <c r="F1807" s="31" t="s">
        <v>1531</v>
      </c>
      <c r="G1807" s="1448"/>
      <c r="H1807" s="30">
        <v>30219046</v>
      </c>
      <c r="I1807" s="35">
        <v>12400</v>
      </c>
      <c r="J1807" s="64">
        <v>0.13</v>
      </c>
      <c r="K1807" s="1448"/>
      <c r="L1807" s="1448"/>
      <c r="M1807" s="1454"/>
      <c r="N1807" s="1446"/>
    </row>
    <row r="1808" spans="2:14" ht="16.5" customHeight="1">
      <c r="B1808" s="1448"/>
      <c r="C1808" s="1448"/>
      <c r="D1808" s="1448"/>
      <c r="E1808" s="30">
        <v>40636146</v>
      </c>
      <c r="F1808" s="31" t="s">
        <v>1532</v>
      </c>
      <c r="G1808" s="1448"/>
      <c r="H1808" s="30">
        <v>30219047</v>
      </c>
      <c r="I1808" s="35">
        <v>13500</v>
      </c>
      <c r="J1808" s="64">
        <v>0.13</v>
      </c>
      <c r="K1808" s="1448"/>
      <c r="L1808" s="1448"/>
      <c r="M1808" s="1454"/>
      <c r="N1808" s="1446"/>
    </row>
    <row r="1809" spans="2:14" ht="16.5" customHeight="1">
      <c r="B1809" s="1448"/>
      <c r="C1809" s="1448"/>
      <c r="D1809" s="1448"/>
      <c r="E1809" s="30">
        <v>40636123</v>
      </c>
      <c r="F1809" s="31" t="s">
        <v>1533</v>
      </c>
      <c r="G1809" s="1448"/>
      <c r="H1809" s="30">
        <v>30219049</v>
      </c>
      <c r="I1809" s="35">
        <v>15800</v>
      </c>
      <c r="J1809" s="64">
        <v>0.13</v>
      </c>
      <c r="K1809" s="1448"/>
      <c r="L1809" s="1448"/>
      <c r="M1809" s="1454"/>
      <c r="N1809" s="1446"/>
    </row>
    <row r="1810" spans="2:14" ht="16.5" customHeight="1">
      <c r="B1810" s="1448"/>
      <c r="C1810" s="1448"/>
      <c r="D1810" s="1448"/>
      <c r="E1810" s="30">
        <v>40636329</v>
      </c>
      <c r="F1810" s="31" t="s">
        <v>1140</v>
      </c>
      <c r="G1810" s="1448"/>
      <c r="H1810" s="30">
        <v>30215517</v>
      </c>
      <c r="I1810" s="35">
        <v>30900</v>
      </c>
      <c r="J1810" s="64">
        <v>0.13</v>
      </c>
      <c r="K1810" s="1448"/>
      <c r="L1810" s="1448"/>
      <c r="M1810" s="1454"/>
      <c r="N1810" s="1446"/>
    </row>
    <row r="1811" spans="2:14" ht="16.5" customHeight="1">
      <c r="B1811" s="1448"/>
      <c r="C1811" s="1448"/>
      <c r="D1811" s="1448"/>
      <c r="E1811" s="30">
        <v>40636328</v>
      </c>
      <c r="F1811" s="31" t="s">
        <v>1534</v>
      </c>
      <c r="G1811" s="1448"/>
      <c r="H1811" s="30">
        <v>30215519</v>
      </c>
      <c r="I1811" s="35">
        <v>39600</v>
      </c>
      <c r="J1811" s="64">
        <v>0.13</v>
      </c>
      <c r="K1811" s="1448"/>
      <c r="L1811" s="1448"/>
      <c r="M1811" s="1454"/>
      <c r="N1811" s="1446"/>
    </row>
    <row r="1812" spans="2:14" ht="16.5" customHeight="1">
      <c r="B1812" s="1448"/>
      <c r="C1812" s="1448"/>
      <c r="D1812" s="1448"/>
      <c r="E1812" s="30">
        <v>44649590</v>
      </c>
      <c r="F1812" s="31" t="s">
        <v>1145</v>
      </c>
      <c r="G1812" s="1448"/>
      <c r="H1812" s="30">
        <v>30205979</v>
      </c>
      <c r="I1812" s="35">
        <v>21300</v>
      </c>
      <c r="J1812" s="64">
        <v>0.13</v>
      </c>
      <c r="K1812" s="1448"/>
      <c r="L1812" s="1448"/>
      <c r="M1812" s="1454"/>
      <c r="N1812" s="1446"/>
    </row>
    <row r="1813" spans="2:14" ht="16.5" customHeight="1">
      <c r="B1813" s="1448"/>
      <c r="C1813" s="1448"/>
      <c r="D1813" s="1448"/>
      <c r="E1813" s="30">
        <v>44649598</v>
      </c>
      <c r="F1813" s="31" t="s">
        <v>1146</v>
      </c>
      <c r="G1813" s="1448"/>
      <c r="H1813" s="30">
        <v>30205980</v>
      </c>
      <c r="I1813" s="35">
        <v>25900</v>
      </c>
      <c r="J1813" s="64">
        <v>0.13</v>
      </c>
      <c r="K1813" s="1448"/>
      <c r="L1813" s="1448"/>
      <c r="M1813" s="1454"/>
      <c r="N1813" s="1446"/>
    </row>
    <row r="1814" spans="2:14" ht="16.5" customHeight="1">
      <c r="B1814" s="1448"/>
      <c r="C1814" s="1448"/>
      <c r="D1814" s="1448"/>
      <c r="E1814" s="30">
        <v>48867652</v>
      </c>
      <c r="F1814" s="31" t="s">
        <v>1147</v>
      </c>
      <c r="G1814" s="1448"/>
      <c r="H1814" s="30">
        <v>30215522</v>
      </c>
      <c r="I1814" s="35">
        <v>18900</v>
      </c>
      <c r="J1814" s="64">
        <v>0.13</v>
      </c>
      <c r="K1814" s="1448"/>
      <c r="L1814" s="1448"/>
      <c r="M1814" s="1454"/>
      <c r="N1814" s="1446"/>
    </row>
    <row r="1815" spans="2:14" ht="16.5" customHeight="1">
      <c r="B1815" s="1448"/>
      <c r="C1815" s="1448"/>
      <c r="D1815" s="1448"/>
      <c r="E1815" s="30">
        <v>48867651</v>
      </c>
      <c r="F1815" s="31" t="s">
        <v>1148</v>
      </c>
      <c r="G1815" s="1448"/>
      <c r="H1815" s="30">
        <v>30215523</v>
      </c>
      <c r="I1815" s="35">
        <v>23300</v>
      </c>
      <c r="J1815" s="64">
        <v>0.13</v>
      </c>
      <c r="K1815" s="1448"/>
      <c r="L1815" s="1448"/>
      <c r="M1815" s="1454"/>
      <c r="N1815" s="1446"/>
    </row>
    <row r="1816" spans="2:14" ht="16.5" customHeight="1">
      <c r="B1816" s="1448"/>
      <c r="C1816" s="1448"/>
      <c r="D1816" s="1448"/>
      <c r="E1816" s="30">
        <v>73546886</v>
      </c>
      <c r="F1816" s="31" t="s">
        <v>1149</v>
      </c>
      <c r="G1816" s="1448"/>
      <c r="H1816" s="30">
        <v>30215525</v>
      </c>
      <c r="I1816" s="35">
        <v>35600</v>
      </c>
      <c r="J1816" s="64">
        <v>0.13</v>
      </c>
      <c r="K1816" s="1448"/>
      <c r="L1816" s="1448"/>
      <c r="M1816" s="1454"/>
      <c r="N1816" s="1446"/>
    </row>
    <row r="1817" spans="2:14" ht="16.5" customHeight="1">
      <c r="B1817" s="1448"/>
      <c r="C1817" s="1448"/>
      <c r="D1817" s="1448"/>
      <c r="E1817" s="30">
        <v>73546885</v>
      </c>
      <c r="F1817" s="31" t="s">
        <v>1150</v>
      </c>
      <c r="G1817" s="1448"/>
      <c r="H1817" s="30">
        <v>30215531</v>
      </c>
      <c r="I1817" s="35">
        <v>40900</v>
      </c>
      <c r="J1817" s="64">
        <v>0.13</v>
      </c>
      <c r="K1817" s="1448"/>
      <c r="L1817" s="1448"/>
      <c r="M1817" s="1454"/>
      <c r="N1817" s="1446"/>
    </row>
    <row r="1818" spans="2:14" ht="16.5" customHeight="1">
      <c r="B1818" s="1448"/>
      <c r="C1818" s="1448"/>
      <c r="D1818" s="1448"/>
      <c r="E1818" s="30">
        <v>73546887</v>
      </c>
      <c r="F1818" s="31" t="s">
        <v>1535</v>
      </c>
      <c r="G1818" s="1448"/>
      <c r="H1818" s="30">
        <v>30215533</v>
      </c>
      <c r="I1818" s="35">
        <v>42300</v>
      </c>
      <c r="J1818" s="64">
        <v>0.13</v>
      </c>
      <c r="K1818" s="1448"/>
      <c r="L1818" s="1448"/>
      <c r="M1818" s="1454"/>
      <c r="N1818" s="1446"/>
    </row>
    <row r="1819" spans="2:14" ht="16.5" customHeight="1">
      <c r="B1819" s="1448"/>
      <c r="C1819" s="1448"/>
      <c r="D1819" s="1448"/>
      <c r="E1819" s="30">
        <v>73546906</v>
      </c>
      <c r="F1819" s="31" t="s">
        <v>1536</v>
      </c>
      <c r="G1819" s="1448"/>
      <c r="H1819" s="30">
        <v>30215534</v>
      </c>
      <c r="I1819" s="35">
        <v>54600</v>
      </c>
      <c r="J1819" s="64">
        <v>0.13</v>
      </c>
      <c r="K1819" s="1448"/>
      <c r="L1819" s="1448"/>
      <c r="M1819" s="1454"/>
      <c r="N1819" s="1446"/>
    </row>
    <row r="1820" spans="2:14" ht="16.5" customHeight="1">
      <c r="B1820" s="1448"/>
      <c r="C1820" s="1448"/>
      <c r="D1820" s="1448"/>
      <c r="E1820" s="30">
        <v>73547014</v>
      </c>
      <c r="F1820" s="31" t="s">
        <v>1153</v>
      </c>
      <c r="G1820" s="1448"/>
      <c r="H1820" s="30">
        <v>30215535</v>
      </c>
      <c r="I1820" s="35">
        <v>63300</v>
      </c>
      <c r="J1820" s="64">
        <v>0.13</v>
      </c>
      <c r="K1820" s="1448"/>
      <c r="L1820" s="1448"/>
      <c r="M1820" s="1454"/>
      <c r="N1820" s="1446"/>
    </row>
    <row r="1821" spans="2:14" ht="16.5" customHeight="1">
      <c r="B1821" s="1448"/>
      <c r="C1821" s="1448"/>
      <c r="D1821" s="1448"/>
      <c r="E1821" s="30">
        <v>73547094</v>
      </c>
      <c r="F1821" s="31" t="s">
        <v>1154</v>
      </c>
      <c r="G1821" s="1448"/>
      <c r="H1821" s="30">
        <v>30215536</v>
      </c>
      <c r="I1821" s="35">
        <v>78900</v>
      </c>
      <c r="J1821" s="64">
        <v>0.13</v>
      </c>
      <c r="K1821" s="1448"/>
      <c r="L1821" s="1448"/>
      <c r="M1821" s="1454"/>
      <c r="N1821" s="1446"/>
    </row>
    <row r="1822" spans="2:14" ht="16.5" customHeight="1">
      <c r="B1822" s="1448"/>
      <c r="C1822" s="1448"/>
      <c r="D1822" s="1448"/>
      <c r="E1822" s="30">
        <v>59261592</v>
      </c>
      <c r="F1822" s="31" t="s">
        <v>1537</v>
      </c>
      <c r="G1822" s="1448"/>
      <c r="H1822" s="30">
        <v>30219053</v>
      </c>
      <c r="I1822" s="35">
        <v>28900</v>
      </c>
      <c r="J1822" s="64">
        <v>0.13</v>
      </c>
      <c r="K1822" s="1448"/>
      <c r="L1822" s="1448"/>
      <c r="M1822" s="1454"/>
      <c r="N1822" s="1446"/>
    </row>
    <row r="1823" spans="2:14" ht="16.5" customHeight="1">
      <c r="B1823" s="1448"/>
      <c r="C1823" s="1448"/>
      <c r="D1823" s="1448"/>
      <c r="E1823" s="30">
        <v>59261607</v>
      </c>
      <c r="F1823" s="31" t="s">
        <v>1538</v>
      </c>
      <c r="G1823" s="1448"/>
      <c r="H1823" s="30">
        <v>30219054</v>
      </c>
      <c r="I1823" s="35">
        <v>32300</v>
      </c>
      <c r="J1823" s="64">
        <v>0.13</v>
      </c>
      <c r="K1823" s="1448"/>
      <c r="L1823" s="1448"/>
      <c r="M1823" s="1454"/>
      <c r="N1823" s="1446"/>
    </row>
    <row r="1824" spans="2:14" ht="16.5" customHeight="1">
      <c r="B1824" s="1448"/>
      <c r="C1824" s="1448"/>
      <c r="D1824" s="1448"/>
      <c r="E1824" s="30">
        <v>60559967</v>
      </c>
      <c r="F1824" s="31" t="s">
        <v>1539</v>
      </c>
      <c r="G1824" s="1448"/>
      <c r="H1824" s="30">
        <v>30203839</v>
      </c>
      <c r="I1824" s="35">
        <v>23900</v>
      </c>
      <c r="J1824" s="64">
        <v>0.13</v>
      </c>
      <c r="K1824" s="1448"/>
      <c r="L1824" s="1448"/>
      <c r="M1824" s="1454"/>
      <c r="N1824" s="1446"/>
    </row>
    <row r="1825" spans="2:15" ht="16.5" customHeight="1">
      <c r="B1825" s="1448"/>
      <c r="C1825" s="1448"/>
      <c r="D1825" s="1448"/>
      <c r="E1825" s="30">
        <v>60560036</v>
      </c>
      <c r="F1825" s="31" t="s">
        <v>1540</v>
      </c>
      <c r="G1825" s="1448"/>
      <c r="H1825" s="30">
        <v>30173535</v>
      </c>
      <c r="I1825" s="35">
        <v>27900</v>
      </c>
      <c r="J1825" s="64">
        <v>0.13</v>
      </c>
      <c r="K1825" s="1448"/>
      <c r="L1825" s="1448"/>
      <c r="M1825" s="1454"/>
      <c r="N1825" s="1446"/>
    </row>
    <row r="1826" spans="2:15" ht="16.5" customHeight="1">
      <c r="B1826" s="1448"/>
      <c r="C1826" s="1448"/>
      <c r="D1826" s="1448"/>
      <c r="E1826" s="30">
        <v>61948846</v>
      </c>
      <c r="F1826" s="31" t="s">
        <v>2153</v>
      </c>
      <c r="G1826" s="1448"/>
      <c r="H1826" s="30">
        <v>30203836</v>
      </c>
      <c r="I1826" s="35">
        <v>34600</v>
      </c>
      <c r="J1826" s="64">
        <v>0.13</v>
      </c>
      <c r="K1826" s="1448"/>
      <c r="L1826" s="1448"/>
      <c r="M1826" s="1454"/>
      <c r="N1826" s="1446"/>
    </row>
    <row r="1827" spans="2:15" ht="16.5" customHeight="1">
      <c r="B1827" s="1448"/>
      <c r="C1827" s="1448"/>
      <c r="D1827" s="1448"/>
      <c r="E1827" s="30">
        <v>61948847</v>
      </c>
      <c r="F1827" s="31" t="s">
        <v>2154</v>
      </c>
      <c r="G1827" s="1448"/>
      <c r="H1827" s="30">
        <v>30203838</v>
      </c>
      <c r="I1827" s="35">
        <v>38900</v>
      </c>
      <c r="J1827" s="64">
        <v>0.13</v>
      </c>
      <c r="K1827" s="1448"/>
      <c r="L1827" s="1448"/>
      <c r="M1827" s="1454"/>
      <c r="N1827" s="1447"/>
    </row>
    <row r="1828" spans="2:15" ht="16.5" customHeight="1">
      <c r="B1828" s="1448"/>
      <c r="C1828" s="1448">
        <v>5</v>
      </c>
      <c r="D1828" s="1448" t="s">
        <v>1255</v>
      </c>
      <c r="E1828" s="30">
        <v>30217690</v>
      </c>
      <c r="F1828" s="31" t="s">
        <v>2119</v>
      </c>
      <c r="G1828" s="1448" t="s">
        <v>2155</v>
      </c>
      <c r="H1828" s="30">
        <v>30219022</v>
      </c>
      <c r="I1828" s="35">
        <v>10500</v>
      </c>
      <c r="J1828" s="64">
        <v>0.1</v>
      </c>
      <c r="K1828" s="1448">
        <v>5</v>
      </c>
      <c r="L1828" s="1448">
        <f>I1828*5</f>
        <v>52500</v>
      </c>
      <c r="M1828" s="1454" t="s">
        <v>2156</v>
      </c>
      <c r="N1828" s="1445">
        <v>20250205175</v>
      </c>
      <c r="O1828" s="4" t="s">
        <v>2157</v>
      </c>
    </row>
    <row r="1829" spans="2:15" ht="16.5" customHeight="1">
      <c r="B1829" s="1448"/>
      <c r="C1829" s="1448"/>
      <c r="D1829" s="1448"/>
      <c r="E1829" s="30">
        <v>30217691</v>
      </c>
      <c r="F1829" s="31" t="s">
        <v>2122</v>
      </c>
      <c r="G1829" s="1448"/>
      <c r="H1829" s="30">
        <v>30219023</v>
      </c>
      <c r="I1829" s="35">
        <v>15500</v>
      </c>
      <c r="J1829" s="64">
        <v>0.1</v>
      </c>
      <c r="K1829" s="1448"/>
      <c r="L1829" s="1448"/>
      <c r="M1829" s="1454"/>
      <c r="N1829" s="1446"/>
    </row>
    <row r="1830" spans="2:15" ht="16.5" customHeight="1">
      <c r="B1830" s="1448"/>
      <c r="C1830" s="1448"/>
      <c r="D1830" s="1448"/>
      <c r="E1830" s="30">
        <v>30218537</v>
      </c>
      <c r="F1830" s="31" t="s">
        <v>2158</v>
      </c>
      <c r="G1830" s="1448"/>
      <c r="H1830" s="30">
        <v>30219025</v>
      </c>
      <c r="I1830" s="35">
        <v>13900</v>
      </c>
      <c r="J1830" s="64">
        <v>0.1</v>
      </c>
      <c r="K1830" s="1448"/>
      <c r="L1830" s="1448"/>
      <c r="M1830" s="1454"/>
      <c r="N1830" s="1446"/>
    </row>
    <row r="1831" spans="2:15" ht="16.5" customHeight="1">
      <c r="B1831" s="1448"/>
      <c r="C1831" s="1448"/>
      <c r="D1831" s="1448"/>
      <c r="E1831" s="30">
        <v>30218501</v>
      </c>
      <c r="F1831" s="31" t="s">
        <v>2159</v>
      </c>
      <c r="G1831" s="1448"/>
      <c r="H1831" s="30">
        <v>30219029</v>
      </c>
      <c r="I1831" s="35">
        <v>27900</v>
      </c>
      <c r="J1831" s="64">
        <v>0.1</v>
      </c>
      <c r="K1831" s="1448"/>
      <c r="L1831" s="1448"/>
      <c r="M1831" s="1454"/>
      <c r="N1831" s="1446"/>
    </row>
    <row r="1832" spans="2:15" ht="16.5" customHeight="1">
      <c r="B1832" s="1448"/>
      <c r="C1832" s="1448"/>
      <c r="D1832" s="1448"/>
      <c r="E1832" s="30">
        <v>30218548</v>
      </c>
      <c r="F1832" s="31" t="s">
        <v>2160</v>
      </c>
      <c r="G1832" s="1448"/>
      <c r="H1832" s="30">
        <v>30219039</v>
      </c>
      <c r="I1832" s="35">
        <v>27900</v>
      </c>
      <c r="J1832" s="64">
        <v>0.1</v>
      </c>
      <c r="K1832" s="1448"/>
      <c r="L1832" s="1448"/>
      <c r="M1832" s="1454"/>
      <c r="N1832" s="1446"/>
    </row>
    <row r="1833" spans="2:15" ht="16.5" customHeight="1">
      <c r="B1833" s="1448"/>
      <c r="C1833" s="1448"/>
      <c r="D1833" s="1448"/>
      <c r="E1833" s="30">
        <v>30218560</v>
      </c>
      <c r="F1833" s="31" t="s">
        <v>2161</v>
      </c>
      <c r="G1833" s="1448"/>
      <c r="H1833" s="30">
        <v>30219040</v>
      </c>
      <c r="I1833" s="35">
        <v>27900</v>
      </c>
      <c r="J1833" s="64">
        <v>0.1</v>
      </c>
      <c r="K1833" s="1448"/>
      <c r="L1833" s="1448"/>
      <c r="M1833" s="1454"/>
      <c r="N1833" s="1446"/>
    </row>
    <row r="1834" spans="2:15" ht="16.5" customHeight="1">
      <c r="B1834" s="1448"/>
      <c r="C1834" s="1448"/>
      <c r="D1834" s="1448"/>
      <c r="E1834" s="30">
        <v>30218561</v>
      </c>
      <c r="F1834" s="31" t="s">
        <v>2162</v>
      </c>
      <c r="G1834" s="1448"/>
      <c r="H1834" s="30">
        <v>30219041</v>
      </c>
      <c r="I1834" s="35">
        <v>55900</v>
      </c>
      <c r="J1834" s="64">
        <v>0.1</v>
      </c>
      <c r="K1834" s="1448"/>
      <c r="L1834" s="1448"/>
      <c r="M1834" s="1454"/>
      <c r="N1834" s="1446"/>
    </row>
    <row r="1835" spans="2:15" ht="16.5" customHeight="1">
      <c r="B1835" s="1448"/>
      <c r="C1835" s="1448"/>
      <c r="D1835" s="1448"/>
      <c r="E1835" s="30">
        <v>30218573</v>
      </c>
      <c r="F1835" s="31" t="s">
        <v>2163</v>
      </c>
      <c r="G1835" s="1448"/>
      <c r="H1835" s="30">
        <v>30219042</v>
      </c>
      <c r="I1835" s="35">
        <v>56900</v>
      </c>
      <c r="J1835" s="64">
        <v>0.1</v>
      </c>
      <c r="K1835" s="1448"/>
      <c r="L1835" s="1448"/>
      <c r="M1835" s="1454"/>
      <c r="N1835" s="1447"/>
    </row>
    <row r="1836" spans="2:15" ht="16.5" customHeight="1">
      <c r="B1836" s="1451" t="s">
        <v>137</v>
      </c>
      <c r="C1836" s="1448">
        <v>1</v>
      </c>
      <c r="D1836" s="1462" t="s">
        <v>773</v>
      </c>
      <c r="E1836" s="38">
        <v>30214402</v>
      </c>
      <c r="F1836" s="38" t="s">
        <v>777</v>
      </c>
      <c r="G1836" s="1521" t="s">
        <v>2164</v>
      </c>
      <c r="H1836" s="40">
        <v>30214404</v>
      </c>
      <c r="I1836" s="41">
        <v>9900</v>
      </c>
      <c r="J1836" s="42">
        <v>0.1</v>
      </c>
      <c r="K1836" s="1462">
        <v>3</v>
      </c>
      <c r="L1836" s="1525">
        <v>29700</v>
      </c>
      <c r="M1836" s="1521" t="s">
        <v>2165</v>
      </c>
      <c r="N1836" s="1445">
        <v>20250205176</v>
      </c>
    </row>
    <row r="1837" spans="2:15" ht="16.5" customHeight="1">
      <c r="B1837" s="1452"/>
      <c r="C1837" s="1448"/>
      <c r="D1837" s="1462"/>
      <c r="E1837" s="38">
        <v>30059335</v>
      </c>
      <c r="F1837" s="38" t="s">
        <v>774</v>
      </c>
      <c r="G1837" s="1521"/>
      <c r="H1837" s="40">
        <v>30210106</v>
      </c>
      <c r="I1837" s="41">
        <v>9900</v>
      </c>
      <c r="J1837" s="42">
        <v>0.1</v>
      </c>
      <c r="K1837" s="1462"/>
      <c r="L1837" s="1525"/>
      <c r="M1837" s="1521"/>
      <c r="N1837" s="1446"/>
    </row>
    <row r="1838" spans="2:15" ht="16.5" customHeight="1">
      <c r="B1838" s="1452"/>
      <c r="C1838" s="1448"/>
      <c r="D1838" s="1462"/>
      <c r="E1838" s="38">
        <v>30210086</v>
      </c>
      <c r="F1838" s="38" t="s">
        <v>2166</v>
      </c>
      <c r="G1838" s="1521"/>
      <c r="H1838" s="40">
        <v>30210099</v>
      </c>
      <c r="I1838" s="41">
        <v>9900</v>
      </c>
      <c r="J1838" s="42">
        <v>0.1</v>
      </c>
      <c r="K1838" s="1462"/>
      <c r="L1838" s="1525"/>
      <c r="M1838" s="1521"/>
      <c r="N1838" s="1446"/>
    </row>
    <row r="1839" spans="2:15" ht="16.5" customHeight="1">
      <c r="B1839" s="1452"/>
      <c r="C1839" s="1448"/>
      <c r="D1839" s="1462"/>
      <c r="E1839" s="38">
        <v>30214403</v>
      </c>
      <c r="F1839" s="38" t="s">
        <v>778</v>
      </c>
      <c r="G1839" s="1521"/>
      <c r="H1839" s="40">
        <v>30218408</v>
      </c>
      <c r="I1839" s="41">
        <v>9900</v>
      </c>
      <c r="J1839" s="42">
        <v>0.1</v>
      </c>
      <c r="K1839" s="1462"/>
      <c r="L1839" s="1525"/>
      <c r="M1839" s="1521"/>
      <c r="N1839" s="1446"/>
    </row>
    <row r="1840" spans="2:15" ht="16.5" customHeight="1">
      <c r="B1840" s="1452"/>
      <c r="C1840" s="1448"/>
      <c r="D1840" s="1462"/>
      <c r="E1840" s="38">
        <v>30214403</v>
      </c>
      <c r="F1840" s="38" t="s">
        <v>252</v>
      </c>
      <c r="G1840" s="1521"/>
      <c r="H1840" s="40">
        <v>30218408</v>
      </c>
      <c r="I1840" s="41">
        <v>9900</v>
      </c>
      <c r="J1840" s="42">
        <v>0.1</v>
      </c>
      <c r="K1840" s="1462"/>
      <c r="L1840" s="1525"/>
      <c r="M1840" s="1521"/>
      <c r="N1840" s="1446"/>
    </row>
    <row r="1841" spans="2:14" ht="16.5" customHeight="1">
      <c r="B1841" s="1452"/>
      <c r="C1841" s="1448"/>
      <c r="D1841" s="1462"/>
      <c r="E1841" s="38">
        <v>30218404</v>
      </c>
      <c r="F1841" s="38" t="s">
        <v>2167</v>
      </c>
      <c r="G1841" s="1521"/>
      <c r="H1841" s="40">
        <v>30218412</v>
      </c>
      <c r="I1841" s="41">
        <v>9900</v>
      </c>
      <c r="J1841" s="42">
        <v>0.1</v>
      </c>
      <c r="K1841" s="1462"/>
      <c r="L1841" s="1525"/>
      <c r="M1841" s="1521"/>
      <c r="N1841" s="1446"/>
    </row>
    <row r="1842" spans="2:14" ht="16.5" customHeight="1">
      <c r="B1842" s="1452"/>
      <c r="C1842" s="1448"/>
      <c r="D1842" s="1462"/>
      <c r="E1842" s="38">
        <v>30059305</v>
      </c>
      <c r="F1842" s="38" t="s">
        <v>2168</v>
      </c>
      <c r="G1842" s="1521"/>
      <c r="H1842" s="40">
        <v>30218413</v>
      </c>
      <c r="I1842" s="41">
        <v>9900</v>
      </c>
      <c r="J1842" s="42">
        <v>0.1</v>
      </c>
      <c r="K1842" s="1462"/>
      <c r="L1842" s="1525"/>
      <c r="M1842" s="1521"/>
      <c r="N1842" s="1447"/>
    </row>
    <row r="1843" spans="2:14" ht="16.5" customHeight="1">
      <c r="B1843" s="1452"/>
      <c r="C1843" s="1451">
        <v>2</v>
      </c>
      <c r="D1843" s="1565" t="s">
        <v>147</v>
      </c>
      <c r="E1843" s="399">
        <v>58126811</v>
      </c>
      <c r="F1843" s="399" t="s">
        <v>1802</v>
      </c>
      <c r="G1843" s="1568" t="s">
        <v>2169</v>
      </c>
      <c r="H1843" s="399">
        <v>30167024</v>
      </c>
      <c r="I1843" s="400">
        <v>11900</v>
      </c>
      <c r="J1843" s="401">
        <v>0.1</v>
      </c>
      <c r="K1843" s="1571">
        <v>3</v>
      </c>
      <c r="L1843" s="1574">
        <v>35700</v>
      </c>
      <c r="M1843" s="1577" t="s">
        <v>2170</v>
      </c>
      <c r="N1843" s="1445">
        <v>20250205177</v>
      </c>
    </row>
    <row r="1844" spans="2:14" ht="16.5" customHeight="1">
      <c r="B1844" s="1452"/>
      <c r="C1844" s="1452"/>
      <c r="D1844" s="1566"/>
      <c r="E1844" s="402" t="s">
        <v>252</v>
      </c>
      <c r="F1844" s="402" t="s">
        <v>1801</v>
      </c>
      <c r="G1844" s="1569"/>
      <c r="H1844" s="402">
        <v>30172486</v>
      </c>
      <c r="I1844" s="403">
        <v>10900</v>
      </c>
      <c r="J1844" s="404">
        <v>0.1</v>
      </c>
      <c r="K1844" s="1572"/>
      <c r="L1844" s="1575"/>
      <c r="M1844" s="1578"/>
      <c r="N1844" s="1446"/>
    </row>
    <row r="1845" spans="2:14" ht="16.5" customHeight="1">
      <c r="B1845" s="1452"/>
      <c r="C1845" s="1452"/>
      <c r="D1845" s="1566"/>
      <c r="E1845" s="402">
        <v>44693846</v>
      </c>
      <c r="F1845" s="402" t="s">
        <v>1367</v>
      </c>
      <c r="G1845" s="1569"/>
      <c r="H1845" s="402">
        <v>30176454</v>
      </c>
      <c r="I1845" s="403">
        <v>12900</v>
      </c>
      <c r="J1845" s="404">
        <v>0.1</v>
      </c>
      <c r="K1845" s="1572"/>
      <c r="L1845" s="1575"/>
      <c r="M1845" s="1578"/>
      <c r="N1845" s="1446"/>
    </row>
    <row r="1846" spans="2:14" ht="16.5" customHeight="1">
      <c r="B1846" s="1452"/>
      <c r="C1846" s="1452"/>
      <c r="D1846" s="1566"/>
      <c r="E1846" s="402">
        <v>43166994</v>
      </c>
      <c r="F1846" s="402" t="s">
        <v>2171</v>
      </c>
      <c r="G1846" s="1569"/>
      <c r="H1846" s="402">
        <v>30166058</v>
      </c>
      <c r="I1846" s="403">
        <v>11900</v>
      </c>
      <c r="J1846" s="404">
        <v>0.1</v>
      </c>
      <c r="K1846" s="1572"/>
      <c r="L1846" s="1575"/>
      <c r="M1846" s="1578"/>
      <c r="N1846" s="1446"/>
    </row>
    <row r="1847" spans="2:14" ht="16.5" customHeight="1">
      <c r="B1847" s="1453"/>
      <c r="C1847" s="1453"/>
      <c r="D1847" s="1567"/>
      <c r="E1847" s="402">
        <v>69317971</v>
      </c>
      <c r="F1847" s="402" t="s">
        <v>1898</v>
      </c>
      <c r="G1847" s="1570"/>
      <c r="H1847" s="402">
        <v>30205056</v>
      </c>
      <c r="I1847" s="403">
        <v>9900</v>
      </c>
      <c r="J1847" s="404">
        <v>0.1</v>
      </c>
      <c r="K1847" s="1573"/>
      <c r="L1847" s="1576"/>
      <c r="M1847" s="1579"/>
      <c r="N1847" s="1447"/>
    </row>
    <row r="1848" spans="2:14" ht="16.5" customHeight="1">
      <c r="B1848" s="1451" t="s">
        <v>795</v>
      </c>
      <c r="C1848" s="1520">
        <v>1</v>
      </c>
      <c r="D1848" s="1520" t="s">
        <v>2172</v>
      </c>
      <c r="E1848" s="30"/>
      <c r="F1848" s="38" t="s">
        <v>2173</v>
      </c>
      <c r="G1848" s="1521" t="s">
        <v>2174</v>
      </c>
      <c r="H1848" s="38">
        <v>30218814</v>
      </c>
      <c r="I1848" s="41">
        <v>20900</v>
      </c>
      <c r="J1848" s="42">
        <v>0.15</v>
      </c>
      <c r="K1848" s="1520">
        <v>5</v>
      </c>
      <c r="L1848" s="1523">
        <v>104500</v>
      </c>
      <c r="M1848" s="1521" t="s">
        <v>2175</v>
      </c>
      <c r="N1848" s="1445">
        <v>20250205178</v>
      </c>
    </row>
    <row r="1849" spans="2:14" ht="16.5" customHeight="1">
      <c r="B1849" s="1452"/>
      <c r="C1849" s="1520"/>
      <c r="D1849" s="1520"/>
      <c r="E1849" s="30"/>
      <c r="F1849" s="38" t="s">
        <v>2176</v>
      </c>
      <c r="G1849" s="1521"/>
      <c r="H1849" s="38">
        <v>30218815</v>
      </c>
      <c r="I1849" s="41">
        <v>20900</v>
      </c>
      <c r="J1849" s="42">
        <v>0.15</v>
      </c>
      <c r="K1849" s="1520"/>
      <c r="L1849" s="1520"/>
      <c r="M1849" s="1521"/>
      <c r="N1849" s="1447"/>
    </row>
    <row r="1850" spans="2:14" ht="16.5" customHeight="1">
      <c r="B1850" s="1452"/>
      <c r="C1850" s="1533">
        <v>2</v>
      </c>
      <c r="D1850" s="1553" t="s">
        <v>2177</v>
      </c>
      <c r="E1850" s="56">
        <v>77002940</v>
      </c>
      <c r="F1850" s="56" t="s">
        <v>2178</v>
      </c>
      <c r="G1850" s="1556" t="s">
        <v>2178</v>
      </c>
      <c r="H1850" s="38">
        <v>30219216</v>
      </c>
      <c r="I1850" s="56">
        <v>15900</v>
      </c>
      <c r="J1850" s="405">
        <v>0.1</v>
      </c>
      <c r="K1850" s="1559">
        <v>5</v>
      </c>
      <c r="L1850" s="1533">
        <f>I1850*K1850</f>
        <v>79500</v>
      </c>
      <c r="M1850" s="1562" t="s">
        <v>2179</v>
      </c>
      <c r="N1850" s="1445">
        <v>20250205179</v>
      </c>
    </row>
    <row r="1851" spans="2:14" ht="16.5" customHeight="1">
      <c r="B1851" s="1452"/>
      <c r="C1851" s="1534"/>
      <c r="D1851" s="1554"/>
      <c r="E1851" s="62">
        <v>77002937</v>
      </c>
      <c r="F1851" s="62" t="s">
        <v>2180</v>
      </c>
      <c r="G1851" s="1557"/>
      <c r="H1851" s="38">
        <v>30219218</v>
      </c>
      <c r="I1851" s="62">
        <v>17900</v>
      </c>
      <c r="J1851" s="406">
        <v>0.1</v>
      </c>
      <c r="K1851" s="1560"/>
      <c r="L1851" s="1534"/>
      <c r="M1851" s="1563"/>
      <c r="N1851" s="1446"/>
    </row>
    <row r="1852" spans="2:14" ht="16.5" customHeight="1">
      <c r="B1852" s="1452"/>
      <c r="C1852" s="1534"/>
      <c r="D1852" s="1554"/>
      <c r="E1852" s="62">
        <v>77002933</v>
      </c>
      <c r="F1852" s="62" t="s">
        <v>2181</v>
      </c>
      <c r="G1852" s="1557"/>
      <c r="H1852" s="38">
        <v>30219220</v>
      </c>
      <c r="I1852" s="62">
        <v>19900</v>
      </c>
      <c r="J1852" s="406">
        <v>0.1</v>
      </c>
      <c r="K1852" s="1560"/>
      <c r="L1852" s="1534"/>
      <c r="M1852" s="1563"/>
      <c r="N1852" s="1446"/>
    </row>
    <row r="1853" spans="2:14" ht="16.5" customHeight="1">
      <c r="B1853" s="1452"/>
      <c r="C1853" s="1534"/>
      <c r="D1853" s="1554"/>
      <c r="E1853" s="62">
        <v>77002962</v>
      </c>
      <c r="F1853" s="62" t="s">
        <v>2182</v>
      </c>
      <c r="G1853" s="1557"/>
      <c r="H1853" s="38">
        <v>30219223</v>
      </c>
      <c r="I1853" s="62">
        <v>21900</v>
      </c>
      <c r="J1853" s="406">
        <v>0.18</v>
      </c>
      <c r="K1853" s="1560"/>
      <c r="L1853" s="1534"/>
      <c r="M1853" s="1563"/>
      <c r="N1853" s="1446"/>
    </row>
    <row r="1854" spans="2:14" ht="16.5" customHeight="1">
      <c r="B1854" s="1452"/>
      <c r="C1854" s="1534"/>
      <c r="D1854" s="1554"/>
      <c r="E1854" s="62">
        <v>30058714</v>
      </c>
      <c r="F1854" s="62" t="s">
        <v>2183</v>
      </c>
      <c r="G1854" s="1557"/>
      <c r="H1854" s="38">
        <v>30219226</v>
      </c>
      <c r="I1854" s="62">
        <v>19900</v>
      </c>
      <c r="J1854" s="406">
        <v>0.1</v>
      </c>
      <c r="K1854" s="1560"/>
      <c r="L1854" s="1534"/>
      <c r="M1854" s="1563"/>
      <c r="N1854" s="1446"/>
    </row>
    <row r="1855" spans="2:14" ht="16.5" customHeight="1">
      <c r="B1855" s="1452"/>
      <c r="C1855" s="1534"/>
      <c r="D1855" s="1554"/>
      <c r="E1855" s="62">
        <v>49341142</v>
      </c>
      <c r="F1855" s="62" t="s">
        <v>2184</v>
      </c>
      <c r="G1855" s="1557"/>
      <c r="H1855" s="38">
        <v>30219227</v>
      </c>
      <c r="I1855" s="62">
        <v>21900</v>
      </c>
      <c r="J1855" s="406">
        <v>0.1</v>
      </c>
      <c r="K1855" s="1560"/>
      <c r="L1855" s="1534"/>
      <c r="M1855" s="1563"/>
      <c r="N1855" s="1446"/>
    </row>
    <row r="1856" spans="2:14" ht="16.5" customHeight="1">
      <c r="B1856" s="1452"/>
      <c r="C1856" s="1534"/>
      <c r="D1856" s="1554"/>
      <c r="E1856" s="62">
        <v>30058737</v>
      </c>
      <c r="F1856" s="62" t="s">
        <v>2185</v>
      </c>
      <c r="G1856" s="1557"/>
      <c r="H1856" s="38">
        <v>30219243</v>
      </c>
      <c r="I1856" s="62">
        <v>23900</v>
      </c>
      <c r="J1856" s="406">
        <v>0.1</v>
      </c>
      <c r="K1856" s="1560"/>
      <c r="L1856" s="1534"/>
      <c r="M1856" s="1563"/>
      <c r="N1856" s="1446"/>
    </row>
    <row r="1857" spans="2:15" ht="16.5" customHeight="1">
      <c r="B1857" s="1452"/>
      <c r="C1857" s="1534"/>
      <c r="D1857" s="1554"/>
      <c r="E1857" s="62">
        <v>50602535</v>
      </c>
      <c r="F1857" s="62" t="s">
        <v>2186</v>
      </c>
      <c r="G1857" s="1557"/>
      <c r="H1857" s="38">
        <v>30219246</v>
      </c>
      <c r="I1857" s="62">
        <v>22900</v>
      </c>
      <c r="J1857" s="406">
        <v>0.1</v>
      </c>
      <c r="K1857" s="1560"/>
      <c r="L1857" s="1534"/>
      <c r="M1857" s="1563"/>
      <c r="N1857" s="1446"/>
    </row>
    <row r="1858" spans="2:15" ht="16.5" customHeight="1">
      <c r="B1858" s="1453"/>
      <c r="C1858" s="1535"/>
      <c r="D1858" s="1555"/>
      <c r="E1858" s="62">
        <v>50602554</v>
      </c>
      <c r="F1858" s="62" t="s">
        <v>2187</v>
      </c>
      <c r="G1858" s="1558"/>
      <c r="H1858" s="38">
        <v>30219247</v>
      </c>
      <c r="I1858" s="62">
        <v>21900</v>
      </c>
      <c r="J1858" s="406">
        <v>0.1</v>
      </c>
      <c r="K1858" s="1561"/>
      <c r="L1858" s="1535"/>
      <c r="M1858" s="1564"/>
      <c r="N1858" s="1447"/>
    </row>
    <row r="1859" spans="2:15" ht="16.5" customHeight="1">
      <c r="B1859" s="1448" t="s">
        <v>185</v>
      </c>
      <c r="C1859" s="1448">
        <v>1</v>
      </c>
      <c r="D1859" s="1448" t="s">
        <v>189</v>
      </c>
      <c r="E1859" s="40">
        <v>30164815</v>
      </c>
      <c r="F1859" s="92" t="s">
        <v>2188</v>
      </c>
      <c r="G1859" s="1448" t="s">
        <v>2189</v>
      </c>
      <c r="H1859" s="38">
        <v>30219252</v>
      </c>
      <c r="I1859" s="41">
        <v>9900</v>
      </c>
      <c r="J1859" s="304">
        <v>0.13</v>
      </c>
      <c r="K1859" s="1448">
        <v>5</v>
      </c>
      <c r="L1859" s="1450">
        <f>I1859*K1859</f>
        <v>49500</v>
      </c>
      <c r="M1859" s="1516" t="s">
        <v>2190</v>
      </c>
      <c r="N1859" s="1445">
        <v>20250205180</v>
      </c>
    </row>
    <row r="1860" spans="2:15" ht="16.5" customHeight="1">
      <c r="B1860" s="1448"/>
      <c r="C1860" s="1448"/>
      <c r="D1860" s="1448" t="s">
        <v>189</v>
      </c>
      <c r="E1860" s="40">
        <v>30211279</v>
      </c>
      <c r="F1860" s="92" t="s">
        <v>2191</v>
      </c>
      <c r="G1860" s="1448"/>
      <c r="H1860" s="38">
        <v>30219253</v>
      </c>
      <c r="I1860" s="41">
        <v>14900</v>
      </c>
      <c r="J1860" s="304">
        <v>0.13</v>
      </c>
      <c r="K1860" s="1448"/>
      <c r="L1860" s="1450"/>
      <c r="M1860" s="1450"/>
      <c r="N1860" s="1447"/>
    </row>
    <row r="1861" spans="2:15" ht="16.5" customHeight="1">
      <c r="B1861" s="1448"/>
      <c r="C1861" s="29">
        <v>2</v>
      </c>
      <c r="D1861" s="29" t="s">
        <v>2192</v>
      </c>
      <c r="E1861" s="40">
        <v>30036598</v>
      </c>
      <c r="F1861" s="92" t="s">
        <v>2193</v>
      </c>
      <c r="G1861" s="92" t="s">
        <v>2193</v>
      </c>
      <c r="H1861" s="38">
        <v>30135044</v>
      </c>
      <c r="I1861" s="41">
        <v>16500</v>
      </c>
      <c r="J1861" s="304">
        <v>0.16</v>
      </c>
      <c r="K1861" s="29">
        <v>5</v>
      </c>
      <c r="L1861" s="67">
        <f>I1861*K1861</f>
        <v>82500</v>
      </c>
      <c r="M1861" s="305" t="s">
        <v>2194</v>
      </c>
      <c r="N1861" s="69">
        <v>20250205181</v>
      </c>
    </row>
    <row r="1862" spans="2:15" ht="16.5" customHeight="1">
      <c r="B1862" s="1448"/>
      <c r="C1862" s="1448">
        <v>3</v>
      </c>
      <c r="D1862" s="1448" t="s">
        <v>2192</v>
      </c>
      <c r="E1862" s="40">
        <v>76950854</v>
      </c>
      <c r="F1862" s="92" t="s">
        <v>2195</v>
      </c>
      <c r="G1862" s="1448" t="s">
        <v>2196</v>
      </c>
      <c r="H1862" s="38">
        <v>30219254</v>
      </c>
      <c r="I1862" s="41">
        <v>27900</v>
      </c>
      <c r="J1862" s="304">
        <v>0.16</v>
      </c>
      <c r="K1862" s="1448">
        <v>5</v>
      </c>
      <c r="L1862" s="1450">
        <f>I1862*K1862</f>
        <v>139500</v>
      </c>
      <c r="M1862" s="1516" t="s">
        <v>2197</v>
      </c>
      <c r="N1862" s="1445">
        <v>20250205182</v>
      </c>
    </row>
    <row r="1863" spans="2:15" ht="16.5" customHeight="1">
      <c r="B1863" s="1448"/>
      <c r="C1863" s="1448"/>
      <c r="D1863" s="1448" t="s">
        <v>2192</v>
      </c>
      <c r="E1863" s="40">
        <v>76950853</v>
      </c>
      <c r="F1863" s="92" t="s">
        <v>2198</v>
      </c>
      <c r="G1863" s="1448"/>
      <c r="H1863" s="38">
        <v>30219255</v>
      </c>
      <c r="I1863" s="41">
        <v>64900</v>
      </c>
      <c r="J1863" s="304">
        <v>0.16</v>
      </c>
      <c r="K1863" s="1448"/>
      <c r="L1863" s="1450"/>
      <c r="M1863" s="1450"/>
      <c r="N1863" s="1447"/>
    </row>
    <row r="1864" spans="2:15" ht="16.5" customHeight="1">
      <c r="B1864" s="1448"/>
      <c r="C1864" s="1448">
        <v>4</v>
      </c>
      <c r="D1864" s="1448" t="s">
        <v>212</v>
      </c>
      <c r="E1864" s="40">
        <v>30214737</v>
      </c>
      <c r="F1864" s="92" t="s">
        <v>736</v>
      </c>
      <c r="G1864" s="1448" t="s">
        <v>737</v>
      </c>
      <c r="H1864" s="38">
        <v>30215058</v>
      </c>
      <c r="I1864" s="41">
        <v>8900</v>
      </c>
      <c r="J1864" s="304">
        <v>0.17</v>
      </c>
      <c r="K1864" s="1448">
        <v>5</v>
      </c>
      <c r="L1864" s="1450">
        <f>I1864*K1864</f>
        <v>44500</v>
      </c>
      <c r="M1864" s="1516" t="s">
        <v>2199</v>
      </c>
      <c r="N1864" s="1445">
        <v>20250205183</v>
      </c>
      <c r="O1864" s="4" t="s">
        <v>2200</v>
      </c>
    </row>
    <row r="1865" spans="2:15" ht="16.5" customHeight="1">
      <c r="B1865" s="1448"/>
      <c r="C1865" s="1448"/>
      <c r="D1865" s="1448" t="s">
        <v>212</v>
      </c>
      <c r="E1865" s="40">
        <v>30214740</v>
      </c>
      <c r="F1865" s="92" t="s">
        <v>739</v>
      </c>
      <c r="G1865" s="1448"/>
      <c r="H1865" s="38">
        <v>30215063</v>
      </c>
      <c r="I1865" s="41">
        <v>14900</v>
      </c>
      <c r="J1865" s="304">
        <v>0.17</v>
      </c>
      <c r="K1865" s="1448"/>
      <c r="L1865" s="1450"/>
      <c r="M1865" s="1450"/>
      <c r="N1865" s="1446"/>
    </row>
    <row r="1866" spans="2:15" ht="16.5" customHeight="1">
      <c r="B1866" s="1448"/>
      <c r="C1866" s="1448"/>
      <c r="D1866" s="1448" t="s">
        <v>212</v>
      </c>
      <c r="E1866" s="40">
        <v>30214741</v>
      </c>
      <c r="F1866" s="92" t="s">
        <v>740</v>
      </c>
      <c r="G1866" s="1448"/>
      <c r="H1866" s="38">
        <v>30215067</v>
      </c>
      <c r="I1866" s="41">
        <v>19900</v>
      </c>
      <c r="J1866" s="304">
        <v>0.17</v>
      </c>
      <c r="K1866" s="1448"/>
      <c r="L1866" s="1450"/>
      <c r="M1866" s="1450"/>
      <c r="N1866" s="1447"/>
    </row>
    <row r="1867" spans="2:15" ht="16.5" customHeight="1">
      <c r="B1867" s="1448" t="s">
        <v>221</v>
      </c>
      <c r="C1867" s="1448">
        <v>1</v>
      </c>
      <c r="D1867" s="1448" t="s">
        <v>222</v>
      </c>
      <c r="E1867" s="40">
        <v>30192573</v>
      </c>
      <c r="F1867" s="92" t="s">
        <v>741</v>
      </c>
      <c r="G1867" s="1448" t="s">
        <v>2201</v>
      </c>
      <c r="H1867" s="38">
        <v>30207782</v>
      </c>
      <c r="I1867" s="41">
        <v>10900</v>
      </c>
      <c r="J1867" s="304">
        <v>0.15</v>
      </c>
      <c r="K1867" s="1448">
        <v>5</v>
      </c>
      <c r="L1867" s="1450">
        <f>I1867*K1867</f>
        <v>54500</v>
      </c>
      <c r="M1867" s="1516" t="s">
        <v>743</v>
      </c>
      <c r="N1867" s="1445">
        <v>20250205184</v>
      </c>
      <c r="O1867" s="4" t="s">
        <v>1914</v>
      </c>
    </row>
    <row r="1868" spans="2:15" ht="16.5" customHeight="1">
      <c r="B1868" s="1448"/>
      <c r="C1868" s="1448"/>
      <c r="D1868" s="1448" t="s">
        <v>222</v>
      </c>
      <c r="E1868" s="40">
        <v>30159110</v>
      </c>
      <c r="F1868" s="92" t="s">
        <v>744</v>
      </c>
      <c r="G1868" s="1448"/>
      <c r="H1868" s="38">
        <v>30207784</v>
      </c>
      <c r="I1868" s="41">
        <v>19900</v>
      </c>
      <c r="J1868" s="304">
        <v>0.15</v>
      </c>
      <c r="K1868" s="1448"/>
      <c r="L1868" s="1450"/>
      <c r="M1868" s="1450"/>
      <c r="N1868" s="1446"/>
    </row>
    <row r="1869" spans="2:15" ht="16.5" customHeight="1">
      <c r="B1869" s="1448"/>
      <c r="C1869" s="1448"/>
      <c r="D1869" s="1448" t="s">
        <v>222</v>
      </c>
      <c r="E1869" s="40">
        <v>30193916</v>
      </c>
      <c r="F1869" s="92" t="s">
        <v>745</v>
      </c>
      <c r="G1869" s="1448"/>
      <c r="H1869" s="38">
        <v>30207785</v>
      </c>
      <c r="I1869" s="41">
        <v>35900</v>
      </c>
      <c r="J1869" s="304">
        <v>0.15</v>
      </c>
      <c r="K1869" s="1448"/>
      <c r="L1869" s="1450"/>
      <c r="M1869" s="1450"/>
      <c r="N1869" s="1447"/>
    </row>
    <row r="1870" spans="2:15" ht="16.5" customHeight="1">
      <c r="B1870" s="1448"/>
      <c r="C1870" s="1448">
        <v>2</v>
      </c>
      <c r="D1870" s="1448" t="s">
        <v>234</v>
      </c>
      <c r="E1870" s="40">
        <v>30164719</v>
      </c>
      <c r="F1870" s="92" t="s">
        <v>2202</v>
      </c>
      <c r="G1870" s="1448" t="s">
        <v>2203</v>
      </c>
      <c r="H1870" s="38">
        <v>30164719</v>
      </c>
      <c r="I1870" s="41">
        <v>12900</v>
      </c>
      <c r="J1870" s="304">
        <v>0.17</v>
      </c>
      <c r="K1870" s="1448">
        <v>5</v>
      </c>
      <c r="L1870" s="1450">
        <f>I1870*K1870</f>
        <v>64500</v>
      </c>
      <c r="M1870" s="1516" t="s">
        <v>2204</v>
      </c>
      <c r="N1870" s="1445">
        <v>20250205185</v>
      </c>
    </row>
    <row r="1871" spans="2:15" ht="16.5" customHeight="1">
      <c r="B1871" s="1448"/>
      <c r="C1871" s="1448"/>
      <c r="D1871" s="1448" t="s">
        <v>234</v>
      </c>
      <c r="E1871" s="40">
        <v>30177746</v>
      </c>
      <c r="F1871" s="92" t="s">
        <v>2205</v>
      </c>
      <c r="G1871" s="1448"/>
      <c r="H1871" s="38">
        <v>30177746</v>
      </c>
      <c r="I1871" s="41">
        <v>14900</v>
      </c>
      <c r="J1871" s="304">
        <v>0.17</v>
      </c>
      <c r="K1871" s="1448"/>
      <c r="L1871" s="1450"/>
      <c r="M1871" s="1450"/>
      <c r="N1871" s="1446"/>
    </row>
    <row r="1872" spans="2:15" ht="16.5" customHeight="1">
      <c r="B1872" s="1448"/>
      <c r="C1872" s="1448"/>
      <c r="D1872" s="1448" t="s">
        <v>234</v>
      </c>
      <c r="E1872" s="40">
        <v>30194333</v>
      </c>
      <c r="F1872" s="92" t="s">
        <v>2206</v>
      </c>
      <c r="G1872" s="1448"/>
      <c r="H1872" s="38">
        <v>30194333</v>
      </c>
      <c r="I1872" s="41">
        <v>22900</v>
      </c>
      <c r="J1872" s="304">
        <v>0.17</v>
      </c>
      <c r="K1872" s="1448"/>
      <c r="L1872" s="1450"/>
      <c r="M1872" s="1450"/>
      <c r="N1872" s="1447"/>
    </row>
    <row r="1873" spans="2:14" ht="16.5" customHeight="1">
      <c r="B1873" s="1448"/>
      <c r="C1873" s="1448">
        <v>3</v>
      </c>
      <c r="D1873" s="1448" t="s">
        <v>239</v>
      </c>
      <c r="E1873" s="40">
        <v>69232236</v>
      </c>
      <c r="F1873" s="92" t="s">
        <v>246</v>
      </c>
      <c r="G1873" s="1448" t="s">
        <v>246</v>
      </c>
      <c r="H1873" s="38">
        <v>30214242</v>
      </c>
      <c r="I1873" s="41">
        <v>17900</v>
      </c>
      <c r="J1873" s="304">
        <v>0.15</v>
      </c>
      <c r="K1873" s="1448">
        <v>5</v>
      </c>
      <c r="L1873" s="1450">
        <f>I1873*K1873</f>
        <v>89500</v>
      </c>
      <c r="M1873" s="1516" t="s">
        <v>2207</v>
      </c>
      <c r="N1873" s="1445">
        <v>20250205186</v>
      </c>
    </row>
    <row r="1874" spans="2:14" ht="16.5" customHeight="1">
      <c r="B1874" s="1448"/>
      <c r="C1874" s="1448"/>
      <c r="D1874" s="1448" t="s">
        <v>239</v>
      </c>
      <c r="E1874" s="40">
        <v>55021789</v>
      </c>
      <c r="F1874" s="92" t="s">
        <v>1180</v>
      </c>
      <c r="G1874" s="1448"/>
      <c r="H1874" s="38">
        <v>30159476</v>
      </c>
      <c r="I1874" s="41">
        <v>22900</v>
      </c>
      <c r="J1874" s="304">
        <v>0.15</v>
      </c>
      <c r="K1874" s="1448"/>
      <c r="L1874" s="1450"/>
      <c r="M1874" s="1450"/>
      <c r="N1874" s="1446"/>
    </row>
    <row r="1875" spans="2:14" ht="16.5" customHeight="1">
      <c r="B1875" s="1448"/>
      <c r="C1875" s="1448"/>
      <c r="D1875" s="1448" t="s">
        <v>239</v>
      </c>
      <c r="E1875" s="40">
        <v>72339434</v>
      </c>
      <c r="F1875" s="92" t="s">
        <v>2208</v>
      </c>
      <c r="G1875" s="1448"/>
      <c r="H1875" s="38">
        <v>30213397</v>
      </c>
      <c r="I1875" s="41">
        <v>26900</v>
      </c>
      <c r="J1875" s="304">
        <v>0.15</v>
      </c>
      <c r="K1875" s="1448"/>
      <c r="L1875" s="1450"/>
      <c r="M1875" s="1450"/>
      <c r="N1875" s="1447"/>
    </row>
    <row r="1876" spans="2:14" ht="16.5" customHeight="1">
      <c r="B1876" s="1448"/>
      <c r="C1876" s="1448">
        <v>4</v>
      </c>
      <c r="D1876" s="1448" t="s">
        <v>248</v>
      </c>
      <c r="E1876" s="40">
        <v>30218761</v>
      </c>
      <c r="F1876" s="92" t="s">
        <v>2209</v>
      </c>
      <c r="G1876" s="1448" t="s">
        <v>2210</v>
      </c>
      <c r="H1876" s="38">
        <v>30209149</v>
      </c>
      <c r="I1876" s="41">
        <v>11900</v>
      </c>
      <c r="J1876" s="304">
        <v>0.15</v>
      </c>
      <c r="K1876" s="1448">
        <v>5</v>
      </c>
      <c r="L1876" s="1450">
        <f>I1876*K1876</f>
        <v>59500</v>
      </c>
      <c r="M1876" s="1516" t="s">
        <v>2211</v>
      </c>
      <c r="N1876" s="1445">
        <v>20250205187</v>
      </c>
    </row>
    <row r="1877" spans="2:14" ht="16.5" customHeight="1">
      <c r="B1877" s="1448"/>
      <c r="C1877" s="1448"/>
      <c r="D1877" s="1448" t="s">
        <v>248</v>
      </c>
      <c r="E1877" s="40">
        <v>30187779</v>
      </c>
      <c r="F1877" s="92" t="s">
        <v>2212</v>
      </c>
      <c r="G1877" s="1448"/>
      <c r="H1877" s="38">
        <v>30188529</v>
      </c>
      <c r="I1877" s="41">
        <v>12900</v>
      </c>
      <c r="J1877" s="304">
        <v>0.15</v>
      </c>
      <c r="K1877" s="1448"/>
      <c r="L1877" s="1450"/>
      <c r="M1877" s="1450"/>
      <c r="N1877" s="1446"/>
    </row>
    <row r="1878" spans="2:14" ht="16.5" customHeight="1">
      <c r="B1878" s="1448"/>
      <c r="C1878" s="1448"/>
      <c r="D1878" s="1448" t="s">
        <v>248</v>
      </c>
      <c r="E1878" s="40">
        <v>30178090</v>
      </c>
      <c r="F1878" s="92" t="s">
        <v>2213</v>
      </c>
      <c r="G1878" s="1448"/>
      <c r="H1878" s="38">
        <v>30198936</v>
      </c>
      <c r="I1878" s="41">
        <v>16900</v>
      </c>
      <c r="J1878" s="304">
        <v>0.15</v>
      </c>
      <c r="K1878" s="1448"/>
      <c r="L1878" s="1450"/>
      <c r="M1878" s="1450"/>
      <c r="N1878" s="1446"/>
    </row>
    <row r="1879" spans="2:14" ht="16.5" customHeight="1">
      <c r="B1879" s="1448"/>
      <c r="C1879" s="1448"/>
      <c r="D1879" s="1448" t="s">
        <v>248</v>
      </c>
      <c r="E1879" s="40">
        <v>30218741</v>
      </c>
      <c r="F1879" s="92" t="s">
        <v>2214</v>
      </c>
      <c r="G1879" s="1448"/>
      <c r="H1879" s="38">
        <v>30184730</v>
      </c>
      <c r="I1879" s="41">
        <v>16900</v>
      </c>
      <c r="J1879" s="304">
        <v>0.15</v>
      </c>
      <c r="K1879" s="1448"/>
      <c r="L1879" s="1450"/>
      <c r="M1879" s="1450"/>
      <c r="N1879" s="1446"/>
    </row>
    <row r="1880" spans="2:14" ht="16.5" customHeight="1">
      <c r="B1880" s="1448"/>
      <c r="C1880" s="1448"/>
      <c r="D1880" s="1448" t="s">
        <v>248</v>
      </c>
      <c r="E1880" s="40">
        <v>30177614</v>
      </c>
      <c r="F1880" s="92" t="s">
        <v>2215</v>
      </c>
      <c r="G1880" s="1448"/>
      <c r="H1880" s="38">
        <v>30177454</v>
      </c>
      <c r="I1880" s="41">
        <v>42900</v>
      </c>
      <c r="J1880" s="304">
        <v>0.15</v>
      </c>
      <c r="K1880" s="1448"/>
      <c r="L1880" s="1450"/>
      <c r="M1880" s="1450"/>
      <c r="N1880" s="1447"/>
    </row>
    <row r="1881" spans="2:14" ht="16.5" customHeight="1">
      <c r="B1881" s="1448"/>
      <c r="C1881" s="1448">
        <v>5</v>
      </c>
      <c r="D1881" s="1448" t="s">
        <v>239</v>
      </c>
      <c r="E1881" s="40">
        <v>55017461</v>
      </c>
      <c r="F1881" s="92" t="s">
        <v>2216</v>
      </c>
      <c r="G1881" s="1448" t="s">
        <v>2216</v>
      </c>
      <c r="H1881" s="38">
        <v>30188520</v>
      </c>
      <c r="I1881" s="41">
        <v>22900</v>
      </c>
      <c r="J1881" s="304">
        <v>0.15</v>
      </c>
      <c r="K1881" s="1448">
        <v>5</v>
      </c>
      <c r="L1881" s="1450">
        <f>I1881*K1881</f>
        <v>114500</v>
      </c>
      <c r="M1881" s="1516" t="s">
        <v>2217</v>
      </c>
      <c r="N1881" s="1445">
        <v>20250205188</v>
      </c>
    </row>
    <row r="1882" spans="2:14" ht="16.5" customHeight="1">
      <c r="B1882" s="1448"/>
      <c r="C1882" s="1448"/>
      <c r="D1882" s="1448" t="s">
        <v>239</v>
      </c>
      <c r="E1882" s="40">
        <v>55017674</v>
      </c>
      <c r="F1882" s="92" t="s">
        <v>748</v>
      </c>
      <c r="G1882" s="1448"/>
      <c r="H1882" s="38">
        <v>30157959</v>
      </c>
      <c r="I1882" s="41">
        <v>18900</v>
      </c>
      <c r="J1882" s="304">
        <v>0.15</v>
      </c>
      <c r="K1882" s="1448"/>
      <c r="L1882" s="1450"/>
      <c r="M1882" s="1450"/>
      <c r="N1882" s="1446"/>
    </row>
    <row r="1883" spans="2:14" ht="16.5" customHeight="1">
      <c r="B1883" s="1448"/>
      <c r="C1883" s="1448"/>
      <c r="D1883" s="1448" t="s">
        <v>239</v>
      </c>
      <c r="E1883" s="40">
        <v>55017542</v>
      </c>
      <c r="F1883" s="92" t="s">
        <v>1623</v>
      </c>
      <c r="G1883" s="1448"/>
      <c r="H1883" s="38">
        <v>30164707</v>
      </c>
      <c r="I1883" s="41">
        <v>28900</v>
      </c>
      <c r="J1883" s="304">
        <v>0.15</v>
      </c>
      <c r="K1883" s="1448"/>
      <c r="L1883" s="1450"/>
      <c r="M1883" s="1450"/>
      <c r="N1883" s="1447"/>
    </row>
    <row r="1884" spans="2:14" ht="16.5" customHeight="1">
      <c r="B1884" s="1448"/>
      <c r="C1884" s="1448">
        <v>6</v>
      </c>
      <c r="D1884" s="1448" t="s">
        <v>248</v>
      </c>
      <c r="E1884" s="40">
        <v>10191467</v>
      </c>
      <c r="F1884" s="92" t="s">
        <v>2218</v>
      </c>
      <c r="G1884" s="1448" t="s">
        <v>2219</v>
      </c>
      <c r="H1884" s="38">
        <v>30219276</v>
      </c>
      <c r="I1884" s="41">
        <v>10900</v>
      </c>
      <c r="J1884" s="304">
        <v>0.15</v>
      </c>
      <c r="K1884" s="1448">
        <v>5</v>
      </c>
      <c r="L1884" s="1450">
        <f>I1884*K1884</f>
        <v>54500</v>
      </c>
      <c r="M1884" s="1450" t="s">
        <v>2220</v>
      </c>
      <c r="N1884" s="1445">
        <v>20250205189</v>
      </c>
    </row>
    <row r="1885" spans="2:14" ht="16.5" customHeight="1">
      <c r="B1885" s="1448"/>
      <c r="C1885" s="1448"/>
      <c r="D1885" s="1448" t="s">
        <v>248</v>
      </c>
      <c r="E1885" s="40">
        <v>30191388</v>
      </c>
      <c r="F1885" s="92" t="s">
        <v>2221</v>
      </c>
      <c r="G1885" s="1448"/>
      <c r="H1885" s="38">
        <v>30219277</v>
      </c>
      <c r="I1885" s="41">
        <v>12500</v>
      </c>
      <c r="J1885" s="304">
        <v>0.15</v>
      </c>
      <c r="K1885" s="1448"/>
      <c r="L1885" s="1450"/>
      <c r="M1885" s="1450" t="s">
        <v>252</v>
      </c>
      <c r="N1885" s="1447"/>
    </row>
    <row r="1886" spans="2:14" ht="16.5" customHeight="1">
      <c r="B1886" s="1448"/>
      <c r="C1886" s="1448">
        <v>7</v>
      </c>
      <c r="D1886" s="1448" t="s">
        <v>226</v>
      </c>
      <c r="E1886" s="40">
        <v>72532972</v>
      </c>
      <c r="F1886" s="92" t="s">
        <v>2222</v>
      </c>
      <c r="G1886" s="1448" t="s">
        <v>2223</v>
      </c>
      <c r="H1886" s="38">
        <v>30212242</v>
      </c>
      <c r="I1886" s="41">
        <v>22900</v>
      </c>
      <c r="J1886" s="304">
        <v>0.15</v>
      </c>
      <c r="K1886" s="1448">
        <v>5</v>
      </c>
      <c r="L1886" s="1450">
        <f>I1886*K1886</f>
        <v>114500</v>
      </c>
      <c r="M1886" s="1450" t="s">
        <v>2224</v>
      </c>
      <c r="N1886" s="1445">
        <v>20250205190</v>
      </c>
    </row>
    <row r="1887" spans="2:14" ht="16.5" customHeight="1">
      <c r="B1887" s="1448"/>
      <c r="C1887" s="1448"/>
      <c r="D1887" s="1448" t="s">
        <v>226</v>
      </c>
      <c r="E1887" s="40">
        <v>72532971</v>
      </c>
      <c r="F1887" s="92" t="s">
        <v>2225</v>
      </c>
      <c r="G1887" s="1448"/>
      <c r="H1887" s="38">
        <v>30212272</v>
      </c>
      <c r="I1887" s="41">
        <v>39900</v>
      </c>
      <c r="J1887" s="304">
        <v>0.15</v>
      </c>
      <c r="K1887" s="1448"/>
      <c r="L1887" s="1450"/>
      <c r="M1887" s="1450"/>
      <c r="N1887" s="1446"/>
    </row>
    <row r="1888" spans="2:14" ht="16.5" customHeight="1">
      <c r="B1888" s="1448"/>
      <c r="C1888" s="1448"/>
      <c r="D1888" s="1448" t="s">
        <v>226</v>
      </c>
      <c r="E1888" s="40">
        <v>72532974</v>
      </c>
      <c r="F1888" s="92" t="s">
        <v>2226</v>
      </c>
      <c r="G1888" s="1448"/>
      <c r="H1888" s="38">
        <v>30212275</v>
      </c>
      <c r="I1888" s="41">
        <v>69900</v>
      </c>
      <c r="J1888" s="304">
        <v>0.15</v>
      </c>
      <c r="K1888" s="1448"/>
      <c r="L1888" s="1450"/>
      <c r="M1888" s="1450"/>
      <c r="N1888" s="1447"/>
    </row>
    <row r="1889" spans="2:15" ht="16.5" customHeight="1">
      <c r="B1889" s="1448" t="s">
        <v>910</v>
      </c>
      <c r="C1889" s="1448">
        <v>1</v>
      </c>
      <c r="D1889" s="1448" t="s">
        <v>930</v>
      </c>
      <c r="E1889" s="30">
        <v>10220810</v>
      </c>
      <c r="F1889" s="31" t="s">
        <v>2227</v>
      </c>
      <c r="G1889" s="1454" t="s">
        <v>2228</v>
      </c>
      <c r="H1889" s="38">
        <v>30208804</v>
      </c>
      <c r="I1889" s="35">
        <v>17200</v>
      </c>
      <c r="J1889" s="64">
        <v>0.1</v>
      </c>
      <c r="K1889" s="30">
        <v>5</v>
      </c>
      <c r="L1889" s="35">
        <v>86000</v>
      </c>
      <c r="M1889" s="1454" t="s">
        <v>2229</v>
      </c>
      <c r="N1889" s="1445">
        <v>20250205191</v>
      </c>
    </row>
    <row r="1890" spans="2:15" ht="16.5" customHeight="1">
      <c r="B1890" s="1448"/>
      <c r="C1890" s="1448"/>
      <c r="D1890" s="1448"/>
      <c r="E1890" s="30">
        <v>10220809</v>
      </c>
      <c r="F1890" s="31" t="s">
        <v>2230</v>
      </c>
      <c r="G1890" s="1448"/>
      <c r="H1890" s="38">
        <v>30206815</v>
      </c>
      <c r="I1890" s="35">
        <v>18500</v>
      </c>
      <c r="J1890" s="64">
        <v>0.1</v>
      </c>
      <c r="K1890" s="30">
        <v>5</v>
      </c>
      <c r="L1890" s="35">
        <v>92500</v>
      </c>
      <c r="M1890" s="1448"/>
      <c r="N1890" s="1447"/>
    </row>
    <row r="1891" spans="2:15" ht="16.5" customHeight="1">
      <c r="B1891" s="1448"/>
      <c r="C1891" s="1448">
        <v>2</v>
      </c>
      <c r="D1891" s="1448" t="s">
        <v>935</v>
      </c>
      <c r="E1891" s="30">
        <v>30215354</v>
      </c>
      <c r="F1891" s="31" t="s">
        <v>2231</v>
      </c>
      <c r="G1891" s="1454" t="s">
        <v>2232</v>
      </c>
      <c r="H1891" s="30">
        <v>30218998</v>
      </c>
      <c r="I1891" s="35">
        <v>8500</v>
      </c>
      <c r="J1891" s="64">
        <v>0.13</v>
      </c>
      <c r="K1891" s="30">
        <v>10</v>
      </c>
      <c r="L1891" s="35">
        <v>85000</v>
      </c>
      <c r="M1891" s="1454" t="s">
        <v>2233</v>
      </c>
      <c r="N1891" s="1445">
        <v>20250205192</v>
      </c>
    </row>
    <row r="1892" spans="2:15" ht="16.5" customHeight="1">
      <c r="B1892" s="1448"/>
      <c r="C1892" s="1448"/>
      <c r="D1892" s="1448"/>
      <c r="E1892" s="30">
        <v>30215355</v>
      </c>
      <c r="F1892" s="31" t="s">
        <v>2234</v>
      </c>
      <c r="G1892" s="1448"/>
      <c r="H1892" s="30">
        <v>30219000</v>
      </c>
      <c r="I1892" s="35">
        <v>8500</v>
      </c>
      <c r="J1892" s="64">
        <v>0.13</v>
      </c>
      <c r="K1892" s="30">
        <v>10</v>
      </c>
      <c r="L1892" s="35">
        <v>85000</v>
      </c>
      <c r="M1892" s="1454"/>
      <c r="N1892" s="1446"/>
    </row>
    <row r="1893" spans="2:15" ht="16.5" customHeight="1">
      <c r="B1893" s="1448"/>
      <c r="C1893" s="1448"/>
      <c r="D1893" s="1448"/>
      <c r="E1893" s="30">
        <v>30215978</v>
      </c>
      <c r="F1893" s="31" t="s">
        <v>2235</v>
      </c>
      <c r="G1893" s="1448"/>
      <c r="H1893" s="30">
        <v>30219003</v>
      </c>
      <c r="I1893" s="35">
        <v>8500</v>
      </c>
      <c r="J1893" s="64">
        <v>0.13</v>
      </c>
      <c r="K1893" s="30">
        <v>10</v>
      </c>
      <c r="L1893" s="35">
        <v>85000</v>
      </c>
      <c r="M1893" s="1454"/>
      <c r="N1893" s="1446"/>
    </row>
    <row r="1894" spans="2:15" ht="16.5" customHeight="1">
      <c r="B1894" s="1448"/>
      <c r="C1894" s="1448"/>
      <c r="D1894" s="1448"/>
      <c r="E1894" s="30">
        <v>30215979</v>
      </c>
      <c r="F1894" s="31" t="s">
        <v>2236</v>
      </c>
      <c r="G1894" s="1448"/>
      <c r="H1894" s="30">
        <v>30219004</v>
      </c>
      <c r="I1894" s="35">
        <v>8500</v>
      </c>
      <c r="J1894" s="64">
        <v>0.13</v>
      </c>
      <c r="K1894" s="30">
        <v>10</v>
      </c>
      <c r="L1894" s="35">
        <v>85000</v>
      </c>
      <c r="M1894" s="1454"/>
      <c r="N1894" s="1447"/>
    </row>
    <row r="1895" spans="2:15" ht="16.5" customHeight="1">
      <c r="B1895" s="1448"/>
      <c r="C1895" s="1448">
        <v>3</v>
      </c>
      <c r="D1895" s="1448" t="s">
        <v>915</v>
      </c>
      <c r="E1895" s="30">
        <v>10044995</v>
      </c>
      <c r="F1895" s="31" t="s">
        <v>2237</v>
      </c>
      <c r="G1895" s="1448" t="s">
        <v>2238</v>
      </c>
      <c r="H1895" s="30">
        <v>30206817</v>
      </c>
      <c r="I1895" s="35">
        <v>9900</v>
      </c>
      <c r="J1895" s="64">
        <v>0.1</v>
      </c>
      <c r="K1895" s="30">
        <v>10</v>
      </c>
      <c r="L1895" s="35">
        <v>99000</v>
      </c>
      <c r="M1895" s="1454" t="s">
        <v>2239</v>
      </c>
      <c r="N1895" s="1445">
        <v>20250205193</v>
      </c>
      <c r="O1895" s="4" t="s">
        <v>1620</v>
      </c>
    </row>
    <row r="1896" spans="2:15" ht="16.5" customHeight="1">
      <c r="B1896" s="1448"/>
      <c r="C1896" s="1448"/>
      <c r="D1896" s="1448"/>
      <c r="E1896" s="30">
        <v>10050749</v>
      </c>
      <c r="F1896" s="31" t="s">
        <v>976</v>
      </c>
      <c r="G1896" s="1448"/>
      <c r="H1896" s="30">
        <v>30160461</v>
      </c>
      <c r="I1896" s="35">
        <v>9900</v>
      </c>
      <c r="J1896" s="64">
        <v>0.1</v>
      </c>
      <c r="K1896" s="30">
        <v>10</v>
      </c>
      <c r="L1896" s="35">
        <v>99000</v>
      </c>
      <c r="M1896" s="1454"/>
      <c r="N1896" s="1447"/>
    </row>
    <row r="1897" spans="2:15" ht="16.5" customHeight="1">
      <c r="B1897" s="1448" t="s">
        <v>942</v>
      </c>
      <c r="C1897" s="1448">
        <v>1</v>
      </c>
      <c r="D1897" s="1448" t="s">
        <v>2240</v>
      </c>
      <c r="E1897" s="30">
        <v>30136261</v>
      </c>
      <c r="F1897" s="31" t="s">
        <v>2241</v>
      </c>
      <c r="G1897" s="1454" t="s">
        <v>2242</v>
      </c>
      <c r="H1897" s="30">
        <v>30219006</v>
      </c>
      <c r="I1897" s="35">
        <v>29900</v>
      </c>
      <c r="J1897" s="64">
        <v>0.08</v>
      </c>
      <c r="K1897" s="30">
        <v>5</v>
      </c>
      <c r="L1897" s="35">
        <v>149500</v>
      </c>
      <c r="M1897" s="1454" t="s">
        <v>2243</v>
      </c>
      <c r="N1897" s="1445">
        <v>20250205194</v>
      </c>
    </row>
    <row r="1898" spans="2:15" ht="16.5" customHeight="1">
      <c r="B1898" s="1448"/>
      <c r="C1898" s="1448"/>
      <c r="D1898" s="1448"/>
      <c r="E1898" s="30">
        <v>75563886</v>
      </c>
      <c r="F1898" s="31" t="s">
        <v>2244</v>
      </c>
      <c r="G1898" s="1448"/>
      <c r="H1898" s="30">
        <v>30219010</v>
      </c>
      <c r="I1898" s="35">
        <v>99000</v>
      </c>
      <c r="J1898" s="64">
        <v>0.08</v>
      </c>
      <c r="K1898" s="30">
        <v>3</v>
      </c>
      <c r="L1898" s="35">
        <v>297000</v>
      </c>
      <c r="M1898" s="1448"/>
      <c r="N1898" s="1446"/>
    </row>
    <row r="1899" spans="2:15" ht="16.5" customHeight="1">
      <c r="B1899" s="1448"/>
      <c r="C1899" s="1448"/>
      <c r="D1899" s="1448"/>
      <c r="E1899" s="30">
        <v>30193593</v>
      </c>
      <c r="F1899" s="31" t="s">
        <v>2245</v>
      </c>
      <c r="G1899" s="1448"/>
      <c r="H1899" s="30">
        <v>30219013</v>
      </c>
      <c r="I1899" s="35">
        <v>199000</v>
      </c>
      <c r="J1899" s="64">
        <v>0.08</v>
      </c>
      <c r="K1899" s="30">
        <v>3</v>
      </c>
      <c r="L1899" s="35">
        <v>597000</v>
      </c>
      <c r="M1899" s="1448"/>
      <c r="N1899" s="1447"/>
    </row>
    <row r="1900" spans="2:15" ht="16.5" customHeight="1">
      <c r="B1900" s="1448"/>
      <c r="C1900" s="1448">
        <v>2</v>
      </c>
      <c r="D1900" s="1448" t="s">
        <v>404</v>
      </c>
      <c r="E1900" s="30">
        <v>55434901</v>
      </c>
      <c r="F1900" s="31" t="s">
        <v>2246</v>
      </c>
      <c r="G1900" s="1454" t="s">
        <v>2247</v>
      </c>
      <c r="H1900" s="30">
        <v>30219016</v>
      </c>
      <c r="I1900" s="35">
        <v>15900</v>
      </c>
      <c r="J1900" s="64">
        <v>0.12</v>
      </c>
      <c r="K1900" s="30">
        <v>5</v>
      </c>
      <c r="L1900" s="35">
        <v>79500</v>
      </c>
      <c r="M1900" s="1454" t="s">
        <v>2248</v>
      </c>
      <c r="N1900" s="1445">
        <v>20250205195</v>
      </c>
      <c r="O1900" s="4" t="s">
        <v>2249</v>
      </c>
    </row>
    <row r="1901" spans="2:15" ht="16.5" customHeight="1">
      <c r="B1901" s="1448"/>
      <c r="C1901" s="1448"/>
      <c r="D1901" s="1448"/>
      <c r="E1901" s="30">
        <v>55434894</v>
      </c>
      <c r="F1901" s="31" t="s">
        <v>2250</v>
      </c>
      <c r="G1901" s="1454"/>
      <c r="H1901" s="30">
        <v>30219019</v>
      </c>
      <c r="I1901" s="35">
        <v>15900</v>
      </c>
      <c r="J1901" s="64">
        <v>0.12</v>
      </c>
      <c r="K1901" s="30">
        <v>5</v>
      </c>
      <c r="L1901" s="35">
        <v>79500</v>
      </c>
      <c r="M1901" s="1454"/>
      <c r="N1901" s="1446"/>
    </row>
    <row r="1902" spans="2:15" ht="16.5" customHeight="1">
      <c r="B1902" s="1448"/>
      <c r="C1902" s="1448"/>
      <c r="D1902" s="1448"/>
      <c r="E1902" s="30">
        <v>70651749</v>
      </c>
      <c r="F1902" s="31" t="s">
        <v>2251</v>
      </c>
      <c r="G1902" s="1454"/>
      <c r="H1902" s="30">
        <v>30219021</v>
      </c>
      <c r="I1902" s="35">
        <v>13900</v>
      </c>
      <c r="J1902" s="64">
        <v>0.12</v>
      </c>
      <c r="K1902" s="30">
        <v>10</v>
      </c>
      <c r="L1902" s="35">
        <v>139000</v>
      </c>
      <c r="M1902" s="1454"/>
      <c r="N1902" s="1446"/>
    </row>
    <row r="1903" spans="2:15" ht="16.5" customHeight="1">
      <c r="B1903" s="1448"/>
      <c r="C1903" s="1448"/>
      <c r="D1903" s="1448"/>
      <c r="E1903" s="30">
        <v>70187796</v>
      </c>
      <c r="F1903" s="31" t="s">
        <v>2252</v>
      </c>
      <c r="G1903" s="1454"/>
      <c r="H1903" s="30">
        <v>30219024</v>
      </c>
      <c r="I1903" s="35">
        <v>13900</v>
      </c>
      <c r="J1903" s="64">
        <v>0.12</v>
      </c>
      <c r="K1903" s="30">
        <v>10</v>
      </c>
      <c r="L1903" s="35">
        <v>139000</v>
      </c>
      <c r="M1903" s="1454"/>
      <c r="N1903" s="1446"/>
    </row>
    <row r="1904" spans="2:15" ht="16.5" customHeight="1">
      <c r="B1904" s="1448"/>
      <c r="C1904" s="1448"/>
      <c r="D1904" s="1448"/>
      <c r="E1904" s="30">
        <v>58304904</v>
      </c>
      <c r="F1904" s="31" t="s">
        <v>2253</v>
      </c>
      <c r="G1904" s="1454"/>
      <c r="H1904" s="407">
        <v>30217491</v>
      </c>
      <c r="I1904" s="35">
        <v>7900</v>
      </c>
      <c r="J1904" s="64">
        <v>0.12</v>
      </c>
      <c r="K1904" s="30">
        <v>10</v>
      </c>
      <c r="L1904" s="35">
        <v>79000</v>
      </c>
      <c r="M1904" s="1454"/>
      <c r="N1904" s="1447"/>
    </row>
    <row r="1905" spans="2:14" ht="16.5" customHeight="1">
      <c r="B1905" s="1448"/>
      <c r="C1905" s="1448">
        <v>3</v>
      </c>
      <c r="D1905" s="1448" t="s">
        <v>947</v>
      </c>
      <c r="E1905" s="30">
        <v>30212172</v>
      </c>
      <c r="F1905" s="31" t="s">
        <v>2254</v>
      </c>
      <c r="G1905" s="1454" t="s">
        <v>2255</v>
      </c>
      <c r="H1905" s="30">
        <v>30219027</v>
      </c>
      <c r="I1905" s="35">
        <v>19900</v>
      </c>
      <c r="J1905" s="64">
        <v>0.1</v>
      </c>
      <c r="K1905" s="30">
        <v>5</v>
      </c>
      <c r="L1905" s="35">
        <v>99500</v>
      </c>
      <c r="M1905" s="1454" t="s">
        <v>2256</v>
      </c>
      <c r="N1905" s="1445">
        <v>20250205196</v>
      </c>
    </row>
    <row r="1906" spans="2:14" ht="16.5" customHeight="1">
      <c r="B1906" s="1448"/>
      <c r="C1906" s="1448"/>
      <c r="D1906" s="1448"/>
      <c r="E1906" s="30">
        <v>30139155</v>
      </c>
      <c r="F1906" s="31" t="s">
        <v>2257</v>
      </c>
      <c r="G1906" s="1448"/>
      <c r="H1906" s="30">
        <v>30219030</v>
      </c>
      <c r="I1906" s="35">
        <v>13900</v>
      </c>
      <c r="J1906" s="64">
        <v>0.1</v>
      </c>
      <c r="K1906" s="30">
        <v>10</v>
      </c>
      <c r="L1906" s="35">
        <v>139000</v>
      </c>
      <c r="M1906" s="1454"/>
      <c r="N1906" s="1446"/>
    </row>
    <row r="1907" spans="2:14" ht="16.5" customHeight="1">
      <c r="B1907" s="1448"/>
      <c r="C1907" s="1448"/>
      <c r="D1907" s="1448"/>
      <c r="E1907" s="30">
        <v>30194631</v>
      </c>
      <c r="F1907" s="31" t="s">
        <v>2258</v>
      </c>
      <c r="G1907" s="1448"/>
      <c r="H1907" s="30">
        <v>30219032</v>
      </c>
      <c r="I1907" s="35">
        <v>10900</v>
      </c>
      <c r="J1907" s="64">
        <v>0.1</v>
      </c>
      <c r="K1907" s="30">
        <v>10</v>
      </c>
      <c r="L1907" s="35">
        <v>109000</v>
      </c>
      <c r="M1907" s="1454"/>
      <c r="N1907" s="1447"/>
    </row>
    <row r="1908" spans="2:14" ht="16.5" customHeight="1">
      <c r="B1908" s="1448" t="s">
        <v>221</v>
      </c>
      <c r="C1908" s="1448">
        <v>1</v>
      </c>
      <c r="D1908" s="1448" t="s">
        <v>956</v>
      </c>
      <c r="E1908" s="30">
        <v>45184762</v>
      </c>
      <c r="F1908" s="31" t="s">
        <v>2259</v>
      </c>
      <c r="G1908" s="1454" t="s">
        <v>2260</v>
      </c>
      <c r="H1908" s="30">
        <v>30219035</v>
      </c>
      <c r="I1908" s="35">
        <v>21900</v>
      </c>
      <c r="J1908" s="64">
        <v>0.1</v>
      </c>
      <c r="K1908" s="30">
        <v>5</v>
      </c>
      <c r="L1908" s="35">
        <v>109500</v>
      </c>
      <c r="M1908" s="1454" t="s">
        <v>2261</v>
      </c>
      <c r="N1908" s="1445">
        <v>20250205197</v>
      </c>
    </row>
    <row r="1909" spans="2:14" ht="16.5" customHeight="1">
      <c r="B1909" s="1448"/>
      <c r="C1909" s="1448"/>
      <c r="D1909" s="1448"/>
      <c r="E1909" s="30">
        <v>57528096</v>
      </c>
      <c r="F1909" s="31" t="s">
        <v>2262</v>
      </c>
      <c r="G1909" s="1448"/>
      <c r="H1909" s="30">
        <v>30167989</v>
      </c>
      <c r="I1909" s="35">
        <v>11900</v>
      </c>
      <c r="J1909" s="64">
        <v>0.1</v>
      </c>
      <c r="K1909" s="30">
        <v>10</v>
      </c>
      <c r="L1909" s="35">
        <v>119000</v>
      </c>
      <c r="M1909" s="1454"/>
      <c r="N1909" s="1447"/>
    </row>
    <row r="1910" spans="2:14" ht="16.5" customHeight="1">
      <c r="B1910" s="1448"/>
      <c r="C1910" s="1448">
        <v>2</v>
      </c>
      <c r="D1910" s="1448" t="s">
        <v>411</v>
      </c>
      <c r="E1910" s="30">
        <v>11193250</v>
      </c>
      <c r="F1910" s="31" t="s">
        <v>2263</v>
      </c>
      <c r="G1910" s="1454" t="s">
        <v>2264</v>
      </c>
      <c r="H1910" s="30">
        <v>30163482</v>
      </c>
      <c r="I1910" s="35">
        <v>16900</v>
      </c>
      <c r="J1910" s="64">
        <v>0.1</v>
      </c>
      <c r="K1910" s="30">
        <v>5</v>
      </c>
      <c r="L1910" s="35">
        <v>84500</v>
      </c>
      <c r="M1910" s="1512" t="s">
        <v>2264</v>
      </c>
      <c r="N1910" s="1445">
        <v>20250205198</v>
      </c>
    </row>
    <row r="1911" spans="2:14" ht="16.5" customHeight="1">
      <c r="B1911" s="1448"/>
      <c r="C1911" s="1448"/>
      <c r="D1911" s="1448"/>
      <c r="E1911" s="30">
        <v>30179354</v>
      </c>
      <c r="F1911" s="31" t="s">
        <v>2265</v>
      </c>
      <c r="G1911" s="1448"/>
      <c r="H1911" s="30">
        <v>30190967</v>
      </c>
      <c r="I1911" s="35">
        <v>16900</v>
      </c>
      <c r="J1911" s="64">
        <v>0.1</v>
      </c>
      <c r="K1911" s="30">
        <v>5</v>
      </c>
      <c r="L1911" s="35">
        <v>84500</v>
      </c>
      <c r="M1911" s="1514"/>
      <c r="N1911" s="1446"/>
    </row>
    <row r="1912" spans="2:14" ht="16.5" customHeight="1">
      <c r="B1912" s="1448"/>
      <c r="C1912" s="1448"/>
      <c r="D1912" s="1448"/>
      <c r="E1912" s="30">
        <v>10936724</v>
      </c>
      <c r="F1912" s="31" t="s">
        <v>2266</v>
      </c>
      <c r="G1912" s="1448"/>
      <c r="H1912" s="30">
        <v>30208813</v>
      </c>
      <c r="I1912" s="35">
        <v>15900</v>
      </c>
      <c r="J1912" s="64">
        <v>0.1</v>
      </c>
      <c r="K1912" s="30">
        <v>5</v>
      </c>
      <c r="L1912" s="35">
        <v>79500</v>
      </c>
      <c r="M1912" s="1513"/>
      <c r="N1912" s="1447"/>
    </row>
    <row r="1913" spans="2:14" ht="16.5" customHeight="1">
      <c r="B1913" s="1448" t="s">
        <v>32</v>
      </c>
      <c r="C1913" s="1448">
        <v>1</v>
      </c>
      <c r="D1913" s="1448" t="s">
        <v>525</v>
      </c>
      <c r="E1913" s="30"/>
      <c r="F1913" s="31" t="s">
        <v>527</v>
      </c>
      <c r="G1913" s="1454" t="s">
        <v>2267</v>
      </c>
      <c r="H1913" s="30">
        <v>30213534</v>
      </c>
      <c r="I1913" s="30">
        <v>38900</v>
      </c>
      <c r="J1913" s="64">
        <v>0.13</v>
      </c>
      <c r="K1913" s="30">
        <v>1</v>
      </c>
      <c r="L1913" s="30"/>
      <c r="M1913" s="1454" t="s">
        <v>2268</v>
      </c>
      <c r="N1913" s="1461">
        <v>20250205199</v>
      </c>
    </row>
    <row r="1914" spans="2:14" ht="16.5" customHeight="1">
      <c r="B1914" s="1448"/>
      <c r="C1914" s="1448"/>
      <c r="D1914" s="1448"/>
      <c r="E1914" s="30"/>
      <c r="F1914" s="31" t="s">
        <v>530</v>
      </c>
      <c r="G1914" s="1454"/>
      <c r="H1914" s="30">
        <v>30213535</v>
      </c>
      <c r="I1914" s="30">
        <v>42900</v>
      </c>
      <c r="J1914" s="64">
        <v>0.13</v>
      </c>
      <c r="K1914" s="30">
        <v>1</v>
      </c>
      <c r="L1914" s="30"/>
      <c r="M1914" s="1454"/>
      <c r="N1914" s="1461"/>
    </row>
    <row r="1915" spans="2:14" ht="16.5" customHeight="1">
      <c r="B1915" s="1448"/>
      <c r="C1915" s="1448"/>
      <c r="D1915" s="1448"/>
      <c r="E1915" s="30"/>
      <c r="F1915" s="31" t="s">
        <v>531</v>
      </c>
      <c r="G1915" s="1454"/>
      <c r="H1915" s="30">
        <v>30213533</v>
      </c>
      <c r="I1915" s="30">
        <v>69900</v>
      </c>
      <c r="J1915" s="64">
        <v>0.13</v>
      </c>
      <c r="K1915" s="30">
        <v>1</v>
      </c>
      <c r="L1915" s="30"/>
      <c r="M1915" s="1454"/>
      <c r="N1915" s="1461"/>
    </row>
    <row r="1916" spans="2:14" ht="16.5" customHeight="1">
      <c r="B1916" s="1448"/>
      <c r="C1916" s="1448"/>
      <c r="D1916" s="1448"/>
      <c r="E1916" s="30"/>
      <c r="F1916" s="31" t="s">
        <v>532</v>
      </c>
      <c r="G1916" s="1454"/>
      <c r="H1916" s="30">
        <v>30210492</v>
      </c>
      <c r="I1916" s="35">
        <v>38900</v>
      </c>
      <c r="J1916" s="64">
        <v>0.13</v>
      </c>
      <c r="K1916" s="30">
        <v>1</v>
      </c>
      <c r="L1916" s="30"/>
      <c r="M1916" s="1454"/>
      <c r="N1916" s="1461"/>
    </row>
    <row r="1917" spans="2:14" ht="16.5" customHeight="1">
      <c r="B1917" s="1448"/>
      <c r="C1917" s="1448"/>
      <c r="D1917" s="1448"/>
      <c r="E1917" s="30"/>
      <c r="F1917" s="31" t="s">
        <v>533</v>
      </c>
      <c r="G1917" s="1454"/>
      <c r="H1917" s="30">
        <v>30210493</v>
      </c>
      <c r="I1917" s="35">
        <v>41900</v>
      </c>
      <c r="J1917" s="64">
        <v>0.13</v>
      </c>
      <c r="K1917" s="30">
        <v>1</v>
      </c>
      <c r="L1917" s="30"/>
      <c r="M1917" s="1454"/>
      <c r="N1917" s="1461"/>
    </row>
    <row r="1918" spans="2:14" ht="16.5" customHeight="1">
      <c r="B1918" s="1448"/>
      <c r="C1918" s="1448"/>
      <c r="D1918" s="1448"/>
      <c r="E1918" s="30"/>
      <c r="F1918" s="31" t="s">
        <v>534</v>
      </c>
      <c r="G1918" s="1454"/>
      <c r="H1918" s="30">
        <v>30210494</v>
      </c>
      <c r="I1918" s="35">
        <v>69900</v>
      </c>
      <c r="J1918" s="64">
        <v>0.13</v>
      </c>
      <c r="K1918" s="30">
        <v>1</v>
      </c>
      <c r="L1918" s="30"/>
      <c r="M1918" s="1454"/>
      <c r="N1918" s="1461"/>
    </row>
    <row r="1919" spans="2:14" ht="16.5" customHeight="1">
      <c r="B1919" s="1448"/>
      <c r="C1919" s="1448"/>
      <c r="D1919" s="1448"/>
      <c r="E1919" s="30">
        <v>56762255</v>
      </c>
      <c r="F1919" s="31" t="s">
        <v>535</v>
      </c>
      <c r="G1919" s="1454"/>
      <c r="H1919" s="30">
        <v>30207418</v>
      </c>
      <c r="I1919" s="35">
        <v>29000</v>
      </c>
      <c r="J1919" s="64">
        <v>0.06</v>
      </c>
      <c r="K1919" s="30">
        <v>1</v>
      </c>
      <c r="L1919" s="30"/>
      <c r="M1919" s="1454"/>
      <c r="N1919" s="1461"/>
    </row>
    <row r="1920" spans="2:14" ht="16.5" customHeight="1">
      <c r="B1920" s="1448"/>
      <c r="C1920" s="1448"/>
      <c r="D1920" s="1448"/>
      <c r="E1920" s="30">
        <v>56762224</v>
      </c>
      <c r="F1920" s="31" t="s">
        <v>536</v>
      </c>
      <c r="G1920" s="1454"/>
      <c r="H1920" s="30">
        <v>30207421</v>
      </c>
      <c r="I1920" s="35">
        <v>49900</v>
      </c>
      <c r="J1920" s="64">
        <v>0.06</v>
      </c>
      <c r="K1920" s="30">
        <v>1</v>
      </c>
      <c r="L1920" s="30"/>
      <c r="M1920" s="1454"/>
      <c r="N1920" s="1461"/>
    </row>
    <row r="1921" spans="2:14" ht="16.5" customHeight="1">
      <c r="B1921" s="1448"/>
      <c r="C1921" s="1448"/>
      <c r="D1921" s="1448"/>
      <c r="E1921" s="30"/>
      <c r="F1921" s="31" t="s">
        <v>537</v>
      </c>
      <c r="G1921" s="1454"/>
      <c r="H1921" s="30">
        <v>30208560</v>
      </c>
      <c r="I1921" s="35">
        <v>34900</v>
      </c>
      <c r="J1921" s="64">
        <v>0.06</v>
      </c>
      <c r="K1921" s="30">
        <v>1</v>
      </c>
      <c r="L1921" s="30"/>
      <c r="M1921" s="1454"/>
      <c r="N1921" s="1461"/>
    </row>
    <row r="1922" spans="2:14" ht="16.5" customHeight="1">
      <c r="B1922" s="1448"/>
      <c r="C1922" s="1448"/>
      <c r="D1922" s="1448"/>
      <c r="E1922" s="30"/>
      <c r="F1922" s="31" t="s">
        <v>538</v>
      </c>
      <c r="G1922" s="1454"/>
      <c r="H1922" s="30">
        <v>30208561</v>
      </c>
      <c r="I1922" s="35">
        <v>34900</v>
      </c>
      <c r="J1922" s="64">
        <v>0.06</v>
      </c>
      <c r="K1922" s="30">
        <v>1</v>
      </c>
      <c r="L1922" s="30"/>
      <c r="M1922" s="1454"/>
      <c r="N1922" s="1461"/>
    </row>
    <row r="1923" spans="2:14" ht="16.5" customHeight="1">
      <c r="B1923" s="1448"/>
      <c r="C1923" s="1448"/>
      <c r="D1923" s="1448"/>
      <c r="E1923" s="30">
        <v>71611154</v>
      </c>
      <c r="F1923" s="31" t="s">
        <v>539</v>
      </c>
      <c r="G1923" s="1454"/>
      <c r="H1923" s="30">
        <v>30205968</v>
      </c>
      <c r="I1923" s="35">
        <v>39900</v>
      </c>
      <c r="J1923" s="64">
        <v>0.13</v>
      </c>
      <c r="K1923" s="30">
        <v>1</v>
      </c>
      <c r="L1923" s="30"/>
      <c r="M1923" s="1454"/>
      <c r="N1923" s="1461"/>
    </row>
    <row r="1924" spans="2:14" ht="16.5" customHeight="1">
      <c r="B1924" s="1448"/>
      <c r="C1924" s="1448"/>
      <c r="D1924" s="1448"/>
      <c r="E1924" s="30">
        <v>71611148</v>
      </c>
      <c r="F1924" s="31" t="s">
        <v>540</v>
      </c>
      <c r="G1924" s="1454"/>
      <c r="H1924" s="30">
        <v>30205967</v>
      </c>
      <c r="I1924" s="35">
        <v>45900</v>
      </c>
      <c r="J1924" s="64">
        <v>0.13</v>
      </c>
      <c r="K1924" s="30">
        <v>1</v>
      </c>
      <c r="L1924" s="30"/>
      <c r="M1924" s="1454"/>
      <c r="N1924" s="1461"/>
    </row>
    <row r="1925" spans="2:14" ht="16.5" customHeight="1">
      <c r="B1925" s="1448"/>
      <c r="C1925" s="1448"/>
      <c r="D1925" s="1448"/>
      <c r="E1925" s="30">
        <v>71611141</v>
      </c>
      <c r="F1925" s="31" t="s">
        <v>541</v>
      </c>
      <c r="G1925" s="1454"/>
      <c r="H1925" s="30">
        <v>30205965</v>
      </c>
      <c r="I1925" s="35">
        <v>79900</v>
      </c>
      <c r="J1925" s="64">
        <v>0.13</v>
      </c>
      <c r="K1925" s="30">
        <v>1</v>
      </c>
      <c r="L1925" s="30"/>
      <c r="M1925" s="1454"/>
      <c r="N1925" s="1461"/>
    </row>
    <row r="1926" spans="2:14" ht="16.5" customHeight="1">
      <c r="B1926" s="1448"/>
      <c r="C1926" s="1448"/>
      <c r="D1926" s="1448"/>
      <c r="E1926" s="30">
        <v>71611132</v>
      </c>
      <c r="F1926" s="31" t="s">
        <v>542</v>
      </c>
      <c r="G1926" s="1454"/>
      <c r="H1926" s="30">
        <v>30205966</v>
      </c>
      <c r="I1926" s="35">
        <v>69900</v>
      </c>
      <c r="J1926" s="64">
        <v>0.13</v>
      </c>
      <c r="K1926" s="30">
        <v>1</v>
      </c>
      <c r="L1926" s="30"/>
      <c r="M1926" s="1454"/>
      <c r="N1926" s="1461"/>
    </row>
    <row r="1927" spans="2:14" ht="16.5" customHeight="1">
      <c r="B1927" s="1448"/>
      <c r="C1927" s="1448"/>
      <c r="D1927" s="1448"/>
      <c r="E1927" s="30">
        <v>71611126</v>
      </c>
      <c r="F1927" s="31" t="s">
        <v>543</v>
      </c>
      <c r="G1927" s="1454"/>
      <c r="H1927" s="30">
        <v>30205964</v>
      </c>
      <c r="I1927" s="35">
        <v>79900</v>
      </c>
      <c r="J1927" s="64">
        <v>0.13</v>
      </c>
      <c r="K1927" s="30">
        <v>1</v>
      </c>
      <c r="L1927" s="30"/>
      <c r="M1927" s="1454"/>
      <c r="N1927" s="1461"/>
    </row>
    <row r="1928" spans="2:14" ht="16.5" customHeight="1">
      <c r="B1928" s="1448"/>
      <c r="C1928" s="1448"/>
      <c r="D1928" s="1448"/>
      <c r="E1928" s="30">
        <v>69222743</v>
      </c>
      <c r="F1928" s="31" t="s">
        <v>544</v>
      </c>
      <c r="G1928" s="1454"/>
      <c r="H1928" s="30">
        <v>30205969</v>
      </c>
      <c r="I1928" s="35">
        <v>79900</v>
      </c>
      <c r="J1928" s="64">
        <v>0.13</v>
      </c>
      <c r="K1928" s="30">
        <v>1</v>
      </c>
      <c r="L1928" s="30"/>
      <c r="M1928" s="1454"/>
      <c r="N1928" s="1461"/>
    </row>
    <row r="1929" spans="2:14" ht="16.5" customHeight="1">
      <c r="B1929" s="1448"/>
      <c r="C1929" s="1448"/>
      <c r="D1929" s="1448"/>
      <c r="E1929" s="30">
        <v>56414507</v>
      </c>
      <c r="F1929" s="31" t="s">
        <v>545</v>
      </c>
      <c r="G1929" s="1454"/>
      <c r="H1929" s="30">
        <v>30205970</v>
      </c>
      <c r="I1929" s="35">
        <v>29900</v>
      </c>
      <c r="J1929" s="64">
        <v>0.13</v>
      </c>
      <c r="K1929" s="30">
        <v>1</v>
      </c>
      <c r="L1929" s="30"/>
      <c r="M1929" s="1454"/>
      <c r="N1929" s="1461"/>
    </row>
    <row r="1930" spans="2:14" ht="16.5" customHeight="1">
      <c r="B1930" s="1448"/>
      <c r="C1930" s="1448"/>
      <c r="D1930" s="1448"/>
      <c r="E1930" s="30">
        <v>56414506</v>
      </c>
      <c r="F1930" s="31" t="s">
        <v>546</v>
      </c>
      <c r="G1930" s="1454"/>
      <c r="H1930" s="30">
        <v>71636213</v>
      </c>
      <c r="I1930" s="35">
        <v>34900</v>
      </c>
      <c r="J1930" s="64">
        <v>0.13</v>
      </c>
      <c r="K1930" s="30">
        <v>1</v>
      </c>
      <c r="L1930" s="30"/>
      <c r="M1930" s="1454"/>
      <c r="N1930" s="1461"/>
    </row>
    <row r="1931" spans="2:14" ht="16.5" customHeight="1">
      <c r="B1931" s="1448"/>
      <c r="C1931" s="1448"/>
      <c r="D1931" s="1448"/>
      <c r="E1931" s="30">
        <v>71612114</v>
      </c>
      <c r="F1931" s="31" t="s">
        <v>547</v>
      </c>
      <c r="G1931" s="1454"/>
      <c r="H1931" s="30">
        <v>71636250</v>
      </c>
      <c r="I1931" s="35">
        <v>59000</v>
      </c>
      <c r="J1931" s="64">
        <v>0.13</v>
      </c>
      <c r="K1931" s="30">
        <v>1</v>
      </c>
      <c r="L1931" s="30"/>
      <c r="M1931" s="1454"/>
      <c r="N1931" s="1461"/>
    </row>
    <row r="1932" spans="2:14" ht="16.5" customHeight="1">
      <c r="B1932" s="1448"/>
      <c r="C1932" s="1448"/>
      <c r="D1932" s="1448"/>
      <c r="E1932" s="30">
        <v>11122728</v>
      </c>
      <c r="F1932" s="31" t="s">
        <v>548</v>
      </c>
      <c r="G1932" s="1454"/>
      <c r="H1932" s="30">
        <v>71636324</v>
      </c>
      <c r="I1932" s="35">
        <v>69000</v>
      </c>
      <c r="J1932" s="64">
        <v>0.13</v>
      </c>
      <c r="K1932" s="30">
        <v>1</v>
      </c>
      <c r="L1932" s="30"/>
      <c r="M1932" s="1454"/>
      <c r="N1932" s="1461"/>
    </row>
    <row r="1933" spans="2:14" ht="16.5" customHeight="1">
      <c r="B1933" s="1448"/>
      <c r="C1933" s="1448"/>
      <c r="D1933" s="1448"/>
      <c r="E1933" s="30">
        <v>11122736</v>
      </c>
      <c r="F1933" s="31" t="s">
        <v>549</v>
      </c>
      <c r="G1933" s="1454"/>
      <c r="H1933" s="30">
        <v>71636391</v>
      </c>
      <c r="I1933" s="35">
        <v>49000</v>
      </c>
      <c r="J1933" s="64">
        <v>0.13</v>
      </c>
      <c r="K1933" s="30">
        <v>1</v>
      </c>
      <c r="L1933" s="30"/>
      <c r="M1933" s="1454"/>
      <c r="N1933" s="1461"/>
    </row>
    <row r="1934" spans="2:14" ht="16.5" customHeight="1">
      <c r="B1934" s="1448"/>
      <c r="C1934" s="1448"/>
      <c r="D1934" s="1448"/>
      <c r="E1934" s="30">
        <v>11122737</v>
      </c>
      <c r="F1934" s="31" t="s">
        <v>550</v>
      </c>
      <c r="G1934" s="1454"/>
      <c r="H1934" s="30">
        <v>71636390</v>
      </c>
      <c r="I1934" s="35">
        <v>54900</v>
      </c>
      <c r="J1934" s="64">
        <v>0.13</v>
      </c>
      <c r="K1934" s="30">
        <v>1</v>
      </c>
      <c r="L1934" s="30"/>
      <c r="M1934" s="1454"/>
      <c r="N1934" s="1461"/>
    </row>
    <row r="1935" spans="2:14" ht="16.5" customHeight="1">
      <c r="B1935" s="1448"/>
      <c r="C1935" s="1448">
        <v>2</v>
      </c>
      <c r="D1935" s="1448" t="s">
        <v>551</v>
      </c>
      <c r="E1935" s="30"/>
      <c r="F1935" s="31" t="s">
        <v>552</v>
      </c>
      <c r="G1935" s="1454" t="s">
        <v>553</v>
      </c>
      <c r="H1935" s="30">
        <v>30208423</v>
      </c>
      <c r="I1935" s="35">
        <v>24500</v>
      </c>
      <c r="J1935" s="64">
        <v>0.06</v>
      </c>
      <c r="K1935" s="30">
        <v>1</v>
      </c>
      <c r="L1935" s="30"/>
      <c r="M1935" s="1454" t="s">
        <v>554</v>
      </c>
      <c r="N1935" s="1461">
        <v>20250205200</v>
      </c>
    </row>
    <row r="1936" spans="2:14" ht="16.5" customHeight="1">
      <c r="B1936" s="1448"/>
      <c r="C1936" s="1448"/>
      <c r="D1936" s="1448"/>
      <c r="E1936" s="30"/>
      <c r="F1936" s="31" t="s">
        <v>555</v>
      </c>
      <c r="G1936" s="1454"/>
      <c r="H1936" s="30">
        <v>30208425</v>
      </c>
      <c r="I1936" s="35">
        <v>31900</v>
      </c>
      <c r="J1936" s="64">
        <v>0.06</v>
      </c>
      <c r="K1936" s="30">
        <v>1</v>
      </c>
      <c r="L1936" s="30"/>
      <c r="M1936" s="1454"/>
      <c r="N1936" s="1461"/>
    </row>
    <row r="1937" spans="2:14" ht="16.5" customHeight="1">
      <c r="B1937" s="1448"/>
      <c r="C1937" s="1448"/>
      <c r="D1937" s="1448"/>
      <c r="E1937" s="30"/>
      <c r="F1937" s="31" t="s">
        <v>556</v>
      </c>
      <c r="G1937" s="1454"/>
      <c r="H1937" s="30">
        <v>30208428</v>
      </c>
      <c r="I1937" s="35">
        <v>15500</v>
      </c>
      <c r="J1937" s="64">
        <v>0.06</v>
      </c>
      <c r="K1937" s="30">
        <v>1</v>
      </c>
      <c r="L1937" s="30"/>
      <c r="M1937" s="1454"/>
      <c r="N1937" s="1461"/>
    </row>
    <row r="1938" spans="2:14" ht="16.5" customHeight="1">
      <c r="B1938" s="1448"/>
      <c r="C1938" s="1448"/>
      <c r="D1938" s="1448"/>
      <c r="E1938" s="30"/>
      <c r="F1938" s="31" t="s">
        <v>557</v>
      </c>
      <c r="G1938" s="1454"/>
      <c r="H1938" s="30">
        <v>30208430</v>
      </c>
      <c r="I1938" s="35">
        <v>9400</v>
      </c>
      <c r="J1938" s="64">
        <v>0.06</v>
      </c>
      <c r="K1938" s="30">
        <v>1</v>
      </c>
      <c r="L1938" s="30"/>
      <c r="M1938" s="1454"/>
      <c r="N1938" s="1461"/>
    </row>
    <row r="1939" spans="2:14" ht="16.5" customHeight="1">
      <c r="B1939" s="1448"/>
      <c r="C1939" s="1448"/>
      <c r="D1939" s="1448"/>
      <c r="E1939" s="30"/>
      <c r="F1939" s="31" t="s">
        <v>558</v>
      </c>
      <c r="G1939" s="1454"/>
      <c r="H1939" s="30">
        <v>30208424</v>
      </c>
      <c r="I1939" s="35">
        <v>14900</v>
      </c>
      <c r="J1939" s="64">
        <v>0.06</v>
      </c>
      <c r="K1939" s="30">
        <v>1</v>
      </c>
      <c r="L1939" s="30"/>
      <c r="M1939" s="1454"/>
      <c r="N1939" s="1461"/>
    </row>
    <row r="1940" spans="2:14" ht="16.5" customHeight="1">
      <c r="B1940" s="1448"/>
      <c r="C1940" s="1448"/>
      <c r="D1940" s="1448"/>
      <c r="E1940" s="30"/>
      <c r="F1940" s="31" t="s">
        <v>559</v>
      </c>
      <c r="G1940" s="1454"/>
      <c r="H1940" s="30">
        <v>30208426</v>
      </c>
      <c r="I1940" s="35">
        <v>17900</v>
      </c>
      <c r="J1940" s="64">
        <v>0.06</v>
      </c>
      <c r="K1940" s="30">
        <v>1</v>
      </c>
      <c r="L1940" s="30"/>
      <c r="M1940" s="1454"/>
      <c r="N1940" s="1461"/>
    </row>
    <row r="1941" spans="2:14" ht="16.5" customHeight="1">
      <c r="B1941" s="1448"/>
      <c r="C1941" s="1448">
        <v>3</v>
      </c>
      <c r="D1941" s="1448" t="s">
        <v>560</v>
      </c>
      <c r="E1941" s="30"/>
      <c r="F1941" s="31" t="s">
        <v>561</v>
      </c>
      <c r="G1941" s="1448" t="s">
        <v>562</v>
      </c>
      <c r="H1941" s="30">
        <v>30213371</v>
      </c>
      <c r="I1941" s="35">
        <v>36900</v>
      </c>
      <c r="J1941" s="64">
        <v>0.1</v>
      </c>
      <c r="K1941" s="30">
        <v>1</v>
      </c>
      <c r="L1941" s="30"/>
      <c r="M1941" s="1454" t="s">
        <v>562</v>
      </c>
      <c r="N1941" s="1461">
        <v>20250205201</v>
      </c>
    </row>
    <row r="1942" spans="2:14" ht="16.5" customHeight="1">
      <c r="B1942" s="1448"/>
      <c r="C1942" s="1448"/>
      <c r="D1942" s="1448"/>
      <c r="E1942" s="30"/>
      <c r="F1942" s="31" t="s">
        <v>563</v>
      </c>
      <c r="G1942" s="1448"/>
      <c r="H1942" s="30">
        <v>30213372</v>
      </c>
      <c r="I1942" s="35">
        <v>32900</v>
      </c>
      <c r="J1942" s="64">
        <v>0.1</v>
      </c>
      <c r="K1942" s="30">
        <v>1</v>
      </c>
      <c r="L1942" s="30"/>
      <c r="M1942" s="1454"/>
      <c r="N1942" s="1461"/>
    </row>
    <row r="1943" spans="2:14" ht="16.5" customHeight="1">
      <c r="B1943" s="1448"/>
      <c r="C1943" s="1448"/>
      <c r="D1943" s="1448"/>
      <c r="E1943" s="30"/>
      <c r="F1943" s="31" t="s">
        <v>564</v>
      </c>
      <c r="G1943" s="1448"/>
      <c r="H1943" s="30">
        <v>30213373</v>
      </c>
      <c r="I1943" s="35">
        <v>29900</v>
      </c>
      <c r="J1943" s="64">
        <v>0.1</v>
      </c>
      <c r="K1943" s="30">
        <v>1</v>
      </c>
      <c r="L1943" s="30"/>
      <c r="M1943" s="1454"/>
      <c r="N1943" s="1461"/>
    </row>
    <row r="1944" spans="2:14" ht="16.5" customHeight="1">
      <c r="B1944" s="1448"/>
      <c r="C1944" s="29">
        <v>4</v>
      </c>
      <c r="D1944" s="29" t="s">
        <v>565</v>
      </c>
      <c r="E1944" s="30"/>
      <c r="F1944" s="31" t="s">
        <v>566</v>
      </c>
      <c r="G1944" s="30" t="s">
        <v>567</v>
      </c>
      <c r="H1944" s="30">
        <v>30210741</v>
      </c>
      <c r="I1944" s="35">
        <v>69000</v>
      </c>
      <c r="J1944" s="64">
        <v>0.06</v>
      </c>
      <c r="K1944" s="30">
        <v>1</v>
      </c>
      <c r="L1944" s="30"/>
      <c r="M1944" s="31" t="s">
        <v>567</v>
      </c>
      <c r="N1944" s="69">
        <v>20250205202</v>
      </c>
    </row>
    <row r="1945" spans="2:14" ht="16.5" customHeight="1">
      <c r="B1945" s="1448"/>
      <c r="C1945" s="1448">
        <v>5</v>
      </c>
      <c r="D1945" s="1448" t="s">
        <v>568</v>
      </c>
      <c r="E1945" s="30">
        <v>30205431</v>
      </c>
      <c r="F1945" s="31" t="s">
        <v>569</v>
      </c>
      <c r="G1945" s="1454" t="s">
        <v>570</v>
      </c>
      <c r="H1945" s="30">
        <v>30205786</v>
      </c>
      <c r="I1945" s="35">
        <v>23900</v>
      </c>
      <c r="J1945" s="64">
        <v>0.06</v>
      </c>
      <c r="K1945" s="30">
        <v>1</v>
      </c>
      <c r="L1945" s="30"/>
      <c r="M1945" s="1454" t="s">
        <v>571</v>
      </c>
      <c r="N1945" s="1461">
        <v>20250205203</v>
      </c>
    </row>
    <row r="1946" spans="2:14" ht="16.5" customHeight="1">
      <c r="B1946" s="1448"/>
      <c r="C1946" s="1448"/>
      <c r="D1946" s="1448"/>
      <c r="E1946" s="30">
        <v>30205165</v>
      </c>
      <c r="F1946" s="31" t="s">
        <v>572</v>
      </c>
      <c r="G1946" s="1454"/>
      <c r="H1946" s="30">
        <v>30205787</v>
      </c>
      <c r="I1946" s="35">
        <v>3900</v>
      </c>
      <c r="J1946" s="64">
        <v>0.06</v>
      </c>
      <c r="K1946" s="30">
        <v>1</v>
      </c>
      <c r="L1946" s="30"/>
      <c r="M1946" s="1454"/>
      <c r="N1946" s="1461"/>
    </row>
    <row r="1947" spans="2:14" ht="16.5" customHeight="1">
      <c r="B1947" s="1448"/>
      <c r="C1947" s="1448"/>
      <c r="D1947" s="1448"/>
      <c r="E1947" s="30">
        <v>30205192</v>
      </c>
      <c r="F1947" s="31" t="s">
        <v>573</v>
      </c>
      <c r="G1947" s="1454"/>
      <c r="H1947" s="30">
        <v>30205788</v>
      </c>
      <c r="I1947" s="35">
        <v>4900</v>
      </c>
      <c r="J1947" s="64">
        <v>0.06</v>
      </c>
      <c r="K1947" s="30">
        <v>1</v>
      </c>
      <c r="L1947" s="30"/>
      <c r="M1947" s="1454"/>
      <c r="N1947" s="1461"/>
    </row>
    <row r="1948" spans="2:14" ht="16.5" customHeight="1">
      <c r="B1948" s="1448"/>
      <c r="C1948" s="1448"/>
      <c r="D1948" s="1448"/>
      <c r="E1948" s="30">
        <v>30205169</v>
      </c>
      <c r="F1948" s="31" t="s">
        <v>574</v>
      </c>
      <c r="G1948" s="1454"/>
      <c r="H1948" s="30">
        <v>30205789</v>
      </c>
      <c r="I1948" s="35">
        <v>5900</v>
      </c>
      <c r="J1948" s="64">
        <v>0.06</v>
      </c>
      <c r="K1948" s="30">
        <v>1</v>
      </c>
      <c r="L1948" s="30"/>
      <c r="M1948" s="1454"/>
      <c r="N1948" s="1461"/>
    </row>
    <row r="1949" spans="2:14" ht="16.5" customHeight="1">
      <c r="B1949" s="1448"/>
      <c r="C1949" s="1448"/>
      <c r="D1949" s="1448"/>
      <c r="E1949" s="30">
        <v>30205172</v>
      </c>
      <c r="F1949" s="31" t="s">
        <v>575</v>
      </c>
      <c r="G1949" s="1454"/>
      <c r="H1949" s="30">
        <v>30205790</v>
      </c>
      <c r="I1949" s="35">
        <v>6900</v>
      </c>
      <c r="J1949" s="64">
        <v>0.06</v>
      </c>
      <c r="K1949" s="30">
        <v>1</v>
      </c>
      <c r="L1949" s="30"/>
      <c r="M1949" s="1454"/>
      <c r="N1949" s="1461"/>
    </row>
    <row r="1950" spans="2:14" ht="16.5" customHeight="1">
      <c r="B1950" s="1448"/>
      <c r="C1950" s="1448">
        <v>6</v>
      </c>
      <c r="D1950" s="1448" t="s">
        <v>576</v>
      </c>
      <c r="E1950" s="30">
        <v>30205271</v>
      </c>
      <c r="F1950" s="31" t="s">
        <v>577</v>
      </c>
      <c r="G1950" s="1448" t="s">
        <v>578</v>
      </c>
      <c r="H1950" s="30">
        <v>30205792</v>
      </c>
      <c r="I1950" s="35">
        <v>32900</v>
      </c>
      <c r="J1950" s="64">
        <v>0.06</v>
      </c>
      <c r="K1950" s="30">
        <v>1</v>
      </c>
      <c r="L1950" s="30"/>
      <c r="M1950" s="1454" t="s">
        <v>579</v>
      </c>
      <c r="N1950" s="1461">
        <v>20250205204</v>
      </c>
    </row>
    <row r="1951" spans="2:14" ht="16.5" customHeight="1">
      <c r="B1951" s="1448"/>
      <c r="C1951" s="1448"/>
      <c r="D1951" s="1448"/>
      <c r="E1951" s="30">
        <v>30205253</v>
      </c>
      <c r="F1951" s="31" t="s">
        <v>580</v>
      </c>
      <c r="G1951" s="1448"/>
      <c r="H1951" s="30">
        <v>30205793</v>
      </c>
      <c r="I1951" s="35">
        <v>23900</v>
      </c>
      <c r="J1951" s="64">
        <v>0.06</v>
      </c>
      <c r="K1951" s="30">
        <v>1</v>
      </c>
      <c r="L1951" s="30"/>
      <c r="M1951" s="1454"/>
      <c r="N1951" s="1461"/>
    </row>
    <row r="1952" spans="2:14" ht="16.5" customHeight="1">
      <c r="B1952" s="1448"/>
      <c r="C1952" s="1448"/>
      <c r="D1952" s="1448"/>
      <c r="E1952" s="30">
        <v>30205215</v>
      </c>
      <c r="F1952" s="31" t="s">
        <v>581</v>
      </c>
      <c r="G1952" s="1448"/>
      <c r="H1952" s="30">
        <v>30205795</v>
      </c>
      <c r="I1952" s="35">
        <v>21900</v>
      </c>
      <c r="J1952" s="64">
        <v>0.06</v>
      </c>
      <c r="K1952" s="30">
        <v>1</v>
      </c>
      <c r="L1952" s="30"/>
      <c r="M1952" s="1454"/>
      <c r="N1952" s="1461"/>
    </row>
    <row r="1953" spans="2:14" ht="16.5" customHeight="1">
      <c r="B1953" s="1448"/>
      <c r="C1953" s="1448"/>
      <c r="D1953" s="1448"/>
      <c r="E1953" s="30"/>
      <c r="F1953" s="31" t="s">
        <v>582</v>
      </c>
      <c r="G1953" s="1448"/>
      <c r="H1953" s="30">
        <v>30209492</v>
      </c>
      <c r="I1953" s="35">
        <v>5900</v>
      </c>
      <c r="J1953" s="64">
        <v>0.06</v>
      </c>
      <c r="K1953" s="30">
        <v>1</v>
      </c>
      <c r="L1953" s="30"/>
      <c r="M1953" s="1454"/>
      <c r="N1953" s="1461"/>
    </row>
    <row r="1954" spans="2:14" ht="16.5" customHeight="1">
      <c r="B1954" s="1448"/>
      <c r="C1954" s="1448"/>
      <c r="D1954" s="1448"/>
      <c r="E1954" s="30"/>
      <c r="F1954" s="31" t="s">
        <v>583</v>
      </c>
      <c r="G1954" s="1448"/>
      <c r="H1954" s="30">
        <v>30209493</v>
      </c>
      <c r="I1954" s="35">
        <v>9900</v>
      </c>
      <c r="J1954" s="64">
        <v>0.06</v>
      </c>
      <c r="K1954" s="30">
        <v>1</v>
      </c>
      <c r="L1954" s="30"/>
      <c r="M1954" s="1454"/>
      <c r="N1954" s="1461"/>
    </row>
    <row r="1955" spans="2:14" ht="16.5" customHeight="1">
      <c r="B1955" s="1448"/>
      <c r="C1955" s="1448"/>
      <c r="D1955" s="1448"/>
      <c r="E1955" s="30"/>
      <c r="F1955" s="31" t="s">
        <v>584</v>
      </c>
      <c r="G1955" s="1448"/>
      <c r="H1955" s="30">
        <v>30209494</v>
      </c>
      <c r="I1955" s="35">
        <v>11900</v>
      </c>
      <c r="J1955" s="64">
        <v>0.06</v>
      </c>
      <c r="K1955" s="30">
        <v>1</v>
      </c>
      <c r="L1955" s="30"/>
      <c r="M1955" s="1454"/>
      <c r="N1955" s="1461"/>
    </row>
    <row r="1956" spans="2:14" ht="16.5" customHeight="1">
      <c r="B1956" s="1448"/>
      <c r="C1956" s="1448"/>
      <c r="D1956" s="1448"/>
      <c r="E1956" s="30"/>
      <c r="F1956" s="31" t="s">
        <v>585</v>
      </c>
      <c r="G1956" s="1448"/>
      <c r="H1956" s="30">
        <v>30209497</v>
      </c>
      <c r="I1956" s="35">
        <v>13900</v>
      </c>
      <c r="J1956" s="64">
        <v>0.06</v>
      </c>
      <c r="K1956" s="30">
        <v>1</v>
      </c>
      <c r="L1956" s="30"/>
      <c r="M1956" s="1454"/>
      <c r="N1956" s="1461"/>
    </row>
    <row r="1957" spans="2:14" ht="16.5" customHeight="1">
      <c r="B1957" s="1448"/>
      <c r="C1957" s="1448"/>
      <c r="D1957" s="1448"/>
      <c r="E1957" s="30">
        <v>30205199</v>
      </c>
      <c r="F1957" s="31" t="s">
        <v>586</v>
      </c>
      <c r="G1957" s="1448"/>
      <c r="H1957" s="30">
        <v>30205797</v>
      </c>
      <c r="I1957" s="35">
        <v>14900</v>
      </c>
      <c r="J1957" s="64">
        <v>0.06</v>
      </c>
      <c r="K1957" s="30">
        <v>1</v>
      </c>
      <c r="L1957" s="30"/>
      <c r="M1957" s="1454"/>
      <c r="N1957" s="1461"/>
    </row>
    <row r="1958" spans="2:14" ht="16.5" customHeight="1">
      <c r="B1958" s="1448"/>
      <c r="C1958" s="1448"/>
      <c r="D1958" s="1448"/>
      <c r="E1958" s="30">
        <v>30205209</v>
      </c>
      <c r="F1958" s="31" t="s">
        <v>587</v>
      </c>
      <c r="G1958" s="1448"/>
      <c r="H1958" s="30">
        <v>30205798</v>
      </c>
      <c r="I1958" s="35">
        <v>17900</v>
      </c>
      <c r="J1958" s="64">
        <v>0.06</v>
      </c>
      <c r="K1958" s="30">
        <v>1</v>
      </c>
      <c r="L1958" s="30"/>
      <c r="M1958" s="1454"/>
      <c r="N1958" s="1461"/>
    </row>
    <row r="1959" spans="2:14" ht="16.5" customHeight="1">
      <c r="B1959" s="1448"/>
      <c r="C1959" s="1448"/>
      <c r="D1959" s="1448"/>
      <c r="E1959" s="30">
        <v>30205200</v>
      </c>
      <c r="F1959" s="31" t="s">
        <v>588</v>
      </c>
      <c r="G1959" s="1448"/>
      <c r="H1959" s="30">
        <v>30205800</v>
      </c>
      <c r="I1959" s="35">
        <v>15900</v>
      </c>
      <c r="J1959" s="64">
        <v>0.06</v>
      </c>
      <c r="K1959" s="30">
        <v>1</v>
      </c>
      <c r="L1959" s="30"/>
      <c r="M1959" s="1454"/>
      <c r="N1959" s="1461"/>
    </row>
    <row r="1960" spans="2:14" ht="16.5" customHeight="1">
      <c r="B1960" s="1448"/>
      <c r="C1960" s="1448"/>
      <c r="D1960" s="1448"/>
      <c r="E1960" s="30">
        <v>30205146</v>
      </c>
      <c r="F1960" s="31" t="s">
        <v>589</v>
      </c>
      <c r="G1960" s="1448"/>
      <c r="H1960" s="30">
        <v>30205802</v>
      </c>
      <c r="I1960" s="35">
        <v>26900</v>
      </c>
      <c r="J1960" s="64">
        <v>0.06</v>
      </c>
      <c r="K1960" s="30">
        <v>1</v>
      </c>
      <c r="L1960" s="30"/>
      <c r="M1960" s="1454"/>
      <c r="N1960" s="1461"/>
    </row>
    <row r="1961" spans="2:14" ht="16.5" customHeight="1">
      <c r="B1961" s="1448"/>
      <c r="C1961" s="1448"/>
      <c r="D1961" s="1448"/>
      <c r="E1961" s="30">
        <v>30205154</v>
      </c>
      <c r="F1961" s="31" t="s">
        <v>590</v>
      </c>
      <c r="G1961" s="1448"/>
      <c r="H1961" s="30">
        <v>30205804</v>
      </c>
      <c r="I1961" s="35">
        <v>11900</v>
      </c>
      <c r="J1961" s="64">
        <v>0.06</v>
      </c>
      <c r="K1961" s="30">
        <v>1</v>
      </c>
      <c r="L1961" s="30"/>
      <c r="M1961" s="1454"/>
      <c r="N1961" s="1461"/>
    </row>
    <row r="1962" spans="2:14" ht="16.5" customHeight="1">
      <c r="B1962" s="1448"/>
      <c r="C1962" s="1448">
        <v>7</v>
      </c>
      <c r="D1962" s="1448" t="s">
        <v>591</v>
      </c>
      <c r="E1962" s="30">
        <v>30200519</v>
      </c>
      <c r="F1962" s="30" t="s">
        <v>592</v>
      </c>
      <c r="G1962" s="1454" t="s">
        <v>593</v>
      </c>
      <c r="H1962" s="30">
        <v>30201114</v>
      </c>
      <c r="I1962" s="35">
        <v>25800</v>
      </c>
      <c r="J1962" s="64">
        <v>0.1</v>
      </c>
      <c r="K1962" s="30">
        <v>1</v>
      </c>
      <c r="L1962" s="30"/>
      <c r="M1962" s="1454" t="s">
        <v>594</v>
      </c>
      <c r="N1962" s="1461">
        <v>20250205205</v>
      </c>
    </row>
    <row r="1963" spans="2:14" ht="16.5" customHeight="1">
      <c r="B1963" s="1448"/>
      <c r="C1963" s="1448"/>
      <c r="D1963" s="1448"/>
      <c r="E1963" s="30">
        <v>30200531</v>
      </c>
      <c r="F1963" s="30" t="s">
        <v>595</v>
      </c>
      <c r="G1963" s="1448"/>
      <c r="H1963" s="30">
        <v>30201116</v>
      </c>
      <c r="I1963" s="35">
        <v>23800</v>
      </c>
      <c r="J1963" s="64">
        <v>0.1</v>
      </c>
      <c r="K1963" s="30">
        <v>1</v>
      </c>
      <c r="L1963" s="30"/>
      <c r="M1963" s="1454"/>
      <c r="N1963" s="1461"/>
    </row>
    <row r="1964" spans="2:14" ht="16.5" customHeight="1">
      <c r="B1964" s="1448"/>
      <c r="C1964" s="1448"/>
      <c r="D1964" s="1448"/>
      <c r="E1964" s="30">
        <v>30200528</v>
      </c>
      <c r="F1964" s="30" t="s">
        <v>596</v>
      </c>
      <c r="G1964" s="1448"/>
      <c r="H1964" s="30">
        <v>30201115</v>
      </c>
      <c r="I1964" s="35">
        <v>50900</v>
      </c>
      <c r="J1964" s="64">
        <v>0.1</v>
      </c>
      <c r="K1964" s="30">
        <v>1</v>
      </c>
      <c r="L1964" s="30"/>
      <c r="M1964" s="1454"/>
      <c r="N1964" s="1461"/>
    </row>
    <row r="1965" spans="2:14" ht="16.5" customHeight="1">
      <c r="B1965" s="1448"/>
      <c r="C1965" s="1448"/>
      <c r="D1965" s="1448"/>
      <c r="E1965" s="30">
        <v>30200819</v>
      </c>
      <c r="F1965" s="30" t="s">
        <v>597</v>
      </c>
      <c r="G1965" s="1448"/>
      <c r="H1965" s="30">
        <v>30201117</v>
      </c>
      <c r="I1965" s="35">
        <v>46900</v>
      </c>
      <c r="J1965" s="64">
        <v>0.1</v>
      </c>
      <c r="K1965" s="30">
        <v>1</v>
      </c>
      <c r="L1965" s="30"/>
      <c r="M1965" s="1454"/>
      <c r="N1965" s="1461"/>
    </row>
    <row r="1966" spans="2:14" ht="16.5" customHeight="1">
      <c r="B1966" s="1448"/>
      <c r="C1966" s="1448"/>
      <c r="D1966" s="1448"/>
      <c r="E1966" s="30">
        <v>30200820</v>
      </c>
      <c r="F1966" s="30" t="s">
        <v>598</v>
      </c>
      <c r="G1966" s="1448"/>
      <c r="H1966" s="30">
        <v>30201113</v>
      </c>
      <c r="I1966" s="35">
        <v>48900</v>
      </c>
      <c r="J1966" s="64">
        <v>0.1</v>
      </c>
      <c r="K1966" s="30">
        <v>1</v>
      </c>
      <c r="L1966" s="30"/>
      <c r="M1966" s="1454"/>
      <c r="N1966" s="1461"/>
    </row>
    <row r="1967" spans="2:14" ht="16.5" customHeight="1">
      <c r="B1967" s="1448"/>
      <c r="C1967" s="1448"/>
      <c r="D1967" s="1448"/>
      <c r="E1967" s="30">
        <v>30201045</v>
      </c>
      <c r="F1967" s="30" t="s">
        <v>599</v>
      </c>
      <c r="G1967" s="1448"/>
      <c r="H1967" s="30">
        <v>30201123</v>
      </c>
      <c r="I1967" s="35">
        <v>31800</v>
      </c>
      <c r="J1967" s="64">
        <v>0.1</v>
      </c>
      <c r="K1967" s="30">
        <v>1</v>
      </c>
      <c r="L1967" s="30"/>
      <c r="M1967" s="1454"/>
      <c r="N1967" s="1461"/>
    </row>
    <row r="1968" spans="2:14" ht="16.5" customHeight="1">
      <c r="B1968" s="1448"/>
      <c r="C1968" s="1448"/>
      <c r="D1968" s="1448"/>
      <c r="E1968" s="30">
        <v>30201053</v>
      </c>
      <c r="F1968" s="30" t="s">
        <v>600</v>
      </c>
      <c r="G1968" s="1448"/>
      <c r="H1968" s="30">
        <v>30201124</v>
      </c>
      <c r="I1968" s="35">
        <v>34200</v>
      </c>
      <c r="J1968" s="64">
        <v>0.1</v>
      </c>
      <c r="K1968" s="30">
        <v>1</v>
      </c>
      <c r="L1968" s="30"/>
      <c r="M1968" s="1454"/>
      <c r="N1968" s="1461"/>
    </row>
    <row r="1969" spans="2:14" ht="16.5" customHeight="1">
      <c r="B1969" s="1448"/>
      <c r="C1969" s="1448"/>
      <c r="D1969" s="1448"/>
      <c r="E1969" s="30">
        <v>30201060</v>
      </c>
      <c r="F1969" s="30" t="s">
        <v>601</v>
      </c>
      <c r="G1969" s="1448"/>
      <c r="H1969" s="30">
        <v>30201125</v>
      </c>
      <c r="I1969" s="35">
        <v>24600</v>
      </c>
      <c r="J1969" s="64">
        <v>0.1</v>
      </c>
      <c r="K1969" s="30">
        <v>1</v>
      </c>
      <c r="L1969" s="30"/>
      <c r="M1969" s="1454"/>
      <c r="N1969" s="1461"/>
    </row>
    <row r="1970" spans="2:14" ht="16.5" customHeight="1">
      <c r="B1970" s="1448"/>
      <c r="C1970" s="1448"/>
      <c r="D1970" s="1448"/>
      <c r="E1970" s="30">
        <v>30201074</v>
      </c>
      <c r="F1970" s="30" t="s">
        <v>602</v>
      </c>
      <c r="G1970" s="1448"/>
      <c r="H1970" s="30">
        <v>30201126</v>
      </c>
      <c r="I1970" s="35">
        <v>27000</v>
      </c>
      <c r="J1970" s="64">
        <v>0.1</v>
      </c>
      <c r="K1970" s="30">
        <v>1</v>
      </c>
      <c r="L1970" s="30"/>
      <c r="M1970" s="1454"/>
      <c r="N1970" s="1461"/>
    </row>
    <row r="1971" spans="2:14" ht="16.5" customHeight="1">
      <c r="B1971" s="1448"/>
      <c r="C1971" s="1448"/>
      <c r="D1971" s="1448"/>
      <c r="E1971" s="30">
        <v>30201075</v>
      </c>
      <c r="F1971" s="30" t="s">
        <v>603</v>
      </c>
      <c r="G1971" s="1448"/>
      <c r="H1971" s="30">
        <v>30201127</v>
      </c>
      <c r="I1971" s="35">
        <v>27000</v>
      </c>
      <c r="J1971" s="64">
        <v>0.1</v>
      </c>
      <c r="K1971" s="30">
        <v>1</v>
      </c>
      <c r="L1971" s="30"/>
      <c r="M1971" s="1454"/>
      <c r="N1971" s="1461"/>
    </row>
    <row r="1972" spans="2:14" ht="16.5" customHeight="1">
      <c r="B1972" s="1448"/>
      <c r="C1972" s="1448"/>
      <c r="D1972" s="1448"/>
      <c r="E1972" s="30">
        <v>30201078</v>
      </c>
      <c r="F1972" s="30" t="s">
        <v>604</v>
      </c>
      <c r="G1972" s="1448"/>
      <c r="H1972" s="30">
        <v>30201128</v>
      </c>
      <c r="I1972" s="35">
        <v>29400</v>
      </c>
      <c r="J1972" s="64">
        <v>0.1</v>
      </c>
      <c r="K1972" s="30">
        <v>1</v>
      </c>
      <c r="L1972" s="30"/>
      <c r="M1972" s="1454"/>
      <c r="N1972" s="1461"/>
    </row>
    <row r="1973" spans="2:14" ht="16.5" customHeight="1">
      <c r="B1973" s="1448"/>
      <c r="C1973" s="1448"/>
      <c r="D1973" s="1448"/>
      <c r="E1973" s="30">
        <v>30201079</v>
      </c>
      <c r="F1973" s="30" t="s">
        <v>605</v>
      </c>
      <c r="G1973" s="1448"/>
      <c r="H1973" s="30">
        <v>30201129</v>
      </c>
      <c r="I1973" s="35">
        <v>29400</v>
      </c>
      <c r="J1973" s="64">
        <v>0.1</v>
      </c>
      <c r="K1973" s="30">
        <v>1</v>
      </c>
      <c r="L1973" s="30"/>
      <c r="M1973" s="1454"/>
      <c r="N1973" s="1461"/>
    </row>
    <row r="1974" spans="2:14" ht="16.5" customHeight="1">
      <c r="B1974" s="1448"/>
      <c r="C1974" s="1448"/>
      <c r="D1974" s="1448"/>
      <c r="E1974" s="30">
        <v>30201080</v>
      </c>
      <c r="F1974" s="30" t="s">
        <v>606</v>
      </c>
      <c r="G1974" s="1448"/>
      <c r="H1974" s="30">
        <v>30201130</v>
      </c>
      <c r="I1974" s="35">
        <v>31800</v>
      </c>
      <c r="J1974" s="64">
        <v>0.1</v>
      </c>
      <c r="K1974" s="30">
        <v>1</v>
      </c>
      <c r="L1974" s="30"/>
      <c r="M1974" s="1454"/>
      <c r="N1974" s="1461"/>
    </row>
    <row r="1975" spans="2:14" ht="16.5" customHeight="1">
      <c r="B1975" s="1448"/>
      <c r="C1975" s="1448"/>
      <c r="D1975" s="1448"/>
      <c r="E1975" s="30">
        <v>30201081</v>
      </c>
      <c r="F1975" s="30" t="s">
        <v>607</v>
      </c>
      <c r="G1975" s="1448"/>
      <c r="H1975" s="30">
        <v>30201131</v>
      </c>
      <c r="I1975" s="35">
        <v>31800</v>
      </c>
      <c r="J1975" s="64">
        <v>0.1</v>
      </c>
      <c r="K1975" s="30">
        <v>1</v>
      </c>
      <c r="L1975" s="30"/>
      <c r="M1975" s="1454"/>
      <c r="N1975" s="1461"/>
    </row>
    <row r="1976" spans="2:14" ht="16.5" customHeight="1">
      <c r="B1976" s="1448"/>
      <c r="C1976" s="1448"/>
      <c r="D1976" s="1448"/>
      <c r="E1976" s="30">
        <v>30201083</v>
      </c>
      <c r="F1976" s="30" t="s">
        <v>608</v>
      </c>
      <c r="G1976" s="1448"/>
      <c r="H1976" s="30">
        <v>30201132</v>
      </c>
      <c r="I1976" s="35">
        <v>34200</v>
      </c>
      <c r="J1976" s="64">
        <v>0.1</v>
      </c>
      <c r="K1976" s="30">
        <v>1</v>
      </c>
      <c r="L1976" s="30"/>
      <c r="M1976" s="1454"/>
      <c r="N1976" s="1461"/>
    </row>
    <row r="1977" spans="2:14" ht="16.5" customHeight="1">
      <c r="B1977" s="1520" t="s">
        <v>264</v>
      </c>
      <c r="C1977" s="1520">
        <v>1</v>
      </c>
      <c r="D1977" s="1521" t="s">
        <v>299</v>
      </c>
      <c r="E1977" s="38">
        <v>76374812</v>
      </c>
      <c r="F1977" s="38" t="s">
        <v>2054</v>
      </c>
      <c r="G1977" s="1521" t="s">
        <v>2269</v>
      </c>
      <c r="H1977" s="38">
        <v>30219110</v>
      </c>
      <c r="I1977" s="41">
        <v>15800</v>
      </c>
      <c r="J1977" s="42">
        <v>0.08</v>
      </c>
      <c r="K1977" s="38">
        <v>5</v>
      </c>
      <c r="L1977" s="41">
        <v>79000</v>
      </c>
      <c r="M1977" s="1521" t="s">
        <v>2270</v>
      </c>
      <c r="N1977" s="1445">
        <v>20250205206</v>
      </c>
    </row>
    <row r="1978" spans="2:14" ht="16.5" customHeight="1">
      <c r="B1978" s="1520"/>
      <c r="C1978" s="1520"/>
      <c r="D1978" s="1521"/>
      <c r="E1978" s="38">
        <v>76374819</v>
      </c>
      <c r="F1978" s="38" t="s">
        <v>2056</v>
      </c>
      <c r="G1978" s="1521"/>
      <c r="H1978" s="38">
        <v>30219111</v>
      </c>
      <c r="I1978" s="41">
        <v>17500</v>
      </c>
      <c r="J1978" s="42">
        <v>0.08</v>
      </c>
      <c r="K1978" s="38">
        <v>5</v>
      </c>
      <c r="L1978" s="41">
        <v>87500</v>
      </c>
      <c r="M1978" s="1521"/>
      <c r="N1978" s="1446"/>
    </row>
    <row r="1979" spans="2:14" ht="16.5" customHeight="1">
      <c r="B1979" s="1520"/>
      <c r="C1979" s="1520"/>
      <c r="D1979" s="1521"/>
      <c r="E1979" s="38">
        <v>76374894</v>
      </c>
      <c r="F1979" s="38" t="s">
        <v>2053</v>
      </c>
      <c r="G1979" s="1521"/>
      <c r="H1979" s="38">
        <v>30219112</v>
      </c>
      <c r="I1979" s="41">
        <v>15800</v>
      </c>
      <c r="J1979" s="42">
        <v>0.08</v>
      </c>
      <c r="K1979" s="38">
        <v>5</v>
      </c>
      <c r="L1979" s="41">
        <v>79000</v>
      </c>
      <c r="M1979" s="1521"/>
      <c r="N1979" s="1446"/>
    </row>
    <row r="1980" spans="2:14" ht="16.5" customHeight="1">
      <c r="B1980" s="1520"/>
      <c r="C1980" s="1520"/>
      <c r="D1980" s="1521"/>
      <c r="E1980" s="38">
        <v>76374900</v>
      </c>
      <c r="F1980" s="38" t="s">
        <v>2055</v>
      </c>
      <c r="G1980" s="1521"/>
      <c r="H1980" s="38">
        <v>30219113</v>
      </c>
      <c r="I1980" s="41">
        <v>17500</v>
      </c>
      <c r="J1980" s="42">
        <v>0.08</v>
      </c>
      <c r="K1980" s="38">
        <v>5</v>
      </c>
      <c r="L1980" s="41">
        <v>87500</v>
      </c>
      <c r="M1980" s="1521"/>
      <c r="N1980" s="1446"/>
    </row>
    <row r="1981" spans="2:14" ht="16.5" customHeight="1">
      <c r="B1981" s="1520"/>
      <c r="C1981" s="1520"/>
      <c r="D1981" s="1521"/>
      <c r="E1981" s="38">
        <v>76375011</v>
      </c>
      <c r="F1981" s="38" t="s">
        <v>2050</v>
      </c>
      <c r="G1981" s="1521"/>
      <c r="H1981" s="38">
        <v>30219114</v>
      </c>
      <c r="I1981" s="41">
        <v>14900</v>
      </c>
      <c r="J1981" s="42">
        <v>0.08</v>
      </c>
      <c r="K1981" s="38">
        <v>5</v>
      </c>
      <c r="L1981" s="41">
        <v>74500</v>
      </c>
      <c r="M1981" s="1521"/>
      <c r="N1981" s="1447"/>
    </row>
    <row r="1982" spans="2:14" ht="16.5" customHeight="1">
      <c r="B1982" s="1520"/>
      <c r="C1982" s="1520">
        <v>2</v>
      </c>
      <c r="D1982" s="1521" t="s">
        <v>315</v>
      </c>
      <c r="E1982" s="38">
        <v>76917271</v>
      </c>
      <c r="F1982" s="38" t="s">
        <v>2271</v>
      </c>
      <c r="G1982" s="1521" t="s">
        <v>2272</v>
      </c>
      <c r="H1982" s="38">
        <v>30219115</v>
      </c>
      <c r="I1982" s="41">
        <v>8900</v>
      </c>
      <c r="J1982" s="42">
        <v>0.08</v>
      </c>
      <c r="K1982" s="38">
        <v>5</v>
      </c>
      <c r="L1982" s="41">
        <v>44500</v>
      </c>
      <c r="M1982" s="1521" t="s">
        <v>2273</v>
      </c>
      <c r="N1982" s="1445">
        <v>20250205207</v>
      </c>
    </row>
    <row r="1983" spans="2:14" ht="16.5" customHeight="1">
      <c r="B1983" s="1520"/>
      <c r="C1983" s="1520"/>
      <c r="D1983" s="1521"/>
      <c r="E1983" s="38">
        <v>76917273</v>
      </c>
      <c r="F1983" s="38" t="s">
        <v>2274</v>
      </c>
      <c r="G1983" s="1521"/>
      <c r="H1983" s="38">
        <v>30219116</v>
      </c>
      <c r="I1983" s="41">
        <v>7900</v>
      </c>
      <c r="J1983" s="42">
        <v>0.08</v>
      </c>
      <c r="K1983" s="38">
        <v>5</v>
      </c>
      <c r="L1983" s="41">
        <v>39500</v>
      </c>
      <c r="M1983" s="1521"/>
      <c r="N1983" s="1446"/>
    </row>
    <row r="1984" spans="2:14" ht="16.5" customHeight="1">
      <c r="B1984" s="1520"/>
      <c r="C1984" s="1520"/>
      <c r="D1984" s="1521"/>
      <c r="E1984" s="38">
        <v>76917323</v>
      </c>
      <c r="F1984" s="38" t="s">
        <v>2275</v>
      </c>
      <c r="G1984" s="1521"/>
      <c r="H1984" s="38">
        <v>30219117</v>
      </c>
      <c r="I1984" s="41">
        <v>9900</v>
      </c>
      <c r="J1984" s="42">
        <v>0.08</v>
      </c>
      <c r="K1984" s="38">
        <v>5</v>
      </c>
      <c r="L1984" s="41">
        <v>49500</v>
      </c>
      <c r="M1984" s="1521"/>
      <c r="N1984" s="1446"/>
    </row>
    <row r="1985" spans="2:14" ht="16.5" customHeight="1">
      <c r="B1985" s="1520"/>
      <c r="C1985" s="1520"/>
      <c r="D1985" s="1521"/>
      <c r="E1985" s="38">
        <v>76917325</v>
      </c>
      <c r="F1985" s="38" t="s">
        <v>2276</v>
      </c>
      <c r="G1985" s="1521"/>
      <c r="H1985" s="38">
        <v>30219119</v>
      </c>
      <c r="I1985" s="41">
        <v>18500</v>
      </c>
      <c r="J1985" s="42">
        <v>0.08</v>
      </c>
      <c r="K1985" s="38">
        <v>5</v>
      </c>
      <c r="L1985" s="41">
        <v>92500</v>
      </c>
      <c r="M1985" s="1521"/>
      <c r="N1985" s="1446"/>
    </row>
    <row r="1986" spans="2:14" ht="16.5" customHeight="1">
      <c r="B1986" s="1520"/>
      <c r="C1986" s="1520"/>
      <c r="D1986" s="1521"/>
      <c r="E1986" s="38">
        <v>76917333</v>
      </c>
      <c r="F1986" s="38" t="s">
        <v>2277</v>
      </c>
      <c r="G1986" s="1521"/>
      <c r="H1986" s="38">
        <v>30219121</v>
      </c>
      <c r="I1986" s="41">
        <v>16800</v>
      </c>
      <c r="J1986" s="42">
        <v>0.08</v>
      </c>
      <c r="K1986" s="38">
        <v>5</v>
      </c>
      <c r="L1986" s="41">
        <v>84000</v>
      </c>
      <c r="M1986" s="1521"/>
      <c r="N1986" s="1447"/>
    </row>
    <row r="1987" spans="2:14" ht="16.5" customHeight="1">
      <c r="B1987" s="1520"/>
      <c r="C1987" s="1520">
        <v>3</v>
      </c>
      <c r="D1987" s="1521" t="s">
        <v>307</v>
      </c>
      <c r="E1987" s="38">
        <v>76627378</v>
      </c>
      <c r="F1987" s="38" t="s">
        <v>2278</v>
      </c>
      <c r="G1987" s="1521" t="s">
        <v>2279</v>
      </c>
      <c r="H1987" s="38">
        <v>30219122</v>
      </c>
      <c r="I1987" s="41">
        <v>10900</v>
      </c>
      <c r="J1987" s="42">
        <v>0.08</v>
      </c>
      <c r="K1987" s="38">
        <v>5</v>
      </c>
      <c r="L1987" s="41">
        <v>54500</v>
      </c>
      <c r="M1987" s="1521" t="s">
        <v>2280</v>
      </c>
      <c r="N1987" s="1445">
        <v>20250205208</v>
      </c>
    </row>
    <row r="1988" spans="2:14" ht="16.5" customHeight="1">
      <c r="B1988" s="1520"/>
      <c r="C1988" s="1520"/>
      <c r="D1988" s="1521"/>
      <c r="E1988" s="38">
        <v>76627486</v>
      </c>
      <c r="F1988" s="38" t="s">
        <v>2281</v>
      </c>
      <c r="G1988" s="1521"/>
      <c r="H1988" s="38">
        <v>30219123</v>
      </c>
      <c r="I1988" s="41">
        <v>17500</v>
      </c>
      <c r="J1988" s="42">
        <v>0.08</v>
      </c>
      <c r="K1988" s="38">
        <v>5</v>
      </c>
      <c r="L1988" s="41">
        <v>87500</v>
      </c>
      <c r="M1988" s="1521"/>
      <c r="N1988" s="1446"/>
    </row>
    <row r="1989" spans="2:14" ht="16.5" customHeight="1">
      <c r="B1989" s="1520"/>
      <c r="C1989" s="1520"/>
      <c r="D1989" s="1521"/>
      <c r="E1989" s="38">
        <v>76627605</v>
      </c>
      <c r="F1989" s="38" t="s">
        <v>2282</v>
      </c>
      <c r="G1989" s="1521"/>
      <c r="H1989" s="38">
        <v>30219124</v>
      </c>
      <c r="I1989" s="41">
        <v>13900</v>
      </c>
      <c r="J1989" s="42">
        <v>0.08</v>
      </c>
      <c r="K1989" s="38">
        <v>5</v>
      </c>
      <c r="L1989" s="41">
        <v>69500</v>
      </c>
      <c r="M1989" s="1521"/>
      <c r="N1989" s="1446"/>
    </row>
    <row r="1990" spans="2:14" ht="16.5" customHeight="1">
      <c r="B1990" s="1520"/>
      <c r="C1990" s="1520"/>
      <c r="D1990" s="1521"/>
      <c r="E1990" s="38">
        <v>76627495</v>
      </c>
      <c r="F1990" s="38" t="s">
        <v>2283</v>
      </c>
      <c r="G1990" s="1521"/>
      <c r="H1990" s="38">
        <v>30219125</v>
      </c>
      <c r="I1990" s="41">
        <v>10900</v>
      </c>
      <c r="J1990" s="42">
        <v>0.08</v>
      </c>
      <c r="K1990" s="38">
        <v>5</v>
      </c>
      <c r="L1990" s="41">
        <v>54500</v>
      </c>
      <c r="M1990" s="1521"/>
      <c r="N1990" s="1446"/>
    </row>
    <row r="1991" spans="2:14" ht="16.5" customHeight="1">
      <c r="B1991" s="1520"/>
      <c r="C1991" s="1520"/>
      <c r="D1991" s="1521"/>
      <c r="E1991" s="38">
        <v>76627512</v>
      </c>
      <c r="F1991" s="38" t="s">
        <v>2284</v>
      </c>
      <c r="G1991" s="1521"/>
      <c r="H1991" s="38">
        <v>30219126</v>
      </c>
      <c r="I1991" s="41">
        <v>9900</v>
      </c>
      <c r="J1991" s="42">
        <v>0.08</v>
      </c>
      <c r="K1991" s="38">
        <v>5</v>
      </c>
      <c r="L1991" s="41">
        <v>49500</v>
      </c>
      <c r="M1991" s="1521"/>
      <c r="N1991" s="1447"/>
    </row>
    <row r="1992" spans="2:14" ht="16.5" customHeight="1">
      <c r="B1992" s="1520"/>
      <c r="C1992" s="1520">
        <v>4</v>
      </c>
      <c r="D1992" s="1520" t="s">
        <v>2285</v>
      </c>
      <c r="E1992" s="38">
        <v>71394672</v>
      </c>
      <c r="F1992" s="38" t="s">
        <v>266</v>
      </c>
      <c r="G1992" s="1521" t="s">
        <v>267</v>
      </c>
      <c r="H1992" s="38">
        <v>30210941</v>
      </c>
      <c r="I1992" s="41">
        <v>7500</v>
      </c>
      <c r="J1992" s="42">
        <v>0.1</v>
      </c>
      <c r="K1992" s="38">
        <v>5</v>
      </c>
      <c r="L1992" s="41">
        <v>37500</v>
      </c>
      <c r="M1992" s="1521" t="s">
        <v>651</v>
      </c>
      <c r="N1992" s="1445">
        <v>20250205209</v>
      </c>
    </row>
    <row r="1993" spans="2:14" ht="16.5" customHeight="1">
      <c r="B1993" s="1520"/>
      <c r="C1993" s="1520"/>
      <c r="D1993" s="1520"/>
      <c r="E1993" s="38">
        <v>70794379</v>
      </c>
      <c r="F1993" s="38" t="s">
        <v>271</v>
      </c>
      <c r="G1993" s="1521"/>
      <c r="H1993" s="38">
        <v>30206715</v>
      </c>
      <c r="I1993" s="41">
        <v>8900</v>
      </c>
      <c r="J1993" s="42">
        <v>0.1</v>
      </c>
      <c r="K1993" s="38">
        <v>5</v>
      </c>
      <c r="L1993" s="41">
        <v>44500</v>
      </c>
      <c r="M1993" s="1521"/>
      <c r="N1993" s="1446"/>
    </row>
    <row r="1994" spans="2:14" ht="16.5" customHeight="1">
      <c r="B1994" s="1520"/>
      <c r="C1994" s="1520"/>
      <c r="D1994" s="1520"/>
      <c r="E1994" s="38">
        <v>66281110</v>
      </c>
      <c r="F1994" s="38" t="s">
        <v>654</v>
      </c>
      <c r="G1994" s="1521"/>
      <c r="H1994" s="38">
        <v>30204153</v>
      </c>
      <c r="I1994" s="41">
        <v>21500</v>
      </c>
      <c r="J1994" s="42">
        <v>0.1</v>
      </c>
      <c r="K1994" s="38">
        <v>5</v>
      </c>
      <c r="L1994" s="41">
        <v>107500</v>
      </c>
      <c r="M1994" s="1521"/>
      <c r="N1994" s="1446"/>
    </row>
    <row r="1995" spans="2:14" ht="16.5" customHeight="1">
      <c r="B1995" s="1520"/>
      <c r="C1995" s="1520"/>
      <c r="D1995" s="1520"/>
      <c r="E1995" s="38">
        <v>66284264</v>
      </c>
      <c r="F1995" s="38" t="s">
        <v>269</v>
      </c>
      <c r="G1995" s="1521"/>
      <c r="H1995" s="38">
        <v>30204155</v>
      </c>
      <c r="I1995" s="41">
        <v>25900</v>
      </c>
      <c r="J1995" s="42">
        <v>0.1</v>
      </c>
      <c r="K1995" s="38">
        <v>5</v>
      </c>
      <c r="L1995" s="41">
        <v>129500</v>
      </c>
      <c r="M1995" s="1521"/>
      <c r="N1995" s="1446"/>
    </row>
    <row r="1996" spans="2:14" ht="16.5" customHeight="1">
      <c r="B1996" s="1520"/>
      <c r="C1996" s="1520"/>
      <c r="D1996" s="1520"/>
      <c r="E1996" s="38">
        <v>71577251</v>
      </c>
      <c r="F1996" s="38" t="s">
        <v>2286</v>
      </c>
      <c r="G1996" s="1521"/>
      <c r="H1996" s="38">
        <v>30219127</v>
      </c>
      <c r="I1996" s="41">
        <v>48900</v>
      </c>
      <c r="J1996" s="42">
        <v>0.1</v>
      </c>
      <c r="K1996" s="38">
        <v>5</v>
      </c>
      <c r="L1996" s="41">
        <v>244500</v>
      </c>
      <c r="M1996" s="1521"/>
      <c r="N1996" s="1447"/>
    </row>
    <row r="1997" spans="2:14" ht="16.5" customHeight="1">
      <c r="B1997" s="1520"/>
      <c r="C1997" s="1520">
        <v>5</v>
      </c>
      <c r="D1997" s="1520" t="s">
        <v>2287</v>
      </c>
      <c r="E1997" s="46">
        <v>71359222</v>
      </c>
      <c r="F1997" s="408" t="s">
        <v>2288</v>
      </c>
      <c r="G1997" s="1521" t="s">
        <v>2289</v>
      </c>
      <c r="H1997" s="38">
        <v>30219128</v>
      </c>
      <c r="I1997" s="409">
        <v>19900</v>
      </c>
      <c r="J1997" s="42">
        <v>0.1</v>
      </c>
      <c r="K1997" s="38">
        <v>5</v>
      </c>
      <c r="L1997" s="41">
        <v>99500</v>
      </c>
      <c r="M1997" s="1465" t="s">
        <v>2290</v>
      </c>
      <c r="N1997" s="1445">
        <v>20250205210</v>
      </c>
    </row>
    <row r="1998" spans="2:14" ht="16.5" customHeight="1">
      <c r="B1998" s="1520"/>
      <c r="C1998" s="1520"/>
      <c r="D1998" s="1520"/>
      <c r="E1998" s="46">
        <v>76538787</v>
      </c>
      <c r="F1998" s="410" t="s">
        <v>2291</v>
      </c>
      <c r="G1998" s="1521"/>
      <c r="H1998" s="38">
        <v>30219129</v>
      </c>
      <c r="I1998" s="409">
        <v>14900</v>
      </c>
      <c r="J1998" s="42">
        <v>0.1</v>
      </c>
      <c r="K1998" s="38">
        <v>5</v>
      </c>
      <c r="L1998" s="41">
        <v>74500</v>
      </c>
      <c r="M1998" s="1465"/>
      <c r="N1998" s="1447"/>
    </row>
    <row r="1999" spans="2:14" ht="16.5" customHeight="1">
      <c r="B1999" s="1520" t="s">
        <v>331</v>
      </c>
      <c r="C1999" s="1520">
        <v>1</v>
      </c>
      <c r="D1999" s="1521" t="s">
        <v>2094</v>
      </c>
      <c r="E1999" s="38">
        <v>30198518</v>
      </c>
      <c r="F1999" s="38" t="s">
        <v>2292</v>
      </c>
      <c r="G1999" s="1521" t="s">
        <v>2293</v>
      </c>
      <c r="H1999" s="38">
        <v>30219130</v>
      </c>
      <c r="I1999" s="41">
        <v>6900</v>
      </c>
      <c r="J1999" s="42">
        <v>0.15</v>
      </c>
      <c r="K1999" s="38">
        <v>5</v>
      </c>
      <c r="L1999" s="41">
        <v>34500</v>
      </c>
      <c r="M1999" s="1521" t="s">
        <v>2294</v>
      </c>
      <c r="N1999" s="1445">
        <v>20250205211</v>
      </c>
    </row>
    <row r="2000" spans="2:14" ht="16.5" customHeight="1">
      <c r="B2000" s="1520"/>
      <c r="C2000" s="1520"/>
      <c r="D2000" s="1521"/>
      <c r="E2000" s="38">
        <v>30218302</v>
      </c>
      <c r="F2000" s="38" t="s">
        <v>2295</v>
      </c>
      <c r="G2000" s="1521"/>
      <c r="H2000" s="38">
        <v>30219131</v>
      </c>
      <c r="I2000" s="41">
        <v>12900</v>
      </c>
      <c r="J2000" s="42">
        <v>0.15</v>
      </c>
      <c r="K2000" s="38">
        <v>5</v>
      </c>
      <c r="L2000" s="41">
        <v>64500</v>
      </c>
      <c r="M2000" s="1521"/>
      <c r="N2000" s="1446"/>
    </row>
    <row r="2001" spans="2:14" ht="16.5" customHeight="1">
      <c r="B2001" s="1520"/>
      <c r="C2001" s="1520"/>
      <c r="D2001" s="1521"/>
      <c r="E2001" s="38">
        <v>30218280</v>
      </c>
      <c r="F2001" s="38" t="s">
        <v>2296</v>
      </c>
      <c r="G2001" s="1521"/>
      <c r="H2001" s="38">
        <v>30219132</v>
      </c>
      <c r="I2001" s="41">
        <v>12900</v>
      </c>
      <c r="J2001" s="42">
        <v>0.15</v>
      </c>
      <c r="K2001" s="38">
        <v>5</v>
      </c>
      <c r="L2001" s="41">
        <v>64500</v>
      </c>
      <c r="M2001" s="1521"/>
      <c r="N2001" s="1446"/>
    </row>
    <row r="2002" spans="2:14" ht="16.5" customHeight="1">
      <c r="B2002" s="1520"/>
      <c r="C2002" s="1520"/>
      <c r="D2002" s="1521"/>
      <c r="E2002" s="38">
        <v>30198535</v>
      </c>
      <c r="F2002" s="38" t="s">
        <v>2297</v>
      </c>
      <c r="G2002" s="1521"/>
      <c r="H2002" s="38">
        <v>30219133</v>
      </c>
      <c r="I2002" s="41">
        <v>9900</v>
      </c>
      <c r="J2002" s="42">
        <v>0.15</v>
      </c>
      <c r="K2002" s="38">
        <v>5</v>
      </c>
      <c r="L2002" s="41">
        <v>49500</v>
      </c>
      <c r="M2002" s="1521"/>
      <c r="N2002" s="1446"/>
    </row>
    <row r="2003" spans="2:14" ht="16.5" customHeight="1">
      <c r="B2003" s="1520"/>
      <c r="C2003" s="1520"/>
      <c r="D2003" s="1521"/>
      <c r="E2003" s="38">
        <v>30201147</v>
      </c>
      <c r="F2003" s="38" t="s">
        <v>2298</v>
      </c>
      <c r="G2003" s="1521"/>
      <c r="H2003" s="38">
        <v>30219134</v>
      </c>
      <c r="I2003" s="41">
        <v>8900</v>
      </c>
      <c r="J2003" s="42">
        <v>0.15</v>
      </c>
      <c r="K2003" s="38">
        <v>5</v>
      </c>
      <c r="L2003" s="41">
        <v>44500</v>
      </c>
      <c r="M2003" s="1521"/>
      <c r="N2003" s="1446"/>
    </row>
    <row r="2004" spans="2:14" ht="16.5" customHeight="1">
      <c r="B2004" s="1520"/>
      <c r="C2004" s="1520"/>
      <c r="D2004" s="1521"/>
      <c r="E2004" s="38">
        <v>30218292</v>
      </c>
      <c r="F2004" s="38" t="s">
        <v>2299</v>
      </c>
      <c r="G2004" s="1521"/>
      <c r="H2004" s="38">
        <v>30219135</v>
      </c>
      <c r="I2004" s="41">
        <v>10900</v>
      </c>
      <c r="J2004" s="42">
        <v>0.15</v>
      </c>
      <c r="K2004" s="38">
        <v>5</v>
      </c>
      <c r="L2004" s="41">
        <v>54500</v>
      </c>
      <c r="M2004" s="1521"/>
      <c r="N2004" s="1446"/>
    </row>
    <row r="2005" spans="2:14" ht="16.5" customHeight="1">
      <c r="B2005" s="1520"/>
      <c r="C2005" s="1520"/>
      <c r="D2005" s="1521"/>
      <c r="E2005" s="38">
        <v>30198245</v>
      </c>
      <c r="F2005" s="38" t="s">
        <v>2300</v>
      </c>
      <c r="G2005" s="1521"/>
      <c r="H2005" s="38">
        <v>30219136</v>
      </c>
      <c r="I2005" s="41">
        <v>11900</v>
      </c>
      <c r="J2005" s="42">
        <v>0.15</v>
      </c>
      <c r="K2005" s="38">
        <v>5</v>
      </c>
      <c r="L2005" s="41">
        <v>59500</v>
      </c>
      <c r="M2005" s="1521"/>
      <c r="N2005" s="1446"/>
    </row>
    <row r="2006" spans="2:14" ht="16.5" customHeight="1">
      <c r="B2006" s="1520"/>
      <c r="C2006" s="1520"/>
      <c r="D2006" s="1521"/>
      <c r="E2006" s="38">
        <v>30199809</v>
      </c>
      <c r="F2006" s="38" t="s">
        <v>2301</v>
      </c>
      <c r="G2006" s="1521"/>
      <c r="H2006" s="38">
        <v>30219138</v>
      </c>
      <c r="I2006" s="41">
        <v>12900</v>
      </c>
      <c r="J2006" s="42">
        <v>0.15</v>
      </c>
      <c r="K2006" s="38">
        <v>5</v>
      </c>
      <c r="L2006" s="41">
        <v>64500</v>
      </c>
      <c r="M2006" s="1521"/>
      <c r="N2006" s="1446"/>
    </row>
    <row r="2007" spans="2:14" ht="16.5" customHeight="1">
      <c r="B2007" s="1520"/>
      <c r="C2007" s="1520"/>
      <c r="D2007" s="1521"/>
      <c r="E2007" s="38">
        <v>30199784</v>
      </c>
      <c r="F2007" s="38" t="s">
        <v>2302</v>
      </c>
      <c r="G2007" s="1521"/>
      <c r="H2007" s="38">
        <v>30219140</v>
      </c>
      <c r="I2007" s="41">
        <v>9900</v>
      </c>
      <c r="J2007" s="42">
        <v>0.15</v>
      </c>
      <c r="K2007" s="38">
        <v>5</v>
      </c>
      <c r="L2007" s="41">
        <v>49500</v>
      </c>
      <c r="M2007" s="1521"/>
      <c r="N2007" s="1447"/>
    </row>
    <row r="2008" spans="2:14" ht="16.5" customHeight="1">
      <c r="B2008" s="1520"/>
      <c r="C2008" s="1520">
        <v>2</v>
      </c>
      <c r="D2008" s="1520" t="s">
        <v>332</v>
      </c>
      <c r="E2008" s="38">
        <v>68077672</v>
      </c>
      <c r="F2008" s="38" t="s">
        <v>2303</v>
      </c>
      <c r="G2008" s="1520" t="s">
        <v>2303</v>
      </c>
      <c r="H2008" s="38">
        <v>30204348</v>
      </c>
      <c r="I2008" s="41">
        <v>8500</v>
      </c>
      <c r="J2008" s="42">
        <v>0.1</v>
      </c>
      <c r="K2008" s="38">
        <v>5</v>
      </c>
      <c r="L2008" s="41">
        <v>42500</v>
      </c>
      <c r="M2008" s="1520" t="s">
        <v>2303</v>
      </c>
      <c r="N2008" s="1455">
        <v>20250205212</v>
      </c>
    </row>
    <row r="2009" spans="2:14" ht="16.5" customHeight="1">
      <c r="B2009" s="1520"/>
      <c r="C2009" s="1520"/>
      <c r="D2009" s="1520"/>
      <c r="E2009" s="38">
        <v>68077668</v>
      </c>
      <c r="F2009" s="38" t="s">
        <v>2304</v>
      </c>
      <c r="G2009" s="1520"/>
      <c r="H2009" s="38">
        <v>30204350</v>
      </c>
      <c r="I2009" s="41">
        <v>7900</v>
      </c>
      <c r="J2009" s="42">
        <v>0.1</v>
      </c>
      <c r="K2009" s="38">
        <v>5</v>
      </c>
      <c r="L2009" s="41">
        <v>39500</v>
      </c>
      <c r="M2009" s="1520"/>
      <c r="N2009" s="1457"/>
    </row>
    <row r="2010" spans="2:14" ht="16.5" customHeight="1">
      <c r="B2010" s="1520"/>
      <c r="C2010" s="1520">
        <v>3</v>
      </c>
      <c r="D2010" s="1520" t="s">
        <v>332</v>
      </c>
      <c r="E2010" s="38">
        <v>72844486</v>
      </c>
      <c r="F2010" s="38" t="s">
        <v>336</v>
      </c>
      <c r="G2010" s="1521" t="s">
        <v>336</v>
      </c>
      <c r="H2010" s="38">
        <v>30219153</v>
      </c>
      <c r="I2010" s="41">
        <v>8900</v>
      </c>
      <c r="J2010" s="42">
        <v>0.1</v>
      </c>
      <c r="K2010" s="38">
        <v>5</v>
      </c>
      <c r="L2010" s="41">
        <v>44500</v>
      </c>
      <c r="M2010" s="1521" t="s">
        <v>336</v>
      </c>
      <c r="N2010" s="1445">
        <v>20250205213</v>
      </c>
    </row>
    <row r="2011" spans="2:14" ht="16.5" customHeight="1">
      <c r="B2011" s="1520"/>
      <c r="C2011" s="1520"/>
      <c r="D2011" s="1520"/>
      <c r="E2011" s="38">
        <v>68078448</v>
      </c>
      <c r="F2011" s="38" t="s">
        <v>337</v>
      </c>
      <c r="G2011" s="1521"/>
      <c r="H2011" s="38">
        <v>30219155</v>
      </c>
      <c r="I2011" s="41">
        <v>8900</v>
      </c>
      <c r="J2011" s="42">
        <v>0.1</v>
      </c>
      <c r="K2011" s="38">
        <v>5</v>
      </c>
      <c r="L2011" s="41">
        <v>44500</v>
      </c>
      <c r="M2011" s="1521"/>
      <c r="N2011" s="1447"/>
    </row>
    <row r="2012" spans="2:14" ht="16.5" customHeight="1">
      <c r="B2012" s="1520"/>
      <c r="C2012" s="1520">
        <v>4</v>
      </c>
      <c r="D2012" s="1520" t="s">
        <v>332</v>
      </c>
      <c r="E2012" s="38">
        <v>10154408</v>
      </c>
      <c r="F2012" s="38" t="s">
        <v>2305</v>
      </c>
      <c r="G2012" s="1521" t="s">
        <v>2305</v>
      </c>
      <c r="H2012" s="38">
        <v>30155327</v>
      </c>
      <c r="I2012" s="41">
        <v>9900</v>
      </c>
      <c r="J2012" s="42">
        <v>0.1</v>
      </c>
      <c r="K2012" s="38">
        <v>5</v>
      </c>
      <c r="L2012" s="41">
        <v>49500</v>
      </c>
      <c r="M2012" s="1521" t="s">
        <v>2305</v>
      </c>
      <c r="N2012" s="1445">
        <v>20250205214</v>
      </c>
    </row>
    <row r="2013" spans="2:14" ht="16.5" customHeight="1">
      <c r="B2013" s="1520"/>
      <c r="C2013" s="1520"/>
      <c r="D2013" s="1520"/>
      <c r="E2013" s="38">
        <v>40100008</v>
      </c>
      <c r="F2013" s="38" t="s">
        <v>2306</v>
      </c>
      <c r="G2013" s="1521"/>
      <c r="H2013" s="38">
        <v>30208375</v>
      </c>
      <c r="I2013" s="41">
        <v>13900</v>
      </c>
      <c r="J2013" s="42">
        <v>0.1</v>
      </c>
      <c r="K2013" s="38">
        <v>5</v>
      </c>
      <c r="L2013" s="41">
        <v>69500</v>
      </c>
      <c r="M2013" s="1521"/>
      <c r="N2013" s="1447"/>
    </row>
    <row r="2014" spans="2:14" ht="16.5" customHeight="1">
      <c r="B2014" s="1520"/>
      <c r="C2014" s="38">
        <v>5</v>
      </c>
      <c r="D2014" s="38" t="s">
        <v>360</v>
      </c>
      <c r="E2014" s="38">
        <v>76621628</v>
      </c>
      <c r="F2014" s="38" t="s">
        <v>2307</v>
      </c>
      <c r="G2014" s="38" t="s">
        <v>2308</v>
      </c>
      <c r="H2014" s="38">
        <v>30219158</v>
      </c>
      <c r="I2014" s="41">
        <v>14900</v>
      </c>
      <c r="J2014" s="42">
        <v>0.15</v>
      </c>
      <c r="K2014" s="38">
        <v>5</v>
      </c>
      <c r="L2014" s="41">
        <v>74500</v>
      </c>
      <c r="M2014" s="39" t="s">
        <v>2309</v>
      </c>
      <c r="N2014" s="34">
        <v>20250205215</v>
      </c>
    </row>
    <row r="2015" spans="2:14" ht="16.5" customHeight="1">
      <c r="B2015" s="1520"/>
      <c r="C2015" s="1520">
        <v>6</v>
      </c>
      <c r="D2015" s="1520" t="s">
        <v>352</v>
      </c>
      <c r="E2015" s="38">
        <v>76408070</v>
      </c>
      <c r="F2015" s="40" t="s">
        <v>2310</v>
      </c>
      <c r="G2015" s="1521" t="s">
        <v>2311</v>
      </c>
      <c r="H2015" s="38">
        <v>30219159</v>
      </c>
      <c r="I2015" s="41">
        <v>20800</v>
      </c>
      <c r="J2015" s="42">
        <v>0.1</v>
      </c>
      <c r="K2015" s="38">
        <v>5</v>
      </c>
      <c r="L2015" s="41">
        <v>104000</v>
      </c>
      <c r="M2015" s="1521" t="s">
        <v>2312</v>
      </c>
      <c r="N2015" s="1445">
        <v>20250205216</v>
      </c>
    </row>
    <row r="2016" spans="2:14" ht="16.5" customHeight="1">
      <c r="B2016" s="1520"/>
      <c r="C2016" s="1520"/>
      <c r="D2016" s="1520"/>
      <c r="E2016" s="38">
        <v>76408143</v>
      </c>
      <c r="F2016" s="40" t="s">
        <v>2313</v>
      </c>
      <c r="G2016" s="1521"/>
      <c r="H2016" s="38">
        <v>30219160</v>
      </c>
      <c r="I2016" s="41">
        <v>17800</v>
      </c>
      <c r="J2016" s="42">
        <v>0.1</v>
      </c>
      <c r="K2016" s="38">
        <v>5</v>
      </c>
      <c r="L2016" s="41">
        <v>89000</v>
      </c>
      <c r="M2016" s="1521"/>
      <c r="N2016" s="1446"/>
    </row>
    <row r="2017" spans="2:15" ht="16.5" customHeight="1">
      <c r="B2017" s="1520"/>
      <c r="C2017" s="1520"/>
      <c r="D2017" s="1520"/>
      <c r="E2017" s="38">
        <v>76408072</v>
      </c>
      <c r="F2017" s="40" t="s">
        <v>2314</v>
      </c>
      <c r="G2017" s="1521"/>
      <c r="H2017" s="38">
        <v>30219161</v>
      </c>
      <c r="I2017" s="41">
        <v>19800</v>
      </c>
      <c r="J2017" s="42">
        <v>0.1</v>
      </c>
      <c r="K2017" s="38">
        <v>5</v>
      </c>
      <c r="L2017" s="41">
        <v>99000</v>
      </c>
      <c r="M2017" s="1521"/>
      <c r="N2017" s="1446"/>
    </row>
    <row r="2018" spans="2:15" ht="16.5" customHeight="1">
      <c r="B2018" s="1520"/>
      <c r="C2018" s="1520"/>
      <c r="D2018" s="1520"/>
      <c r="E2018" s="38">
        <v>76408068</v>
      </c>
      <c r="F2018" s="40" t="s">
        <v>2315</v>
      </c>
      <c r="G2018" s="1521"/>
      <c r="H2018" s="38">
        <v>30219162</v>
      </c>
      <c r="I2018" s="41">
        <v>20800</v>
      </c>
      <c r="J2018" s="42">
        <v>0.1</v>
      </c>
      <c r="K2018" s="38">
        <v>5</v>
      </c>
      <c r="L2018" s="41">
        <v>104000</v>
      </c>
      <c r="M2018" s="1521"/>
      <c r="N2018" s="1446"/>
    </row>
    <row r="2019" spans="2:15" ht="16.5" customHeight="1">
      <c r="B2019" s="1550"/>
      <c r="C2019" s="1550"/>
      <c r="D2019" s="1550"/>
      <c r="E2019" s="411">
        <v>76453366</v>
      </c>
      <c r="F2019" s="412" t="s">
        <v>2316</v>
      </c>
      <c r="G2019" s="1551"/>
      <c r="H2019" s="411">
        <v>30179664</v>
      </c>
      <c r="I2019" s="413">
        <v>12800</v>
      </c>
      <c r="J2019" s="414">
        <v>0.1</v>
      </c>
      <c r="K2019" s="411">
        <v>5</v>
      </c>
      <c r="L2019" s="413">
        <v>64000</v>
      </c>
      <c r="M2019" s="1551"/>
      <c r="N2019" s="1447"/>
    </row>
    <row r="2020" spans="2:15" ht="16.5" customHeight="1">
      <c r="B2020" s="1451" t="s">
        <v>417</v>
      </c>
      <c r="C2020" s="1451">
        <v>1</v>
      </c>
      <c r="D2020" s="1451" t="s">
        <v>426</v>
      </c>
      <c r="E2020" s="411">
        <v>47839353</v>
      </c>
      <c r="F2020" s="411" t="s">
        <v>2317</v>
      </c>
      <c r="G2020" s="1539" t="s">
        <v>2318</v>
      </c>
      <c r="H2020" s="411">
        <v>30219334</v>
      </c>
      <c r="I2020" s="413">
        <v>13900</v>
      </c>
      <c r="J2020" s="414">
        <v>0.1</v>
      </c>
      <c r="K2020" s="411">
        <v>10</v>
      </c>
      <c r="L2020" s="30">
        <f>I2020*10</f>
        <v>139000</v>
      </c>
      <c r="M2020" s="1512" t="s">
        <v>2319</v>
      </c>
      <c r="N2020" s="1445">
        <v>20250205217</v>
      </c>
      <c r="O2020" s="4" t="s">
        <v>19</v>
      </c>
    </row>
    <row r="2021" spans="2:15" ht="16.5" customHeight="1">
      <c r="B2021" s="1452"/>
      <c r="C2021" s="1452"/>
      <c r="D2021" s="1452"/>
      <c r="E2021" s="30">
        <v>47839354</v>
      </c>
      <c r="F2021" s="31" t="s">
        <v>2320</v>
      </c>
      <c r="G2021" s="1540"/>
      <c r="H2021" s="30">
        <v>30219263</v>
      </c>
      <c r="I2021" s="35">
        <v>13900</v>
      </c>
      <c r="J2021" s="64">
        <v>0.1</v>
      </c>
      <c r="K2021" s="30">
        <v>10</v>
      </c>
      <c r="L2021" s="30">
        <f>I2021*10</f>
        <v>139000</v>
      </c>
      <c r="M2021" s="1514"/>
      <c r="N2021" s="1446"/>
    </row>
    <row r="2022" spans="2:15" ht="16.5" customHeight="1">
      <c r="B2022" s="1452"/>
      <c r="C2022" s="1452"/>
      <c r="D2022" s="1452"/>
      <c r="E2022" s="30">
        <v>47744761</v>
      </c>
      <c r="F2022" s="31" t="s">
        <v>466</v>
      </c>
      <c r="G2022" s="1540"/>
      <c r="H2022" s="30">
        <v>30214220</v>
      </c>
      <c r="I2022" s="35">
        <v>9900</v>
      </c>
      <c r="J2022" s="64">
        <v>0.1</v>
      </c>
      <c r="K2022" s="30">
        <v>10</v>
      </c>
      <c r="L2022" s="30">
        <f t="shared" ref="L2022:L2076" si="8">I2022*10</f>
        <v>99000</v>
      </c>
      <c r="M2022" s="1514"/>
      <c r="N2022" s="1446"/>
    </row>
    <row r="2023" spans="2:15" ht="16.5" customHeight="1">
      <c r="B2023" s="1452"/>
      <c r="C2023" s="1452"/>
      <c r="D2023" s="1452"/>
      <c r="E2023" s="30">
        <v>47744735</v>
      </c>
      <c r="F2023" s="31" t="s">
        <v>467</v>
      </c>
      <c r="G2023" s="1540"/>
      <c r="H2023" s="30">
        <v>30214219</v>
      </c>
      <c r="I2023" s="35">
        <v>9900</v>
      </c>
      <c r="J2023" s="64">
        <v>0.1</v>
      </c>
      <c r="K2023" s="30">
        <v>10</v>
      </c>
      <c r="L2023" s="30">
        <f t="shared" si="8"/>
        <v>99000</v>
      </c>
      <c r="M2023" s="1514"/>
      <c r="N2023" s="1446"/>
    </row>
    <row r="2024" spans="2:15" ht="16.5" customHeight="1">
      <c r="B2024" s="1452"/>
      <c r="C2024" s="1453"/>
      <c r="D2024" s="1453"/>
      <c r="E2024" s="30">
        <v>47740991</v>
      </c>
      <c r="F2024" s="31" t="s">
        <v>468</v>
      </c>
      <c r="G2024" s="1541"/>
      <c r="H2024" s="30">
        <v>30214218</v>
      </c>
      <c r="I2024" s="35">
        <v>9900</v>
      </c>
      <c r="J2024" s="64">
        <v>0.1</v>
      </c>
      <c r="K2024" s="30">
        <v>10</v>
      </c>
      <c r="L2024" s="30">
        <f t="shared" si="8"/>
        <v>99000</v>
      </c>
      <c r="M2024" s="1513"/>
      <c r="N2024" s="1447"/>
    </row>
    <row r="2025" spans="2:15" ht="16.5" customHeight="1">
      <c r="B2025" s="1452"/>
      <c r="C2025" s="1448">
        <v>2</v>
      </c>
      <c r="D2025" s="1448" t="s">
        <v>432</v>
      </c>
      <c r="E2025" s="30">
        <v>46572908</v>
      </c>
      <c r="F2025" s="31" t="s">
        <v>2321</v>
      </c>
      <c r="G2025" s="1454" t="s">
        <v>2321</v>
      </c>
      <c r="H2025" s="30">
        <v>30187652</v>
      </c>
      <c r="I2025" s="35">
        <v>13600</v>
      </c>
      <c r="J2025" s="64">
        <v>0.1</v>
      </c>
      <c r="K2025" s="30">
        <v>10</v>
      </c>
      <c r="L2025" s="30">
        <f t="shared" si="8"/>
        <v>136000</v>
      </c>
      <c r="M2025" s="1454" t="s">
        <v>1682</v>
      </c>
      <c r="N2025" s="1445">
        <v>20250205218</v>
      </c>
    </row>
    <row r="2026" spans="2:15" ht="16.5" customHeight="1">
      <c r="B2026" s="1452"/>
      <c r="C2026" s="1448"/>
      <c r="D2026" s="1448"/>
      <c r="E2026" s="30">
        <v>48829913</v>
      </c>
      <c r="F2026" s="31" t="s">
        <v>2322</v>
      </c>
      <c r="G2026" s="1454"/>
      <c r="H2026" s="30">
        <v>30133477</v>
      </c>
      <c r="I2026" s="35">
        <v>14500</v>
      </c>
      <c r="J2026" s="64">
        <v>0.1</v>
      </c>
      <c r="K2026" s="30">
        <v>10</v>
      </c>
      <c r="L2026" s="30">
        <f t="shared" si="8"/>
        <v>145000</v>
      </c>
      <c r="M2026" s="1454"/>
      <c r="N2026" s="1446"/>
    </row>
    <row r="2027" spans="2:15" ht="16.5" customHeight="1">
      <c r="B2027" s="1452"/>
      <c r="C2027" s="1448"/>
      <c r="D2027" s="1448"/>
      <c r="E2027" s="30">
        <v>48829972</v>
      </c>
      <c r="F2027" s="31" t="s">
        <v>2323</v>
      </c>
      <c r="G2027" s="1454"/>
      <c r="H2027" s="30">
        <v>30192935</v>
      </c>
      <c r="I2027" s="35">
        <v>11800</v>
      </c>
      <c r="J2027" s="64">
        <v>0.1</v>
      </c>
      <c r="K2027" s="30">
        <v>10</v>
      </c>
      <c r="L2027" s="30">
        <f t="shared" si="8"/>
        <v>118000</v>
      </c>
      <c r="M2027" s="1454"/>
      <c r="N2027" s="1446"/>
    </row>
    <row r="2028" spans="2:15" ht="16.5" customHeight="1">
      <c r="B2028" s="1452"/>
      <c r="C2028" s="1448"/>
      <c r="D2028" s="1448"/>
      <c r="E2028" s="30">
        <v>48829976</v>
      </c>
      <c r="F2028" s="31" t="s">
        <v>2324</v>
      </c>
      <c r="G2028" s="1454"/>
      <c r="H2028" s="30">
        <v>30192934</v>
      </c>
      <c r="I2028" s="35">
        <v>13600</v>
      </c>
      <c r="J2028" s="64">
        <v>0.1</v>
      </c>
      <c r="K2028" s="30">
        <v>10</v>
      </c>
      <c r="L2028" s="30">
        <f t="shared" si="8"/>
        <v>136000</v>
      </c>
      <c r="M2028" s="1454"/>
      <c r="N2028" s="1446"/>
    </row>
    <row r="2029" spans="2:15" ht="16.5" customHeight="1">
      <c r="B2029" s="1452"/>
      <c r="C2029" s="1448"/>
      <c r="D2029" s="1448"/>
      <c r="E2029" s="30">
        <v>48829975</v>
      </c>
      <c r="F2029" s="31" t="s">
        <v>2325</v>
      </c>
      <c r="G2029" s="1454"/>
      <c r="H2029" s="30">
        <v>30192932</v>
      </c>
      <c r="I2029" s="35">
        <v>13100</v>
      </c>
      <c r="J2029" s="64">
        <v>0.1</v>
      </c>
      <c r="K2029" s="30">
        <v>10</v>
      </c>
      <c r="L2029" s="30">
        <f t="shared" si="8"/>
        <v>131000</v>
      </c>
      <c r="M2029" s="1454"/>
      <c r="N2029" s="1447"/>
    </row>
    <row r="2030" spans="2:15" ht="16.5" customHeight="1">
      <c r="B2030" s="1452"/>
      <c r="C2030" s="1448">
        <v>3</v>
      </c>
      <c r="D2030" s="1448" t="s">
        <v>469</v>
      </c>
      <c r="E2030" s="30">
        <v>48604295</v>
      </c>
      <c r="F2030" s="31" t="s">
        <v>2326</v>
      </c>
      <c r="G2030" s="1454" t="s">
        <v>2327</v>
      </c>
      <c r="H2030" s="30">
        <v>30219265</v>
      </c>
      <c r="I2030" s="30">
        <v>12900</v>
      </c>
      <c r="J2030" s="64">
        <v>0.1</v>
      </c>
      <c r="K2030" s="30">
        <v>10</v>
      </c>
      <c r="L2030" s="30">
        <f t="shared" si="8"/>
        <v>129000</v>
      </c>
      <c r="M2030" s="1454" t="s">
        <v>2328</v>
      </c>
      <c r="N2030" s="1445">
        <v>20250205219</v>
      </c>
    </row>
    <row r="2031" spans="2:15" ht="16.5" customHeight="1">
      <c r="B2031" s="1452"/>
      <c r="C2031" s="1448"/>
      <c r="D2031" s="1448"/>
      <c r="E2031" s="30">
        <v>48604296</v>
      </c>
      <c r="F2031" s="31" t="s">
        <v>2329</v>
      </c>
      <c r="G2031" s="1454"/>
      <c r="H2031" s="30">
        <v>30201568</v>
      </c>
      <c r="I2031" s="30">
        <v>17900</v>
      </c>
      <c r="J2031" s="64">
        <v>0.1</v>
      </c>
      <c r="K2031" s="30">
        <v>10</v>
      </c>
      <c r="L2031" s="30">
        <f t="shared" si="8"/>
        <v>179000</v>
      </c>
      <c r="M2031" s="1454"/>
      <c r="N2031" s="1446"/>
    </row>
    <row r="2032" spans="2:15" ht="16.5" customHeight="1">
      <c r="B2032" s="1452"/>
      <c r="C2032" s="1448"/>
      <c r="D2032" s="1448"/>
      <c r="E2032" s="30">
        <v>48606443</v>
      </c>
      <c r="F2032" s="31" t="s">
        <v>2330</v>
      </c>
      <c r="G2032" s="1454"/>
      <c r="H2032" s="30">
        <v>30201567</v>
      </c>
      <c r="I2032" s="30">
        <v>9900</v>
      </c>
      <c r="J2032" s="64">
        <v>0.1</v>
      </c>
      <c r="K2032" s="30">
        <v>10</v>
      </c>
      <c r="L2032" s="30">
        <f t="shared" si="8"/>
        <v>99000</v>
      </c>
      <c r="M2032" s="1454"/>
      <c r="N2032" s="1446"/>
    </row>
    <row r="2033" spans="2:15" ht="16.5" customHeight="1">
      <c r="B2033" s="1452"/>
      <c r="C2033" s="1448"/>
      <c r="D2033" s="1448"/>
      <c r="E2033" s="30">
        <v>48606445</v>
      </c>
      <c r="F2033" s="31" t="s">
        <v>2331</v>
      </c>
      <c r="G2033" s="1454"/>
      <c r="H2033" s="30">
        <v>30219264</v>
      </c>
      <c r="I2033" s="30">
        <v>13900</v>
      </c>
      <c r="J2033" s="64">
        <v>0.1</v>
      </c>
      <c r="K2033" s="30">
        <v>10</v>
      </c>
      <c r="L2033" s="30">
        <f t="shared" si="8"/>
        <v>139000</v>
      </c>
      <c r="M2033" s="1454"/>
      <c r="N2033" s="1446"/>
    </row>
    <row r="2034" spans="2:15" ht="16.5" customHeight="1">
      <c r="B2034" s="1452"/>
      <c r="C2034" s="1448"/>
      <c r="D2034" s="1448"/>
      <c r="E2034" s="30">
        <v>48595204</v>
      </c>
      <c r="F2034" s="31" t="s">
        <v>2332</v>
      </c>
      <c r="G2034" s="1454"/>
      <c r="H2034" s="30">
        <v>30196655</v>
      </c>
      <c r="I2034" s="30">
        <v>10500</v>
      </c>
      <c r="J2034" s="64">
        <v>0.1</v>
      </c>
      <c r="K2034" s="30">
        <v>10</v>
      </c>
      <c r="L2034" s="30">
        <f t="shared" si="8"/>
        <v>105000</v>
      </c>
      <c r="M2034" s="1454"/>
      <c r="N2034" s="1446"/>
    </row>
    <row r="2035" spans="2:15" ht="16.5" customHeight="1">
      <c r="B2035" s="1452"/>
      <c r="C2035" s="1448"/>
      <c r="D2035" s="1448"/>
      <c r="E2035" s="30">
        <v>30214710</v>
      </c>
      <c r="F2035" s="31" t="s">
        <v>903</v>
      </c>
      <c r="G2035" s="1454"/>
      <c r="H2035" s="30">
        <v>30214993</v>
      </c>
      <c r="I2035" s="30">
        <v>14900</v>
      </c>
      <c r="J2035" s="64">
        <v>0.1</v>
      </c>
      <c r="K2035" s="30">
        <v>10</v>
      </c>
      <c r="L2035" s="30">
        <f t="shared" si="8"/>
        <v>149000</v>
      </c>
      <c r="M2035" s="1454"/>
      <c r="N2035" s="1446"/>
    </row>
    <row r="2036" spans="2:15" ht="16.5" customHeight="1">
      <c r="B2036" s="1452"/>
      <c r="C2036" s="1448"/>
      <c r="D2036" s="1448"/>
      <c r="E2036" s="30">
        <v>49008741</v>
      </c>
      <c r="F2036" s="31" t="s">
        <v>1272</v>
      </c>
      <c r="G2036" s="1454"/>
      <c r="H2036" s="30">
        <v>30217056</v>
      </c>
      <c r="I2036" s="30">
        <v>12900</v>
      </c>
      <c r="J2036" s="64">
        <v>0.1</v>
      </c>
      <c r="K2036" s="30">
        <v>10</v>
      </c>
      <c r="L2036" s="30">
        <f t="shared" si="8"/>
        <v>129000</v>
      </c>
      <c r="M2036" s="1454"/>
      <c r="N2036" s="1446"/>
    </row>
    <row r="2037" spans="2:15" ht="16.5" customHeight="1">
      <c r="B2037" s="1452"/>
      <c r="C2037" s="1448"/>
      <c r="D2037" s="1448"/>
      <c r="E2037" s="30">
        <v>48607237</v>
      </c>
      <c r="F2037" s="31" t="s">
        <v>1273</v>
      </c>
      <c r="G2037" s="1454"/>
      <c r="H2037" s="30">
        <v>30217055</v>
      </c>
      <c r="I2037" s="30">
        <v>21900</v>
      </c>
      <c r="J2037" s="64">
        <v>0.1</v>
      </c>
      <c r="K2037" s="30">
        <v>10</v>
      </c>
      <c r="L2037" s="30">
        <f t="shared" si="8"/>
        <v>219000</v>
      </c>
      <c r="M2037" s="1454"/>
      <c r="N2037" s="1446"/>
    </row>
    <row r="2038" spans="2:15" ht="16.5" customHeight="1">
      <c r="B2038" s="1452"/>
      <c r="C2038" s="1448"/>
      <c r="D2038" s="1448"/>
      <c r="E2038" s="30">
        <v>48607225</v>
      </c>
      <c r="F2038" s="31" t="s">
        <v>1274</v>
      </c>
      <c r="G2038" s="1454"/>
      <c r="H2038" s="30">
        <v>30217054</v>
      </c>
      <c r="I2038" s="30">
        <v>40900</v>
      </c>
      <c r="J2038" s="64">
        <v>0.1</v>
      </c>
      <c r="K2038" s="30">
        <v>10</v>
      </c>
      <c r="L2038" s="30">
        <f t="shared" si="8"/>
        <v>409000</v>
      </c>
      <c r="M2038" s="1454"/>
      <c r="N2038" s="1446"/>
    </row>
    <row r="2039" spans="2:15" ht="16.5" customHeight="1">
      <c r="B2039" s="1452"/>
      <c r="C2039" s="1448"/>
      <c r="D2039" s="1448"/>
      <c r="E2039" s="30">
        <v>48606686</v>
      </c>
      <c r="F2039" s="31" t="s">
        <v>1275</v>
      </c>
      <c r="G2039" s="1454"/>
      <c r="H2039" s="30">
        <v>30217053</v>
      </c>
      <c r="I2039" s="30">
        <v>22500</v>
      </c>
      <c r="J2039" s="64">
        <v>0.1</v>
      </c>
      <c r="K2039" s="30">
        <v>10</v>
      </c>
      <c r="L2039" s="30">
        <f t="shared" si="8"/>
        <v>225000</v>
      </c>
      <c r="M2039" s="1454"/>
      <c r="N2039" s="1446"/>
    </row>
    <row r="2040" spans="2:15" ht="16.5" customHeight="1">
      <c r="B2040" s="1452"/>
      <c r="C2040" s="1448"/>
      <c r="D2040" s="1448"/>
      <c r="E2040" s="30">
        <v>48606973</v>
      </c>
      <c r="F2040" s="31" t="s">
        <v>1276</v>
      </c>
      <c r="G2040" s="1454"/>
      <c r="H2040" s="30">
        <v>30217052</v>
      </c>
      <c r="I2040" s="30">
        <v>11900</v>
      </c>
      <c r="J2040" s="64">
        <v>0.1</v>
      </c>
      <c r="K2040" s="30">
        <v>10</v>
      </c>
      <c r="L2040" s="30">
        <f t="shared" si="8"/>
        <v>119000</v>
      </c>
      <c r="M2040" s="1454"/>
      <c r="N2040" s="1446"/>
    </row>
    <row r="2041" spans="2:15" ht="16.5" customHeight="1">
      <c r="B2041" s="1452"/>
      <c r="C2041" s="1448"/>
      <c r="D2041" s="1448"/>
      <c r="E2041" s="30">
        <v>48607074</v>
      </c>
      <c r="F2041" s="31" t="s">
        <v>1277</v>
      </c>
      <c r="G2041" s="1454"/>
      <c r="H2041" s="30">
        <v>30217051</v>
      </c>
      <c r="I2041" s="30">
        <v>16500</v>
      </c>
      <c r="J2041" s="64">
        <v>0.1</v>
      </c>
      <c r="K2041" s="30">
        <v>10</v>
      </c>
      <c r="L2041" s="30">
        <f t="shared" si="8"/>
        <v>165000</v>
      </c>
      <c r="M2041" s="1454"/>
      <c r="N2041" s="1447"/>
    </row>
    <row r="2042" spans="2:15" ht="16.5" customHeight="1">
      <c r="B2042" s="1452"/>
      <c r="C2042" s="1448">
        <v>4</v>
      </c>
      <c r="D2042" s="1448" t="s">
        <v>426</v>
      </c>
      <c r="E2042" s="30">
        <v>76930342</v>
      </c>
      <c r="F2042" s="31" t="s">
        <v>2333</v>
      </c>
      <c r="G2042" s="1454" t="s">
        <v>2333</v>
      </c>
      <c r="H2042" s="30">
        <v>30219275</v>
      </c>
      <c r="I2042" s="35">
        <v>13900</v>
      </c>
      <c r="J2042" s="64">
        <v>0.1</v>
      </c>
      <c r="K2042" s="30">
        <v>10</v>
      </c>
      <c r="L2042" s="30">
        <f t="shared" si="8"/>
        <v>139000</v>
      </c>
      <c r="M2042" s="1454" t="s">
        <v>2334</v>
      </c>
      <c r="N2042" s="1445">
        <v>20250205220</v>
      </c>
    </row>
    <row r="2043" spans="2:15" ht="16.5" customHeight="1">
      <c r="B2043" s="1452"/>
      <c r="C2043" s="1448"/>
      <c r="D2043" s="1448"/>
      <c r="E2043" s="30">
        <v>48357178</v>
      </c>
      <c r="F2043" s="31" t="s">
        <v>2335</v>
      </c>
      <c r="G2043" s="1454"/>
      <c r="H2043" s="30">
        <v>30219274</v>
      </c>
      <c r="I2043" s="35">
        <v>17900</v>
      </c>
      <c r="J2043" s="64">
        <v>0.1</v>
      </c>
      <c r="K2043" s="30">
        <v>10</v>
      </c>
      <c r="L2043" s="30">
        <f t="shared" si="8"/>
        <v>179000</v>
      </c>
      <c r="M2043" s="1454"/>
      <c r="N2043" s="1446"/>
    </row>
    <row r="2044" spans="2:15" ht="16.5" customHeight="1">
      <c r="B2044" s="1452"/>
      <c r="C2044" s="1448"/>
      <c r="D2044" s="1448"/>
      <c r="E2044" s="30">
        <v>11011563</v>
      </c>
      <c r="F2044" s="31" t="s">
        <v>2336</v>
      </c>
      <c r="G2044" s="1454"/>
      <c r="H2044" s="30">
        <v>30159549</v>
      </c>
      <c r="I2044" s="35">
        <v>14900</v>
      </c>
      <c r="J2044" s="64">
        <v>0.1</v>
      </c>
      <c r="K2044" s="30">
        <v>10</v>
      </c>
      <c r="L2044" s="30">
        <f t="shared" si="8"/>
        <v>149000</v>
      </c>
      <c r="M2044" s="1454"/>
      <c r="N2044" s="1446"/>
    </row>
    <row r="2045" spans="2:15" ht="16.5" customHeight="1">
      <c r="B2045" s="1452"/>
      <c r="C2045" s="1451"/>
      <c r="D2045" s="1451"/>
      <c r="E2045" s="30">
        <v>11011566</v>
      </c>
      <c r="F2045" s="31" t="s">
        <v>2337</v>
      </c>
      <c r="G2045" s="1454"/>
      <c r="H2045" s="30">
        <v>30159548</v>
      </c>
      <c r="I2045" s="35">
        <v>14900</v>
      </c>
      <c r="J2045" s="64">
        <v>0.1</v>
      </c>
      <c r="K2045" s="30">
        <v>10</v>
      </c>
      <c r="L2045" s="30">
        <f t="shared" si="8"/>
        <v>149000</v>
      </c>
      <c r="M2045" s="1454"/>
      <c r="N2045" s="1447"/>
    </row>
    <row r="2046" spans="2:15" ht="16.5" customHeight="1">
      <c r="B2046" s="1552"/>
      <c r="C2046" s="1543">
        <v>5</v>
      </c>
      <c r="D2046" s="1543" t="s">
        <v>2338</v>
      </c>
      <c r="E2046" s="415">
        <v>30104001</v>
      </c>
      <c r="F2046" s="228" t="s">
        <v>2339</v>
      </c>
      <c r="G2046" s="1544" t="s">
        <v>2340</v>
      </c>
      <c r="H2046" s="234">
        <v>30219272</v>
      </c>
      <c r="I2046" s="126">
        <v>14500</v>
      </c>
      <c r="J2046" s="321">
        <v>0.1</v>
      </c>
      <c r="K2046" s="234">
        <v>10</v>
      </c>
      <c r="L2046" s="234">
        <f>I2046*10</f>
        <v>145000</v>
      </c>
      <c r="M2046" s="1544" t="s">
        <v>2341</v>
      </c>
      <c r="N2046" s="1547">
        <v>20250204170</v>
      </c>
      <c r="O2046" s="4" t="s">
        <v>1282</v>
      </c>
    </row>
    <row r="2047" spans="2:15" ht="16.5" customHeight="1">
      <c r="B2047" s="1552"/>
      <c r="C2047" s="1543"/>
      <c r="D2047" s="1543"/>
      <c r="E2047" s="415">
        <v>30160480</v>
      </c>
      <c r="F2047" s="228" t="s">
        <v>2342</v>
      </c>
      <c r="G2047" s="1545"/>
      <c r="H2047" s="234">
        <v>30219273</v>
      </c>
      <c r="I2047" s="126">
        <v>9500</v>
      </c>
      <c r="J2047" s="321">
        <v>0.1</v>
      </c>
      <c r="K2047" s="234">
        <v>10</v>
      </c>
      <c r="L2047" s="234">
        <f t="shared" si="8"/>
        <v>95000</v>
      </c>
      <c r="M2047" s="1545"/>
      <c r="N2047" s="1548"/>
      <c r="O2047" s="4" t="s">
        <v>1285</v>
      </c>
    </row>
    <row r="2048" spans="2:15" ht="16.5" customHeight="1">
      <c r="B2048" s="1552"/>
      <c r="C2048" s="1543"/>
      <c r="D2048" s="1543"/>
      <c r="E2048" s="415">
        <v>30104003</v>
      </c>
      <c r="F2048" s="228" t="s">
        <v>2343</v>
      </c>
      <c r="G2048" s="1545"/>
      <c r="H2048" s="234">
        <v>30219270</v>
      </c>
      <c r="I2048" s="126">
        <v>18500</v>
      </c>
      <c r="J2048" s="321">
        <v>0.1</v>
      </c>
      <c r="K2048" s="234">
        <v>10</v>
      </c>
      <c r="L2048" s="234">
        <f t="shared" si="8"/>
        <v>185000</v>
      </c>
      <c r="M2048" s="1545"/>
      <c r="N2048" s="1548"/>
    </row>
    <row r="2049" spans="2:14" ht="16.5" customHeight="1">
      <c r="B2049" s="1552"/>
      <c r="C2049" s="1543"/>
      <c r="D2049" s="1543"/>
      <c r="E2049" s="415">
        <v>30104005</v>
      </c>
      <c r="F2049" s="228" t="s">
        <v>2344</v>
      </c>
      <c r="G2049" s="1545"/>
      <c r="H2049" s="234">
        <v>30219268</v>
      </c>
      <c r="I2049" s="126">
        <v>20500</v>
      </c>
      <c r="J2049" s="321">
        <v>0.1</v>
      </c>
      <c r="K2049" s="234">
        <v>10</v>
      </c>
      <c r="L2049" s="234">
        <f t="shared" si="8"/>
        <v>205000</v>
      </c>
      <c r="M2049" s="1545"/>
      <c r="N2049" s="1548"/>
    </row>
    <row r="2050" spans="2:14" ht="16.5" customHeight="1">
      <c r="B2050" s="1552"/>
      <c r="C2050" s="1543"/>
      <c r="D2050" s="1543"/>
      <c r="E2050" s="415">
        <v>30103735</v>
      </c>
      <c r="F2050" s="228" t="s">
        <v>2345</v>
      </c>
      <c r="G2050" s="1546"/>
      <c r="H2050" s="234">
        <v>30169398</v>
      </c>
      <c r="I2050" s="126">
        <v>12500</v>
      </c>
      <c r="J2050" s="321">
        <v>0.1</v>
      </c>
      <c r="K2050" s="234">
        <v>10</v>
      </c>
      <c r="L2050" s="234">
        <f t="shared" si="8"/>
        <v>125000</v>
      </c>
      <c r="M2050" s="1546"/>
      <c r="N2050" s="1549"/>
    </row>
    <row r="2051" spans="2:14" ht="16.5" customHeight="1">
      <c r="B2051" s="1452"/>
      <c r="C2051" s="1453">
        <v>6</v>
      </c>
      <c r="D2051" s="1453" t="s">
        <v>2338</v>
      </c>
      <c r="E2051" s="30">
        <v>30119953</v>
      </c>
      <c r="F2051" s="31" t="s">
        <v>2346</v>
      </c>
      <c r="G2051" s="1448" t="s">
        <v>2347</v>
      </c>
      <c r="H2051" s="30">
        <v>30196628</v>
      </c>
      <c r="I2051" s="35">
        <v>9000</v>
      </c>
      <c r="J2051" s="64">
        <v>0.1</v>
      </c>
      <c r="K2051" s="30">
        <v>10</v>
      </c>
      <c r="L2051" s="30">
        <f t="shared" si="8"/>
        <v>90000</v>
      </c>
      <c r="M2051" s="1454" t="s">
        <v>2348</v>
      </c>
      <c r="N2051" s="1445">
        <v>20250205221</v>
      </c>
    </row>
    <row r="2052" spans="2:14" ht="16.5" customHeight="1">
      <c r="B2052" s="1452"/>
      <c r="C2052" s="1448"/>
      <c r="D2052" s="1448"/>
      <c r="E2052" s="30">
        <v>30119954</v>
      </c>
      <c r="F2052" s="31" t="s">
        <v>2349</v>
      </c>
      <c r="G2052" s="1448"/>
      <c r="H2052" s="30">
        <v>30196625</v>
      </c>
      <c r="I2052" s="35">
        <v>14900</v>
      </c>
      <c r="J2052" s="64">
        <v>0.15</v>
      </c>
      <c r="K2052" s="30">
        <v>10</v>
      </c>
      <c r="L2052" s="30">
        <f t="shared" si="8"/>
        <v>149000</v>
      </c>
      <c r="M2052" s="1454"/>
      <c r="N2052" s="1446"/>
    </row>
    <row r="2053" spans="2:14" ht="16.5" customHeight="1">
      <c r="B2053" s="1452"/>
      <c r="C2053" s="1448"/>
      <c r="D2053" s="1448"/>
      <c r="E2053" s="30">
        <v>30119955</v>
      </c>
      <c r="F2053" s="31" t="s">
        <v>2350</v>
      </c>
      <c r="G2053" s="1448"/>
      <c r="H2053" s="30">
        <v>30196624</v>
      </c>
      <c r="I2053" s="35">
        <v>21900</v>
      </c>
      <c r="J2053" s="64">
        <v>0.15</v>
      </c>
      <c r="K2053" s="30">
        <v>10</v>
      </c>
      <c r="L2053" s="30">
        <f t="shared" si="8"/>
        <v>219000</v>
      </c>
      <c r="M2053" s="1454"/>
      <c r="N2053" s="1446"/>
    </row>
    <row r="2054" spans="2:14" ht="16.5" customHeight="1">
      <c r="B2054" s="1452"/>
      <c r="C2054" s="1448"/>
      <c r="D2054" s="1448"/>
      <c r="E2054" s="30">
        <v>30194788</v>
      </c>
      <c r="F2054" s="31" t="s">
        <v>2351</v>
      </c>
      <c r="G2054" s="1448"/>
      <c r="H2054" s="30">
        <v>30197930</v>
      </c>
      <c r="I2054" s="35">
        <v>16900</v>
      </c>
      <c r="J2054" s="64">
        <v>0.15</v>
      </c>
      <c r="K2054" s="30">
        <v>10</v>
      </c>
      <c r="L2054" s="30">
        <f t="shared" si="8"/>
        <v>169000</v>
      </c>
      <c r="M2054" s="1454"/>
      <c r="N2054" s="1447"/>
    </row>
    <row r="2055" spans="2:14" ht="16.5" customHeight="1">
      <c r="B2055" s="1452"/>
      <c r="C2055" s="1448">
        <v>7</v>
      </c>
      <c r="D2055" s="1448" t="s">
        <v>1249</v>
      </c>
      <c r="E2055" s="30">
        <v>30170346</v>
      </c>
      <c r="F2055" s="31" t="s">
        <v>447</v>
      </c>
      <c r="G2055" s="1448" t="s">
        <v>448</v>
      </c>
      <c r="H2055" s="30">
        <v>30170346</v>
      </c>
      <c r="I2055" s="35">
        <v>10900</v>
      </c>
      <c r="J2055" s="64">
        <v>0.12</v>
      </c>
      <c r="K2055" s="30">
        <v>10</v>
      </c>
      <c r="L2055" s="30">
        <f t="shared" si="8"/>
        <v>109000</v>
      </c>
      <c r="M2055" s="1454" t="s">
        <v>449</v>
      </c>
      <c r="N2055" s="1445">
        <v>20250205222</v>
      </c>
    </row>
    <row r="2056" spans="2:14" ht="16.5" customHeight="1">
      <c r="B2056" s="1452"/>
      <c r="C2056" s="1448"/>
      <c r="D2056" s="1448"/>
      <c r="E2056" s="30">
        <v>30170932</v>
      </c>
      <c r="F2056" s="31" t="s">
        <v>2352</v>
      </c>
      <c r="G2056" s="1448"/>
      <c r="H2056" s="30">
        <v>30170932</v>
      </c>
      <c r="I2056" s="35">
        <v>16500</v>
      </c>
      <c r="J2056" s="64">
        <v>0.12</v>
      </c>
      <c r="K2056" s="30">
        <v>10</v>
      </c>
      <c r="L2056" s="30">
        <f t="shared" si="8"/>
        <v>165000</v>
      </c>
      <c r="M2056" s="1454"/>
      <c r="N2056" s="1446"/>
    </row>
    <row r="2057" spans="2:14" ht="16.5" customHeight="1">
      <c r="B2057" s="1452"/>
      <c r="C2057" s="1448"/>
      <c r="D2057" s="1448"/>
      <c r="E2057" s="30">
        <v>30170933</v>
      </c>
      <c r="F2057" s="31" t="s">
        <v>2353</v>
      </c>
      <c r="G2057" s="1448"/>
      <c r="H2057" s="30">
        <v>30170933</v>
      </c>
      <c r="I2057" s="35">
        <v>23800</v>
      </c>
      <c r="J2057" s="64">
        <v>0.12</v>
      </c>
      <c r="K2057" s="30">
        <v>10</v>
      </c>
      <c r="L2057" s="30">
        <f t="shared" si="8"/>
        <v>238000</v>
      </c>
      <c r="M2057" s="1454"/>
      <c r="N2057" s="1446"/>
    </row>
    <row r="2058" spans="2:14" ht="16.5" customHeight="1">
      <c r="B2058" s="1452"/>
      <c r="C2058" s="1448"/>
      <c r="D2058" s="1448"/>
      <c r="E2058" s="30">
        <v>30184098</v>
      </c>
      <c r="F2058" s="31" t="s">
        <v>2354</v>
      </c>
      <c r="G2058" s="1448"/>
      <c r="H2058" s="30">
        <v>30184098</v>
      </c>
      <c r="I2058" s="35">
        <v>9900</v>
      </c>
      <c r="J2058" s="64">
        <v>0.12</v>
      </c>
      <c r="K2058" s="30">
        <v>10</v>
      </c>
      <c r="L2058" s="30">
        <f t="shared" si="8"/>
        <v>99000</v>
      </c>
      <c r="M2058" s="1454"/>
      <c r="N2058" s="1446"/>
    </row>
    <row r="2059" spans="2:14" ht="16.5" customHeight="1">
      <c r="B2059" s="1452"/>
      <c r="C2059" s="1448"/>
      <c r="D2059" s="1448"/>
      <c r="E2059" s="30">
        <v>30184099</v>
      </c>
      <c r="F2059" s="31" t="s">
        <v>2355</v>
      </c>
      <c r="G2059" s="1448"/>
      <c r="H2059" s="30">
        <v>30184099</v>
      </c>
      <c r="I2059" s="35">
        <v>9900</v>
      </c>
      <c r="J2059" s="64">
        <v>0.12</v>
      </c>
      <c r="K2059" s="30">
        <v>10</v>
      </c>
      <c r="L2059" s="30">
        <f t="shared" si="8"/>
        <v>99000</v>
      </c>
      <c r="M2059" s="1454"/>
      <c r="N2059" s="1446"/>
    </row>
    <row r="2060" spans="2:14" ht="16.5" customHeight="1">
      <c r="B2060" s="1452"/>
      <c r="C2060" s="1448"/>
      <c r="D2060" s="1448"/>
      <c r="E2060" s="30">
        <v>30170935</v>
      </c>
      <c r="F2060" s="31" t="s">
        <v>2356</v>
      </c>
      <c r="G2060" s="1448"/>
      <c r="H2060" s="30">
        <v>30170935</v>
      </c>
      <c r="I2060" s="35">
        <v>8200</v>
      </c>
      <c r="J2060" s="64">
        <v>0.12</v>
      </c>
      <c r="K2060" s="30">
        <v>10</v>
      </c>
      <c r="L2060" s="30">
        <f t="shared" si="8"/>
        <v>82000</v>
      </c>
      <c r="M2060" s="1454"/>
      <c r="N2060" s="1446"/>
    </row>
    <row r="2061" spans="2:14" ht="16.5" customHeight="1">
      <c r="B2061" s="1453"/>
      <c r="C2061" s="1448"/>
      <c r="D2061" s="1448"/>
      <c r="E2061" s="30">
        <v>30170939</v>
      </c>
      <c r="F2061" s="31" t="s">
        <v>2357</v>
      </c>
      <c r="G2061" s="1448"/>
      <c r="H2061" s="30">
        <v>30170939</v>
      </c>
      <c r="I2061" s="35">
        <v>9900</v>
      </c>
      <c r="J2061" s="64">
        <v>0.12</v>
      </c>
      <c r="K2061" s="30">
        <v>10</v>
      </c>
      <c r="L2061" s="30">
        <f t="shared" si="8"/>
        <v>99000</v>
      </c>
      <c r="M2061" s="1454"/>
      <c r="N2061" s="1447"/>
    </row>
    <row r="2062" spans="2:14" ht="16.5" customHeight="1">
      <c r="B2062" s="1448" t="s">
        <v>477</v>
      </c>
      <c r="C2062" s="1448">
        <v>1</v>
      </c>
      <c r="D2062" s="1451" t="s">
        <v>1292</v>
      </c>
      <c r="E2062" s="30">
        <v>30169608</v>
      </c>
      <c r="F2062" s="31" t="s">
        <v>2358</v>
      </c>
      <c r="G2062" s="1448" t="s">
        <v>2359</v>
      </c>
      <c r="H2062" s="70">
        <v>30219298</v>
      </c>
      <c r="I2062" s="30">
        <v>22900</v>
      </c>
      <c r="J2062" s="64">
        <v>5.3493449781659375E-2</v>
      </c>
      <c r="K2062" s="30">
        <v>10</v>
      </c>
      <c r="L2062" s="30">
        <f t="shared" si="8"/>
        <v>229000</v>
      </c>
      <c r="M2062" s="1512" t="s">
        <v>2360</v>
      </c>
      <c r="N2062" s="1445">
        <v>20250205223</v>
      </c>
    </row>
    <row r="2063" spans="2:14" ht="16.5" customHeight="1">
      <c r="B2063" s="1448"/>
      <c r="C2063" s="1448"/>
      <c r="D2063" s="1452"/>
      <c r="E2063" s="30">
        <v>30169126</v>
      </c>
      <c r="F2063" s="31" t="s">
        <v>2361</v>
      </c>
      <c r="G2063" s="1448"/>
      <c r="H2063" s="70">
        <v>30219297</v>
      </c>
      <c r="I2063" s="30">
        <v>44500</v>
      </c>
      <c r="J2063" s="64">
        <v>5.7865168539325884E-2</v>
      </c>
      <c r="K2063" s="30">
        <v>10</v>
      </c>
      <c r="L2063" s="30">
        <f t="shared" si="8"/>
        <v>445000</v>
      </c>
      <c r="M2063" s="1514"/>
      <c r="N2063" s="1446"/>
    </row>
    <row r="2064" spans="2:14" ht="16.5" customHeight="1">
      <c r="B2064" s="1448"/>
      <c r="C2064" s="1448"/>
      <c r="D2064" s="1453"/>
      <c r="E2064" s="30">
        <v>30169129</v>
      </c>
      <c r="F2064" s="31" t="s">
        <v>2362</v>
      </c>
      <c r="G2064" s="1448"/>
      <c r="H2064" s="70">
        <v>30219296</v>
      </c>
      <c r="I2064" s="30">
        <v>88900</v>
      </c>
      <c r="J2064" s="64">
        <v>5.5961754780652462E-2</v>
      </c>
      <c r="K2064" s="30">
        <v>10</v>
      </c>
      <c r="L2064" s="30">
        <f t="shared" si="8"/>
        <v>889000</v>
      </c>
      <c r="M2064" s="1513"/>
      <c r="N2064" s="1447"/>
    </row>
    <row r="2065" spans="2:15" ht="16.5" customHeight="1">
      <c r="B2065" s="1448"/>
      <c r="C2065" s="1451">
        <v>2</v>
      </c>
      <c r="D2065" s="1451" t="s">
        <v>2363</v>
      </c>
      <c r="E2065" s="30" t="s">
        <v>2364</v>
      </c>
      <c r="F2065" s="31" t="s">
        <v>2365</v>
      </c>
      <c r="G2065" s="1448" t="s">
        <v>2366</v>
      </c>
      <c r="H2065" s="70">
        <v>30126709</v>
      </c>
      <c r="I2065" s="30">
        <v>14900</v>
      </c>
      <c r="J2065" s="64">
        <v>9.2953020134228237E-2</v>
      </c>
      <c r="K2065" s="30">
        <v>10</v>
      </c>
      <c r="L2065" s="30">
        <f t="shared" si="8"/>
        <v>149000</v>
      </c>
      <c r="M2065" s="1512" t="s">
        <v>2367</v>
      </c>
      <c r="N2065" s="1445">
        <v>20250205224</v>
      </c>
      <c r="O2065" s="4" t="s">
        <v>2368</v>
      </c>
    </row>
    <row r="2066" spans="2:15" ht="16.5" customHeight="1">
      <c r="B2066" s="1448"/>
      <c r="C2066" s="1452"/>
      <c r="D2066" s="1452"/>
      <c r="E2066" s="30" t="s">
        <v>2369</v>
      </c>
      <c r="F2066" s="31" t="s">
        <v>2370</v>
      </c>
      <c r="G2066" s="1448"/>
      <c r="H2066" s="70">
        <v>30209049</v>
      </c>
      <c r="I2066" s="30">
        <v>13900</v>
      </c>
      <c r="J2066" s="64">
        <v>8.8848920863309311E-2</v>
      </c>
      <c r="K2066" s="30">
        <v>10</v>
      </c>
      <c r="L2066" s="30">
        <f t="shared" si="8"/>
        <v>139000</v>
      </c>
      <c r="M2066" s="1514"/>
      <c r="N2066" s="1446"/>
    </row>
    <row r="2067" spans="2:15" ht="16.5" customHeight="1">
      <c r="B2067" s="1448"/>
      <c r="C2067" s="1452"/>
      <c r="D2067" s="1452"/>
      <c r="E2067" s="30" t="s">
        <v>2371</v>
      </c>
      <c r="F2067" s="31" t="s">
        <v>2372</v>
      </c>
      <c r="G2067" s="1448"/>
      <c r="H2067" s="70">
        <v>30209048</v>
      </c>
      <c r="I2067" s="30">
        <v>13500</v>
      </c>
      <c r="J2067" s="64">
        <v>8.7037037037037024E-2</v>
      </c>
      <c r="K2067" s="30">
        <v>10</v>
      </c>
      <c r="L2067" s="30">
        <f t="shared" si="8"/>
        <v>135000</v>
      </c>
      <c r="M2067" s="1514"/>
      <c r="N2067" s="1446"/>
    </row>
    <row r="2068" spans="2:15" ht="16.5" customHeight="1">
      <c r="B2068" s="1448"/>
      <c r="C2068" s="1452"/>
      <c r="D2068" s="1452"/>
      <c r="E2068" s="30" t="s">
        <v>2373</v>
      </c>
      <c r="F2068" s="31" t="s">
        <v>2374</v>
      </c>
      <c r="G2068" s="1448"/>
      <c r="H2068" s="70">
        <v>30209050</v>
      </c>
      <c r="I2068" s="30">
        <v>12900</v>
      </c>
      <c r="J2068" s="64">
        <v>8.4108527131782962E-2</v>
      </c>
      <c r="K2068" s="30">
        <v>10</v>
      </c>
      <c r="L2068" s="30">
        <f t="shared" si="8"/>
        <v>129000</v>
      </c>
      <c r="M2068" s="1514"/>
      <c r="N2068" s="1446"/>
    </row>
    <row r="2069" spans="2:15" ht="16.5" customHeight="1">
      <c r="B2069" s="1448"/>
      <c r="C2069" s="1452"/>
      <c r="D2069" s="1452"/>
      <c r="E2069" s="30" t="s">
        <v>2375</v>
      </c>
      <c r="F2069" s="31" t="s">
        <v>2376</v>
      </c>
      <c r="G2069" s="1448"/>
      <c r="H2069" s="70">
        <v>30209051</v>
      </c>
      <c r="I2069" s="30">
        <v>11900</v>
      </c>
      <c r="J2069" s="64">
        <v>7.8571428571428625E-2</v>
      </c>
      <c r="K2069" s="30">
        <v>10</v>
      </c>
      <c r="L2069" s="30">
        <f t="shared" si="8"/>
        <v>119000</v>
      </c>
      <c r="M2069" s="1514"/>
      <c r="N2069" s="1446"/>
    </row>
    <row r="2070" spans="2:15" ht="16.5" customHeight="1">
      <c r="B2070" s="1448"/>
      <c r="C2070" s="1453"/>
      <c r="D2070" s="1453"/>
      <c r="E2070" s="30" t="s">
        <v>2377</v>
      </c>
      <c r="F2070" s="31" t="s">
        <v>2378</v>
      </c>
      <c r="G2070" s="1448"/>
      <c r="H2070" s="70">
        <v>30209052</v>
      </c>
      <c r="I2070" s="30">
        <v>11500</v>
      </c>
      <c r="J2070" s="64">
        <v>7.6086956521739135E-2</v>
      </c>
      <c r="K2070" s="30">
        <v>10</v>
      </c>
      <c r="L2070" s="30">
        <f t="shared" si="8"/>
        <v>115000</v>
      </c>
      <c r="M2070" s="1513"/>
      <c r="N2070" s="1447"/>
    </row>
    <row r="2071" spans="2:15" ht="16.5" customHeight="1">
      <c r="B2071" s="1448"/>
      <c r="C2071" s="1451">
        <v>3</v>
      </c>
      <c r="D2071" s="1451" t="s">
        <v>2363</v>
      </c>
      <c r="E2071" s="30" t="s">
        <v>2379</v>
      </c>
      <c r="F2071" s="31" t="s">
        <v>2380</v>
      </c>
      <c r="G2071" s="1448" t="s">
        <v>2381</v>
      </c>
      <c r="H2071" s="70">
        <v>30219293</v>
      </c>
      <c r="I2071" s="30">
        <v>22500</v>
      </c>
      <c r="J2071" s="64">
        <v>7.4444444444444424E-2</v>
      </c>
      <c r="K2071" s="30">
        <v>10</v>
      </c>
      <c r="L2071" s="30">
        <f t="shared" si="8"/>
        <v>225000</v>
      </c>
      <c r="M2071" s="1512" t="s">
        <v>2382</v>
      </c>
      <c r="N2071" s="1445">
        <v>20250205225</v>
      </c>
    </row>
    <row r="2072" spans="2:15" ht="16.5" customHeight="1">
      <c r="B2072" s="1448"/>
      <c r="C2072" s="1452"/>
      <c r="D2072" s="1452"/>
      <c r="E2072" s="30" t="s">
        <v>2383</v>
      </c>
      <c r="F2072" s="31" t="s">
        <v>2384</v>
      </c>
      <c r="G2072" s="1448"/>
      <c r="H2072" s="70">
        <v>30219292</v>
      </c>
      <c r="I2072" s="30">
        <v>39900</v>
      </c>
      <c r="J2072" s="64">
        <v>6.4786967418546393E-2</v>
      </c>
      <c r="K2072" s="30">
        <v>10</v>
      </c>
      <c r="L2072" s="30">
        <f t="shared" si="8"/>
        <v>399000</v>
      </c>
      <c r="M2072" s="1514"/>
      <c r="N2072" s="1446"/>
    </row>
    <row r="2073" spans="2:15" ht="16.5" customHeight="1">
      <c r="B2073" s="1448"/>
      <c r="C2073" s="1452"/>
      <c r="D2073" s="1452"/>
      <c r="E2073" s="30" t="s">
        <v>2385</v>
      </c>
      <c r="F2073" s="31" t="s">
        <v>2386</v>
      </c>
      <c r="G2073" s="1448"/>
      <c r="H2073" s="70">
        <v>30219291</v>
      </c>
      <c r="I2073" s="30">
        <v>25900</v>
      </c>
      <c r="J2073" s="64">
        <v>6.4671814671814709E-2</v>
      </c>
      <c r="K2073" s="30">
        <v>10</v>
      </c>
      <c r="L2073" s="30">
        <f t="shared" si="8"/>
        <v>259000</v>
      </c>
      <c r="M2073" s="1514"/>
      <c r="N2073" s="1446"/>
    </row>
    <row r="2074" spans="2:15" ht="16.5" customHeight="1">
      <c r="B2074" s="1448"/>
      <c r="C2074" s="1453"/>
      <c r="D2074" s="1453"/>
      <c r="E2074" s="30" t="s">
        <v>2387</v>
      </c>
      <c r="F2074" s="31" t="s">
        <v>2388</v>
      </c>
      <c r="G2074" s="1448"/>
      <c r="H2074" s="70">
        <v>30219290</v>
      </c>
      <c r="I2074" s="30">
        <v>46900</v>
      </c>
      <c r="J2074" s="64">
        <v>5.9381663113006411E-2</v>
      </c>
      <c r="K2074" s="30">
        <v>10</v>
      </c>
      <c r="L2074" s="30">
        <f t="shared" si="8"/>
        <v>469000</v>
      </c>
      <c r="M2074" s="1513"/>
      <c r="N2074" s="1447"/>
    </row>
    <row r="2075" spans="2:15" ht="16.5" customHeight="1">
      <c r="B2075" s="1448"/>
      <c r="C2075" s="1451">
        <v>4</v>
      </c>
      <c r="D2075" s="1448" t="s">
        <v>478</v>
      </c>
      <c r="E2075" s="30">
        <v>67490500</v>
      </c>
      <c r="F2075" s="31" t="s">
        <v>2389</v>
      </c>
      <c r="G2075" s="1448" t="s">
        <v>2389</v>
      </c>
      <c r="H2075" s="70">
        <v>30193469</v>
      </c>
      <c r="I2075" s="30">
        <v>29900</v>
      </c>
      <c r="J2075" s="64">
        <v>6.4381270903010046E-2</v>
      </c>
      <c r="K2075" s="30">
        <v>10</v>
      </c>
      <c r="L2075" s="30">
        <f t="shared" si="8"/>
        <v>299000</v>
      </c>
      <c r="M2075" s="1512" t="s">
        <v>2390</v>
      </c>
      <c r="N2075" s="1445">
        <v>20250205226</v>
      </c>
    </row>
    <row r="2076" spans="2:15" ht="16.5" customHeight="1">
      <c r="B2076" s="1448"/>
      <c r="C2076" s="1453"/>
      <c r="D2076" s="1448"/>
      <c r="E2076" s="30">
        <v>67490499</v>
      </c>
      <c r="F2076" s="31" t="s">
        <v>2391</v>
      </c>
      <c r="G2076" s="1448"/>
      <c r="H2076" s="70">
        <v>30193470</v>
      </c>
      <c r="I2076" s="30">
        <v>34900</v>
      </c>
      <c r="J2076" s="64">
        <v>6.088825214899718E-2</v>
      </c>
      <c r="K2076" s="30">
        <v>10</v>
      </c>
      <c r="L2076" s="30">
        <f t="shared" si="8"/>
        <v>349000</v>
      </c>
      <c r="M2076" s="1513"/>
      <c r="N2076" s="1447"/>
    </row>
    <row r="2077" spans="2:15" ht="31.5">
      <c r="B2077" s="1441" t="s">
        <v>2392</v>
      </c>
      <c r="C2077" s="1442"/>
      <c r="D2077" s="1442"/>
      <c r="E2077" s="1442"/>
      <c r="F2077" s="1442"/>
      <c r="G2077" s="1442"/>
      <c r="H2077" s="1442"/>
      <c r="I2077" s="1442"/>
      <c r="J2077" s="1442"/>
      <c r="K2077" s="1442"/>
      <c r="L2077" s="1442"/>
      <c r="M2077" s="1442"/>
      <c r="N2077" s="1442"/>
    </row>
    <row r="2079" spans="2:15" ht="31.5">
      <c r="B2079" s="15" t="s">
        <v>2393</v>
      </c>
      <c r="C2079" s="15"/>
      <c r="D2079" s="15"/>
      <c r="E2079" s="15"/>
      <c r="F2079" s="15"/>
      <c r="G2079" s="15"/>
      <c r="H2079" s="15"/>
      <c r="I2079" s="15"/>
      <c r="J2079" s="15"/>
      <c r="K2079" s="15"/>
      <c r="L2079" s="15"/>
      <c r="M2079" s="15"/>
      <c r="N2079" s="15"/>
    </row>
    <row r="2080" spans="2:15" ht="16.5" customHeight="1">
      <c r="B2080" s="1448" t="s">
        <v>1109</v>
      </c>
      <c r="C2080" s="1448">
        <v>1</v>
      </c>
      <c r="D2080" s="1448" t="s">
        <v>1502</v>
      </c>
      <c r="E2080" s="30">
        <v>30199741</v>
      </c>
      <c r="F2080" s="30" t="s">
        <v>2394</v>
      </c>
      <c r="G2080" s="1454" t="s">
        <v>2395</v>
      </c>
      <c r="H2080" s="30">
        <v>30219433</v>
      </c>
      <c r="I2080" s="35">
        <v>8500</v>
      </c>
      <c r="J2080" s="64">
        <v>0.1</v>
      </c>
      <c r="K2080" s="1448">
        <v>5</v>
      </c>
      <c r="L2080" s="1448">
        <f>I2091*5</f>
        <v>30500</v>
      </c>
      <c r="M2080" s="1454" t="s">
        <v>2396</v>
      </c>
      <c r="N2080" s="1445">
        <v>20250212228</v>
      </c>
    </row>
    <row r="2081" spans="2:14" ht="16.5" customHeight="1">
      <c r="B2081" s="1448"/>
      <c r="C2081" s="1448"/>
      <c r="D2081" s="1448"/>
      <c r="E2081" s="30">
        <v>30199740</v>
      </c>
      <c r="F2081" s="30" t="s">
        <v>2397</v>
      </c>
      <c r="G2081" s="1448"/>
      <c r="H2081" s="30">
        <v>30219439</v>
      </c>
      <c r="I2081" s="35">
        <v>9500</v>
      </c>
      <c r="J2081" s="64">
        <v>0.1</v>
      </c>
      <c r="K2081" s="1448"/>
      <c r="L2081" s="1448"/>
      <c r="M2081" s="1454"/>
      <c r="N2081" s="1446"/>
    </row>
    <row r="2082" spans="2:14" ht="16.5" customHeight="1">
      <c r="B2082" s="1448"/>
      <c r="C2082" s="1448"/>
      <c r="D2082" s="1448"/>
      <c r="E2082" s="30">
        <v>30199733</v>
      </c>
      <c r="F2082" s="30" t="s">
        <v>2398</v>
      </c>
      <c r="G2082" s="1448"/>
      <c r="H2082" s="30">
        <v>30219442</v>
      </c>
      <c r="I2082" s="35">
        <v>9500</v>
      </c>
      <c r="J2082" s="64">
        <v>0.1</v>
      </c>
      <c r="K2082" s="1448"/>
      <c r="L2082" s="1448"/>
      <c r="M2082" s="1454"/>
      <c r="N2082" s="1446"/>
    </row>
    <row r="2083" spans="2:14" ht="16.5" customHeight="1">
      <c r="B2083" s="1448"/>
      <c r="C2083" s="1448"/>
      <c r="D2083" s="1448"/>
      <c r="E2083" s="30">
        <v>30199735</v>
      </c>
      <c r="F2083" s="30" t="s">
        <v>2399</v>
      </c>
      <c r="G2083" s="1448"/>
      <c r="H2083" s="30">
        <v>30219444</v>
      </c>
      <c r="I2083" s="35">
        <v>10500</v>
      </c>
      <c r="J2083" s="64">
        <v>0.1</v>
      </c>
      <c r="K2083" s="1448"/>
      <c r="L2083" s="1448"/>
      <c r="M2083" s="1454"/>
      <c r="N2083" s="1446"/>
    </row>
    <row r="2084" spans="2:14" ht="16.5" customHeight="1">
      <c r="B2084" s="1448"/>
      <c r="C2084" s="1448"/>
      <c r="D2084" s="1448"/>
      <c r="E2084" s="30">
        <v>30199736</v>
      </c>
      <c r="F2084" s="30" t="s">
        <v>2400</v>
      </c>
      <c r="G2084" s="1448"/>
      <c r="H2084" s="30">
        <v>30219445</v>
      </c>
      <c r="I2084" s="35">
        <v>9900</v>
      </c>
      <c r="J2084" s="64">
        <v>0.1</v>
      </c>
      <c r="K2084" s="1448"/>
      <c r="L2084" s="1448"/>
      <c r="M2084" s="1454"/>
      <c r="N2084" s="1446"/>
    </row>
    <row r="2085" spans="2:14" ht="16.5" customHeight="1">
      <c r="B2085" s="1448"/>
      <c r="C2085" s="1448"/>
      <c r="D2085" s="1448"/>
      <c r="E2085" s="30">
        <v>30201400</v>
      </c>
      <c r="F2085" s="30" t="s">
        <v>2401</v>
      </c>
      <c r="G2085" s="1448"/>
      <c r="H2085" s="30">
        <v>30219446</v>
      </c>
      <c r="I2085" s="35">
        <v>10500</v>
      </c>
      <c r="J2085" s="64">
        <v>0.1</v>
      </c>
      <c r="K2085" s="1448"/>
      <c r="L2085" s="1448"/>
      <c r="M2085" s="1454"/>
      <c r="N2085" s="1446"/>
    </row>
    <row r="2086" spans="2:14" ht="16.5" customHeight="1">
      <c r="B2086" s="1448"/>
      <c r="C2086" s="1448"/>
      <c r="D2086" s="1448"/>
      <c r="E2086" s="30">
        <v>30201404</v>
      </c>
      <c r="F2086" s="30" t="s">
        <v>2402</v>
      </c>
      <c r="G2086" s="1448"/>
      <c r="H2086" s="30">
        <v>30219447</v>
      </c>
      <c r="I2086" s="35">
        <v>11500</v>
      </c>
      <c r="J2086" s="64">
        <v>0.1</v>
      </c>
      <c r="K2086" s="1448"/>
      <c r="L2086" s="1448"/>
      <c r="M2086" s="1454"/>
      <c r="N2086" s="1446"/>
    </row>
    <row r="2087" spans="2:14" ht="16.5" customHeight="1">
      <c r="B2087" s="1448"/>
      <c r="C2087" s="1448"/>
      <c r="D2087" s="1448"/>
      <c r="E2087" s="30">
        <v>30201406</v>
      </c>
      <c r="F2087" s="30" t="s">
        <v>2403</v>
      </c>
      <c r="G2087" s="1448"/>
      <c r="H2087" s="30">
        <v>30219448</v>
      </c>
      <c r="I2087" s="35">
        <v>10900</v>
      </c>
      <c r="J2087" s="64">
        <v>0.1</v>
      </c>
      <c r="K2087" s="1448"/>
      <c r="L2087" s="1448"/>
      <c r="M2087" s="1454"/>
      <c r="N2087" s="1446"/>
    </row>
    <row r="2088" spans="2:14" ht="16.5" customHeight="1">
      <c r="B2088" s="1448"/>
      <c r="C2088" s="1448"/>
      <c r="D2088" s="1448"/>
      <c r="E2088" s="30">
        <v>30198823</v>
      </c>
      <c r="F2088" s="30" t="s">
        <v>1111</v>
      </c>
      <c r="G2088" s="1448"/>
      <c r="H2088" s="30">
        <v>30216883</v>
      </c>
      <c r="I2088" s="35">
        <v>6900</v>
      </c>
      <c r="J2088" s="64">
        <v>0.1</v>
      </c>
      <c r="K2088" s="1448"/>
      <c r="L2088" s="1448"/>
      <c r="M2088" s="1454"/>
      <c r="N2088" s="1446"/>
    </row>
    <row r="2089" spans="2:14" ht="16.5" customHeight="1">
      <c r="B2089" s="1448"/>
      <c r="C2089" s="1448"/>
      <c r="D2089" s="1448"/>
      <c r="E2089" s="30">
        <v>30203100</v>
      </c>
      <c r="F2089" s="30" t="s">
        <v>1115</v>
      </c>
      <c r="G2089" s="1448"/>
      <c r="H2089" s="30">
        <v>30208598</v>
      </c>
      <c r="I2089" s="35">
        <v>6900</v>
      </c>
      <c r="J2089" s="64">
        <v>0.1</v>
      </c>
      <c r="K2089" s="1448"/>
      <c r="L2089" s="1448"/>
      <c r="M2089" s="1454"/>
      <c r="N2089" s="1446"/>
    </row>
    <row r="2090" spans="2:14" ht="16.5" customHeight="1">
      <c r="B2090" s="1448"/>
      <c r="C2090" s="1448"/>
      <c r="D2090" s="1448"/>
      <c r="E2090" s="30">
        <v>30201344</v>
      </c>
      <c r="F2090" s="30" t="s">
        <v>1114</v>
      </c>
      <c r="G2090" s="1448"/>
      <c r="H2090" s="30">
        <v>30208596</v>
      </c>
      <c r="I2090" s="35">
        <v>8100</v>
      </c>
      <c r="J2090" s="64">
        <v>0.1</v>
      </c>
      <c r="K2090" s="1448"/>
      <c r="L2090" s="1448"/>
      <c r="M2090" s="1454"/>
      <c r="N2090" s="1446"/>
    </row>
    <row r="2091" spans="2:14" ht="16.5" customHeight="1">
      <c r="B2091" s="1448"/>
      <c r="C2091" s="1448"/>
      <c r="D2091" s="1448"/>
      <c r="E2091" s="30">
        <v>30199749</v>
      </c>
      <c r="F2091" s="30" t="s">
        <v>1116</v>
      </c>
      <c r="G2091" s="1448"/>
      <c r="H2091" s="30">
        <v>30201017</v>
      </c>
      <c r="I2091" s="35">
        <v>6100</v>
      </c>
      <c r="J2091" s="64">
        <v>0.1</v>
      </c>
      <c r="K2091" s="1448"/>
      <c r="L2091" s="1448"/>
      <c r="M2091" s="1454"/>
      <c r="N2091" s="1446"/>
    </row>
    <row r="2092" spans="2:14" ht="16.5" customHeight="1">
      <c r="B2092" s="1448"/>
      <c r="C2092" s="1448"/>
      <c r="D2092" s="1448"/>
      <c r="E2092" s="30">
        <v>30209424</v>
      </c>
      <c r="F2092" s="30" t="s">
        <v>1507</v>
      </c>
      <c r="G2092" s="1448"/>
      <c r="H2092" s="30">
        <v>30210575</v>
      </c>
      <c r="I2092" s="35">
        <v>8900</v>
      </c>
      <c r="J2092" s="64">
        <v>0.1</v>
      </c>
      <c r="K2092" s="1448"/>
      <c r="L2092" s="1448"/>
      <c r="M2092" s="1454"/>
      <c r="N2092" s="1446"/>
    </row>
    <row r="2093" spans="2:14" ht="16.5" customHeight="1">
      <c r="B2093" s="1448"/>
      <c r="C2093" s="1448"/>
      <c r="D2093" s="1448"/>
      <c r="E2093" s="30">
        <v>30215946</v>
      </c>
      <c r="F2093" s="30" t="s">
        <v>1508</v>
      </c>
      <c r="G2093" s="1448"/>
      <c r="H2093" s="30">
        <v>30216689</v>
      </c>
      <c r="I2093" s="35">
        <v>9900</v>
      </c>
      <c r="J2093" s="64">
        <v>0.1</v>
      </c>
      <c r="K2093" s="1448"/>
      <c r="L2093" s="1448"/>
      <c r="M2093" s="1454"/>
      <c r="N2093" s="1446"/>
    </row>
    <row r="2094" spans="2:14" ht="16.5" customHeight="1">
      <c r="B2094" s="1448"/>
      <c r="C2094" s="1448"/>
      <c r="D2094" s="1448"/>
      <c r="E2094" s="30">
        <v>30199743</v>
      </c>
      <c r="F2094" s="30" t="s">
        <v>1121</v>
      </c>
      <c r="G2094" s="1448"/>
      <c r="H2094" s="30">
        <v>30208601</v>
      </c>
      <c r="I2094" s="35">
        <v>9100</v>
      </c>
      <c r="J2094" s="64">
        <v>0.1</v>
      </c>
      <c r="K2094" s="1448"/>
      <c r="L2094" s="1448"/>
      <c r="M2094" s="1454"/>
      <c r="N2094" s="1446"/>
    </row>
    <row r="2095" spans="2:14" ht="16.5" customHeight="1">
      <c r="B2095" s="1448"/>
      <c r="C2095" s="1448"/>
      <c r="D2095" s="1448"/>
      <c r="E2095" s="30">
        <v>30199754</v>
      </c>
      <c r="F2095" s="30" t="s">
        <v>1122</v>
      </c>
      <c r="G2095" s="1448"/>
      <c r="H2095" s="30">
        <v>30201005</v>
      </c>
      <c r="I2095" s="35">
        <v>7900</v>
      </c>
      <c r="J2095" s="64">
        <v>0.1</v>
      </c>
      <c r="K2095" s="1448"/>
      <c r="L2095" s="1448"/>
      <c r="M2095" s="1454"/>
      <c r="N2095" s="1446"/>
    </row>
    <row r="2096" spans="2:14" ht="16.5" customHeight="1">
      <c r="B2096" s="1448"/>
      <c r="C2096" s="1448"/>
      <c r="D2096" s="1448"/>
      <c r="E2096" s="30">
        <v>30199752</v>
      </c>
      <c r="F2096" s="30" t="s">
        <v>1123</v>
      </c>
      <c r="G2096" s="1448"/>
      <c r="H2096" s="30">
        <v>30201010</v>
      </c>
      <c r="I2096" s="35">
        <v>6100</v>
      </c>
      <c r="J2096" s="64">
        <v>0.1</v>
      </c>
      <c r="K2096" s="1448"/>
      <c r="L2096" s="1448"/>
      <c r="M2096" s="1454"/>
      <c r="N2096" s="1446"/>
    </row>
    <row r="2097" spans="2:15" ht="16.5" customHeight="1">
      <c r="B2097" s="1448"/>
      <c r="C2097" s="1448"/>
      <c r="D2097" s="1448"/>
      <c r="E2097" s="30">
        <v>30199757</v>
      </c>
      <c r="F2097" s="30" t="s">
        <v>1124</v>
      </c>
      <c r="G2097" s="1448"/>
      <c r="H2097" s="30">
        <v>30201018</v>
      </c>
      <c r="I2097" s="35">
        <v>8900</v>
      </c>
      <c r="J2097" s="64">
        <v>0.1</v>
      </c>
      <c r="K2097" s="1448"/>
      <c r="L2097" s="1448"/>
      <c r="M2097" s="1454"/>
      <c r="N2097" s="1446"/>
    </row>
    <row r="2098" spans="2:15" ht="16.5" customHeight="1">
      <c r="B2098" s="1448"/>
      <c r="C2098" s="1448"/>
      <c r="D2098" s="1448"/>
      <c r="E2098" s="30">
        <v>30199794</v>
      </c>
      <c r="F2098" s="30" t="s">
        <v>1511</v>
      </c>
      <c r="G2098" s="1448"/>
      <c r="H2098" s="30">
        <v>30216842</v>
      </c>
      <c r="I2098" s="35">
        <v>7900</v>
      </c>
      <c r="J2098" s="64">
        <v>0.1</v>
      </c>
      <c r="K2098" s="1448"/>
      <c r="L2098" s="1448"/>
      <c r="M2098" s="1454"/>
      <c r="N2098" s="1446"/>
    </row>
    <row r="2099" spans="2:15" ht="16.5" customHeight="1">
      <c r="B2099" s="1448"/>
      <c r="C2099" s="1448"/>
      <c r="D2099" s="1448"/>
      <c r="E2099" s="30">
        <v>30215967</v>
      </c>
      <c r="F2099" s="30" t="s">
        <v>1512</v>
      </c>
      <c r="G2099" s="1448"/>
      <c r="H2099" s="30">
        <v>30216848</v>
      </c>
      <c r="I2099" s="35">
        <v>8900</v>
      </c>
      <c r="J2099" s="64">
        <v>0.1</v>
      </c>
      <c r="K2099" s="1448"/>
      <c r="L2099" s="1448"/>
      <c r="M2099" s="1454"/>
      <c r="N2099" s="1447"/>
    </row>
    <row r="2100" spans="2:15" ht="16.5" customHeight="1">
      <c r="B2100" s="1448"/>
      <c r="C2100" s="1448">
        <v>2</v>
      </c>
      <c r="D2100" s="1448" t="s">
        <v>2404</v>
      </c>
      <c r="E2100" s="30">
        <v>30024261</v>
      </c>
      <c r="F2100" s="30" t="s">
        <v>2405</v>
      </c>
      <c r="G2100" s="1454" t="s">
        <v>2406</v>
      </c>
      <c r="H2100" s="30">
        <v>30198118</v>
      </c>
      <c r="I2100" s="35">
        <v>30540</v>
      </c>
      <c r="J2100" s="64">
        <v>0.08</v>
      </c>
      <c r="K2100" s="1448">
        <v>5</v>
      </c>
      <c r="L2100" s="1448">
        <f>I2102*5</f>
        <v>64500</v>
      </c>
      <c r="M2100" s="1454" t="s">
        <v>2407</v>
      </c>
      <c r="N2100" s="1445">
        <v>20250212229</v>
      </c>
      <c r="O2100" s="4" t="s">
        <v>2157</v>
      </c>
    </row>
    <row r="2101" spans="2:15" ht="16.5" customHeight="1">
      <c r="B2101" s="1448"/>
      <c r="C2101" s="1448"/>
      <c r="D2101" s="1448"/>
      <c r="E2101" s="30">
        <v>10656777</v>
      </c>
      <c r="F2101" s="30" t="s">
        <v>2408</v>
      </c>
      <c r="G2101" s="1448"/>
      <c r="H2101" s="30">
        <v>30220032</v>
      </c>
      <c r="I2101" s="35">
        <v>19400</v>
      </c>
      <c r="J2101" s="64">
        <v>0.08</v>
      </c>
      <c r="K2101" s="1448"/>
      <c r="L2101" s="1448"/>
      <c r="M2101" s="1448"/>
      <c r="N2101" s="1446"/>
    </row>
    <row r="2102" spans="2:15" ht="16.5" customHeight="1">
      <c r="B2102" s="1448"/>
      <c r="C2102" s="1448"/>
      <c r="D2102" s="1448"/>
      <c r="E2102" s="30">
        <v>30078113</v>
      </c>
      <c r="F2102" s="30" t="s">
        <v>2409</v>
      </c>
      <c r="G2102" s="1448"/>
      <c r="H2102" s="30">
        <v>30220033</v>
      </c>
      <c r="I2102" s="35">
        <v>12900</v>
      </c>
      <c r="J2102" s="64">
        <v>0.08</v>
      </c>
      <c r="K2102" s="1448"/>
      <c r="L2102" s="1448"/>
      <c r="M2102" s="1448"/>
      <c r="N2102" s="1447"/>
    </row>
    <row r="2103" spans="2:15" ht="16.5" customHeight="1">
      <c r="B2103" s="1448" t="s">
        <v>910</v>
      </c>
      <c r="C2103" s="1448">
        <v>1</v>
      </c>
      <c r="D2103" s="1448" t="s">
        <v>930</v>
      </c>
      <c r="E2103" s="30">
        <v>30190673</v>
      </c>
      <c r="F2103" s="31" t="s">
        <v>2410</v>
      </c>
      <c r="G2103" s="1448" t="s">
        <v>2411</v>
      </c>
      <c r="H2103" s="30">
        <v>30219487</v>
      </c>
      <c r="I2103" s="35">
        <v>14200</v>
      </c>
      <c r="J2103" s="64">
        <v>0.1</v>
      </c>
      <c r="K2103" s="30">
        <v>10</v>
      </c>
      <c r="L2103" s="35">
        <v>142000</v>
      </c>
      <c r="M2103" s="1454" t="s">
        <v>2412</v>
      </c>
      <c r="N2103" s="1445">
        <v>20250212230</v>
      </c>
    </row>
    <row r="2104" spans="2:15" ht="16.5" customHeight="1">
      <c r="B2104" s="1448"/>
      <c r="C2104" s="1448"/>
      <c r="D2104" s="1448"/>
      <c r="E2104" s="30">
        <v>30191384</v>
      </c>
      <c r="F2104" s="31" t="s">
        <v>2413</v>
      </c>
      <c r="G2104" s="1448"/>
      <c r="H2104" s="30">
        <v>30219490</v>
      </c>
      <c r="I2104" s="35">
        <v>17700</v>
      </c>
      <c r="J2104" s="64">
        <v>0.1</v>
      </c>
      <c r="K2104" s="30">
        <v>5</v>
      </c>
      <c r="L2104" s="35">
        <v>88500</v>
      </c>
      <c r="M2104" s="1454"/>
      <c r="N2104" s="1447"/>
    </row>
    <row r="2105" spans="2:15" ht="16.5" customHeight="1">
      <c r="B2105" s="1448"/>
      <c r="C2105" s="1448">
        <v>2</v>
      </c>
      <c r="D2105" s="1448" t="s">
        <v>935</v>
      </c>
      <c r="E2105" s="30">
        <v>30216003</v>
      </c>
      <c r="F2105" s="31" t="s">
        <v>2414</v>
      </c>
      <c r="G2105" s="1454" t="s">
        <v>2415</v>
      </c>
      <c r="H2105" s="30">
        <v>30219491</v>
      </c>
      <c r="I2105" s="35">
        <v>8500</v>
      </c>
      <c r="J2105" s="64">
        <v>0.13</v>
      </c>
      <c r="K2105" s="30">
        <v>10</v>
      </c>
      <c r="L2105" s="35">
        <v>85000</v>
      </c>
      <c r="M2105" s="1454" t="s">
        <v>2416</v>
      </c>
      <c r="N2105" s="1445">
        <v>20250212231</v>
      </c>
    </row>
    <row r="2106" spans="2:15" ht="16.5" customHeight="1">
      <c r="B2106" s="1448"/>
      <c r="C2106" s="1448"/>
      <c r="D2106" s="1448"/>
      <c r="E2106" s="30">
        <v>30216013</v>
      </c>
      <c r="F2106" s="31" t="s">
        <v>2417</v>
      </c>
      <c r="G2106" s="1448"/>
      <c r="H2106" s="30">
        <v>30219511</v>
      </c>
      <c r="I2106" s="35">
        <v>8500</v>
      </c>
      <c r="J2106" s="64">
        <v>0.13</v>
      </c>
      <c r="K2106" s="30">
        <v>10</v>
      </c>
      <c r="L2106" s="35">
        <v>85000</v>
      </c>
      <c r="M2106" s="1454"/>
      <c r="N2106" s="1446"/>
    </row>
    <row r="2107" spans="2:15" ht="16.5" customHeight="1">
      <c r="B2107" s="1448"/>
      <c r="C2107" s="1448"/>
      <c r="D2107" s="1448"/>
      <c r="E2107" s="30">
        <v>30216024</v>
      </c>
      <c r="F2107" s="31" t="s">
        <v>2418</v>
      </c>
      <c r="G2107" s="1448"/>
      <c r="H2107" s="30">
        <v>30219512</v>
      </c>
      <c r="I2107" s="35">
        <v>8500</v>
      </c>
      <c r="J2107" s="64">
        <v>0.13</v>
      </c>
      <c r="K2107" s="30">
        <v>10</v>
      </c>
      <c r="L2107" s="35">
        <v>85000</v>
      </c>
      <c r="M2107" s="1454"/>
      <c r="N2107" s="1446"/>
    </row>
    <row r="2108" spans="2:15" ht="16.5" customHeight="1">
      <c r="B2108" s="1448"/>
      <c r="C2108" s="1448"/>
      <c r="D2108" s="1448"/>
      <c r="E2108" s="30">
        <v>30216002</v>
      </c>
      <c r="F2108" s="31" t="s">
        <v>2419</v>
      </c>
      <c r="G2108" s="1448"/>
      <c r="H2108" s="30">
        <v>30219513</v>
      </c>
      <c r="I2108" s="35">
        <v>8500</v>
      </c>
      <c r="J2108" s="64">
        <v>0.13</v>
      </c>
      <c r="K2108" s="30">
        <v>10</v>
      </c>
      <c r="L2108" s="35">
        <v>85000</v>
      </c>
      <c r="M2108" s="1454"/>
      <c r="N2108" s="1446"/>
    </row>
    <row r="2109" spans="2:15" ht="16.5" customHeight="1">
      <c r="B2109" s="1448"/>
      <c r="C2109" s="1448"/>
      <c r="D2109" s="1448"/>
      <c r="E2109" s="30">
        <v>30161265</v>
      </c>
      <c r="F2109" s="31" t="s">
        <v>2420</v>
      </c>
      <c r="G2109" s="1448"/>
      <c r="H2109" s="30">
        <v>30171552</v>
      </c>
      <c r="I2109" s="35">
        <v>9400</v>
      </c>
      <c r="J2109" s="64">
        <v>0.13</v>
      </c>
      <c r="K2109" s="30">
        <v>10</v>
      </c>
      <c r="L2109" s="35">
        <v>94000</v>
      </c>
      <c r="M2109" s="1454"/>
      <c r="N2109" s="1447"/>
    </row>
    <row r="2110" spans="2:15" ht="16.5" customHeight="1">
      <c r="B2110" s="1448"/>
      <c r="C2110" s="29">
        <v>3</v>
      </c>
      <c r="D2110" s="29" t="s">
        <v>2421</v>
      </c>
      <c r="E2110" s="30">
        <v>10046637</v>
      </c>
      <c r="F2110" s="31" t="s">
        <v>2422</v>
      </c>
      <c r="G2110" s="33" t="s">
        <v>2423</v>
      </c>
      <c r="H2110" s="30">
        <v>30180111</v>
      </c>
      <c r="I2110" s="35">
        <v>12900</v>
      </c>
      <c r="J2110" s="64">
        <v>0.1</v>
      </c>
      <c r="K2110" s="30">
        <v>10</v>
      </c>
      <c r="L2110" s="35">
        <v>129000</v>
      </c>
      <c r="M2110" s="31" t="s">
        <v>2424</v>
      </c>
      <c r="N2110" s="34">
        <v>20250212232</v>
      </c>
    </row>
    <row r="2111" spans="2:15" ht="16.5" customHeight="1">
      <c r="B2111" s="1448"/>
      <c r="C2111" s="1448">
        <v>4</v>
      </c>
      <c r="D2111" s="1448" t="s">
        <v>915</v>
      </c>
      <c r="E2111" s="30">
        <v>30032257</v>
      </c>
      <c r="F2111" s="31" t="s">
        <v>916</v>
      </c>
      <c r="G2111" s="1454" t="s">
        <v>2425</v>
      </c>
      <c r="H2111" s="30">
        <v>30201984</v>
      </c>
      <c r="I2111" s="35">
        <v>13900</v>
      </c>
      <c r="J2111" s="64">
        <v>0.1</v>
      </c>
      <c r="K2111" s="30">
        <v>10</v>
      </c>
      <c r="L2111" s="35">
        <v>139000</v>
      </c>
      <c r="M2111" s="1454" t="s">
        <v>2426</v>
      </c>
      <c r="N2111" s="1445">
        <v>20250212233</v>
      </c>
    </row>
    <row r="2112" spans="2:15" ht="16.5" customHeight="1">
      <c r="B2112" s="1448"/>
      <c r="C2112" s="1448"/>
      <c r="D2112" s="1448"/>
      <c r="E2112" s="30">
        <v>30176676</v>
      </c>
      <c r="F2112" s="31" t="s">
        <v>1723</v>
      </c>
      <c r="G2112" s="1448"/>
      <c r="H2112" s="30">
        <v>30176676</v>
      </c>
      <c r="I2112" s="35">
        <v>13900</v>
      </c>
      <c r="J2112" s="64">
        <v>0.1</v>
      </c>
      <c r="K2112" s="30">
        <v>10</v>
      </c>
      <c r="L2112" s="35">
        <v>139000</v>
      </c>
      <c r="M2112" s="1454"/>
      <c r="N2112" s="1446"/>
    </row>
    <row r="2113" spans="2:15" ht="16.5" customHeight="1">
      <c r="B2113" s="1448"/>
      <c r="C2113" s="1448"/>
      <c r="D2113" s="1448"/>
      <c r="E2113" s="30">
        <v>30171005</v>
      </c>
      <c r="F2113" s="31" t="s">
        <v>918</v>
      </c>
      <c r="G2113" s="1448"/>
      <c r="H2113" s="30">
        <v>30215007</v>
      </c>
      <c r="I2113" s="35">
        <v>9500</v>
      </c>
      <c r="J2113" s="64">
        <v>0.1</v>
      </c>
      <c r="K2113" s="30">
        <v>10</v>
      </c>
      <c r="L2113" s="35">
        <v>95000</v>
      </c>
      <c r="M2113" s="1454"/>
      <c r="N2113" s="1447"/>
    </row>
    <row r="2114" spans="2:15" ht="16.5" customHeight="1">
      <c r="B2114" s="1448" t="s">
        <v>942</v>
      </c>
      <c r="C2114" s="1448">
        <v>1</v>
      </c>
      <c r="D2114" s="1448" t="s">
        <v>2240</v>
      </c>
      <c r="E2114" s="30">
        <v>30136257</v>
      </c>
      <c r="F2114" s="31" t="s">
        <v>2427</v>
      </c>
      <c r="G2114" s="1454" t="s">
        <v>2428</v>
      </c>
      <c r="H2114" s="30">
        <v>30182750</v>
      </c>
      <c r="I2114" s="35">
        <v>18900</v>
      </c>
      <c r="J2114" s="64">
        <v>0.08</v>
      </c>
      <c r="K2114" s="30">
        <v>5</v>
      </c>
      <c r="L2114" s="35">
        <v>94500</v>
      </c>
      <c r="M2114" s="1454" t="s">
        <v>2429</v>
      </c>
      <c r="N2114" s="1445">
        <v>20250212234</v>
      </c>
    </row>
    <row r="2115" spans="2:15" ht="16.5" customHeight="1">
      <c r="B2115" s="1448"/>
      <c r="C2115" s="1448"/>
      <c r="D2115" s="1448"/>
      <c r="E2115" s="30">
        <v>30191294</v>
      </c>
      <c r="F2115" s="31" t="s">
        <v>2430</v>
      </c>
      <c r="G2115" s="1448"/>
      <c r="H2115" s="30">
        <v>30182751</v>
      </c>
      <c r="I2115" s="35">
        <v>29900</v>
      </c>
      <c r="J2115" s="64">
        <v>0.08</v>
      </c>
      <c r="K2115" s="30">
        <v>5</v>
      </c>
      <c r="L2115" s="35">
        <v>149500</v>
      </c>
      <c r="M2115" s="1454"/>
      <c r="N2115" s="1446"/>
    </row>
    <row r="2116" spans="2:15" ht="16.5" customHeight="1">
      <c r="B2116" s="1448"/>
      <c r="C2116" s="1448"/>
      <c r="D2116" s="1448"/>
      <c r="E2116" s="30">
        <v>30173210</v>
      </c>
      <c r="F2116" s="31" t="s">
        <v>2431</v>
      </c>
      <c r="G2116" s="1448"/>
      <c r="H2116" s="30">
        <v>30219517</v>
      </c>
      <c r="I2116" s="35">
        <v>59800</v>
      </c>
      <c r="J2116" s="64">
        <v>0.08</v>
      </c>
      <c r="K2116" s="30">
        <v>3</v>
      </c>
      <c r="L2116" s="35">
        <v>179400</v>
      </c>
      <c r="M2116" s="1454"/>
      <c r="N2116" s="1446"/>
    </row>
    <row r="2117" spans="2:15" ht="16.5" customHeight="1">
      <c r="B2117" s="1448"/>
      <c r="C2117" s="1448"/>
      <c r="D2117" s="1448"/>
      <c r="E2117" s="30">
        <v>30136262</v>
      </c>
      <c r="F2117" s="31" t="s">
        <v>2432</v>
      </c>
      <c r="G2117" s="1448"/>
      <c r="H2117" s="30">
        <v>30219518</v>
      </c>
      <c r="I2117" s="35">
        <v>59800</v>
      </c>
      <c r="J2117" s="64">
        <v>0.08</v>
      </c>
      <c r="K2117" s="30">
        <v>3</v>
      </c>
      <c r="L2117" s="35">
        <v>179400</v>
      </c>
      <c r="M2117" s="1454"/>
      <c r="N2117" s="1447"/>
    </row>
    <row r="2118" spans="2:15" ht="16.5" customHeight="1">
      <c r="B2118" s="1448"/>
      <c r="C2118" s="1454">
        <v>2</v>
      </c>
      <c r="D2118" s="1448" t="s">
        <v>947</v>
      </c>
      <c r="E2118" s="30">
        <v>30208850</v>
      </c>
      <c r="F2118" s="31" t="s">
        <v>2433</v>
      </c>
      <c r="G2118" s="1454" t="s">
        <v>2434</v>
      </c>
      <c r="H2118" s="30">
        <v>30219519</v>
      </c>
      <c r="I2118" s="35">
        <v>9900</v>
      </c>
      <c r="J2118" s="64">
        <v>0.1</v>
      </c>
      <c r="K2118" s="30">
        <v>10</v>
      </c>
      <c r="L2118" s="35">
        <v>99000</v>
      </c>
      <c r="M2118" s="1454" t="s">
        <v>2435</v>
      </c>
      <c r="N2118" s="1445">
        <v>20250212235</v>
      </c>
    </row>
    <row r="2119" spans="2:15" ht="16.5" customHeight="1">
      <c r="B2119" s="1448"/>
      <c r="C2119" s="1454"/>
      <c r="D2119" s="1448"/>
      <c r="E2119" s="30">
        <v>30208849</v>
      </c>
      <c r="F2119" s="31" t="s">
        <v>2436</v>
      </c>
      <c r="G2119" s="1448"/>
      <c r="H2119" s="30">
        <v>30219520</v>
      </c>
      <c r="I2119" s="35">
        <v>9900</v>
      </c>
      <c r="J2119" s="64">
        <v>0.1</v>
      </c>
      <c r="K2119" s="30">
        <v>10</v>
      </c>
      <c r="L2119" s="35">
        <v>99000</v>
      </c>
      <c r="M2119" s="1454"/>
      <c r="N2119" s="1447"/>
    </row>
    <row r="2120" spans="2:15" ht="16.5" customHeight="1">
      <c r="B2120" s="1448"/>
      <c r="C2120" s="1448">
        <v>3</v>
      </c>
      <c r="D2120" s="1448" t="s">
        <v>404</v>
      </c>
      <c r="E2120" s="30">
        <v>72088898</v>
      </c>
      <c r="F2120" s="31" t="s">
        <v>2437</v>
      </c>
      <c r="G2120" s="1454" t="s">
        <v>2438</v>
      </c>
      <c r="H2120" s="30">
        <v>30219521</v>
      </c>
      <c r="I2120" s="35">
        <v>39900</v>
      </c>
      <c r="J2120" s="64">
        <v>0.1</v>
      </c>
      <c r="K2120" s="30">
        <v>5</v>
      </c>
      <c r="L2120" s="35">
        <v>199500</v>
      </c>
      <c r="M2120" s="1454" t="s">
        <v>2439</v>
      </c>
      <c r="N2120" s="1445">
        <v>20250212236</v>
      </c>
    </row>
    <row r="2121" spans="2:15" ht="16.5" customHeight="1">
      <c r="B2121" s="1448"/>
      <c r="C2121" s="1448"/>
      <c r="D2121" s="1448"/>
      <c r="E2121" s="30">
        <v>72088896</v>
      </c>
      <c r="F2121" s="31" t="s">
        <v>2440</v>
      </c>
      <c r="G2121" s="1448"/>
      <c r="H2121" s="30">
        <v>30219522</v>
      </c>
      <c r="I2121" s="35">
        <v>39900</v>
      </c>
      <c r="J2121" s="64">
        <v>0.1</v>
      </c>
      <c r="K2121" s="30">
        <v>5</v>
      </c>
      <c r="L2121" s="35">
        <v>199500</v>
      </c>
      <c r="M2121" s="1454"/>
      <c r="N2121" s="1446"/>
    </row>
    <row r="2122" spans="2:15" ht="16.5" customHeight="1">
      <c r="B2122" s="1448"/>
      <c r="C2122" s="1448"/>
      <c r="D2122" s="1448"/>
      <c r="E2122" s="30">
        <v>72088893</v>
      </c>
      <c r="F2122" s="31" t="s">
        <v>2441</v>
      </c>
      <c r="G2122" s="1448"/>
      <c r="H2122" s="30">
        <v>30219524</v>
      </c>
      <c r="I2122" s="35">
        <v>39900</v>
      </c>
      <c r="J2122" s="64">
        <v>0.1</v>
      </c>
      <c r="K2122" s="30">
        <v>5</v>
      </c>
      <c r="L2122" s="35">
        <v>199500</v>
      </c>
      <c r="M2122" s="1454"/>
      <c r="N2122" s="1446"/>
    </row>
    <row r="2123" spans="2:15" ht="16.5" customHeight="1">
      <c r="B2123" s="1448"/>
      <c r="C2123" s="1448"/>
      <c r="D2123" s="1448"/>
      <c r="E2123" s="30">
        <v>72088927</v>
      </c>
      <c r="F2123" s="31" t="s">
        <v>2442</v>
      </c>
      <c r="G2123" s="1448"/>
      <c r="H2123" s="30">
        <v>30219526</v>
      </c>
      <c r="I2123" s="35">
        <v>8900</v>
      </c>
      <c r="J2123" s="64">
        <v>0.1</v>
      </c>
      <c r="K2123" s="30">
        <v>10</v>
      </c>
      <c r="L2123" s="35">
        <v>89000</v>
      </c>
      <c r="M2123" s="1454"/>
      <c r="N2123" s="1447"/>
    </row>
    <row r="2124" spans="2:15" ht="16.5" customHeight="1">
      <c r="B2124" s="1448"/>
      <c r="C2124" s="29">
        <v>4</v>
      </c>
      <c r="D2124" s="29" t="s">
        <v>1863</v>
      </c>
      <c r="E2124" s="30">
        <v>30200590</v>
      </c>
      <c r="F2124" s="31" t="s">
        <v>2443</v>
      </c>
      <c r="G2124" s="33" t="s">
        <v>2444</v>
      </c>
      <c r="H2124" s="30">
        <v>30200590</v>
      </c>
      <c r="I2124" s="35">
        <v>19300</v>
      </c>
      <c r="J2124" s="64">
        <v>0.1</v>
      </c>
      <c r="K2124" s="30">
        <v>5</v>
      </c>
      <c r="L2124" s="35">
        <v>96500</v>
      </c>
      <c r="M2124" s="33" t="s">
        <v>2445</v>
      </c>
      <c r="N2124" s="34">
        <v>20250212237</v>
      </c>
    </row>
    <row r="2125" spans="2:15" ht="16.5" customHeight="1">
      <c r="B2125" s="1448" t="s">
        <v>221</v>
      </c>
      <c r="C2125" s="322">
        <v>1</v>
      </c>
      <c r="D2125" s="322" t="s">
        <v>1002</v>
      </c>
      <c r="E2125" s="234">
        <v>30216138</v>
      </c>
      <c r="F2125" s="228" t="s">
        <v>2446</v>
      </c>
      <c r="G2125" s="228" t="s">
        <v>2447</v>
      </c>
      <c r="H2125" s="234">
        <v>30216140</v>
      </c>
      <c r="I2125" s="126">
        <v>4900</v>
      </c>
      <c r="J2125" s="321">
        <v>0.1</v>
      </c>
      <c r="K2125" s="234">
        <v>10</v>
      </c>
      <c r="L2125" s="126">
        <v>49000</v>
      </c>
      <c r="M2125" s="319" t="s">
        <v>2448</v>
      </c>
      <c r="N2125" s="322">
        <v>20250211227</v>
      </c>
      <c r="O2125" s="4" t="s">
        <v>2449</v>
      </c>
    </row>
    <row r="2126" spans="2:15" ht="16.5" customHeight="1">
      <c r="B2126" s="1448"/>
      <c r="C2126" s="1448">
        <v>2</v>
      </c>
      <c r="D2126" s="1448" t="s">
        <v>956</v>
      </c>
      <c r="E2126" s="30">
        <v>47731092</v>
      </c>
      <c r="F2126" s="31" t="s">
        <v>2450</v>
      </c>
      <c r="G2126" s="1454" t="s">
        <v>2451</v>
      </c>
      <c r="H2126" s="30">
        <v>30219532</v>
      </c>
      <c r="I2126" s="35">
        <v>24900</v>
      </c>
      <c r="J2126" s="64">
        <v>0.1</v>
      </c>
      <c r="K2126" s="30">
        <v>5</v>
      </c>
      <c r="L2126" s="35">
        <v>124500</v>
      </c>
      <c r="M2126" s="1454" t="s">
        <v>2452</v>
      </c>
      <c r="N2126" s="1445">
        <v>20250212238</v>
      </c>
    </row>
    <row r="2127" spans="2:15" ht="16.5" customHeight="1">
      <c r="B2127" s="1448"/>
      <c r="C2127" s="1448"/>
      <c r="D2127" s="1448"/>
      <c r="E2127" s="30">
        <v>47731093</v>
      </c>
      <c r="F2127" s="31" t="s">
        <v>2453</v>
      </c>
      <c r="G2127" s="1448"/>
      <c r="H2127" s="30">
        <v>30219534</v>
      </c>
      <c r="I2127" s="35">
        <v>14900</v>
      </c>
      <c r="J2127" s="64">
        <v>0.1</v>
      </c>
      <c r="K2127" s="30">
        <v>10</v>
      </c>
      <c r="L2127" s="35">
        <v>149000</v>
      </c>
      <c r="M2127" s="1454"/>
      <c r="N2127" s="1447"/>
    </row>
    <row r="2128" spans="2:15" ht="16.5" customHeight="1">
      <c r="B2128" s="1448"/>
      <c r="C2128" s="1448">
        <v>3</v>
      </c>
      <c r="D2128" s="1448" t="s">
        <v>411</v>
      </c>
      <c r="E2128" s="30">
        <v>11111614</v>
      </c>
      <c r="F2128" s="31" t="s">
        <v>2454</v>
      </c>
      <c r="G2128" s="1454" t="s">
        <v>2455</v>
      </c>
      <c r="H2128" s="30">
        <v>30164307</v>
      </c>
      <c r="I2128" s="35">
        <v>10900</v>
      </c>
      <c r="J2128" s="64">
        <v>0.1</v>
      </c>
      <c r="K2128" s="30">
        <v>10</v>
      </c>
      <c r="L2128" s="35">
        <v>109000</v>
      </c>
      <c r="M2128" s="1454" t="s">
        <v>2456</v>
      </c>
      <c r="N2128" s="1445">
        <v>20250212239</v>
      </c>
    </row>
    <row r="2129" spans="2:14" ht="16.5" customHeight="1">
      <c r="B2129" s="1448"/>
      <c r="C2129" s="1448"/>
      <c r="D2129" s="1448"/>
      <c r="E2129" s="30">
        <v>11111584</v>
      </c>
      <c r="F2129" s="31" t="s">
        <v>2457</v>
      </c>
      <c r="G2129" s="1448"/>
      <c r="H2129" s="30">
        <v>30171556</v>
      </c>
      <c r="I2129" s="35">
        <v>13900</v>
      </c>
      <c r="J2129" s="64">
        <v>0.1</v>
      </c>
      <c r="K2129" s="30">
        <v>10</v>
      </c>
      <c r="L2129" s="35">
        <v>139000</v>
      </c>
      <c r="M2129" s="1454"/>
      <c r="N2129" s="1447"/>
    </row>
    <row r="2130" spans="2:14" ht="16.5" customHeight="1">
      <c r="B2130" s="1462" t="s">
        <v>264</v>
      </c>
      <c r="C2130" s="1443">
        <v>1</v>
      </c>
      <c r="D2130" s="1443" t="s">
        <v>2458</v>
      </c>
      <c r="E2130" s="157">
        <v>71315774</v>
      </c>
      <c r="F2130" s="157" t="s">
        <v>687</v>
      </c>
      <c r="G2130" s="1458" t="s">
        <v>2459</v>
      </c>
      <c r="H2130" s="38">
        <v>30208365</v>
      </c>
      <c r="I2130" s="161">
        <v>11500</v>
      </c>
      <c r="J2130" s="162">
        <v>0.1</v>
      </c>
      <c r="K2130" s="157">
        <v>5</v>
      </c>
      <c r="L2130" s="161">
        <v>57500</v>
      </c>
      <c r="M2130" s="1465" t="s">
        <v>2460</v>
      </c>
      <c r="N2130" s="1445">
        <v>20250212240</v>
      </c>
    </row>
    <row r="2131" spans="2:14" ht="16.5" customHeight="1">
      <c r="B2131" s="1462"/>
      <c r="C2131" s="1443"/>
      <c r="D2131" s="1443"/>
      <c r="E2131" s="157">
        <v>71315798</v>
      </c>
      <c r="F2131" s="157" t="s">
        <v>690</v>
      </c>
      <c r="G2131" s="1458"/>
      <c r="H2131" s="38">
        <v>30213242</v>
      </c>
      <c r="I2131" s="161">
        <v>25900</v>
      </c>
      <c r="J2131" s="162">
        <v>0.1</v>
      </c>
      <c r="K2131" s="157">
        <v>5</v>
      </c>
      <c r="L2131" s="161">
        <v>129500</v>
      </c>
      <c r="M2131" s="1465"/>
      <c r="N2131" s="1446"/>
    </row>
    <row r="2132" spans="2:14" ht="16.5" customHeight="1">
      <c r="B2132" s="1462"/>
      <c r="C2132" s="1443"/>
      <c r="D2132" s="1443"/>
      <c r="E2132" s="157">
        <v>71315799</v>
      </c>
      <c r="F2132" s="157" t="s">
        <v>691</v>
      </c>
      <c r="G2132" s="1458"/>
      <c r="H2132" s="38">
        <v>30211969</v>
      </c>
      <c r="I2132" s="161">
        <v>11000</v>
      </c>
      <c r="J2132" s="162">
        <v>0.1</v>
      </c>
      <c r="K2132" s="157">
        <v>5</v>
      </c>
      <c r="L2132" s="161">
        <v>55000</v>
      </c>
      <c r="M2132" s="1465"/>
      <c r="N2132" s="1446"/>
    </row>
    <row r="2133" spans="2:14" ht="16.5" customHeight="1">
      <c r="B2133" s="1462"/>
      <c r="C2133" s="1443"/>
      <c r="D2133" s="1443"/>
      <c r="E2133" s="157">
        <v>75277694</v>
      </c>
      <c r="F2133" s="154" t="s">
        <v>692</v>
      </c>
      <c r="G2133" s="1458"/>
      <c r="H2133" s="38">
        <v>30215148</v>
      </c>
      <c r="I2133" s="161">
        <v>25900</v>
      </c>
      <c r="J2133" s="162">
        <v>0.1</v>
      </c>
      <c r="K2133" s="157">
        <v>5</v>
      </c>
      <c r="L2133" s="161">
        <v>129500</v>
      </c>
      <c r="M2133" s="1465"/>
      <c r="N2133" s="1446"/>
    </row>
    <row r="2134" spans="2:14" ht="16.5" customHeight="1">
      <c r="B2134" s="1462"/>
      <c r="C2134" s="1443"/>
      <c r="D2134" s="1443"/>
      <c r="E2134" s="157">
        <v>76341928</v>
      </c>
      <c r="F2134" s="157" t="s">
        <v>2077</v>
      </c>
      <c r="G2134" s="1458"/>
      <c r="H2134" s="38">
        <v>30219647</v>
      </c>
      <c r="I2134" s="161">
        <v>11000</v>
      </c>
      <c r="J2134" s="162">
        <v>0.1</v>
      </c>
      <c r="K2134" s="157">
        <v>5</v>
      </c>
      <c r="L2134" s="161">
        <v>55000</v>
      </c>
      <c r="M2134" s="1465"/>
      <c r="N2134" s="1446"/>
    </row>
    <row r="2135" spans="2:14" ht="16.5" customHeight="1">
      <c r="B2135" s="1462"/>
      <c r="C2135" s="1443"/>
      <c r="D2135" s="1443"/>
      <c r="E2135" s="157">
        <v>76341924</v>
      </c>
      <c r="F2135" s="157" t="s">
        <v>2078</v>
      </c>
      <c r="G2135" s="1458"/>
      <c r="H2135" s="38">
        <v>30219649</v>
      </c>
      <c r="I2135" s="161">
        <v>11000</v>
      </c>
      <c r="J2135" s="162">
        <v>0.1</v>
      </c>
      <c r="K2135" s="157">
        <v>5</v>
      </c>
      <c r="L2135" s="161">
        <v>55000</v>
      </c>
      <c r="M2135" s="1465"/>
      <c r="N2135" s="1447"/>
    </row>
    <row r="2136" spans="2:14" ht="16.5" customHeight="1">
      <c r="B2136" s="1462"/>
      <c r="C2136" s="1520">
        <v>2</v>
      </c>
      <c r="D2136" s="1521" t="s">
        <v>299</v>
      </c>
      <c r="E2136" s="38">
        <v>76945926</v>
      </c>
      <c r="F2136" s="38" t="s">
        <v>2461</v>
      </c>
      <c r="G2136" s="1521" t="s">
        <v>2462</v>
      </c>
      <c r="H2136" s="38">
        <v>30219650</v>
      </c>
      <c r="I2136" s="41">
        <v>16500</v>
      </c>
      <c r="J2136" s="42">
        <v>0.08</v>
      </c>
      <c r="K2136" s="38">
        <v>5</v>
      </c>
      <c r="L2136" s="41">
        <v>82500</v>
      </c>
      <c r="M2136" s="1521" t="s">
        <v>2463</v>
      </c>
      <c r="N2136" s="1445">
        <v>20250212241</v>
      </c>
    </row>
    <row r="2137" spans="2:14" ht="16.5" customHeight="1">
      <c r="B2137" s="1462"/>
      <c r="C2137" s="1520"/>
      <c r="D2137" s="1521"/>
      <c r="E2137" s="38">
        <v>76946194</v>
      </c>
      <c r="F2137" s="38" t="s">
        <v>2464</v>
      </c>
      <c r="G2137" s="1521"/>
      <c r="H2137" s="38">
        <v>30219652</v>
      </c>
      <c r="I2137" s="41">
        <v>17900</v>
      </c>
      <c r="J2137" s="42">
        <v>0.08</v>
      </c>
      <c r="K2137" s="38">
        <v>5</v>
      </c>
      <c r="L2137" s="41">
        <v>89500</v>
      </c>
      <c r="M2137" s="1521"/>
      <c r="N2137" s="1446"/>
    </row>
    <row r="2138" spans="2:14" ht="16.5" customHeight="1">
      <c r="B2138" s="1462"/>
      <c r="C2138" s="1520"/>
      <c r="D2138" s="1521"/>
      <c r="E2138" s="38">
        <v>76945975</v>
      </c>
      <c r="F2138" s="38" t="s">
        <v>2465</v>
      </c>
      <c r="G2138" s="1521"/>
      <c r="H2138" s="38">
        <v>30219653</v>
      </c>
      <c r="I2138" s="41">
        <v>17900</v>
      </c>
      <c r="J2138" s="42">
        <v>0.08</v>
      </c>
      <c r="K2138" s="38">
        <v>5</v>
      </c>
      <c r="L2138" s="41">
        <v>89500</v>
      </c>
      <c r="M2138" s="1521"/>
      <c r="N2138" s="1446"/>
    </row>
    <row r="2139" spans="2:14" ht="16.5" customHeight="1">
      <c r="B2139" s="1462"/>
      <c r="C2139" s="1520"/>
      <c r="D2139" s="1521"/>
      <c r="E2139" s="38">
        <v>76945929</v>
      </c>
      <c r="F2139" s="38" t="s">
        <v>2466</v>
      </c>
      <c r="G2139" s="1521"/>
      <c r="H2139" s="38">
        <v>30219658</v>
      </c>
      <c r="I2139" s="41">
        <v>17900</v>
      </c>
      <c r="J2139" s="42">
        <v>0.08</v>
      </c>
      <c r="K2139" s="38">
        <v>5</v>
      </c>
      <c r="L2139" s="41">
        <v>89500</v>
      </c>
      <c r="M2139" s="1521"/>
      <c r="N2139" s="1446"/>
    </row>
    <row r="2140" spans="2:14" ht="16.5" customHeight="1">
      <c r="B2140" s="1462"/>
      <c r="C2140" s="1520"/>
      <c r="D2140" s="1521"/>
      <c r="E2140" s="38">
        <v>76374937</v>
      </c>
      <c r="F2140" s="38" t="s">
        <v>2467</v>
      </c>
      <c r="G2140" s="1521"/>
      <c r="H2140" s="38">
        <v>30219660</v>
      </c>
      <c r="I2140" s="41">
        <v>19500</v>
      </c>
      <c r="J2140" s="42">
        <v>0.08</v>
      </c>
      <c r="K2140" s="38">
        <v>5</v>
      </c>
      <c r="L2140" s="41">
        <v>97500</v>
      </c>
      <c r="M2140" s="1521"/>
      <c r="N2140" s="1447"/>
    </row>
    <row r="2141" spans="2:14" ht="16.5" customHeight="1">
      <c r="B2141" s="1462"/>
      <c r="C2141" s="1520">
        <v>3</v>
      </c>
      <c r="D2141" s="1521" t="s">
        <v>307</v>
      </c>
      <c r="E2141" s="38">
        <v>76627524</v>
      </c>
      <c r="F2141" s="38" t="s">
        <v>2468</v>
      </c>
      <c r="G2141" s="1521" t="s">
        <v>2469</v>
      </c>
      <c r="H2141" s="38">
        <v>30219662</v>
      </c>
      <c r="I2141" s="41">
        <v>10900</v>
      </c>
      <c r="J2141" s="42">
        <v>0.08</v>
      </c>
      <c r="K2141" s="38">
        <v>5</v>
      </c>
      <c r="L2141" s="41">
        <v>54500</v>
      </c>
      <c r="M2141" s="1521" t="s">
        <v>2470</v>
      </c>
      <c r="N2141" s="1445">
        <v>20250212242</v>
      </c>
    </row>
    <row r="2142" spans="2:14" ht="16.5" customHeight="1">
      <c r="B2142" s="1462"/>
      <c r="C2142" s="1520"/>
      <c r="D2142" s="1521"/>
      <c r="E2142" s="38">
        <v>76627510</v>
      </c>
      <c r="F2142" s="38" t="s">
        <v>2471</v>
      </c>
      <c r="G2142" s="1521"/>
      <c r="H2142" s="38">
        <v>30219663</v>
      </c>
      <c r="I2142" s="41">
        <v>10900</v>
      </c>
      <c r="J2142" s="42">
        <v>0.08</v>
      </c>
      <c r="K2142" s="38">
        <v>5</v>
      </c>
      <c r="L2142" s="41">
        <v>54500</v>
      </c>
      <c r="M2142" s="1521"/>
      <c r="N2142" s="1446"/>
    </row>
    <row r="2143" spans="2:14" ht="16.5" customHeight="1">
      <c r="B2143" s="1462"/>
      <c r="C2143" s="1520"/>
      <c r="D2143" s="1521"/>
      <c r="E2143" s="38">
        <v>76627496</v>
      </c>
      <c r="F2143" s="38" t="s">
        <v>2472</v>
      </c>
      <c r="G2143" s="1521"/>
      <c r="H2143" s="38">
        <v>30219664</v>
      </c>
      <c r="I2143" s="41">
        <v>11900</v>
      </c>
      <c r="J2143" s="42">
        <v>0.08</v>
      </c>
      <c r="K2143" s="38">
        <v>5</v>
      </c>
      <c r="L2143" s="41">
        <v>59500</v>
      </c>
      <c r="M2143" s="1521"/>
      <c r="N2143" s="1446"/>
    </row>
    <row r="2144" spans="2:14" ht="16.5" customHeight="1">
      <c r="B2144" s="1462"/>
      <c r="C2144" s="1520"/>
      <c r="D2144" s="1521"/>
      <c r="E2144" s="38">
        <v>76627523</v>
      </c>
      <c r="F2144" s="38" t="s">
        <v>2473</v>
      </c>
      <c r="G2144" s="1521"/>
      <c r="H2144" s="38">
        <v>30219665</v>
      </c>
      <c r="I2144" s="41">
        <v>11900</v>
      </c>
      <c r="J2144" s="42">
        <v>0.08</v>
      </c>
      <c r="K2144" s="38">
        <v>5</v>
      </c>
      <c r="L2144" s="41">
        <v>59500</v>
      </c>
      <c r="M2144" s="1521"/>
      <c r="N2144" s="1446"/>
    </row>
    <row r="2145" spans="2:14" ht="16.5" customHeight="1">
      <c r="B2145" s="1462"/>
      <c r="C2145" s="1520"/>
      <c r="D2145" s="1521"/>
      <c r="E2145" s="38">
        <v>76627489</v>
      </c>
      <c r="F2145" s="38" t="s">
        <v>2474</v>
      </c>
      <c r="G2145" s="1521"/>
      <c r="H2145" s="416">
        <v>30219676</v>
      </c>
      <c r="I2145" s="41">
        <v>16500</v>
      </c>
      <c r="J2145" s="42">
        <v>0.08</v>
      </c>
      <c r="K2145" s="38">
        <v>5</v>
      </c>
      <c r="L2145" s="41">
        <v>82500</v>
      </c>
      <c r="M2145" s="1521"/>
      <c r="N2145" s="1447"/>
    </row>
    <row r="2146" spans="2:14" ht="16.5" customHeight="1">
      <c r="B2146" s="1462"/>
      <c r="C2146" s="39">
        <v>4</v>
      </c>
      <c r="D2146" s="39" t="s">
        <v>327</v>
      </c>
      <c r="E2146" s="38">
        <v>64551219</v>
      </c>
      <c r="F2146" s="38" t="s">
        <v>2475</v>
      </c>
      <c r="G2146" s="39" t="s">
        <v>2476</v>
      </c>
      <c r="H2146" s="38">
        <v>30170469</v>
      </c>
      <c r="I2146" s="41">
        <v>9500</v>
      </c>
      <c r="J2146" s="42">
        <v>0.1</v>
      </c>
      <c r="K2146" s="38">
        <v>5</v>
      </c>
      <c r="L2146" s="41">
        <v>47500</v>
      </c>
      <c r="M2146" s="39" t="s">
        <v>2477</v>
      </c>
      <c r="N2146" s="34">
        <v>20250212243</v>
      </c>
    </row>
    <row r="2147" spans="2:14" ht="16.5" customHeight="1">
      <c r="B2147" s="1462"/>
      <c r="C2147" s="1520">
        <v>5</v>
      </c>
      <c r="D2147" s="1520" t="s">
        <v>2478</v>
      </c>
      <c r="E2147" s="38">
        <v>71394672</v>
      </c>
      <c r="F2147" s="38" t="s">
        <v>266</v>
      </c>
      <c r="G2147" s="1521" t="s">
        <v>2479</v>
      </c>
      <c r="H2147" s="38">
        <v>30209889</v>
      </c>
      <c r="I2147" s="41">
        <v>7500</v>
      </c>
      <c r="J2147" s="42">
        <v>0.1</v>
      </c>
      <c r="K2147" s="38">
        <v>5</v>
      </c>
      <c r="L2147" s="41">
        <v>37500</v>
      </c>
      <c r="M2147" s="1521" t="s">
        <v>651</v>
      </c>
      <c r="N2147" s="1445">
        <v>20250212244</v>
      </c>
    </row>
    <row r="2148" spans="2:14" ht="16.5" customHeight="1">
      <c r="B2148" s="1462"/>
      <c r="C2148" s="1520"/>
      <c r="D2148" s="1520"/>
      <c r="E2148" s="38">
        <v>70794379</v>
      </c>
      <c r="F2148" s="38" t="s">
        <v>271</v>
      </c>
      <c r="G2148" s="1521"/>
      <c r="H2148" s="38">
        <v>30211931</v>
      </c>
      <c r="I2148" s="41">
        <v>8500</v>
      </c>
      <c r="J2148" s="42">
        <v>0.1</v>
      </c>
      <c r="K2148" s="38">
        <v>5</v>
      </c>
      <c r="L2148" s="41">
        <v>42500</v>
      </c>
      <c r="M2148" s="1521"/>
      <c r="N2148" s="1446"/>
    </row>
    <row r="2149" spans="2:14" ht="16.5" customHeight="1">
      <c r="B2149" s="1462"/>
      <c r="C2149" s="1520"/>
      <c r="D2149" s="1520"/>
      <c r="E2149" s="38">
        <v>72299072</v>
      </c>
      <c r="F2149" s="38" t="s">
        <v>2480</v>
      </c>
      <c r="G2149" s="1521"/>
      <c r="H2149" s="38">
        <v>30219692</v>
      </c>
      <c r="I2149" s="41">
        <v>17900</v>
      </c>
      <c r="J2149" s="42">
        <v>0.1</v>
      </c>
      <c r="K2149" s="38">
        <v>5</v>
      </c>
      <c r="L2149" s="41">
        <v>89500</v>
      </c>
      <c r="M2149" s="1521"/>
      <c r="N2149" s="1446"/>
    </row>
    <row r="2150" spans="2:14" ht="16.5" customHeight="1">
      <c r="B2150" s="1462"/>
      <c r="C2150" s="1520"/>
      <c r="D2150" s="1520"/>
      <c r="E2150" s="38">
        <v>71569740</v>
      </c>
      <c r="F2150" s="38" t="s">
        <v>2481</v>
      </c>
      <c r="G2150" s="1521"/>
      <c r="H2150" s="38">
        <v>30219695</v>
      </c>
      <c r="I2150" s="41">
        <v>19900</v>
      </c>
      <c r="J2150" s="42">
        <v>0.1</v>
      </c>
      <c r="K2150" s="38">
        <v>5</v>
      </c>
      <c r="L2150" s="41">
        <v>99500</v>
      </c>
      <c r="M2150" s="1521"/>
      <c r="N2150" s="1446"/>
    </row>
    <row r="2151" spans="2:14" ht="16.5" customHeight="1">
      <c r="B2151" s="1462"/>
      <c r="C2151" s="1520"/>
      <c r="D2151" s="1520"/>
      <c r="E2151" s="38">
        <v>71569726</v>
      </c>
      <c r="F2151" s="38" t="s">
        <v>2482</v>
      </c>
      <c r="G2151" s="1521"/>
      <c r="H2151" s="38">
        <v>30219697</v>
      </c>
      <c r="I2151" s="41">
        <v>22500</v>
      </c>
      <c r="J2151" s="42">
        <v>0.1</v>
      </c>
      <c r="K2151" s="38">
        <v>5</v>
      </c>
      <c r="L2151" s="41">
        <v>112500</v>
      </c>
      <c r="M2151" s="1521"/>
      <c r="N2151" s="1447"/>
    </row>
    <row r="2152" spans="2:14" ht="16.5" customHeight="1">
      <c r="B2152" s="1462" t="s">
        <v>331</v>
      </c>
      <c r="C2152" s="1443">
        <v>1</v>
      </c>
      <c r="D2152" s="1443" t="s">
        <v>352</v>
      </c>
      <c r="E2152" s="157">
        <v>42366811</v>
      </c>
      <c r="F2152" s="417" t="s">
        <v>2483</v>
      </c>
      <c r="G2152" s="1542" t="s">
        <v>2484</v>
      </c>
      <c r="H2152" s="173">
        <v>30204357</v>
      </c>
      <c r="I2152" s="161">
        <v>26800</v>
      </c>
      <c r="J2152" s="162">
        <v>0.1</v>
      </c>
      <c r="K2152" s="157">
        <v>5</v>
      </c>
      <c r="L2152" s="161">
        <v>134000</v>
      </c>
      <c r="M2152" s="1444" t="s">
        <v>2485</v>
      </c>
      <c r="N2152" s="1445">
        <v>20250214303</v>
      </c>
    </row>
    <row r="2153" spans="2:14" ht="16.5" customHeight="1">
      <c r="B2153" s="1462"/>
      <c r="C2153" s="1443"/>
      <c r="D2153" s="1443"/>
      <c r="E2153" s="157">
        <v>47851470</v>
      </c>
      <c r="F2153" s="417" t="s">
        <v>2486</v>
      </c>
      <c r="G2153" s="1542"/>
      <c r="H2153" s="173">
        <v>30204358</v>
      </c>
      <c r="I2153" s="161">
        <v>25800</v>
      </c>
      <c r="J2153" s="162">
        <v>0.1</v>
      </c>
      <c r="K2153" s="157">
        <v>5</v>
      </c>
      <c r="L2153" s="161">
        <v>129000</v>
      </c>
      <c r="M2153" s="1444"/>
      <c r="N2153" s="1446"/>
    </row>
    <row r="2154" spans="2:14" ht="16.5" customHeight="1">
      <c r="B2154" s="1462"/>
      <c r="C2154" s="1443"/>
      <c r="D2154" s="1443"/>
      <c r="E2154" s="157">
        <v>47815235</v>
      </c>
      <c r="F2154" s="417" t="s">
        <v>1490</v>
      </c>
      <c r="G2154" s="1542"/>
      <c r="H2154" s="173">
        <v>30204359</v>
      </c>
      <c r="I2154" s="161">
        <v>28800</v>
      </c>
      <c r="J2154" s="162">
        <v>0.1</v>
      </c>
      <c r="K2154" s="157">
        <v>5</v>
      </c>
      <c r="L2154" s="161">
        <v>144000</v>
      </c>
      <c r="M2154" s="1444"/>
      <c r="N2154" s="1446"/>
    </row>
    <row r="2155" spans="2:14" ht="16.5" customHeight="1">
      <c r="B2155" s="1462"/>
      <c r="C2155" s="1443"/>
      <c r="D2155" s="1443"/>
      <c r="E2155" s="157">
        <v>54907830</v>
      </c>
      <c r="F2155" s="417" t="s">
        <v>2487</v>
      </c>
      <c r="G2155" s="1542"/>
      <c r="H2155" s="173">
        <v>30204360</v>
      </c>
      <c r="I2155" s="161">
        <v>30800</v>
      </c>
      <c r="J2155" s="162">
        <v>0.1</v>
      </c>
      <c r="K2155" s="157">
        <v>5</v>
      </c>
      <c r="L2155" s="161">
        <v>154000</v>
      </c>
      <c r="M2155" s="1444"/>
      <c r="N2155" s="1446"/>
    </row>
    <row r="2156" spans="2:14" ht="16.5" customHeight="1">
      <c r="B2156" s="1462"/>
      <c r="C2156" s="1443"/>
      <c r="D2156" s="1443"/>
      <c r="E2156" s="157">
        <v>47312527</v>
      </c>
      <c r="F2156" s="417" t="s">
        <v>2488</v>
      </c>
      <c r="G2156" s="1542"/>
      <c r="H2156" s="173">
        <v>30204361</v>
      </c>
      <c r="I2156" s="161">
        <v>35800</v>
      </c>
      <c r="J2156" s="162">
        <v>0.1</v>
      </c>
      <c r="K2156" s="157">
        <v>5</v>
      </c>
      <c r="L2156" s="161">
        <v>179000</v>
      </c>
      <c r="M2156" s="1444"/>
      <c r="N2156" s="1447"/>
    </row>
    <row r="2157" spans="2:14" ht="16.5" customHeight="1">
      <c r="B2157" s="1462"/>
      <c r="C2157" s="157">
        <v>2</v>
      </c>
      <c r="D2157" s="157" t="s">
        <v>360</v>
      </c>
      <c r="E2157" s="157">
        <v>56163347</v>
      </c>
      <c r="F2157" s="157" t="s">
        <v>2489</v>
      </c>
      <c r="G2157" s="157" t="s">
        <v>2489</v>
      </c>
      <c r="H2157" s="38">
        <v>30219587</v>
      </c>
      <c r="I2157" s="161">
        <v>14900</v>
      </c>
      <c r="J2157" s="162">
        <v>0.15</v>
      </c>
      <c r="K2157" s="157">
        <v>5</v>
      </c>
      <c r="L2157" s="161">
        <v>74500</v>
      </c>
      <c r="M2157" s="154" t="s">
        <v>2490</v>
      </c>
      <c r="N2157" s="34">
        <v>20250212245</v>
      </c>
    </row>
    <row r="2158" spans="2:14" ht="16.5" customHeight="1">
      <c r="B2158" s="1462"/>
      <c r="C2158" s="1443">
        <v>3</v>
      </c>
      <c r="D2158" s="1444" t="s">
        <v>2094</v>
      </c>
      <c r="E2158" s="157">
        <v>30216360</v>
      </c>
      <c r="F2158" s="157" t="s">
        <v>2095</v>
      </c>
      <c r="G2158" s="1444" t="s">
        <v>2491</v>
      </c>
      <c r="H2158" s="38">
        <v>30219588</v>
      </c>
      <c r="I2158" s="161">
        <v>8500</v>
      </c>
      <c r="J2158" s="162">
        <v>0.15</v>
      </c>
      <c r="K2158" s="157">
        <v>5</v>
      </c>
      <c r="L2158" s="161">
        <v>42500</v>
      </c>
      <c r="M2158" s="1444" t="s">
        <v>2492</v>
      </c>
      <c r="N2158" s="1445">
        <v>20250212246</v>
      </c>
    </row>
    <row r="2159" spans="2:14" ht="16.5" customHeight="1">
      <c r="B2159" s="1462"/>
      <c r="C2159" s="1443"/>
      <c r="D2159" s="1444"/>
      <c r="E2159" s="157">
        <v>30207303</v>
      </c>
      <c r="F2159" s="157" t="s">
        <v>2098</v>
      </c>
      <c r="G2159" s="1444"/>
      <c r="H2159" s="38">
        <v>30219589</v>
      </c>
      <c r="I2159" s="161">
        <v>10500</v>
      </c>
      <c r="J2159" s="162">
        <v>0.15</v>
      </c>
      <c r="K2159" s="157">
        <v>5</v>
      </c>
      <c r="L2159" s="161">
        <v>52500</v>
      </c>
      <c r="M2159" s="1444"/>
      <c r="N2159" s="1446"/>
    </row>
    <row r="2160" spans="2:14" ht="16.5" customHeight="1">
      <c r="B2160" s="1462"/>
      <c r="C2160" s="1443"/>
      <c r="D2160" s="1444"/>
      <c r="E2160" s="157">
        <v>30207288</v>
      </c>
      <c r="F2160" s="157" t="s">
        <v>2099</v>
      </c>
      <c r="G2160" s="1444"/>
      <c r="H2160" s="38">
        <v>30219591</v>
      </c>
      <c r="I2160" s="161">
        <v>8500</v>
      </c>
      <c r="J2160" s="162">
        <v>0.15</v>
      </c>
      <c r="K2160" s="157">
        <v>5</v>
      </c>
      <c r="L2160" s="161">
        <v>42500</v>
      </c>
      <c r="M2160" s="1444"/>
      <c r="N2160" s="1446"/>
    </row>
    <row r="2161" spans="2:14" ht="16.5" customHeight="1">
      <c r="B2161" s="1462"/>
      <c r="C2161" s="1443"/>
      <c r="D2161" s="1444"/>
      <c r="E2161" s="157">
        <v>30209408</v>
      </c>
      <c r="F2161" s="157" t="s">
        <v>2100</v>
      </c>
      <c r="G2161" s="1444"/>
      <c r="H2161" s="38">
        <v>30219592</v>
      </c>
      <c r="I2161" s="161">
        <v>10500</v>
      </c>
      <c r="J2161" s="162">
        <v>0.15</v>
      </c>
      <c r="K2161" s="157">
        <v>5</v>
      </c>
      <c r="L2161" s="161">
        <v>52500</v>
      </c>
      <c r="M2161" s="1444"/>
      <c r="N2161" s="1446"/>
    </row>
    <row r="2162" spans="2:14" ht="16.5" customHeight="1">
      <c r="B2162" s="1462"/>
      <c r="C2162" s="1443"/>
      <c r="D2162" s="1444"/>
      <c r="E2162" s="157">
        <v>30213132</v>
      </c>
      <c r="F2162" s="157" t="s">
        <v>2101</v>
      </c>
      <c r="G2162" s="1444"/>
      <c r="H2162" s="38">
        <v>30219598</v>
      </c>
      <c r="I2162" s="161">
        <v>11500</v>
      </c>
      <c r="J2162" s="162">
        <v>0.15</v>
      </c>
      <c r="K2162" s="157">
        <v>5</v>
      </c>
      <c r="L2162" s="161">
        <v>57500</v>
      </c>
      <c r="M2162" s="1444"/>
      <c r="N2162" s="1447"/>
    </row>
    <row r="2163" spans="2:14" ht="16.5" customHeight="1">
      <c r="B2163" s="1462"/>
      <c r="C2163" s="1443">
        <v>4</v>
      </c>
      <c r="D2163" s="1444" t="s">
        <v>2094</v>
      </c>
      <c r="E2163" s="157">
        <v>30216370</v>
      </c>
      <c r="F2163" s="157" t="s">
        <v>2102</v>
      </c>
      <c r="G2163" s="1444" t="s">
        <v>2493</v>
      </c>
      <c r="H2163" s="38">
        <v>30219600</v>
      </c>
      <c r="I2163" s="161">
        <v>8900</v>
      </c>
      <c r="J2163" s="162">
        <v>0.15</v>
      </c>
      <c r="K2163" s="157">
        <v>5</v>
      </c>
      <c r="L2163" s="161">
        <v>44500</v>
      </c>
      <c r="M2163" s="1444" t="s">
        <v>2494</v>
      </c>
      <c r="N2163" s="1445">
        <v>20250212247</v>
      </c>
    </row>
    <row r="2164" spans="2:14" ht="16.5" customHeight="1">
      <c r="B2164" s="1462"/>
      <c r="C2164" s="1443"/>
      <c r="D2164" s="1444"/>
      <c r="E2164" s="157">
        <v>30207261</v>
      </c>
      <c r="F2164" s="157" t="s">
        <v>2104</v>
      </c>
      <c r="G2164" s="1444"/>
      <c r="H2164" s="38">
        <v>30219601</v>
      </c>
      <c r="I2164" s="161">
        <v>8500</v>
      </c>
      <c r="J2164" s="162">
        <v>0.15</v>
      </c>
      <c r="K2164" s="157">
        <v>5</v>
      </c>
      <c r="L2164" s="161">
        <v>42500</v>
      </c>
      <c r="M2164" s="1444"/>
      <c r="N2164" s="1446"/>
    </row>
    <row r="2165" spans="2:14" ht="16.5" customHeight="1">
      <c r="B2165" s="1462"/>
      <c r="C2165" s="1443"/>
      <c r="D2165" s="1444"/>
      <c r="E2165" s="157">
        <v>30209697</v>
      </c>
      <c r="F2165" s="157" t="s">
        <v>2105</v>
      </c>
      <c r="G2165" s="1444"/>
      <c r="H2165" s="38">
        <v>30219603</v>
      </c>
      <c r="I2165" s="161">
        <v>8500</v>
      </c>
      <c r="J2165" s="162">
        <v>0.15</v>
      </c>
      <c r="K2165" s="157">
        <v>5</v>
      </c>
      <c r="L2165" s="161">
        <v>42500</v>
      </c>
      <c r="M2165" s="1444"/>
      <c r="N2165" s="1447"/>
    </row>
    <row r="2166" spans="2:14" ht="16.5" customHeight="1">
      <c r="B2166" s="1462"/>
      <c r="C2166" s="1443">
        <v>5</v>
      </c>
      <c r="D2166" s="1444" t="s">
        <v>2094</v>
      </c>
      <c r="E2166" s="157">
        <v>30216354</v>
      </c>
      <c r="F2166" s="157" t="s">
        <v>2495</v>
      </c>
      <c r="G2166" s="1444" t="s">
        <v>2496</v>
      </c>
      <c r="H2166" s="38">
        <v>30219614</v>
      </c>
      <c r="I2166" s="161">
        <v>7500</v>
      </c>
      <c r="J2166" s="162">
        <v>0.15</v>
      </c>
      <c r="K2166" s="157">
        <v>5</v>
      </c>
      <c r="L2166" s="161">
        <v>37500</v>
      </c>
      <c r="M2166" s="1444" t="s">
        <v>2497</v>
      </c>
      <c r="N2166" s="1445">
        <v>20250212248</v>
      </c>
    </row>
    <row r="2167" spans="2:14" ht="16.5" customHeight="1">
      <c r="B2167" s="1462"/>
      <c r="C2167" s="1443"/>
      <c r="D2167" s="1444"/>
      <c r="E2167" s="157">
        <v>30216349</v>
      </c>
      <c r="F2167" s="157" t="s">
        <v>2498</v>
      </c>
      <c r="G2167" s="1444"/>
      <c r="H2167" s="38">
        <v>30219615</v>
      </c>
      <c r="I2167" s="161">
        <v>9500</v>
      </c>
      <c r="J2167" s="162">
        <v>0.15</v>
      </c>
      <c r="K2167" s="157">
        <v>5</v>
      </c>
      <c r="L2167" s="161">
        <v>47500</v>
      </c>
      <c r="M2167" s="1444"/>
      <c r="N2167" s="1446"/>
    </row>
    <row r="2168" spans="2:14" ht="16.5" customHeight="1">
      <c r="B2168" s="1462"/>
      <c r="C2168" s="1443"/>
      <c r="D2168" s="1444"/>
      <c r="E2168" s="157">
        <v>30216526</v>
      </c>
      <c r="F2168" s="157" t="s">
        <v>2109</v>
      </c>
      <c r="G2168" s="1444"/>
      <c r="H2168" s="38">
        <v>30219616</v>
      </c>
      <c r="I2168" s="161">
        <v>11500</v>
      </c>
      <c r="J2168" s="162">
        <v>0.15</v>
      </c>
      <c r="K2168" s="157">
        <v>5</v>
      </c>
      <c r="L2168" s="161">
        <v>57500</v>
      </c>
      <c r="M2168" s="1444"/>
      <c r="N2168" s="1446"/>
    </row>
    <row r="2169" spans="2:14" ht="16.5" customHeight="1">
      <c r="B2169" s="1462"/>
      <c r="C2169" s="1443"/>
      <c r="D2169" s="1444"/>
      <c r="E2169" s="157">
        <v>30216520</v>
      </c>
      <c r="F2169" s="157" t="s">
        <v>2499</v>
      </c>
      <c r="G2169" s="1444"/>
      <c r="H2169" s="38">
        <v>30219617</v>
      </c>
      <c r="I2169" s="161">
        <v>8500</v>
      </c>
      <c r="J2169" s="162">
        <v>0.15</v>
      </c>
      <c r="K2169" s="157">
        <v>5</v>
      </c>
      <c r="L2169" s="161">
        <v>42500</v>
      </c>
      <c r="M2169" s="1444"/>
      <c r="N2169" s="1446"/>
    </row>
    <row r="2170" spans="2:14" ht="16.5" customHeight="1">
      <c r="B2170" s="1462"/>
      <c r="C2170" s="1443"/>
      <c r="D2170" s="1444"/>
      <c r="E2170" s="157">
        <v>30216536</v>
      </c>
      <c r="F2170" s="157" t="s">
        <v>2500</v>
      </c>
      <c r="G2170" s="1444"/>
      <c r="H2170" s="38">
        <v>30219618</v>
      </c>
      <c r="I2170" s="161">
        <v>6100</v>
      </c>
      <c r="J2170" s="162">
        <v>0.15</v>
      </c>
      <c r="K2170" s="157">
        <v>5</v>
      </c>
      <c r="L2170" s="161">
        <v>30500</v>
      </c>
      <c r="M2170" s="1444"/>
      <c r="N2170" s="1447"/>
    </row>
    <row r="2171" spans="2:14" ht="16.5" customHeight="1">
      <c r="B2171" s="1462"/>
      <c r="C2171" s="1443">
        <v>6</v>
      </c>
      <c r="D2171" s="1444" t="s">
        <v>2094</v>
      </c>
      <c r="E2171" s="157">
        <v>30216542</v>
      </c>
      <c r="F2171" s="157" t="s">
        <v>2106</v>
      </c>
      <c r="G2171" s="1444" t="s">
        <v>2501</v>
      </c>
      <c r="H2171" s="38">
        <v>30219620</v>
      </c>
      <c r="I2171" s="161">
        <v>11500</v>
      </c>
      <c r="J2171" s="162">
        <v>0.15</v>
      </c>
      <c r="K2171" s="157">
        <v>5</v>
      </c>
      <c r="L2171" s="161">
        <v>57500</v>
      </c>
      <c r="M2171" s="1444" t="s">
        <v>2502</v>
      </c>
      <c r="N2171" s="1445">
        <v>20250212249</v>
      </c>
    </row>
    <row r="2172" spans="2:14" ht="16.5" customHeight="1">
      <c r="B2172" s="1462"/>
      <c r="C2172" s="1443"/>
      <c r="D2172" s="1444"/>
      <c r="E2172" s="157">
        <v>30214817</v>
      </c>
      <c r="F2172" s="157" t="s">
        <v>2107</v>
      </c>
      <c r="G2172" s="1444"/>
      <c r="H2172" s="38">
        <v>30219621</v>
      </c>
      <c r="I2172" s="161">
        <v>11500</v>
      </c>
      <c r="J2172" s="162">
        <v>0.15</v>
      </c>
      <c r="K2172" s="157">
        <v>5</v>
      </c>
      <c r="L2172" s="161">
        <v>57500</v>
      </c>
      <c r="M2172" s="1444"/>
      <c r="N2172" s="1446"/>
    </row>
    <row r="2173" spans="2:14" ht="16.5" customHeight="1">
      <c r="B2173" s="1462"/>
      <c r="C2173" s="1443"/>
      <c r="D2173" s="1444"/>
      <c r="E2173" s="157">
        <v>30207260</v>
      </c>
      <c r="F2173" s="157" t="s">
        <v>2108</v>
      </c>
      <c r="G2173" s="1444"/>
      <c r="H2173" s="38">
        <v>30219622</v>
      </c>
      <c r="I2173" s="161">
        <v>11500</v>
      </c>
      <c r="J2173" s="162">
        <v>0.15</v>
      </c>
      <c r="K2173" s="157">
        <v>5</v>
      </c>
      <c r="L2173" s="161">
        <v>57500</v>
      </c>
      <c r="M2173" s="1444"/>
      <c r="N2173" s="1447"/>
    </row>
    <row r="2174" spans="2:14" ht="16.5" customHeight="1">
      <c r="B2174" s="1462"/>
      <c r="C2174" s="1443">
        <v>7</v>
      </c>
      <c r="D2174" s="1444" t="s">
        <v>2094</v>
      </c>
      <c r="E2174" s="157">
        <v>30216553</v>
      </c>
      <c r="F2174" s="157" t="s">
        <v>2110</v>
      </c>
      <c r="G2174" s="1444" t="s">
        <v>2503</v>
      </c>
      <c r="H2174" s="38">
        <v>30219623</v>
      </c>
      <c r="I2174" s="161">
        <v>6500</v>
      </c>
      <c r="J2174" s="162">
        <v>0.15</v>
      </c>
      <c r="K2174" s="157">
        <v>5</v>
      </c>
      <c r="L2174" s="161">
        <v>32500</v>
      </c>
      <c r="M2174" s="1444" t="s">
        <v>2504</v>
      </c>
      <c r="N2174" s="1445">
        <v>20250212250</v>
      </c>
    </row>
    <row r="2175" spans="2:14" ht="16.5" customHeight="1">
      <c r="B2175" s="1462"/>
      <c r="C2175" s="1443"/>
      <c r="D2175" s="1444"/>
      <c r="E2175" s="157">
        <v>30215608</v>
      </c>
      <c r="F2175" s="157" t="s">
        <v>2111</v>
      </c>
      <c r="G2175" s="1444"/>
      <c r="H2175" s="38">
        <v>30219624</v>
      </c>
      <c r="I2175" s="161">
        <v>13900</v>
      </c>
      <c r="J2175" s="162">
        <v>0.15</v>
      </c>
      <c r="K2175" s="157">
        <v>5</v>
      </c>
      <c r="L2175" s="161">
        <v>69500</v>
      </c>
      <c r="M2175" s="1444"/>
      <c r="N2175" s="1447"/>
    </row>
    <row r="2176" spans="2:14" ht="16.5" customHeight="1">
      <c r="B2176" s="1462"/>
      <c r="C2176" s="1443">
        <v>8</v>
      </c>
      <c r="D2176" s="1443" t="s">
        <v>332</v>
      </c>
      <c r="E2176" s="157">
        <v>68077672</v>
      </c>
      <c r="F2176" s="157" t="s">
        <v>2303</v>
      </c>
      <c r="G2176" s="1443" t="s">
        <v>2303</v>
      </c>
      <c r="H2176" s="38">
        <v>30220682</v>
      </c>
      <c r="I2176" s="161">
        <v>8500</v>
      </c>
      <c r="J2176" s="162">
        <v>0.1</v>
      </c>
      <c r="K2176" s="157">
        <v>5</v>
      </c>
      <c r="L2176" s="161">
        <v>42500</v>
      </c>
      <c r="M2176" s="1443" t="s">
        <v>2303</v>
      </c>
      <c r="N2176" s="1445">
        <v>20250212251</v>
      </c>
    </row>
    <row r="2177" spans="2:15" ht="16.5" customHeight="1">
      <c r="B2177" s="1462"/>
      <c r="C2177" s="1443"/>
      <c r="D2177" s="1443"/>
      <c r="E2177" s="157">
        <v>68077668</v>
      </c>
      <c r="F2177" s="157" t="s">
        <v>2304</v>
      </c>
      <c r="G2177" s="1443"/>
      <c r="H2177" s="38">
        <v>30195304</v>
      </c>
      <c r="I2177" s="161">
        <v>7900</v>
      </c>
      <c r="J2177" s="162">
        <v>0.1</v>
      </c>
      <c r="K2177" s="157">
        <v>5</v>
      </c>
      <c r="L2177" s="161">
        <v>39500</v>
      </c>
      <c r="M2177" s="1443"/>
      <c r="N2177" s="1447"/>
    </row>
    <row r="2178" spans="2:15" ht="16.5" customHeight="1">
      <c r="B2178" s="1462"/>
      <c r="C2178" s="1443">
        <v>9</v>
      </c>
      <c r="D2178" s="1443" t="s">
        <v>332</v>
      </c>
      <c r="E2178" s="157">
        <v>10154408</v>
      </c>
      <c r="F2178" s="157" t="s">
        <v>2305</v>
      </c>
      <c r="G2178" s="1444" t="s">
        <v>2305</v>
      </c>
      <c r="H2178" s="38">
        <v>30219701</v>
      </c>
      <c r="I2178" s="161">
        <v>9900</v>
      </c>
      <c r="J2178" s="162">
        <v>0.1</v>
      </c>
      <c r="K2178" s="157">
        <v>5</v>
      </c>
      <c r="L2178" s="161">
        <v>49500</v>
      </c>
      <c r="M2178" s="1444" t="s">
        <v>2305</v>
      </c>
      <c r="N2178" s="1445">
        <v>20250212252</v>
      </c>
    </row>
    <row r="2179" spans="2:15" ht="16.5" customHeight="1">
      <c r="B2179" s="1462"/>
      <c r="C2179" s="1443"/>
      <c r="D2179" s="1443"/>
      <c r="E2179" s="157">
        <v>40100008</v>
      </c>
      <c r="F2179" s="157" t="s">
        <v>2306</v>
      </c>
      <c r="G2179" s="1444"/>
      <c r="H2179" s="38">
        <v>30219704</v>
      </c>
      <c r="I2179" s="161">
        <v>13900</v>
      </c>
      <c r="J2179" s="162">
        <v>0.1</v>
      </c>
      <c r="K2179" s="157">
        <v>5</v>
      </c>
      <c r="L2179" s="161">
        <v>69500</v>
      </c>
      <c r="M2179" s="1444"/>
      <c r="N2179" s="1447"/>
    </row>
    <row r="2180" spans="2:15" ht="16.5" customHeight="1">
      <c r="B2180" s="1462"/>
      <c r="C2180" s="1443">
        <v>10</v>
      </c>
      <c r="D2180" s="1443" t="s">
        <v>332</v>
      </c>
      <c r="E2180" s="157">
        <v>72238023</v>
      </c>
      <c r="F2180" s="157" t="s">
        <v>2505</v>
      </c>
      <c r="G2180" s="1444" t="s">
        <v>2505</v>
      </c>
      <c r="H2180" s="38">
        <v>30219705</v>
      </c>
      <c r="I2180" s="161">
        <v>8900</v>
      </c>
      <c r="J2180" s="162">
        <v>0.1</v>
      </c>
      <c r="K2180" s="157">
        <v>5</v>
      </c>
      <c r="L2180" s="161">
        <v>44500</v>
      </c>
      <c r="M2180" s="1444" t="s">
        <v>2505</v>
      </c>
      <c r="N2180" s="1445">
        <v>20250212253</v>
      </c>
    </row>
    <row r="2181" spans="2:15" ht="16.5" customHeight="1">
      <c r="B2181" s="1462"/>
      <c r="C2181" s="1443"/>
      <c r="D2181" s="1443"/>
      <c r="E2181" s="157">
        <v>76365318</v>
      </c>
      <c r="F2181" s="157" t="s">
        <v>2506</v>
      </c>
      <c r="G2181" s="1444"/>
      <c r="H2181" s="38">
        <v>30219707</v>
      </c>
      <c r="I2181" s="161">
        <v>13900</v>
      </c>
      <c r="J2181" s="162">
        <v>0.1</v>
      </c>
      <c r="K2181" s="157">
        <v>5</v>
      </c>
      <c r="L2181" s="161">
        <v>69500</v>
      </c>
      <c r="M2181" s="1444"/>
      <c r="N2181" s="1447"/>
    </row>
    <row r="2182" spans="2:15" ht="16.5" customHeight="1">
      <c r="B2182" s="1462"/>
      <c r="C2182" s="1443">
        <v>11</v>
      </c>
      <c r="D2182" s="1443" t="s">
        <v>2507</v>
      </c>
      <c r="E2182" s="157">
        <v>30216906</v>
      </c>
      <c r="F2182" s="157" t="s">
        <v>2508</v>
      </c>
      <c r="G2182" s="1444" t="s">
        <v>2509</v>
      </c>
      <c r="H2182" s="38">
        <v>30219709</v>
      </c>
      <c r="I2182" s="161">
        <v>11900</v>
      </c>
      <c r="J2182" s="162">
        <v>0.15</v>
      </c>
      <c r="K2182" s="157">
        <v>5</v>
      </c>
      <c r="L2182" s="161">
        <v>59500</v>
      </c>
      <c r="M2182" s="1444" t="s">
        <v>2510</v>
      </c>
      <c r="N2182" s="1445">
        <v>20250212254</v>
      </c>
    </row>
    <row r="2183" spans="2:15" ht="16.5" customHeight="1">
      <c r="B2183" s="1462"/>
      <c r="C2183" s="1443"/>
      <c r="D2183" s="1443"/>
      <c r="E2183" s="157">
        <v>30167830</v>
      </c>
      <c r="F2183" s="157" t="s">
        <v>2511</v>
      </c>
      <c r="G2183" s="1444"/>
      <c r="H2183" s="38">
        <v>30219710</v>
      </c>
      <c r="I2183" s="161">
        <v>12900</v>
      </c>
      <c r="J2183" s="162">
        <v>0.15</v>
      </c>
      <c r="K2183" s="157">
        <v>5</v>
      </c>
      <c r="L2183" s="161">
        <v>64500</v>
      </c>
      <c r="M2183" s="1444"/>
      <c r="N2183" s="1446"/>
    </row>
    <row r="2184" spans="2:15" ht="16.5" customHeight="1">
      <c r="B2184" s="1462"/>
      <c r="C2184" s="1443"/>
      <c r="D2184" s="1443"/>
      <c r="E2184" s="157">
        <v>30166989</v>
      </c>
      <c r="F2184" s="157" t="s">
        <v>2512</v>
      </c>
      <c r="G2184" s="1444"/>
      <c r="H2184" s="38">
        <v>30219711</v>
      </c>
      <c r="I2184" s="161">
        <v>13900</v>
      </c>
      <c r="J2184" s="162">
        <v>0.15</v>
      </c>
      <c r="K2184" s="157">
        <v>5</v>
      </c>
      <c r="L2184" s="161">
        <v>69500</v>
      </c>
      <c r="M2184" s="1444"/>
      <c r="N2184" s="1446"/>
    </row>
    <row r="2185" spans="2:15" ht="16.5" customHeight="1">
      <c r="B2185" s="1462"/>
      <c r="C2185" s="1443"/>
      <c r="D2185" s="1443"/>
      <c r="E2185" s="157">
        <v>30216932</v>
      </c>
      <c r="F2185" s="157" t="s">
        <v>2513</v>
      </c>
      <c r="G2185" s="1444"/>
      <c r="H2185" s="38">
        <v>30219712</v>
      </c>
      <c r="I2185" s="161">
        <v>13900</v>
      </c>
      <c r="J2185" s="162">
        <v>0.15</v>
      </c>
      <c r="K2185" s="157">
        <v>5</v>
      </c>
      <c r="L2185" s="161">
        <v>69500</v>
      </c>
      <c r="M2185" s="1444"/>
      <c r="N2185" s="1446"/>
    </row>
    <row r="2186" spans="2:15" ht="16.5" customHeight="1">
      <c r="B2186" s="1462"/>
      <c r="C2186" s="1443"/>
      <c r="D2186" s="1443"/>
      <c r="E2186" s="157">
        <v>30166990</v>
      </c>
      <c r="F2186" s="157" t="s">
        <v>2514</v>
      </c>
      <c r="G2186" s="1444"/>
      <c r="H2186" s="38">
        <v>30219713</v>
      </c>
      <c r="I2186" s="161">
        <v>15900</v>
      </c>
      <c r="J2186" s="162">
        <v>0.15</v>
      </c>
      <c r="K2186" s="157">
        <v>5</v>
      </c>
      <c r="L2186" s="161">
        <v>79500</v>
      </c>
      <c r="M2186" s="1444"/>
      <c r="N2186" s="1447"/>
    </row>
    <row r="2187" spans="2:15" ht="16.5" customHeight="1">
      <c r="B2187" s="1462"/>
      <c r="C2187" s="1520">
        <v>12</v>
      </c>
      <c r="D2187" s="1520" t="s">
        <v>346</v>
      </c>
      <c r="E2187" s="38">
        <v>30107419</v>
      </c>
      <c r="F2187" s="38" t="s">
        <v>2515</v>
      </c>
      <c r="G2187" s="1520" t="s">
        <v>2516</v>
      </c>
      <c r="H2187" s="418">
        <v>30214047</v>
      </c>
      <c r="I2187" s="419">
        <v>18900</v>
      </c>
      <c r="J2187" s="42">
        <v>0.15</v>
      </c>
      <c r="K2187" s="38">
        <v>5</v>
      </c>
      <c r="L2187" s="41">
        <v>94500</v>
      </c>
      <c r="M2187" s="1521" t="s">
        <v>2517</v>
      </c>
      <c r="N2187" s="1445">
        <v>20250212255</v>
      </c>
    </row>
    <row r="2188" spans="2:15" ht="16.5" customHeight="1">
      <c r="B2188" s="1462"/>
      <c r="C2188" s="1520"/>
      <c r="D2188" s="1520"/>
      <c r="E2188" s="38">
        <v>42020663</v>
      </c>
      <c r="F2188" s="38" t="s">
        <v>1472</v>
      </c>
      <c r="G2188" s="1520"/>
      <c r="H2188" s="418">
        <v>30216524</v>
      </c>
      <c r="I2188" s="419">
        <v>11900</v>
      </c>
      <c r="J2188" s="42">
        <v>0.15</v>
      </c>
      <c r="K2188" s="38">
        <v>5</v>
      </c>
      <c r="L2188" s="41">
        <v>59500</v>
      </c>
      <c r="M2188" s="1521"/>
      <c r="N2188" s="1446"/>
    </row>
    <row r="2189" spans="2:15" ht="16.5" customHeight="1">
      <c r="B2189" s="1462"/>
      <c r="C2189" s="1520"/>
      <c r="D2189" s="1520"/>
      <c r="E2189" s="38">
        <v>42020655</v>
      </c>
      <c r="F2189" s="38" t="s">
        <v>1473</v>
      </c>
      <c r="G2189" s="1520"/>
      <c r="H2189" s="418">
        <v>30216528</v>
      </c>
      <c r="I2189" s="419">
        <v>11900</v>
      </c>
      <c r="J2189" s="42">
        <v>0.15</v>
      </c>
      <c r="K2189" s="38">
        <v>5</v>
      </c>
      <c r="L2189" s="41">
        <v>59500</v>
      </c>
      <c r="M2189" s="1521"/>
      <c r="N2189" s="1447"/>
    </row>
    <row r="2190" spans="2:15" ht="16.5" customHeight="1">
      <c r="B2190" s="1451" t="s">
        <v>32</v>
      </c>
      <c r="C2190" s="1451">
        <v>1</v>
      </c>
      <c r="D2190" s="1533" t="s">
        <v>1754</v>
      </c>
      <c r="E2190" s="38"/>
      <c r="F2190" s="38" t="s">
        <v>2518</v>
      </c>
      <c r="G2190" s="1536" t="s">
        <v>2519</v>
      </c>
      <c r="H2190" s="173">
        <v>30220484</v>
      </c>
      <c r="I2190" s="419">
        <v>13900</v>
      </c>
      <c r="J2190" s="42">
        <v>7.0000000000000007E-2</v>
      </c>
      <c r="K2190" s="38">
        <v>1</v>
      </c>
      <c r="L2190" s="41"/>
      <c r="M2190" s="1539" t="s">
        <v>2520</v>
      </c>
      <c r="N2190" s="1445">
        <v>20250213286</v>
      </c>
      <c r="O2190" s="4" t="s">
        <v>2521</v>
      </c>
    </row>
    <row r="2191" spans="2:15" ht="16.5" customHeight="1">
      <c r="B2191" s="1452"/>
      <c r="C2191" s="1452"/>
      <c r="D2191" s="1534"/>
      <c r="E2191" s="38"/>
      <c r="F2191" s="38" t="s">
        <v>2522</v>
      </c>
      <c r="G2191" s="1537"/>
      <c r="H2191" s="173">
        <v>30220505</v>
      </c>
      <c r="I2191" s="419">
        <v>16900</v>
      </c>
      <c r="J2191" s="42">
        <v>7.0000000000000007E-2</v>
      </c>
      <c r="K2191" s="38">
        <v>1</v>
      </c>
      <c r="L2191" s="41"/>
      <c r="M2191" s="1540"/>
      <c r="N2191" s="1446"/>
    </row>
    <row r="2192" spans="2:15" ht="16.5" customHeight="1">
      <c r="B2192" s="1452"/>
      <c r="C2192" s="1452"/>
      <c r="D2192" s="1534"/>
      <c r="E2192" s="38"/>
      <c r="F2192" s="38" t="s">
        <v>2523</v>
      </c>
      <c r="G2192" s="1537"/>
      <c r="H2192" s="173">
        <v>30220506</v>
      </c>
      <c r="I2192" s="419">
        <v>9900</v>
      </c>
      <c r="J2192" s="42">
        <v>7.0000000000000007E-2</v>
      </c>
      <c r="K2192" s="38">
        <v>1</v>
      </c>
      <c r="L2192" s="41"/>
      <c r="M2192" s="1540"/>
      <c r="N2192" s="1446"/>
    </row>
    <row r="2193" spans="2:14" ht="16.5" customHeight="1">
      <c r="B2193" s="1452"/>
      <c r="C2193" s="1452"/>
      <c r="D2193" s="1534"/>
      <c r="E2193" s="38"/>
      <c r="F2193" s="38" t="s">
        <v>2524</v>
      </c>
      <c r="G2193" s="1537"/>
      <c r="H2193" s="173">
        <v>30220488</v>
      </c>
      <c r="I2193" s="419">
        <v>21900</v>
      </c>
      <c r="J2193" s="42">
        <v>7.0000000000000007E-2</v>
      </c>
      <c r="K2193" s="38">
        <v>1</v>
      </c>
      <c r="L2193" s="41"/>
      <c r="M2193" s="1540"/>
      <c r="N2193" s="1446"/>
    </row>
    <row r="2194" spans="2:14" ht="16.5" customHeight="1">
      <c r="B2194" s="1452"/>
      <c r="C2194" s="1452"/>
      <c r="D2194" s="1534"/>
      <c r="E2194" s="38"/>
      <c r="F2194" s="38" t="s">
        <v>2525</v>
      </c>
      <c r="G2194" s="1537"/>
      <c r="H2194" s="173">
        <v>30220489</v>
      </c>
      <c r="I2194" s="419">
        <v>21900</v>
      </c>
      <c r="J2194" s="42">
        <v>7.0000000000000007E-2</v>
      </c>
      <c r="K2194" s="38">
        <v>1</v>
      </c>
      <c r="L2194" s="41"/>
      <c r="M2194" s="1540"/>
      <c r="N2194" s="1446"/>
    </row>
    <row r="2195" spans="2:14" ht="16.5" customHeight="1">
      <c r="B2195" s="1452"/>
      <c r="C2195" s="1452"/>
      <c r="D2195" s="1535"/>
      <c r="E2195" s="38"/>
      <c r="F2195" s="38" t="s">
        <v>2526</v>
      </c>
      <c r="G2195" s="1538"/>
      <c r="H2195" s="173">
        <v>30220490</v>
      </c>
      <c r="I2195" s="419">
        <v>21900</v>
      </c>
      <c r="J2195" s="42">
        <v>7.0000000000000007E-2</v>
      </c>
      <c r="K2195" s="38">
        <v>1</v>
      </c>
      <c r="L2195" s="41"/>
      <c r="M2195" s="1541"/>
      <c r="N2195" s="1447"/>
    </row>
    <row r="2196" spans="2:14" ht="16.5" customHeight="1">
      <c r="B2196" s="1452"/>
      <c r="C2196" s="420"/>
      <c r="D2196" s="1448" t="s">
        <v>33</v>
      </c>
      <c r="E2196" s="30"/>
      <c r="F2196" s="31" t="s">
        <v>34</v>
      </c>
      <c r="G2196" s="1454" t="s">
        <v>35</v>
      </c>
      <c r="H2196" s="30">
        <v>30212257</v>
      </c>
      <c r="I2196" s="30">
        <v>145000</v>
      </c>
      <c r="J2196" s="30">
        <v>7</v>
      </c>
      <c r="K2196" s="30">
        <v>1</v>
      </c>
      <c r="L2196" s="30"/>
      <c r="M2196" s="1454" t="s">
        <v>36</v>
      </c>
      <c r="N2196" s="1461">
        <v>20250212256</v>
      </c>
    </row>
    <row r="2197" spans="2:14" ht="16.5" customHeight="1">
      <c r="B2197" s="1452"/>
      <c r="C2197" s="420"/>
      <c r="D2197" s="1448"/>
      <c r="E2197" s="30"/>
      <c r="F2197" s="31" t="s">
        <v>37</v>
      </c>
      <c r="G2197" s="1454"/>
      <c r="H2197" s="30">
        <v>30212992</v>
      </c>
      <c r="I2197" s="35">
        <v>69900</v>
      </c>
      <c r="J2197" s="30">
        <v>7</v>
      </c>
      <c r="K2197" s="30">
        <v>1</v>
      </c>
      <c r="L2197" s="30"/>
      <c r="M2197" s="1454"/>
      <c r="N2197" s="1461"/>
    </row>
    <row r="2198" spans="2:14" ht="16.5" customHeight="1">
      <c r="B2198" s="1452"/>
      <c r="C2198" s="420"/>
      <c r="D2198" s="1448"/>
      <c r="E2198" s="30"/>
      <c r="F2198" s="31" t="s">
        <v>37</v>
      </c>
      <c r="G2198" s="1454"/>
      <c r="H2198" s="30">
        <v>30213192</v>
      </c>
      <c r="I2198" s="35">
        <v>59900</v>
      </c>
      <c r="J2198" s="30">
        <v>7</v>
      </c>
      <c r="K2198" s="30">
        <v>1</v>
      </c>
      <c r="L2198" s="30"/>
      <c r="M2198" s="1454"/>
      <c r="N2198" s="1461"/>
    </row>
    <row r="2199" spans="2:14" ht="16.5" customHeight="1">
      <c r="B2199" s="1452"/>
      <c r="C2199" s="420"/>
      <c r="D2199" s="1448"/>
      <c r="E2199" s="30"/>
      <c r="F2199" s="31" t="s">
        <v>38</v>
      </c>
      <c r="G2199" s="1454"/>
      <c r="H2199" s="30">
        <v>30212357</v>
      </c>
      <c r="I2199" s="30"/>
      <c r="J2199" s="30">
        <v>7</v>
      </c>
      <c r="K2199" s="30">
        <v>1</v>
      </c>
      <c r="L2199" s="30"/>
      <c r="M2199" s="1454"/>
      <c r="N2199" s="1461"/>
    </row>
    <row r="2200" spans="2:14" ht="16.5" customHeight="1">
      <c r="B2200" s="1452"/>
      <c r="C2200" s="420"/>
      <c r="D2200" s="1448"/>
      <c r="E2200" s="30"/>
      <c r="F2200" s="31" t="s">
        <v>39</v>
      </c>
      <c r="G2200" s="1454"/>
      <c r="H2200" s="30">
        <v>30212329</v>
      </c>
      <c r="I2200" s="30"/>
      <c r="J2200" s="30">
        <v>7</v>
      </c>
      <c r="K2200" s="30">
        <v>1</v>
      </c>
      <c r="L2200" s="30"/>
      <c r="M2200" s="1454"/>
      <c r="N2200" s="1461"/>
    </row>
    <row r="2201" spans="2:14" ht="16.5" customHeight="1">
      <c r="B2201" s="1452"/>
      <c r="C2201" s="420"/>
      <c r="D2201" s="1448"/>
      <c r="E2201" s="30"/>
      <c r="F2201" s="31" t="s">
        <v>40</v>
      </c>
      <c r="G2201" s="1454"/>
      <c r="H2201" s="30">
        <v>30212314</v>
      </c>
      <c r="I2201" s="30"/>
      <c r="J2201" s="30">
        <v>7</v>
      </c>
      <c r="K2201" s="30">
        <v>1</v>
      </c>
      <c r="L2201" s="30"/>
      <c r="M2201" s="1454"/>
      <c r="N2201" s="1461"/>
    </row>
    <row r="2202" spans="2:14" ht="16.5" customHeight="1">
      <c r="B2202" s="1452"/>
      <c r="C2202" s="420"/>
      <c r="D2202" s="1448"/>
      <c r="E2202" s="30"/>
      <c r="F2202" s="31" t="s">
        <v>41</v>
      </c>
      <c r="G2202" s="1454"/>
      <c r="H2202" s="30">
        <v>30212166</v>
      </c>
      <c r="I2202" s="30"/>
      <c r="J2202" s="30">
        <v>7</v>
      </c>
      <c r="K2202" s="30">
        <v>1</v>
      </c>
      <c r="L2202" s="30"/>
      <c r="M2202" s="1454"/>
      <c r="N2202" s="1461"/>
    </row>
    <row r="2203" spans="2:14" ht="16.5" customHeight="1">
      <c r="B2203" s="1452"/>
      <c r="C2203" s="420"/>
      <c r="D2203" s="1448"/>
      <c r="E2203" s="30"/>
      <c r="F2203" s="31" t="s">
        <v>42</v>
      </c>
      <c r="G2203" s="1454"/>
      <c r="H2203" s="30">
        <v>30212188</v>
      </c>
      <c r="I2203" s="30"/>
      <c r="J2203" s="30">
        <v>7</v>
      </c>
      <c r="K2203" s="30">
        <v>1</v>
      </c>
      <c r="L2203" s="30"/>
      <c r="M2203" s="1454"/>
      <c r="N2203" s="1461"/>
    </row>
    <row r="2204" spans="2:14" ht="16.5" customHeight="1">
      <c r="B2204" s="1452"/>
      <c r="C2204" s="420"/>
      <c r="D2204" s="1448"/>
      <c r="E2204" s="30"/>
      <c r="F2204" s="31" t="s">
        <v>43</v>
      </c>
      <c r="G2204" s="1454"/>
      <c r="H2204" s="30">
        <v>30212302</v>
      </c>
      <c r="I2204" s="30"/>
      <c r="J2204" s="30">
        <v>7</v>
      </c>
      <c r="K2204" s="30">
        <v>1</v>
      </c>
      <c r="L2204" s="30"/>
      <c r="M2204" s="1454"/>
      <c r="N2204" s="1461"/>
    </row>
    <row r="2205" spans="2:14" ht="16.5" customHeight="1">
      <c r="B2205" s="1452"/>
      <c r="C2205" s="420"/>
      <c r="D2205" s="1448"/>
      <c r="E2205" s="30"/>
      <c r="F2205" s="31" t="s">
        <v>44</v>
      </c>
      <c r="G2205" s="1454"/>
      <c r="H2205" s="30">
        <v>30212138</v>
      </c>
      <c r="I2205" s="30"/>
      <c r="J2205" s="30">
        <v>7</v>
      </c>
      <c r="K2205" s="30">
        <v>1</v>
      </c>
      <c r="L2205" s="30"/>
      <c r="M2205" s="1454"/>
      <c r="N2205" s="1461"/>
    </row>
    <row r="2206" spans="2:14" ht="16.5" customHeight="1">
      <c r="B2206" s="1452"/>
      <c r="C2206" s="420"/>
      <c r="D2206" s="1448"/>
      <c r="E2206" s="30"/>
      <c r="F2206" s="31" t="s">
        <v>45</v>
      </c>
      <c r="G2206" s="1454"/>
      <c r="H2206" s="30">
        <v>30212206</v>
      </c>
      <c r="I2206" s="30"/>
      <c r="J2206" s="30">
        <v>7</v>
      </c>
      <c r="K2206" s="30">
        <v>1</v>
      </c>
      <c r="L2206" s="30"/>
      <c r="M2206" s="1454"/>
      <c r="N2206" s="1461"/>
    </row>
    <row r="2207" spans="2:14" ht="16.5" customHeight="1">
      <c r="B2207" s="1452"/>
      <c r="C2207" s="420"/>
      <c r="D2207" s="1448"/>
      <c r="E2207" s="30"/>
      <c r="F2207" s="31" t="s">
        <v>46</v>
      </c>
      <c r="G2207" s="1454"/>
      <c r="H2207" s="30">
        <v>30212350</v>
      </c>
      <c r="I2207" s="30"/>
      <c r="J2207" s="30">
        <v>7</v>
      </c>
      <c r="K2207" s="30">
        <v>1</v>
      </c>
      <c r="L2207" s="30"/>
      <c r="M2207" s="1454"/>
      <c r="N2207" s="1461"/>
    </row>
    <row r="2208" spans="2:14" ht="16.5" customHeight="1">
      <c r="B2208" s="1452"/>
      <c r="C2208" s="420"/>
      <c r="D2208" s="1448"/>
      <c r="E2208" s="30"/>
      <c r="F2208" s="31" t="s">
        <v>47</v>
      </c>
      <c r="G2208" s="1454"/>
      <c r="H2208" s="30">
        <v>30212198</v>
      </c>
      <c r="I2208" s="30"/>
      <c r="J2208" s="30">
        <v>7</v>
      </c>
      <c r="K2208" s="30">
        <v>1</v>
      </c>
      <c r="L2208" s="30"/>
      <c r="M2208" s="1454"/>
      <c r="N2208" s="1461"/>
    </row>
    <row r="2209" spans="2:14" ht="16.5" customHeight="1">
      <c r="B2209" s="1452"/>
      <c r="C2209" s="420"/>
      <c r="D2209" s="1448"/>
      <c r="E2209" s="30"/>
      <c r="F2209" s="31" t="s">
        <v>48</v>
      </c>
      <c r="G2209" s="1454"/>
      <c r="H2209" s="30">
        <v>30212249</v>
      </c>
      <c r="I2209" s="30"/>
      <c r="J2209" s="30">
        <v>7</v>
      </c>
      <c r="K2209" s="30">
        <v>1</v>
      </c>
      <c r="L2209" s="30"/>
      <c r="M2209" s="1454"/>
      <c r="N2209" s="1461"/>
    </row>
    <row r="2210" spans="2:14" ht="16.5" customHeight="1">
      <c r="B2210" s="1452"/>
      <c r="C2210" s="420"/>
      <c r="D2210" s="1448"/>
      <c r="E2210" s="30"/>
      <c r="F2210" s="31" t="s">
        <v>49</v>
      </c>
      <c r="G2210" s="1454"/>
      <c r="H2210" s="30">
        <v>30212181</v>
      </c>
      <c r="I2210" s="30"/>
      <c r="J2210" s="30">
        <v>7</v>
      </c>
      <c r="K2210" s="30">
        <v>1</v>
      </c>
      <c r="L2210" s="30"/>
      <c r="M2210" s="1454"/>
      <c r="N2210" s="1461"/>
    </row>
    <row r="2211" spans="2:14" ht="16.5" customHeight="1">
      <c r="B2211" s="1452"/>
      <c r="C2211" s="420"/>
      <c r="D2211" s="1448"/>
      <c r="E2211" s="30"/>
      <c r="F2211" s="31" t="s">
        <v>50</v>
      </c>
      <c r="G2211" s="1454"/>
      <c r="H2211" s="30">
        <v>30212178</v>
      </c>
      <c r="I2211" s="30"/>
      <c r="J2211" s="30">
        <v>7</v>
      </c>
      <c r="K2211" s="30">
        <v>1</v>
      </c>
      <c r="L2211" s="30"/>
      <c r="M2211" s="1454"/>
      <c r="N2211" s="1461"/>
    </row>
    <row r="2212" spans="2:14" ht="16.5" customHeight="1">
      <c r="B2212" s="1452"/>
      <c r="C2212" s="420"/>
      <c r="D2212" s="1448"/>
      <c r="E2212" s="30"/>
      <c r="F2212" s="31" t="s">
        <v>51</v>
      </c>
      <c r="G2212" s="1454"/>
      <c r="H2212" s="30">
        <v>30212346</v>
      </c>
      <c r="I2212" s="30"/>
      <c r="J2212" s="30">
        <v>7</v>
      </c>
      <c r="K2212" s="30">
        <v>1</v>
      </c>
      <c r="L2212" s="30"/>
      <c r="M2212" s="1454"/>
      <c r="N2212" s="1461"/>
    </row>
    <row r="2213" spans="2:14" ht="16.5" customHeight="1">
      <c r="B2213" s="1452"/>
      <c r="C2213" s="420"/>
      <c r="D2213" s="1448"/>
      <c r="E2213" s="30"/>
      <c r="F2213" s="31" t="s">
        <v>52</v>
      </c>
      <c r="G2213" s="1454"/>
      <c r="H2213" s="30">
        <v>30212300</v>
      </c>
      <c r="I2213" s="30"/>
      <c r="J2213" s="30">
        <v>7</v>
      </c>
      <c r="K2213" s="30">
        <v>1</v>
      </c>
      <c r="L2213" s="30"/>
      <c r="M2213" s="1454"/>
      <c r="N2213" s="1461"/>
    </row>
    <row r="2214" spans="2:14" ht="16.5" customHeight="1">
      <c r="B2214" s="1452"/>
      <c r="C2214" s="377"/>
      <c r="D2214" s="1448"/>
      <c r="E2214" s="30"/>
      <c r="F2214" s="31" t="s">
        <v>53</v>
      </c>
      <c r="G2214" s="1454"/>
      <c r="H2214" s="30">
        <v>30212191</v>
      </c>
      <c r="I2214" s="30"/>
      <c r="J2214" s="30">
        <v>7</v>
      </c>
      <c r="K2214" s="30">
        <v>1</v>
      </c>
      <c r="L2214" s="30"/>
      <c r="M2214" s="1454"/>
      <c r="N2214" s="1461"/>
    </row>
    <row r="2215" spans="2:14" ht="16.5" customHeight="1">
      <c r="B2215" s="1452"/>
      <c r="C2215" s="1448">
        <v>2</v>
      </c>
      <c r="D2215" s="1448" t="s">
        <v>54</v>
      </c>
      <c r="E2215" s="30"/>
      <c r="F2215" s="31" t="s">
        <v>1807</v>
      </c>
      <c r="G2215" s="1454" t="s">
        <v>56</v>
      </c>
      <c r="H2215" s="30">
        <v>30209572</v>
      </c>
      <c r="I2215" s="35">
        <v>10900</v>
      </c>
      <c r="J2215" s="30">
        <v>6</v>
      </c>
      <c r="K2215" s="30">
        <v>1</v>
      </c>
      <c r="L2215" s="30"/>
      <c r="M2215" s="1454" t="s">
        <v>57</v>
      </c>
      <c r="N2215" s="1461">
        <v>20250212257</v>
      </c>
    </row>
    <row r="2216" spans="2:14" ht="16.5" customHeight="1">
      <c r="B2216" s="1452"/>
      <c r="C2216" s="1448"/>
      <c r="D2216" s="1448"/>
      <c r="E2216" s="30"/>
      <c r="F2216" s="31" t="s">
        <v>1808</v>
      </c>
      <c r="G2216" s="1454"/>
      <c r="H2216" s="30">
        <v>30209573</v>
      </c>
      <c r="I2216" s="35">
        <v>26900</v>
      </c>
      <c r="J2216" s="30">
        <v>6</v>
      </c>
      <c r="K2216" s="30">
        <v>1</v>
      </c>
      <c r="L2216" s="30"/>
      <c r="M2216" s="1454"/>
      <c r="N2216" s="1461"/>
    </row>
    <row r="2217" spans="2:14" ht="16.5" customHeight="1">
      <c r="B2217" s="1452"/>
      <c r="C2217" s="1448"/>
      <c r="D2217" s="1448"/>
      <c r="E2217" s="30"/>
      <c r="F2217" s="31" t="s">
        <v>1809</v>
      </c>
      <c r="G2217" s="1454"/>
      <c r="H2217" s="30">
        <v>30209570</v>
      </c>
      <c r="I2217" s="35">
        <v>29900</v>
      </c>
      <c r="J2217" s="30">
        <v>6</v>
      </c>
      <c r="K2217" s="30">
        <v>1</v>
      </c>
      <c r="L2217" s="30"/>
      <c r="M2217" s="1454"/>
      <c r="N2217" s="1461"/>
    </row>
    <row r="2218" spans="2:14" ht="16.5" customHeight="1">
      <c r="B2218" s="1452"/>
      <c r="C2218" s="1448"/>
      <c r="D2218" s="1448"/>
      <c r="E2218" s="30"/>
      <c r="F2218" s="31" t="s">
        <v>1810</v>
      </c>
      <c r="G2218" s="1454"/>
      <c r="H2218" s="30">
        <v>30209575</v>
      </c>
      <c r="I2218" s="35">
        <v>49900</v>
      </c>
      <c r="J2218" s="30">
        <v>6</v>
      </c>
      <c r="K2218" s="30">
        <v>1</v>
      </c>
      <c r="L2218" s="30"/>
      <c r="M2218" s="1454"/>
      <c r="N2218" s="1461"/>
    </row>
    <row r="2219" spans="2:14" ht="16.5" customHeight="1">
      <c r="B2219" s="1452"/>
      <c r="C2219" s="1448"/>
      <c r="D2219" s="1448"/>
      <c r="E2219" s="30"/>
      <c r="F2219" s="31" t="s">
        <v>1811</v>
      </c>
      <c r="G2219" s="1454"/>
      <c r="H2219" s="30">
        <v>30209571</v>
      </c>
      <c r="I2219" s="35">
        <v>49900</v>
      </c>
      <c r="J2219" s="30"/>
      <c r="K2219" s="30"/>
      <c r="L2219" s="30"/>
      <c r="M2219" s="1454"/>
      <c r="N2219" s="1461"/>
    </row>
    <row r="2220" spans="2:14" ht="16.5" customHeight="1">
      <c r="B2220" s="1452"/>
      <c r="C2220" s="1448"/>
      <c r="D2220" s="1448"/>
      <c r="E2220" s="30"/>
      <c r="F2220" s="31" t="s">
        <v>1812</v>
      </c>
      <c r="G2220" s="1454"/>
      <c r="H2220" s="30">
        <v>30217941</v>
      </c>
      <c r="I2220" s="35">
        <v>68900</v>
      </c>
      <c r="J2220" s="30"/>
      <c r="K2220" s="30"/>
      <c r="L2220" s="30"/>
      <c r="M2220" s="1454"/>
      <c r="N2220" s="1461"/>
    </row>
    <row r="2221" spans="2:14" ht="16.5" customHeight="1">
      <c r="B2221" s="1452"/>
      <c r="C2221" s="1448"/>
      <c r="D2221" s="1448"/>
      <c r="E2221" s="30"/>
      <c r="F2221" s="31" t="s">
        <v>1813</v>
      </c>
      <c r="G2221" s="1454"/>
      <c r="H2221" s="30">
        <v>30212529</v>
      </c>
      <c r="I2221" s="35">
        <v>99000</v>
      </c>
      <c r="J2221" s="30">
        <v>6</v>
      </c>
      <c r="K2221" s="30">
        <v>1</v>
      </c>
      <c r="L2221" s="30"/>
      <c r="M2221" s="1454"/>
      <c r="N2221" s="1461"/>
    </row>
    <row r="2222" spans="2:14" ht="16.5" customHeight="1">
      <c r="B2222" s="1452"/>
      <c r="C2222" s="1448"/>
      <c r="D2222" s="1448"/>
      <c r="E2222" s="30"/>
      <c r="F2222" s="31" t="s">
        <v>1814</v>
      </c>
      <c r="G2222" s="1454"/>
      <c r="H2222" s="30">
        <v>30209576</v>
      </c>
      <c r="I2222" s="35">
        <v>68900</v>
      </c>
      <c r="J2222" s="30">
        <v>6</v>
      </c>
      <c r="K2222" s="30">
        <v>1</v>
      </c>
      <c r="L2222" s="30"/>
      <c r="M2222" s="1454"/>
      <c r="N2222" s="1461"/>
    </row>
    <row r="2223" spans="2:14" ht="16.5" customHeight="1">
      <c r="B2223" s="1452"/>
      <c r="C2223" s="1448"/>
      <c r="D2223" s="1448"/>
      <c r="E2223" s="30"/>
      <c r="F2223" s="31" t="s">
        <v>1815</v>
      </c>
      <c r="G2223" s="1454"/>
      <c r="H2223" s="30">
        <v>30209578</v>
      </c>
      <c r="I2223" s="35">
        <v>109000</v>
      </c>
      <c r="J2223" s="30">
        <v>6</v>
      </c>
      <c r="K2223" s="30">
        <v>1</v>
      </c>
      <c r="L2223" s="30"/>
      <c r="M2223" s="1454"/>
      <c r="N2223" s="1461"/>
    </row>
    <row r="2224" spans="2:14" ht="16.5" customHeight="1">
      <c r="B2224" s="1452"/>
      <c r="C2224" s="1448"/>
      <c r="D2224" s="1448"/>
      <c r="E2224" s="30"/>
      <c r="F2224" s="31" t="s">
        <v>1816</v>
      </c>
      <c r="G2224" s="1454"/>
      <c r="H2224" s="30">
        <v>30209577</v>
      </c>
      <c r="I2224" s="35">
        <v>109000</v>
      </c>
      <c r="J2224" s="30">
        <v>6</v>
      </c>
      <c r="K2224" s="30">
        <v>1</v>
      </c>
      <c r="L2224" s="30"/>
      <c r="M2224" s="1454"/>
      <c r="N2224" s="1461"/>
    </row>
    <row r="2225" spans="2:14" ht="16.5" customHeight="1">
      <c r="B2225" s="1452"/>
      <c r="C2225" s="1448">
        <v>3</v>
      </c>
      <c r="D2225" s="1448" t="s">
        <v>65</v>
      </c>
      <c r="E2225" s="30"/>
      <c r="F2225" s="31" t="s">
        <v>1817</v>
      </c>
      <c r="G2225" s="1454" t="s">
        <v>67</v>
      </c>
      <c r="H2225" s="30">
        <v>30209602</v>
      </c>
      <c r="I2225" s="35">
        <v>9900</v>
      </c>
      <c r="J2225" s="30">
        <v>6</v>
      </c>
      <c r="K2225" s="30">
        <v>1</v>
      </c>
      <c r="L2225" s="30"/>
      <c r="M2225" s="1454" t="s">
        <v>68</v>
      </c>
      <c r="N2225" s="1461">
        <v>20250212258</v>
      </c>
    </row>
    <row r="2226" spans="2:14" ht="16.5" customHeight="1">
      <c r="B2226" s="1452"/>
      <c r="C2226" s="1448"/>
      <c r="D2226" s="1448"/>
      <c r="E2226" s="30"/>
      <c r="F2226" s="31" t="s">
        <v>1818</v>
      </c>
      <c r="G2226" s="1454"/>
      <c r="H2226" s="30">
        <v>30209606</v>
      </c>
      <c r="I2226" s="35">
        <v>18900</v>
      </c>
      <c r="J2226" s="30">
        <v>6</v>
      </c>
      <c r="K2226" s="30">
        <v>1</v>
      </c>
      <c r="L2226" s="30"/>
      <c r="M2226" s="1454"/>
      <c r="N2226" s="1461"/>
    </row>
    <row r="2227" spans="2:14" ht="16.5" customHeight="1">
      <c r="B2227" s="1452"/>
      <c r="C2227" s="1448"/>
      <c r="D2227" s="1448"/>
      <c r="E2227" s="30"/>
      <c r="F2227" s="31" t="s">
        <v>1819</v>
      </c>
      <c r="G2227" s="1454"/>
      <c r="H2227" s="30">
        <v>30209608</v>
      </c>
      <c r="I2227" s="35">
        <v>20900</v>
      </c>
      <c r="J2227" s="30">
        <v>6</v>
      </c>
      <c r="K2227" s="30">
        <v>1</v>
      </c>
      <c r="L2227" s="30"/>
      <c r="M2227" s="1454"/>
      <c r="N2227" s="1461"/>
    </row>
    <row r="2228" spans="2:14" ht="16.5" customHeight="1">
      <c r="B2228" s="1452"/>
      <c r="C2228" s="1448"/>
      <c r="D2228" s="1448"/>
      <c r="E2228" s="30"/>
      <c r="F2228" s="31" t="s">
        <v>1820</v>
      </c>
      <c r="G2228" s="1454"/>
      <c r="H2228" s="30">
        <v>30209610</v>
      </c>
      <c r="I2228" s="35">
        <v>23900</v>
      </c>
      <c r="J2228" s="30">
        <v>6</v>
      </c>
      <c r="K2228" s="30">
        <v>1</v>
      </c>
      <c r="L2228" s="30"/>
      <c r="M2228" s="1454"/>
      <c r="N2228" s="1461"/>
    </row>
    <row r="2229" spans="2:14" ht="16.5" customHeight="1">
      <c r="B2229" s="1452"/>
      <c r="C2229" s="1448"/>
      <c r="D2229" s="1448"/>
      <c r="E2229" s="30"/>
      <c r="F2229" s="31" t="s">
        <v>1821</v>
      </c>
      <c r="G2229" s="1454"/>
      <c r="H2229" s="30">
        <v>30209613</v>
      </c>
      <c r="I2229" s="35">
        <v>28900</v>
      </c>
      <c r="J2229" s="30">
        <v>6</v>
      </c>
      <c r="K2229" s="30">
        <v>1</v>
      </c>
      <c r="L2229" s="30"/>
      <c r="M2229" s="1454"/>
      <c r="N2229" s="1461"/>
    </row>
    <row r="2230" spans="2:14" ht="16.5" customHeight="1">
      <c r="B2230" s="1452"/>
      <c r="C2230" s="1448"/>
      <c r="D2230" s="1448"/>
      <c r="E2230" s="30"/>
      <c r="F2230" s="31" t="s">
        <v>1822</v>
      </c>
      <c r="G2230" s="1454"/>
      <c r="H2230" s="30">
        <v>30212530</v>
      </c>
      <c r="I2230" s="35">
        <v>26900</v>
      </c>
      <c r="J2230" s="30">
        <v>6</v>
      </c>
      <c r="K2230" s="30">
        <v>1</v>
      </c>
      <c r="L2230" s="30"/>
      <c r="M2230" s="1454"/>
      <c r="N2230" s="1461"/>
    </row>
    <row r="2231" spans="2:14" ht="16.5" customHeight="1">
      <c r="B2231" s="1452"/>
      <c r="C2231" s="1448"/>
      <c r="D2231" s="1448"/>
      <c r="E2231" s="30"/>
      <c r="F2231" s="31" t="s">
        <v>1823</v>
      </c>
      <c r="G2231" s="1454"/>
      <c r="H2231" s="30">
        <v>30212533</v>
      </c>
      <c r="I2231" s="35">
        <v>33900</v>
      </c>
      <c r="J2231" s="30">
        <v>6</v>
      </c>
      <c r="K2231" s="30">
        <v>1</v>
      </c>
      <c r="L2231" s="30"/>
      <c r="M2231" s="1454"/>
      <c r="N2231" s="1461"/>
    </row>
    <row r="2232" spans="2:14" ht="16.5" customHeight="1">
      <c r="B2232" s="1452"/>
      <c r="C2232" s="1448"/>
      <c r="D2232" s="1448"/>
      <c r="E2232" s="30"/>
      <c r="F2232" s="31" t="s">
        <v>1824</v>
      </c>
      <c r="G2232" s="1454"/>
      <c r="H2232" s="30">
        <v>30209615</v>
      </c>
      <c r="I2232" s="35">
        <v>45900</v>
      </c>
      <c r="J2232" s="30">
        <v>6</v>
      </c>
      <c r="K2232" s="30">
        <v>1</v>
      </c>
      <c r="L2232" s="30"/>
      <c r="M2232" s="1454"/>
      <c r="N2232" s="1461"/>
    </row>
    <row r="2233" spans="2:14" ht="16.5" customHeight="1">
      <c r="B2233" s="1452"/>
      <c r="C2233" s="1448"/>
      <c r="D2233" s="1448"/>
      <c r="E2233" s="30"/>
      <c r="F2233" s="31" t="s">
        <v>1825</v>
      </c>
      <c r="G2233" s="1454"/>
      <c r="H2233" s="30">
        <v>30209614</v>
      </c>
      <c r="I2233" s="35">
        <v>45900</v>
      </c>
      <c r="J2233" s="30">
        <v>6</v>
      </c>
      <c r="K2233" s="30">
        <v>1</v>
      </c>
      <c r="L2233" s="30"/>
      <c r="M2233" s="1454"/>
      <c r="N2233" s="1461"/>
    </row>
    <row r="2234" spans="2:14" ht="16.5" customHeight="1">
      <c r="B2234" s="1452"/>
      <c r="C2234" s="1448">
        <v>4</v>
      </c>
      <c r="D2234" s="1448" t="s">
        <v>80</v>
      </c>
      <c r="E2234" s="30"/>
      <c r="F2234" s="31" t="s">
        <v>81</v>
      </c>
      <c r="G2234" s="1454" t="s">
        <v>82</v>
      </c>
      <c r="H2234" s="30">
        <v>30215955</v>
      </c>
      <c r="I2234" s="35"/>
      <c r="J2234" s="30">
        <v>6</v>
      </c>
      <c r="K2234" s="30">
        <v>1</v>
      </c>
      <c r="L2234" s="30"/>
      <c r="M2234" s="1454" t="s">
        <v>83</v>
      </c>
      <c r="N2234" s="1461">
        <v>20250212259</v>
      </c>
    </row>
    <row r="2235" spans="2:14" ht="16.5" customHeight="1">
      <c r="B2235" s="1452"/>
      <c r="C2235" s="1448"/>
      <c r="D2235" s="1448"/>
      <c r="E2235" s="30"/>
      <c r="F2235" s="31" t="s">
        <v>1011</v>
      </c>
      <c r="G2235" s="1454"/>
      <c r="H2235" s="30">
        <v>30212029</v>
      </c>
      <c r="I2235" s="35"/>
      <c r="J2235" s="30">
        <v>6</v>
      </c>
      <c r="K2235" s="30">
        <v>1</v>
      </c>
      <c r="L2235" s="30"/>
      <c r="M2235" s="1454"/>
      <c r="N2235" s="1461"/>
    </row>
    <row r="2236" spans="2:14" ht="16.5" customHeight="1">
      <c r="B2236" s="1452"/>
      <c r="C2236" s="1448"/>
      <c r="D2236" s="1448"/>
      <c r="E2236" s="30"/>
      <c r="F2236" s="31" t="s">
        <v>85</v>
      </c>
      <c r="G2236" s="1454"/>
      <c r="H2236" s="30">
        <v>30212030</v>
      </c>
      <c r="I2236" s="35"/>
      <c r="J2236" s="30">
        <v>6</v>
      </c>
      <c r="K2236" s="30">
        <v>1</v>
      </c>
      <c r="L2236" s="30"/>
      <c r="M2236" s="1454"/>
      <c r="N2236" s="1461"/>
    </row>
    <row r="2237" spans="2:14" ht="16.5" customHeight="1">
      <c r="B2237" s="1452"/>
      <c r="C2237" s="1448"/>
      <c r="D2237" s="1448"/>
      <c r="E2237" s="30"/>
      <c r="F2237" s="31" t="s">
        <v>86</v>
      </c>
      <c r="G2237" s="1454"/>
      <c r="H2237" s="30">
        <v>30212031</v>
      </c>
      <c r="I2237" s="35"/>
      <c r="J2237" s="30">
        <v>6</v>
      </c>
      <c r="K2237" s="30">
        <v>1</v>
      </c>
      <c r="L2237" s="30"/>
      <c r="M2237" s="1454"/>
      <c r="N2237" s="1461"/>
    </row>
    <row r="2238" spans="2:14" ht="16.5" customHeight="1">
      <c r="B2238" s="1452"/>
      <c r="C2238" s="1448"/>
      <c r="D2238" s="1448"/>
      <c r="E2238" s="30"/>
      <c r="F2238" s="31" t="s">
        <v>87</v>
      </c>
      <c r="G2238" s="1454"/>
      <c r="H2238" s="30">
        <v>30212032</v>
      </c>
      <c r="I2238" s="35"/>
      <c r="J2238" s="30">
        <v>6</v>
      </c>
      <c r="K2238" s="30">
        <v>1</v>
      </c>
      <c r="L2238" s="30"/>
      <c r="M2238" s="1454"/>
      <c r="N2238" s="1461"/>
    </row>
    <row r="2239" spans="2:14" ht="16.5" customHeight="1">
      <c r="B2239" s="1452"/>
      <c r="C2239" s="1448"/>
      <c r="D2239" s="1448"/>
      <c r="E2239" s="30"/>
      <c r="F2239" s="31" t="s">
        <v>88</v>
      </c>
      <c r="G2239" s="1454"/>
      <c r="H2239" s="30">
        <v>30212033</v>
      </c>
      <c r="I2239" s="35"/>
      <c r="J2239" s="30">
        <v>6</v>
      </c>
      <c r="K2239" s="30">
        <v>1</v>
      </c>
      <c r="L2239" s="30"/>
      <c r="M2239" s="1454"/>
      <c r="N2239" s="1461"/>
    </row>
    <row r="2240" spans="2:14" ht="16.5" customHeight="1">
      <c r="B2240" s="1452"/>
      <c r="C2240" s="1448"/>
      <c r="D2240" s="1448"/>
      <c r="E2240" s="30"/>
      <c r="F2240" s="31" t="s">
        <v>1012</v>
      </c>
      <c r="G2240" s="1454"/>
      <c r="H2240" s="30">
        <v>30215961</v>
      </c>
      <c r="I2240" s="35"/>
      <c r="J2240" s="30">
        <v>6</v>
      </c>
      <c r="K2240" s="30">
        <v>1</v>
      </c>
      <c r="L2240" s="30"/>
      <c r="M2240" s="1454"/>
      <c r="N2240" s="1461"/>
    </row>
    <row r="2241" spans="2:14" ht="16.5" customHeight="1">
      <c r="B2241" s="1452"/>
      <c r="C2241" s="1448"/>
      <c r="D2241" s="1448"/>
      <c r="E2241" s="30"/>
      <c r="F2241" s="31" t="s">
        <v>1013</v>
      </c>
      <c r="G2241" s="1454"/>
      <c r="H2241" s="30">
        <v>30215960</v>
      </c>
      <c r="I2241" s="35"/>
      <c r="J2241" s="30">
        <v>6</v>
      </c>
      <c r="K2241" s="30">
        <v>1</v>
      </c>
      <c r="L2241" s="30"/>
      <c r="M2241" s="1454"/>
      <c r="N2241" s="1461"/>
    </row>
    <row r="2242" spans="2:14" ht="16.5" customHeight="1">
      <c r="B2242" s="1452"/>
      <c r="C2242" s="1448"/>
      <c r="D2242" s="1448"/>
      <c r="E2242" s="30"/>
      <c r="F2242" s="31" t="s">
        <v>91</v>
      </c>
      <c r="G2242" s="1454"/>
      <c r="H2242" s="30">
        <v>30212026</v>
      </c>
      <c r="I2242" s="35"/>
      <c r="J2242" s="30">
        <v>6</v>
      </c>
      <c r="K2242" s="30">
        <v>1</v>
      </c>
      <c r="L2242" s="30"/>
      <c r="M2242" s="1454"/>
      <c r="N2242" s="1461"/>
    </row>
    <row r="2243" spans="2:14" ht="16.5" customHeight="1">
      <c r="B2243" s="1452"/>
      <c r="C2243" s="1448"/>
      <c r="D2243" s="1448"/>
      <c r="E2243" s="30"/>
      <c r="F2243" s="31" t="s">
        <v>1014</v>
      </c>
      <c r="G2243" s="1454"/>
      <c r="H2243" s="30">
        <v>30215956</v>
      </c>
      <c r="I2243" s="35"/>
      <c r="J2243" s="30">
        <v>6</v>
      </c>
      <c r="K2243" s="30">
        <v>1</v>
      </c>
      <c r="L2243" s="30"/>
      <c r="M2243" s="1454"/>
      <c r="N2243" s="1461"/>
    </row>
    <row r="2244" spans="2:14" ht="16.5" customHeight="1">
      <c r="B2244" s="1452"/>
      <c r="C2244" s="1448"/>
      <c r="D2244" s="1448"/>
      <c r="E2244" s="30"/>
      <c r="F2244" s="31" t="s">
        <v>1015</v>
      </c>
      <c r="G2244" s="1454"/>
      <c r="H2244" s="30">
        <v>30215959</v>
      </c>
      <c r="I2244" s="35"/>
      <c r="J2244" s="30">
        <v>6</v>
      </c>
      <c r="K2244" s="30">
        <v>1</v>
      </c>
      <c r="L2244" s="30"/>
      <c r="M2244" s="1454"/>
      <c r="N2244" s="1461"/>
    </row>
    <row r="2245" spans="2:14" ht="16.5" customHeight="1">
      <c r="B2245" s="1452"/>
      <c r="C2245" s="1448"/>
      <c r="D2245" s="1448"/>
      <c r="E2245" s="30"/>
      <c r="F2245" s="31" t="s">
        <v>92</v>
      </c>
      <c r="G2245" s="1454"/>
      <c r="H2245" s="30">
        <v>30212027</v>
      </c>
      <c r="I2245" s="35"/>
      <c r="J2245" s="30">
        <v>6</v>
      </c>
      <c r="K2245" s="30">
        <v>1</v>
      </c>
      <c r="L2245" s="30"/>
      <c r="M2245" s="1454"/>
      <c r="N2245" s="1461"/>
    </row>
    <row r="2246" spans="2:14" ht="16.5" customHeight="1">
      <c r="B2246" s="1452"/>
      <c r="C2246" s="1448"/>
      <c r="D2246" s="1448"/>
      <c r="E2246" s="30"/>
      <c r="F2246" s="31" t="s">
        <v>1016</v>
      </c>
      <c r="G2246" s="1454"/>
      <c r="H2246" s="30">
        <v>30215957</v>
      </c>
      <c r="I2246" s="35"/>
      <c r="J2246" s="30">
        <v>6</v>
      </c>
      <c r="K2246" s="30">
        <v>1</v>
      </c>
      <c r="L2246" s="30"/>
      <c r="M2246" s="1454"/>
      <c r="N2246" s="1461"/>
    </row>
    <row r="2247" spans="2:14" ht="16.5" customHeight="1">
      <c r="B2247" s="1452"/>
      <c r="C2247" s="1448"/>
      <c r="D2247" s="1448"/>
      <c r="E2247" s="30"/>
      <c r="F2247" s="31" t="s">
        <v>90</v>
      </c>
      <c r="G2247" s="1454"/>
      <c r="H2247" s="30">
        <v>30212028</v>
      </c>
      <c r="I2247" s="35"/>
      <c r="J2247" s="30">
        <v>6</v>
      </c>
      <c r="K2247" s="30">
        <v>1</v>
      </c>
      <c r="L2247" s="30"/>
      <c r="M2247" s="1454"/>
      <c r="N2247" s="1461"/>
    </row>
    <row r="2248" spans="2:14" ht="16.5" customHeight="1">
      <c r="B2248" s="1452"/>
      <c r="C2248" s="1448"/>
      <c r="D2248" s="1448" t="s">
        <v>1017</v>
      </c>
      <c r="E2248" s="30"/>
      <c r="F2248" s="31" t="s">
        <v>1018</v>
      </c>
      <c r="G2248" s="1454" t="s">
        <v>1019</v>
      </c>
      <c r="H2248" s="30">
        <v>30215874</v>
      </c>
      <c r="I2248" s="35"/>
      <c r="J2248" s="30">
        <v>6</v>
      </c>
      <c r="K2248" s="30">
        <v>1</v>
      </c>
      <c r="L2248" s="30"/>
      <c r="M2248" s="1454" t="s">
        <v>1019</v>
      </c>
      <c r="N2248" s="1461">
        <v>20250212260</v>
      </c>
    </row>
    <row r="2249" spans="2:14" ht="16.5" customHeight="1">
      <c r="B2249" s="1452"/>
      <c r="C2249" s="1448"/>
      <c r="D2249" s="1448"/>
      <c r="E2249" s="30"/>
      <c r="F2249" s="31" t="s">
        <v>1020</v>
      </c>
      <c r="G2249" s="1454"/>
      <c r="H2249" s="30">
        <v>30215875</v>
      </c>
      <c r="I2249" s="35"/>
      <c r="J2249" s="30">
        <v>6</v>
      </c>
      <c r="K2249" s="30">
        <v>1</v>
      </c>
      <c r="L2249" s="30"/>
      <c r="M2249" s="1454"/>
      <c r="N2249" s="1461"/>
    </row>
    <row r="2250" spans="2:14" ht="16.5" customHeight="1">
      <c r="B2250" s="1452"/>
      <c r="C2250" s="1448"/>
      <c r="D2250" s="1448"/>
      <c r="E2250" s="30"/>
      <c r="F2250" s="31" t="s">
        <v>1021</v>
      </c>
      <c r="G2250" s="1454"/>
      <c r="H2250" s="30">
        <v>30215863</v>
      </c>
      <c r="I2250" s="35"/>
      <c r="J2250" s="30">
        <v>6</v>
      </c>
      <c r="K2250" s="30">
        <v>1</v>
      </c>
      <c r="L2250" s="30"/>
      <c r="M2250" s="1454"/>
      <c r="N2250" s="1461"/>
    </row>
    <row r="2251" spans="2:14" ht="16.5" customHeight="1">
      <c r="B2251" s="1452"/>
      <c r="C2251" s="1448"/>
      <c r="D2251" s="1448"/>
      <c r="E2251" s="30"/>
      <c r="F2251" s="31" t="s">
        <v>1022</v>
      </c>
      <c r="G2251" s="1454"/>
      <c r="H2251" s="30">
        <v>30215864</v>
      </c>
      <c r="I2251" s="35"/>
      <c r="J2251" s="30">
        <v>6</v>
      </c>
      <c r="K2251" s="30">
        <v>1</v>
      </c>
      <c r="L2251" s="30"/>
      <c r="M2251" s="1454"/>
      <c r="N2251" s="1461"/>
    </row>
    <row r="2252" spans="2:14" ht="16.5" customHeight="1">
      <c r="B2252" s="1452"/>
      <c r="C2252" s="1448"/>
      <c r="D2252" s="1448"/>
      <c r="E2252" s="30"/>
      <c r="F2252" s="31" t="s">
        <v>1023</v>
      </c>
      <c r="G2252" s="1454"/>
      <c r="H2252" s="30">
        <v>30215865</v>
      </c>
      <c r="I2252" s="35"/>
      <c r="J2252" s="30">
        <v>6</v>
      </c>
      <c r="K2252" s="30">
        <v>1</v>
      </c>
      <c r="L2252" s="30"/>
      <c r="M2252" s="1454"/>
      <c r="N2252" s="1461"/>
    </row>
    <row r="2253" spans="2:14" ht="16.5" customHeight="1">
      <c r="B2253" s="1452"/>
      <c r="C2253" s="1448"/>
      <c r="D2253" s="1448"/>
      <c r="E2253" s="30"/>
      <c r="F2253" s="31" t="s">
        <v>1024</v>
      </c>
      <c r="G2253" s="1454"/>
      <c r="H2253" s="30">
        <v>30215866</v>
      </c>
      <c r="I2253" s="35"/>
      <c r="J2253" s="30">
        <v>6</v>
      </c>
      <c r="K2253" s="30">
        <v>1</v>
      </c>
      <c r="L2253" s="30"/>
      <c r="M2253" s="1454"/>
      <c r="N2253" s="1461"/>
    </row>
    <row r="2254" spans="2:14" ht="16.5" customHeight="1">
      <c r="B2254" s="1452"/>
      <c r="C2254" s="1448"/>
      <c r="D2254" s="1448"/>
      <c r="E2254" s="30"/>
      <c r="F2254" s="31" t="s">
        <v>1025</v>
      </c>
      <c r="G2254" s="1454"/>
      <c r="H2254" s="30">
        <v>30215868</v>
      </c>
      <c r="I2254" s="35"/>
      <c r="J2254" s="30">
        <v>6</v>
      </c>
      <c r="K2254" s="30">
        <v>1</v>
      </c>
      <c r="L2254" s="30"/>
      <c r="M2254" s="1454"/>
      <c r="N2254" s="1461"/>
    </row>
    <row r="2255" spans="2:14" ht="16.5" customHeight="1">
      <c r="B2255" s="1452"/>
      <c r="C2255" s="1448"/>
      <c r="D2255" s="1448"/>
      <c r="E2255" s="30"/>
      <c r="F2255" s="31" t="s">
        <v>1026</v>
      </c>
      <c r="G2255" s="1454"/>
      <c r="H2255" s="30">
        <v>30215869</v>
      </c>
      <c r="I2255" s="35"/>
      <c r="J2255" s="30">
        <v>6</v>
      </c>
      <c r="K2255" s="30">
        <v>1</v>
      </c>
      <c r="L2255" s="30"/>
      <c r="M2255" s="1454"/>
      <c r="N2255" s="1461"/>
    </row>
    <row r="2256" spans="2:14" ht="16.5" customHeight="1">
      <c r="B2256" s="1452"/>
      <c r="C2256" s="1448"/>
      <c r="D2256" s="1448"/>
      <c r="E2256" s="30"/>
      <c r="F2256" s="31" t="s">
        <v>1027</v>
      </c>
      <c r="G2256" s="1454"/>
      <c r="H2256" s="30">
        <v>30215870</v>
      </c>
      <c r="I2256" s="35"/>
      <c r="J2256" s="30">
        <v>6</v>
      </c>
      <c r="K2256" s="30">
        <v>1</v>
      </c>
      <c r="L2256" s="30"/>
      <c r="M2256" s="1454"/>
      <c r="N2256" s="1461"/>
    </row>
    <row r="2257" spans="2:14" ht="16.5" customHeight="1">
      <c r="B2257" s="1452"/>
      <c r="C2257" s="1448"/>
      <c r="D2257" s="1448"/>
      <c r="E2257" s="30"/>
      <c r="F2257" s="31" t="s">
        <v>1028</v>
      </c>
      <c r="G2257" s="1454"/>
      <c r="H2257" s="30">
        <v>30215871</v>
      </c>
      <c r="I2257" s="35"/>
      <c r="J2257" s="30">
        <v>6</v>
      </c>
      <c r="K2257" s="30">
        <v>1</v>
      </c>
      <c r="L2257" s="30"/>
      <c r="M2257" s="1454"/>
      <c r="N2257" s="1461"/>
    </row>
    <row r="2258" spans="2:14" ht="16.5" customHeight="1">
      <c r="B2258" s="1452"/>
      <c r="C2258" s="1448"/>
      <c r="D2258" s="1448"/>
      <c r="E2258" s="30"/>
      <c r="F2258" s="31" t="s">
        <v>1029</v>
      </c>
      <c r="G2258" s="1454"/>
      <c r="H2258" s="30">
        <v>30215872</v>
      </c>
      <c r="I2258" s="35"/>
      <c r="J2258" s="30">
        <v>6</v>
      </c>
      <c r="K2258" s="30">
        <v>1</v>
      </c>
      <c r="L2258" s="30"/>
      <c r="M2258" s="1454"/>
      <c r="N2258" s="1461"/>
    </row>
    <row r="2259" spans="2:14" ht="16.5" customHeight="1">
      <c r="B2259" s="1452"/>
      <c r="C2259" s="1448"/>
      <c r="D2259" s="1448"/>
      <c r="E2259" s="30"/>
      <c r="F2259" s="31" t="s">
        <v>1030</v>
      </c>
      <c r="G2259" s="1454"/>
      <c r="H2259" s="30">
        <v>30215873</v>
      </c>
      <c r="I2259" s="35"/>
      <c r="J2259" s="30">
        <v>6</v>
      </c>
      <c r="K2259" s="30">
        <v>1</v>
      </c>
      <c r="L2259" s="30"/>
      <c r="M2259" s="1454"/>
      <c r="N2259" s="1461"/>
    </row>
    <row r="2260" spans="2:14" ht="16.5" customHeight="1">
      <c r="B2260" s="1452"/>
      <c r="C2260" s="1448"/>
      <c r="D2260" s="1448" t="s">
        <v>1031</v>
      </c>
      <c r="E2260" s="30"/>
      <c r="F2260" s="31" t="s">
        <v>1032</v>
      </c>
      <c r="G2260" s="1454" t="s">
        <v>1033</v>
      </c>
      <c r="H2260" s="30">
        <v>30215876</v>
      </c>
      <c r="I2260" s="35"/>
      <c r="J2260" s="30">
        <v>6</v>
      </c>
      <c r="K2260" s="30">
        <v>1</v>
      </c>
      <c r="L2260" s="30"/>
      <c r="M2260" s="1454" t="s">
        <v>1033</v>
      </c>
      <c r="N2260" s="1461">
        <v>20250212261</v>
      </c>
    </row>
    <row r="2261" spans="2:14" ht="16.5" customHeight="1">
      <c r="B2261" s="1452"/>
      <c r="C2261" s="1448"/>
      <c r="D2261" s="1448"/>
      <c r="E2261" s="30"/>
      <c r="F2261" s="31" t="s">
        <v>1034</v>
      </c>
      <c r="G2261" s="1454"/>
      <c r="H2261" s="30">
        <v>30215877</v>
      </c>
      <c r="I2261" s="35"/>
      <c r="J2261" s="30">
        <v>6</v>
      </c>
      <c r="K2261" s="30">
        <v>1</v>
      </c>
      <c r="L2261" s="30"/>
      <c r="M2261" s="1454"/>
      <c r="N2261" s="1461"/>
    </row>
    <row r="2262" spans="2:14" ht="16.5" customHeight="1">
      <c r="B2262" s="1452"/>
      <c r="C2262" s="1448"/>
      <c r="D2262" s="1448"/>
      <c r="E2262" s="30"/>
      <c r="F2262" s="31" t="s">
        <v>1035</v>
      </c>
      <c r="G2262" s="1454"/>
      <c r="H2262" s="30">
        <v>30215878</v>
      </c>
      <c r="I2262" s="35"/>
      <c r="J2262" s="30">
        <v>6</v>
      </c>
      <c r="K2262" s="30">
        <v>1</v>
      </c>
      <c r="L2262" s="30"/>
      <c r="M2262" s="1454"/>
      <c r="N2262" s="1461"/>
    </row>
    <row r="2263" spans="2:14" ht="16.5" customHeight="1">
      <c r="B2263" s="1452"/>
      <c r="C2263" s="1448"/>
      <c r="D2263" s="1448"/>
      <c r="E2263" s="30"/>
      <c r="F2263" s="31" t="s">
        <v>1036</v>
      </c>
      <c r="G2263" s="1454"/>
      <c r="H2263" s="30">
        <v>30215879</v>
      </c>
      <c r="I2263" s="35"/>
      <c r="J2263" s="30">
        <v>6</v>
      </c>
      <c r="K2263" s="30">
        <v>1</v>
      </c>
      <c r="L2263" s="30"/>
      <c r="M2263" s="1454"/>
      <c r="N2263" s="1461"/>
    </row>
    <row r="2264" spans="2:14" ht="16.5" customHeight="1">
      <c r="B2264" s="1452"/>
      <c r="C2264" s="1448"/>
      <c r="D2264" s="1448"/>
      <c r="E2264" s="30"/>
      <c r="F2264" s="31" t="s">
        <v>1037</v>
      </c>
      <c r="G2264" s="1454"/>
      <c r="H2264" s="30">
        <v>30215880</v>
      </c>
      <c r="I2264" s="35"/>
      <c r="J2264" s="30">
        <v>6</v>
      </c>
      <c r="K2264" s="30">
        <v>1</v>
      </c>
      <c r="L2264" s="30"/>
      <c r="M2264" s="1454"/>
      <c r="N2264" s="1461"/>
    </row>
    <row r="2265" spans="2:14" ht="16.5" customHeight="1">
      <c r="B2265" s="1452"/>
      <c r="C2265" s="1448"/>
      <c r="D2265" s="1448"/>
      <c r="E2265" s="30"/>
      <c r="F2265" s="31" t="s">
        <v>1038</v>
      </c>
      <c r="G2265" s="1454"/>
      <c r="H2265" s="30">
        <v>30216425</v>
      </c>
      <c r="I2265" s="35"/>
      <c r="J2265" s="30">
        <v>6</v>
      </c>
      <c r="K2265" s="30">
        <v>1</v>
      </c>
      <c r="L2265" s="30"/>
      <c r="M2265" s="1454"/>
      <c r="N2265" s="1461"/>
    </row>
    <row r="2266" spans="2:14" ht="16.5" customHeight="1">
      <c r="B2266" s="1452"/>
      <c r="C2266" s="1448"/>
      <c r="D2266" s="1448"/>
      <c r="E2266" s="30"/>
      <c r="F2266" s="31" t="s">
        <v>1039</v>
      </c>
      <c r="G2266" s="1454"/>
      <c r="H2266" s="30">
        <v>30215883</v>
      </c>
      <c r="I2266" s="35"/>
      <c r="J2266" s="30">
        <v>6</v>
      </c>
      <c r="K2266" s="30">
        <v>1</v>
      </c>
      <c r="L2266" s="30"/>
      <c r="M2266" s="1454"/>
      <c r="N2266" s="1461"/>
    </row>
    <row r="2267" spans="2:14" ht="16.5" customHeight="1">
      <c r="B2267" s="1452"/>
      <c r="C2267" s="1448"/>
      <c r="D2267" s="1448"/>
      <c r="E2267" s="30"/>
      <c r="F2267" s="31" t="s">
        <v>1040</v>
      </c>
      <c r="G2267" s="1454"/>
      <c r="H2267" s="30">
        <v>76301260</v>
      </c>
      <c r="I2267" s="35"/>
      <c r="J2267" s="30">
        <v>6</v>
      </c>
      <c r="K2267" s="30">
        <v>1</v>
      </c>
      <c r="L2267" s="30"/>
      <c r="M2267" s="1454"/>
      <c r="N2267" s="1461"/>
    </row>
    <row r="2268" spans="2:14" ht="16.5" customHeight="1">
      <c r="B2268" s="1452"/>
      <c r="C2268" s="1448"/>
      <c r="D2268" s="1448"/>
      <c r="E2268" s="30"/>
      <c r="F2268" s="31" t="s">
        <v>1041</v>
      </c>
      <c r="G2268" s="1454"/>
      <c r="H2268" s="30">
        <v>76301262</v>
      </c>
      <c r="I2268" s="35"/>
      <c r="J2268" s="30">
        <v>6</v>
      </c>
      <c r="K2268" s="30">
        <v>1</v>
      </c>
      <c r="L2268" s="30"/>
      <c r="M2268" s="1454"/>
      <c r="N2268" s="1461"/>
    </row>
    <row r="2269" spans="2:14" ht="16.5" customHeight="1">
      <c r="B2269" s="1452"/>
      <c r="C2269" s="1448"/>
      <c r="D2269" s="1448"/>
      <c r="E2269" s="30"/>
      <c r="F2269" s="31" t="s">
        <v>1042</v>
      </c>
      <c r="G2269" s="1454"/>
      <c r="H2269" s="30">
        <v>76301266</v>
      </c>
      <c r="I2269" s="35"/>
      <c r="J2269" s="30">
        <v>6</v>
      </c>
      <c r="K2269" s="30">
        <v>1</v>
      </c>
      <c r="L2269" s="30"/>
      <c r="M2269" s="1454"/>
      <c r="N2269" s="1461"/>
    </row>
    <row r="2270" spans="2:14" ht="16.5" customHeight="1">
      <c r="B2270" s="1452"/>
      <c r="C2270" s="1448">
        <v>5</v>
      </c>
      <c r="D2270" s="1448" t="s">
        <v>93</v>
      </c>
      <c r="E2270" s="30"/>
      <c r="F2270" s="31" t="s">
        <v>104</v>
      </c>
      <c r="G2270" s="1448" t="s">
        <v>95</v>
      </c>
      <c r="H2270" s="30">
        <v>73080054</v>
      </c>
      <c r="I2270" s="35"/>
      <c r="J2270" s="30">
        <v>6</v>
      </c>
      <c r="K2270" s="30">
        <v>1</v>
      </c>
      <c r="L2270" s="30"/>
      <c r="M2270" s="1454" t="s">
        <v>95</v>
      </c>
      <c r="N2270" s="1461">
        <v>20250212262</v>
      </c>
    </row>
    <row r="2271" spans="2:14" ht="16.5" customHeight="1">
      <c r="B2271" s="1452"/>
      <c r="C2271" s="1448"/>
      <c r="D2271" s="1448"/>
      <c r="E2271" s="30"/>
      <c r="F2271" s="31" t="s">
        <v>103</v>
      </c>
      <c r="G2271" s="1448"/>
      <c r="H2271" s="30">
        <v>30215897</v>
      </c>
      <c r="I2271" s="35"/>
      <c r="J2271" s="30">
        <v>6</v>
      </c>
      <c r="K2271" s="30">
        <v>1</v>
      </c>
      <c r="L2271" s="30"/>
      <c r="M2271" s="1454"/>
      <c r="N2271" s="1461"/>
    </row>
    <row r="2272" spans="2:14" ht="16.5" customHeight="1">
      <c r="B2272" s="1452"/>
      <c r="C2272" s="1448"/>
      <c r="D2272" s="1448"/>
      <c r="E2272" s="30"/>
      <c r="F2272" s="31" t="s">
        <v>1043</v>
      </c>
      <c r="G2272" s="1448"/>
      <c r="H2272" s="30">
        <v>30215896</v>
      </c>
      <c r="I2272" s="35"/>
      <c r="J2272" s="30">
        <v>6</v>
      </c>
      <c r="K2272" s="30">
        <v>1</v>
      </c>
      <c r="L2272" s="30"/>
      <c r="M2272" s="1454"/>
      <c r="N2272" s="1461"/>
    </row>
    <row r="2273" spans="2:14" ht="16.5" customHeight="1">
      <c r="B2273" s="1452"/>
      <c r="C2273" s="1448"/>
      <c r="D2273" s="1448"/>
      <c r="E2273" s="30"/>
      <c r="F2273" s="31" t="s">
        <v>1044</v>
      </c>
      <c r="G2273" s="1448"/>
      <c r="H2273" s="30">
        <v>30215895</v>
      </c>
      <c r="I2273" s="35"/>
      <c r="J2273" s="30">
        <v>6</v>
      </c>
      <c r="K2273" s="30">
        <v>1</v>
      </c>
      <c r="L2273" s="30"/>
      <c r="M2273" s="1454"/>
      <c r="N2273" s="1461"/>
    </row>
    <row r="2274" spans="2:14" ht="16.5" customHeight="1">
      <c r="B2274" s="1452"/>
      <c r="C2274" s="1448"/>
      <c r="D2274" s="1448"/>
      <c r="E2274" s="30"/>
      <c r="F2274" s="31" t="s">
        <v>105</v>
      </c>
      <c r="G2274" s="1448"/>
      <c r="H2274" s="30">
        <v>30211994</v>
      </c>
      <c r="I2274" s="35"/>
      <c r="J2274" s="30">
        <v>6</v>
      </c>
      <c r="K2274" s="30">
        <v>1</v>
      </c>
      <c r="L2274" s="30"/>
      <c r="M2274" s="1454"/>
      <c r="N2274" s="1461"/>
    </row>
    <row r="2275" spans="2:14" ht="16.5" customHeight="1">
      <c r="B2275" s="1452"/>
      <c r="C2275" s="1448"/>
      <c r="D2275" s="1448"/>
      <c r="E2275" s="30"/>
      <c r="F2275" s="31" t="s">
        <v>99</v>
      </c>
      <c r="G2275" s="1448"/>
      <c r="H2275" s="30">
        <v>30211993</v>
      </c>
      <c r="I2275" s="35"/>
      <c r="J2275" s="30">
        <v>6</v>
      </c>
      <c r="K2275" s="30">
        <v>1</v>
      </c>
      <c r="L2275" s="30"/>
      <c r="M2275" s="1454"/>
      <c r="N2275" s="1461"/>
    </row>
    <row r="2276" spans="2:14" ht="16.5" customHeight="1">
      <c r="B2276" s="1452"/>
      <c r="C2276" s="1448"/>
      <c r="D2276" s="1448"/>
      <c r="E2276" s="30"/>
      <c r="F2276" s="31" t="s">
        <v>102</v>
      </c>
      <c r="G2276" s="1448"/>
      <c r="H2276" s="30">
        <v>30210471</v>
      </c>
      <c r="I2276" s="35"/>
      <c r="J2276" s="30">
        <v>6</v>
      </c>
      <c r="K2276" s="30">
        <v>1</v>
      </c>
      <c r="L2276" s="30"/>
      <c r="M2276" s="1454"/>
      <c r="N2276" s="1461"/>
    </row>
    <row r="2277" spans="2:14" ht="16.5" customHeight="1">
      <c r="B2277" s="1452"/>
      <c r="C2277" s="1448"/>
      <c r="D2277" s="1448"/>
      <c r="E2277" s="30"/>
      <c r="F2277" s="31" t="s">
        <v>100</v>
      </c>
      <c r="G2277" s="1448"/>
      <c r="H2277" s="30">
        <v>30207516</v>
      </c>
      <c r="I2277" s="35"/>
      <c r="J2277" s="30">
        <v>6</v>
      </c>
      <c r="K2277" s="30">
        <v>1</v>
      </c>
      <c r="L2277" s="30"/>
      <c r="M2277" s="1454"/>
      <c r="N2277" s="1461"/>
    </row>
    <row r="2278" spans="2:14" ht="16.5" customHeight="1">
      <c r="B2278" s="1452"/>
      <c r="C2278" s="1448"/>
      <c r="D2278" s="1448"/>
      <c r="E2278" s="30"/>
      <c r="F2278" s="31" t="s">
        <v>101</v>
      </c>
      <c r="G2278" s="1448"/>
      <c r="H2278" s="30">
        <v>30207515</v>
      </c>
      <c r="I2278" s="35"/>
      <c r="J2278" s="30">
        <v>6</v>
      </c>
      <c r="K2278" s="30">
        <v>1</v>
      </c>
      <c r="L2278" s="30"/>
      <c r="M2278" s="1454"/>
      <c r="N2278" s="1461"/>
    </row>
    <row r="2279" spans="2:14" ht="16.5" customHeight="1">
      <c r="B2279" s="1452"/>
      <c r="C2279" s="1448"/>
      <c r="D2279" s="1448"/>
      <c r="E2279" s="30"/>
      <c r="F2279" s="31" t="s">
        <v>1045</v>
      </c>
      <c r="G2279" s="1448"/>
      <c r="H2279" s="30">
        <v>30207514</v>
      </c>
      <c r="I2279" s="35"/>
      <c r="J2279" s="30">
        <v>6</v>
      </c>
      <c r="K2279" s="30">
        <v>1</v>
      </c>
      <c r="L2279" s="30"/>
      <c r="M2279" s="1454"/>
      <c r="N2279" s="1461"/>
    </row>
    <row r="2280" spans="2:14" ht="16.5" customHeight="1">
      <c r="B2280" s="1452"/>
      <c r="C2280" s="1448"/>
      <c r="D2280" s="1448"/>
      <c r="E2280" s="30"/>
      <c r="F2280" s="31" t="s">
        <v>1046</v>
      </c>
      <c r="G2280" s="1448"/>
      <c r="H2280" s="30">
        <v>30207513</v>
      </c>
      <c r="I2280" s="35"/>
      <c r="J2280" s="30">
        <v>6</v>
      </c>
      <c r="K2280" s="30">
        <v>1</v>
      </c>
      <c r="L2280" s="30"/>
      <c r="M2280" s="1454"/>
      <c r="N2280" s="1461"/>
    </row>
    <row r="2281" spans="2:14" ht="16.5" customHeight="1">
      <c r="B2281" s="1452"/>
      <c r="C2281" s="1448"/>
      <c r="D2281" s="1448"/>
      <c r="E2281" s="30"/>
      <c r="F2281" s="31" t="s">
        <v>96</v>
      </c>
      <c r="G2281" s="1448"/>
      <c r="H2281" s="30">
        <v>30207512</v>
      </c>
      <c r="I2281" s="35"/>
      <c r="J2281" s="30">
        <v>6</v>
      </c>
      <c r="K2281" s="30">
        <v>1</v>
      </c>
      <c r="L2281" s="30"/>
      <c r="M2281" s="1454"/>
      <c r="N2281" s="1461"/>
    </row>
    <row r="2282" spans="2:14" ht="16.5" customHeight="1">
      <c r="B2282" s="1452"/>
      <c r="C2282" s="1448"/>
      <c r="D2282" s="1448"/>
      <c r="E2282" s="30"/>
      <c r="F2282" s="31" t="s">
        <v>94</v>
      </c>
      <c r="G2282" s="1448"/>
      <c r="H2282" s="30">
        <v>30207511</v>
      </c>
      <c r="I2282" s="35"/>
      <c r="J2282" s="30">
        <v>6</v>
      </c>
      <c r="K2282" s="30">
        <v>1</v>
      </c>
      <c r="L2282" s="30"/>
      <c r="M2282" s="1454"/>
      <c r="N2282" s="1461"/>
    </row>
    <row r="2283" spans="2:14" ht="16.5" customHeight="1">
      <c r="B2283" s="1452"/>
      <c r="C2283" s="1448"/>
      <c r="D2283" s="1448"/>
      <c r="E2283" s="30"/>
      <c r="F2283" s="31" t="s">
        <v>97</v>
      </c>
      <c r="G2283" s="1448"/>
      <c r="H2283" s="30">
        <v>30207510</v>
      </c>
      <c r="I2283" s="35"/>
      <c r="J2283" s="30">
        <v>6</v>
      </c>
      <c r="K2283" s="30">
        <v>1</v>
      </c>
      <c r="L2283" s="30"/>
      <c r="M2283" s="1454"/>
      <c r="N2283" s="1461"/>
    </row>
    <row r="2284" spans="2:14" ht="16.5" customHeight="1">
      <c r="B2284" s="1452"/>
      <c r="C2284" s="1448"/>
      <c r="D2284" s="1448"/>
      <c r="E2284" s="30"/>
      <c r="F2284" s="31" t="s">
        <v>98</v>
      </c>
      <c r="G2284" s="1448"/>
      <c r="H2284" s="30">
        <v>30207509</v>
      </c>
      <c r="I2284" s="35"/>
      <c r="J2284" s="30">
        <v>6</v>
      </c>
      <c r="K2284" s="30">
        <v>1</v>
      </c>
      <c r="L2284" s="30"/>
      <c r="M2284" s="1454"/>
      <c r="N2284" s="1461"/>
    </row>
    <row r="2285" spans="2:14" ht="16.5" customHeight="1">
      <c r="B2285" s="1452"/>
      <c r="C2285" s="1448">
        <v>6</v>
      </c>
      <c r="D2285" s="1448" t="s">
        <v>106</v>
      </c>
      <c r="E2285" s="30"/>
      <c r="F2285" s="31" t="s">
        <v>107</v>
      </c>
      <c r="G2285" s="1454" t="s">
        <v>108</v>
      </c>
      <c r="H2285" s="30">
        <v>30212010</v>
      </c>
      <c r="I2285" s="35"/>
      <c r="J2285" s="30">
        <v>6</v>
      </c>
      <c r="K2285" s="30">
        <v>1</v>
      </c>
      <c r="L2285" s="30"/>
      <c r="M2285" s="1454" t="s">
        <v>108</v>
      </c>
      <c r="N2285" s="1461">
        <v>20250212263</v>
      </c>
    </row>
    <row r="2286" spans="2:14" ht="16.5" customHeight="1">
      <c r="B2286" s="1452"/>
      <c r="C2286" s="1448"/>
      <c r="D2286" s="1448"/>
      <c r="E2286" s="30"/>
      <c r="F2286" s="31" t="s">
        <v>109</v>
      </c>
      <c r="G2286" s="1454"/>
      <c r="H2286" s="30">
        <v>30212011</v>
      </c>
      <c r="I2286" s="35"/>
      <c r="J2286" s="30">
        <v>6</v>
      </c>
      <c r="K2286" s="30">
        <v>1</v>
      </c>
      <c r="L2286" s="30"/>
      <c r="M2286" s="1454"/>
      <c r="N2286" s="1461"/>
    </row>
    <row r="2287" spans="2:14" ht="16.5" customHeight="1">
      <c r="B2287" s="1452"/>
      <c r="C2287" s="1448"/>
      <c r="D2287" s="1448"/>
      <c r="E2287" s="30"/>
      <c r="F2287" s="31" t="s">
        <v>110</v>
      </c>
      <c r="G2287" s="1454"/>
      <c r="H2287" s="30">
        <v>30207631</v>
      </c>
      <c r="I2287" s="35"/>
      <c r="J2287" s="30">
        <v>6</v>
      </c>
      <c r="K2287" s="30">
        <v>1</v>
      </c>
      <c r="L2287" s="30"/>
      <c r="M2287" s="1454"/>
      <c r="N2287" s="1461"/>
    </row>
    <row r="2288" spans="2:14" ht="16.5" customHeight="1">
      <c r="B2288" s="1452"/>
      <c r="C2288" s="1448"/>
      <c r="D2288" s="1448"/>
      <c r="E2288" s="30"/>
      <c r="F2288" s="31" t="s">
        <v>111</v>
      </c>
      <c r="G2288" s="1454"/>
      <c r="H2288" s="30">
        <v>30212014</v>
      </c>
      <c r="I2288" s="35"/>
      <c r="J2288" s="30">
        <v>6</v>
      </c>
      <c r="K2288" s="30">
        <v>1</v>
      </c>
      <c r="L2288" s="30"/>
      <c r="M2288" s="1454"/>
      <c r="N2288" s="1461"/>
    </row>
    <row r="2289" spans="2:14" ht="16.5" customHeight="1">
      <c r="B2289" s="1452"/>
      <c r="C2289" s="1448"/>
      <c r="D2289" s="1448"/>
      <c r="E2289" s="30"/>
      <c r="F2289" s="31" t="s">
        <v>1047</v>
      </c>
      <c r="G2289" s="1454"/>
      <c r="H2289" s="30">
        <v>30215952</v>
      </c>
      <c r="I2289" s="35"/>
      <c r="J2289" s="30">
        <v>6</v>
      </c>
      <c r="K2289" s="30">
        <v>1</v>
      </c>
      <c r="L2289" s="30"/>
      <c r="M2289" s="1454"/>
      <c r="N2289" s="1461"/>
    </row>
    <row r="2290" spans="2:14" ht="16.5" customHeight="1">
      <c r="B2290" s="1452"/>
      <c r="C2290" s="1448"/>
      <c r="D2290" s="1448"/>
      <c r="E2290" s="30"/>
      <c r="F2290" s="31" t="s">
        <v>112</v>
      </c>
      <c r="G2290" s="1454"/>
      <c r="H2290" s="30">
        <v>30212007</v>
      </c>
      <c r="I2290" s="35"/>
      <c r="J2290" s="30">
        <v>6</v>
      </c>
      <c r="K2290" s="30">
        <v>1</v>
      </c>
      <c r="L2290" s="30"/>
      <c r="M2290" s="1454"/>
      <c r="N2290" s="1461"/>
    </row>
    <row r="2291" spans="2:14" ht="16.5" customHeight="1">
      <c r="B2291" s="1452"/>
      <c r="C2291" s="1448"/>
      <c r="D2291" s="1448"/>
      <c r="E2291" s="30"/>
      <c r="F2291" s="31" t="s">
        <v>113</v>
      </c>
      <c r="G2291" s="1454"/>
      <c r="H2291" s="30">
        <v>30212006</v>
      </c>
      <c r="I2291" s="35"/>
      <c r="J2291" s="30">
        <v>6</v>
      </c>
      <c r="K2291" s="30">
        <v>1</v>
      </c>
      <c r="L2291" s="30"/>
      <c r="M2291" s="1454"/>
      <c r="N2291" s="1461"/>
    </row>
    <row r="2292" spans="2:14" ht="16.5" customHeight="1">
      <c r="B2292" s="1452"/>
      <c r="C2292" s="1448"/>
      <c r="D2292" s="1448"/>
      <c r="E2292" s="30"/>
      <c r="F2292" s="31" t="s">
        <v>114</v>
      </c>
      <c r="G2292" s="1454"/>
      <c r="H2292" s="30">
        <v>30212012</v>
      </c>
      <c r="I2292" s="35"/>
      <c r="J2292" s="30">
        <v>6</v>
      </c>
      <c r="K2292" s="30">
        <v>1</v>
      </c>
      <c r="L2292" s="30"/>
      <c r="M2292" s="1454"/>
      <c r="N2292" s="1461"/>
    </row>
    <row r="2293" spans="2:14" ht="16.5" customHeight="1">
      <c r="B2293" s="1452"/>
      <c r="C2293" s="1448"/>
      <c r="D2293" s="1448"/>
      <c r="E2293" s="30"/>
      <c r="F2293" s="31" t="s">
        <v>115</v>
      </c>
      <c r="G2293" s="1454"/>
      <c r="H2293" s="30">
        <v>30212013</v>
      </c>
      <c r="I2293" s="35"/>
      <c r="J2293" s="30">
        <v>6</v>
      </c>
      <c r="K2293" s="30">
        <v>1</v>
      </c>
      <c r="L2293" s="30"/>
      <c r="M2293" s="1454"/>
      <c r="N2293" s="1461"/>
    </row>
    <row r="2294" spans="2:14" ht="16.5" customHeight="1">
      <c r="B2294" s="1452"/>
      <c r="C2294" s="1448"/>
      <c r="D2294" s="1448"/>
      <c r="E2294" s="30"/>
      <c r="F2294" s="31" t="s">
        <v>116</v>
      </c>
      <c r="G2294" s="1454"/>
      <c r="H2294" s="30">
        <v>30212008</v>
      </c>
      <c r="I2294" s="35"/>
      <c r="J2294" s="30">
        <v>6</v>
      </c>
      <c r="K2294" s="30">
        <v>1</v>
      </c>
      <c r="L2294" s="30"/>
      <c r="M2294" s="1454"/>
      <c r="N2294" s="1461"/>
    </row>
    <row r="2295" spans="2:14" ht="16.5" customHeight="1">
      <c r="B2295" s="1452"/>
      <c r="C2295" s="1448"/>
      <c r="D2295" s="1448"/>
      <c r="E2295" s="30"/>
      <c r="F2295" s="31" t="s">
        <v>117</v>
      </c>
      <c r="G2295" s="1454"/>
      <c r="H2295" s="30">
        <v>30212009</v>
      </c>
      <c r="I2295" s="35"/>
      <c r="J2295" s="30">
        <v>6</v>
      </c>
      <c r="K2295" s="30">
        <v>1</v>
      </c>
      <c r="L2295" s="30"/>
      <c r="M2295" s="1454"/>
      <c r="N2295" s="1461"/>
    </row>
    <row r="2296" spans="2:14" ht="16.5" customHeight="1">
      <c r="B2296" s="1452"/>
      <c r="C2296" s="1448"/>
      <c r="D2296" s="1448"/>
      <c r="E2296" s="30"/>
      <c r="F2296" s="31" t="s">
        <v>1048</v>
      </c>
      <c r="G2296" s="1454"/>
      <c r="H2296" s="30">
        <v>30215953</v>
      </c>
      <c r="I2296" s="35"/>
      <c r="J2296" s="30">
        <v>6</v>
      </c>
      <c r="K2296" s="30">
        <v>1</v>
      </c>
      <c r="L2296" s="30"/>
      <c r="M2296" s="1454"/>
      <c r="N2296" s="1461"/>
    </row>
    <row r="2297" spans="2:14" ht="16.5" customHeight="1">
      <c r="B2297" s="1452"/>
      <c r="C2297" s="1448"/>
      <c r="D2297" s="1448"/>
      <c r="E2297" s="30"/>
      <c r="F2297" s="31" t="s">
        <v>1049</v>
      </c>
      <c r="G2297" s="1454"/>
      <c r="H2297" s="30">
        <v>30215949</v>
      </c>
      <c r="I2297" s="35"/>
      <c r="J2297" s="30">
        <v>6</v>
      </c>
      <c r="K2297" s="30">
        <v>1</v>
      </c>
      <c r="L2297" s="30"/>
      <c r="M2297" s="1454"/>
      <c r="N2297" s="1461"/>
    </row>
    <row r="2298" spans="2:14" ht="16.5" customHeight="1">
      <c r="B2298" s="1452"/>
      <c r="C2298" s="1448"/>
      <c r="D2298" s="1448"/>
      <c r="E2298" s="30"/>
      <c r="F2298" s="31" t="s">
        <v>1050</v>
      </c>
      <c r="G2298" s="1454"/>
      <c r="H2298" s="30">
        <v>30215950</v>
      </c>
      <c r="I2298" s="35"/>
      <c r="J2298" s="30">
        <v>6</v>
      </c>
      <c r="K2298" s="30">
        <v>1</v>
      </c>
      <c r="L2298" s="30"/>
      <c r="M2298" s="1454"/>
      <c r="N2298" s="1461"/>
    </row>
    <row r="2299" spans="2:14" ht="16.5" customHeight="1">
      <c r="B2299" s="1452"/>
      <c r="C2299" s="1448"/>
      <c r="D2299" s="1448"/>
      <c r="E2299" s="30"/>
      <c r="F2299" s="31" t="s">
        <v>1051</v>
      </c>
      <c r="G2299" s="1454"/>
      <c r="H2299" s="30">
        <v>30215951</v>
      </c>
      <c r="I2299" s="35"/>
      <c r="J2299" s="30">
        <v>6</v>
      </c>
      <c r="K2299" s="30">
        <v>1</v>
      </c>
      <c r="L2299" s="30"/>
      <c r="M2299" s="1454"/>
      <c r="N2299" s="1461"/>
    </row>
    <row r="2300" spans="2:14" ht="16.5" customHeight="1">
      <c r="B2300" s="1452"/>
      <c r="C2300" s="1448">
        <v>7</v>
      </c>
      <c r="D2300" s="1448" t="s">
        <v>118</v>
      </c>
      <c r="E2300" s="30"/>
      <c r="F2300" s="31" t="s">
        <v>119</v>
      </c>
      <c r="G2300" s="1454" t="s">
        <v>120</v>
      </c>
      <c r="H2300" s="30">
        <v>30211488</v>
      </c>
      <c r="I2300" s="35">
        <v>17900</v>
      </c>
      <c r="J2300" s="30">
        <v>6</v>
      </c>
      <c r="K2300" s="30">
        <v>1</v>
      </c>
      <c r="L2300" s="30"/>
      <c r="M2300" s="1454" t="s">
        <v>120</v>
      </c>
      <c r="N2300" s="1461">
        <v>20250212264</v>
      </c>
    </row>
    <row r="2301" spans="2:14" ht="16.5" customHeight="1">
      <c r="B2301" s="1452"/>
      <c r="C2301" s="1448"/>
      <c r="D2301" s="1448"/>
      <c r="E2301" s="30"/>
      <c r="F2301" s="31" t="s">
        <v>121</v>
      </c>
      <c r="G2301" s="1454"/>
      <c r="H2301" s="30">
        <v>30211489</v>
      </c>
      <c r="I2301" s="35">
        <v>17900</v>
      </c>
      <c r="J2301" s="30">
        <v>6</v>
      </c>
      <c r="K2301" s="30">
        <v>1</v>
      </c>
      <c r="L2301" s="30"/>
      <c r="M2301" s="1454"/>
      <c r="N2301" s="1461"/>
    </row>
    <row r="2302" spans="2:14" ht="16.5" customHeight="1">
      <c r="B2302" s="1452"/>
      <c r="C2302" s="1448"/>
      <c r="D2302" s="1448"/>
      <c r="E2302" s="30"/>
      <c r="F2302" s="31" t="s">
        <v>122</v>
      </c>
      <c r="G2302" s="1454"/>
      <c r="H2302" s="30">
        <v>30211490</v>
      </c>
      <c r="I2302" s="35">
        <v>20900</v>
      </c>
      <c r="J2302" s="30">
        <v>6</v>
      </c>
      <c r="K2302" s="30">
        <v>1</v>
      </c>
      <c r="L2302" s="30"/>
      <c r="M2302" s="1454"/>
      <c r="N2302" s="1461"/>
    </row>
    <row r="2303" spans="2:14" ht="16.5" customHeight="1">
      <c r="B2303" s="1452"/>
      <c r="C2303" s="1448">
        <v>8</v>
      </c>
      <c r="D2303" s="1448" t="s">
        <v>123</v>
      </c>
      <c r="E2303" s="30"/>
      <c r="F2303" s="31" t="s">
        <v>124</v>
      </c>
      <c r="G2303" s="1454" t="s">
        <v>125</v>
      </c>
      <c r="H2303" s="30">
        <v>30211492</v>
      </c>
      <c r="I2303" s="35">
        <v>39900</v>
      </c>
      <c r="J2303" s="30">
        <v>6</v>
      </c>
      <c r="K2303" s="30">
        <v>1</v>
      </c>
      <c r="L2303" s="30"/>
      <c r="M2303" s="1454" t="s">
        <v>125</v>
      </c>
      <c r="N2303" s="1461">
        <v>20250213265</v>
      </c>
    </row>
    <row r="2304" spans="2:14" ht="16.5" customHeight="1">
      <c r="B2304" s="1452"/>
      <c r="C2304" s="1448"/>
      <c r="D2304" s="1448"/>
      <c r="E2304" s="30"/>
      <c r="F2304" s="31" t="s">
        <v>126</v>
      </c>
      <c r="G2304" s="1454"/>
      <c r="H2304" s="30">
        <v>30211493</v>
      </c>
      <c r="I2304" s="35">
        <v>39900</v>
      </c>
      <c r="J2304" s="30">
        <v>6</v>
      </c>
      <c r="K2304" s="30">
        <v>1</v>
      </c>
      <c r="L2304" s="30"/>
      <c r="M2304" s="1454"/>
      <c r="N2304" s="1461"/>
    </row>
    <row r="2305" spans="2:15" ht="16.5" customHeight="1">
      <c r="B2305" s="1452"/>
      <c r="C2305" s="1448">
        <v>9</v>
      </c>
      <c r="D2305" s="1448" t="s">
        <v>127</v>
      </c>
      <c r="E2305" s="30"/>
      <c r="F2305" s="31" t="s">
        <v>135</v>
      </c>
      <c r="G2305" s="1454" t="s">
        <v>129</v>
      </c>
      <c r="H2305" s="30">
        <v>30211502</v>
      </c>
      <c r="I2305" s="35">
        <v>8900</v>
      </c>
      <c r="J2305" s="30">
        <v>6</v>
      </c>
      <c r="K2305" s="30">
        <v>1</v>
      </c>
      <c r="L2305" s="30"/>
      <c r="M2305" s="1454" t="s">
        <v>129</v>
      </c>
      <c r="N2305" s="1461">
        <v>20250213266</v>
      </c>
    </row>
    <row r="2306" spans="2:15" ht="16.5" customHeight="1">
      <c r="B2306" s="1452"/>
      <c r="C2306" s="1448"/>
      <c r="D2306" s="1448"/>
      <c r="E2306" s="30"/>
      <c r="F2306" s="31" t="s">
        <v>136</v>
      </c>
      <c r="G2306" s="1454"/>
      <c r="H2306" s="30">
        <v>30211503</v>
      </c>
      <c r="I2306" s="35">
        <v>12900</v>
      </c>
      <c r="J2306" s="30">
        <v>6</v>
      </c>
      <c r="K2306" s="30">
        <v>1</v>
      </c>
      <c r="L2306" s="30"/>
      <c r="M2306" s="1454"/>
      <c r="N2306" s="1461"/>
    </row>
    <row r="2307" spans="2:15" ht="16.5" customHeight="1">
      <c r="B2307" s="1452"/>
      <c r="C2307" s="1448"/>
      <c r="D2307" s="1448"/>
      <c r="E2307" s="30"/>
      <c r="F2307" s="31" t="s">
        <v>132</v>
      </c>
      <c r="G2307" s="1454"/>
      <c r="H2307" s="30">
        <v>30211498</v>
      </c>
      <c r="I2307" s="35">
        <v>16900</v>
      </c>
      <c r="J2307" s="30">
        <v>6</v>
      </c>
      <c r="K2307" s="30">
        <v>1</v>
      </c>
      <c r="L2307" s="30"/>
      <c r="M2307" s="1454"/>
      <c r="N2307" s="1461"/>
    </row>
    <row r="2308" spans="2:15" ht="16.5" customHeight="1">
      <c r="B2308" s="1452"/>
      <c r="C2308" s="1448"/>
      <c r="D2308" s="1448"/>
      <c r="E2308" s="30"/>
      <c r="F2308" s="31" t="s">
        <v>133</v>
      </c>
      <c r="G2308" s="1454"/>
      <c r="H2308" s="30">
        <v>30211499</v>
      </c>
      <c r="I2308" s="35">
        <v>21900</v>
      </c>
      <c r="J2308" s="30">
        <v>6</v>
      </c>
      <c r="K2308" s="30">
        <v>1</v>
      </c>
      <c r="L2308" s="30"/>
      <c r="M2308" s="1454"/>
      <c r="N2308" s="1461"/>
    </row>
    <row r="2309" spans="2:15" ht="16.5" customHeight="1">
      <c r="B2309" s="1452"/>
      <c r="C2309" s="1448"/>
      <c r="D2309" s="1448"/>
      <c r="E2309" s="30"/>
      <c r="F2309" s="31" t="s">
        <v>131</v>
      </c>
      <c r="G2309" s="1454"/>
      <c r="H2309" s="30">
        <v>30211497</v>
      </c>
      <c r="I2309" s="35">
        <v>21500</v>
      </c>
      <c r="J2309" s="30">
        <v>6</v>
      </c>
      <c r="K2309" s="30">
        <v>1</v>
      </c>
      <c r="L2309" s="30"/>
      <c r="M2309" s="1454"/>
      <c r="N2309" s="1461"/>
    </row>
    <row r="2310" spans="2:15" ht="16.5" customHeight="1">
      <c r="B2310" s="1452"/>
      <c r="C2310" s="1448"/>
      <c r="D2310" s="1448"/>
      <c r="E2310" s="30"/>
      <c r="F2310" s="31" t="s">
        <v>134</v>
      </c>
      <c r="G2310" s="1454"/>
      <c r="H2310" s="30">
        <v>30211501</v>
      </c>
      <c r="I2310" s="35">
        <v>23900</v>
      </c>
      <c r="J2310" s="30">
        <v>6</v>
      </c>
      <c r="K2310" s="30">
        <v>1</v>
      </c>
      <c r="L2310" s="30"/>
      <c r="M2310" s="1454"/>
      <c r="N2310" s="1461"/>
    </row>
    <row r="2311" spans="2:15" ht="16.5" customHeight="1">
      <c r="B2311" s="1452"/>
      <c r="C2311" s="1448"/>
      <c r="D2311" s="1448"/>
      <c r="E2311" s="30"/>
      <c r="F2311" s="31" t="s">
        <v>130</v>
      </c>
      <c r="G2311" s="1454"/>
      <c r="H2311" s="30">
        <v>30211495</v>
      </c>
      <c r="I2311" s="35">
        <v>23900</v>
      </c>
      <c r="J2311" s="30">
        <v>6</v>
      </c>
      <c r="K2311" s="30">
        <v>1</v>
      </c>
      <c r="L2311" s="30"/>
      <c r="M2311" s="1454"/>
      <c r="N2311" s="1461"/>
    </row>
    <row r="2312" spans="2:15" ht="16.5" customHeight="1">
      <c r="B2312" s="1453"/>
      <c r="C2312" s="1448"/>
      <c r="D2312" s="1448"/>
      <c r="E2312" s="30"/>
      <c r="F2312" s="31" t="s">
        <v>128</v>
      </c>
      <c r="G2312" s="1454"/>
      <c r="H2312" s="30">
        <v>30211626</v>
      </c>
      <c r="I2312" s="35">
        <v>16500</v>
      </c>
      <c r="J2312" s="30">
        <v>6</v>
      </c>
      <c r="K2312" s="30">
        <v>1</v>
      </c>
      <c r="L2312" s="30"/>
      <c r="M2312" s="1454"/>
      <c r="N2312" s="1461"/>
    </row>
    <row r="2313" spans="2:15" ht="16.5" customHeight="1">
      <c r="B2313" s="1448" t="s">
        <v>165</v>
      </c>
      <c r="C2313" s="1448">
        <v>1</v>
      </c>
      <c r="D2313" s="1448" t="s">
        <v>1255</v>
      </c>
      <c r="E2313" s="30">
        <v>30217690</v>
      </c>
      <c r="F2313" s="31" t="s">
        <v>2119</v>
      </c>
      <c r="G2313" s="1448" t="s">
        <v>2527</v>
      </c>
      <c r="H2313" s="30">
        <v>30218368</v>
      </c>
      <c r="I2313" s="35">
        <v>10500</v>
      </c>
      <c r="J2313" s="64">
        <v>0.1</v>
      </c>
      <c r="K2313" s="1448">
        <v>5</v>
      </c>
      <c r="L2313" s="1448">
        <f>I2313*5</f>
        <v>52500</v>
      </c>
      <c r="M2313" s="1454" t="s">
        <v>2528</v>
      </c>
      <c r="N2313" s="1445">
        <v>20250213287</v>
      </c>
    </row>
    <row r="2314" spans="2:15" ht="16.5" customHeight="1">
      <c r="B2314" s="1448"/>
      <c r="C2314" s="1448"/>
      <c r="D2314" s="1448"/>
      <c r="E2314" s="30">
        <v>30217691</v>
      </c>
      <c r="F2314" s="31" t="s">
        <v>2122</v>
      </c>
      <c r="G2314" s="1448"/>
      <c r="H2314" s="30">
        <v>30218369</v>
      </c>
      <c r="I2314" s="35">
        <v>15500</v>
      </c>
      <c r="J2314" s="64">
        <v>0.1</v>
      </c>
      <c r="K2314" s="1448"/>
      <c r="L2314" s="1448"/>
      <c r="M2314" s="1454"/>
      <c r="N2314" s="1446"/>
    </row>
    <row r="2315" spans="2:15" ht="16.5" customHeight="1">
      <c r="B2315" s="1448"/>
      <c r="C2315" s="1448"/>
      <c r="D2315" s="1448"/>
      <c r="E2315" s="30">
        <v>30217705</v>
      </c>
      <c r="F2315" s="31" t="s">
        <v>2123</v>
      </c>
      <c r="G2315" s="1448"/>
      <c r="H2315" s="30">
        <v>30218372</v>
      </c>
      <c r="I2315" s="35">
        <v>10500</v>
      </c>
      <c r="J2315" s="64">
        <v>0.1</v>
      </c>
      <c r="K2315" s="1448"/>
      <c r="L2315" s="1448"/>
      <c r="M2315" s="1454"/>
      <c r="N2315" s="1447"/>
    </row>
    <row r="2316" spans="2:15" ht="16.5" customHeight="1">
      <c r="B2316" s="1448"/>
      <c r="C2316" s="1448">
        <v>2</v>
      </c>
      <c r="D2316" s="1448" t="s">
        <v>622</v>
      </c>
      <c r="E2316" s="30">
        <v>40636151</v>
      </c>
      <c r="F2316" s="31" t="s">
        <v>1526</v>
      </c>
      <c r="G2316" s="1448" t="s">
        <v>2529</v>
      </c>
      <c r="H2316" s="30">
        <v>30204917</v>
      </c>
      <c r="I2316" s="35">
        <v>13400</v>
      </c>
      <c r="J2316" s="64">
        <v>0.13</v>
      </c>
      <c r="K2316" s="1448">
        <v>5</v>
      </c>
      <c r="L2316" s="1448">
        <f>I2316*5</f>
        <v>67000</v>
      </c>
      <c r="M2316" s="1454" t="s">
        <v>2530</v>
      </c>
      <c r="N2316" s="1445">
        <v>20250213267</v>
      </c>
      <c r="O2316" s="4" t="s">
        <v>1529</v>
      </c>
    </row>
    <row r="2317" spans="2:15" ht="16.5" customHeight="1">
      <c r="B2317" s="1448"/>
      <c r="C2317" s="1448"/>
      <c r="D2317" s="1448"/>
      <c r="E2317" s="30">
        <v>40636150</v>
      </c>
      <c r="F2317" s="31" t="s">
        <v>1530</v>
      </c>
      <c r="G2317" s="1448"/>
      <c r="H2317" s="30">
        <v>30204919</v>
      </c>
      <c r="I2317" s="35">
        <v>15700</v>
      </c>
      <c r="J2317" s="64">
        <v>0.13</v>
      </c>
      <c r="K2317" s="1448"/>
      <c r="L2317" s="1448"/>
      <c r="M2317" s="1454"/>
      <c r="N2317" s="1446"/>
    </row>
    <row r="2318" spans="2:15" ht="16.5" customHeight="1">
      <c r="B2318" s="1448"/>
      <c r="C2318" s="1448"/>
      <c r="D2318" s="1448"/>
      <c r="E2318" s="30">
        <v>60265746</v>
      </c>
      <c r="F2318" s="31" t="s">
        <v>2531</v>
      </c>
      <c r="G2318" s="1448"/>
      <c r="H2318" s="30">
        <v>30204925</v>
      </c>
      <c r="I2318" s="35">
        <v>12300</v>
      </c>
      <c r="J2318" s="64">
        <v>0.13</v>
      </c>
      <c r="K2318" s="1448"/>
      <c r="L2318" s="1448"/>
      <c r="M2318" s="1454"/>
      <c r="N2318" s="1446"/>
    </row>
    <row r="2319" spans="2:15" ht="16.5" customHeight="1">
      <c r="B2319" s="1448"/>
      <c r="C2319" s="1448"/>
      <c r="D2319" s="1448"/>
      <c r="E2319" s="30">
        <v>40636146</v>
      </c>
      <c r="F2319" s="31" t="s">
        <v>2532</v>
      </c>
      <c r="G2319" s="1448"/>
      <c r="H2319" s="30">
        <v>30204927</v>
      </c>
      <c r="I2319" s="35">
        <v>13400</v>
      </c>
      <c r="J2319" s="64">
        <v>0.13</v>
      </c>
      <c r="K2319" s="1448"/>
      <c r="L2319" s="1448"/>
      <c r="M2319" s="1454"/>
      <c r="N2319" s="1446"/>
    </row>
    <row r="2320" spans="2:15" ht="16.5" customHeight="1">
      <c r="B2320" s="1448"/>
      <c r="C2320" s="1448"/>
      <c r="D2320" s="1448"/>
      <c r="E2320" s="30">
        <v>55115021</v>
      </c>
      <c r="F2320" s="31" t="s">
        <v>2533</v>
      </c>
      <c r="G2320" s="1448"/>
      <c r="H2320" s="30">
        <v>30219474</v>
      </c>
      <c r="I2320" s="35">
        <v>20600</v>
      </c>
      <c r="J2320" s="64">
        <v>0.13</v>
      </c>
      <c r="K2320" s="1448"/>
      <c r="L2320" s="1448"/>
      <c r="M2320" s="1454"/>
      <c r="N2320" s="1446"/>
    </row>
    <row r="2321" spans="2:14" ht="16.5" customHeight="1">
      <c r="B2321" s="1448"/>
      <c r="C2321" s="1448"/>
      <c r="D2321" s="1448"/>
      <c r="E2321" s="30">
        <v>55115022</v>
      </c>
      <c r="F2321" s="31" t="s">
        <v>2534</v>
      </c>
      <c r="G2321" s="1448"/>
      <c r="H2321" s="30">
        <v>30219478</v>
      </c>
      <c r="I2321" s="35">
        <v>22300</v>
      </c>
      <c r="J2321" s="64">
        <v>0.13</v>
      </c>
      <c r="K2321" s="1448"/>
      <c r="L2321" s="1448"/>
      <c r="M2321" s="1454"/>
      <c r="N2321" s="1446"/>
    </row>
    <row r="2322" spans="2:14" ht="16.5" customHeight="1">
      <c r="B2322" s="1448"/>
      <c r="C2322" s="1448"/>
      <c r="D2322" s="1448"/>
      <c r="E2322" s="30">
        <v>44649590</v>
      </c>
      <c r="F2322" s="31" t="s">
        <v>2535</v>
      </c>
      <c r="G2322" s="1448"/>
      <c r="H2322" s="30">
        <v>30203831</v>
      </c>
      <c r="I2322" s="35">
        <v>21200</v>
      </c>
      <c r="J2322" s="64">
        <v>0.13</v>
      </c>
      <c r="K2322" s="1448"/>
      <c r="L2322" s="1448"/>
      <c r="M2322" s="1454"/>
      <c r="N2322" s="1446"/>
    </row>
    <row r="2323" spans="2:14" ht="16.5" customHeight="1">
      <c r="B2323" s="1448"/>
      <c r="C2323" s="1448"/>
      <c r="D2323" s="1448"/>
      <c r="E2323" s="30">
        <v>44649598</v>
      </c>
      <c r="F2323" s="31" t="s">
        <v>2536</v>
      </c>
      <c r="G2323" s="1448"/>
      <c r="H2323" s="30">
        <v>30203835</v>
      </c>
      <c r="I2323" s="35">
        <v>25700</v>
      </c>
      <c r="J2323" s="64">
        <v>0.13</v>
      </c>
      <c r="K2323" s="1448"/>
      <c r="L2323" s="1448"/>
      <c r="M2323" s="1454"/>
      <c r="N2323" s="1446"/>
    </row>
    <row r="2324" spans="2:14" ht="16.5" customHeight="1">
      <c r="B2324" s="1448"/>
      <c r="C2324" s="1448"/>
      <c r="D2324" s="1448"/>
      <c r="E2324" s="30">
        <v>48867652</v>
      </c>
      <c r="F2324" s="31" t="s">
        <v>1147</v>
      </c>
      <c r="G2324" s="1448"/>
      <c r="H2324" s="30">
        <v>30216938</v>
      </c>
      <c r="I2324" s="35">
        <v>18900</v>
      </c>
      <c r="J2324" s="64">
        <v>0.13</v>
      </c>
      <c r="K2324" s="1448"/>
      <c r="L2324" s="1448"/>
      <c r="M2324" s="1454"/>
      <c r="N2324" s="1446"/>
    </row>
    <row r="2325" spans="2:14" ht="16.5" customHeight="1">
      <c r="B2325" s="1448"/>
      <c r="C2325" s="1448"/>
      <c r="D2325" s="1448"/>
      <c r="E2325" s="30">
        <v>48867651</v>
      </c>
      <c r="F2325" s="31" t="s">
        <v>1148</v>
      </c>
      <c r="G2325" s="1448"/>
      <c r="H2325" s="30">
        <v>30216939</v>
      </c>
      <c r="I2325" s="35">
        <v>23300</v>
      </c>
      <c r="J2325" s="64">
        <v>0.13</v>
      </c>
      <c r="K2325" s="1448"/>
      <c r="L2325" s="1448"/>
      <c r="M2325" s="1454"/>
      <c r="N2325" s="1446"/>
    </row>
    <row r="2326" spans="2:14" ht="16.5" customHeight="1">
      <c r="B2326" s="1448"/>
      <c r="C2326" s="1448"/>
      <c r="D2326" s="1448"/>
      <c r="E2326" s="30">
        <v>73546886</v>
      </c>
      <c r="F2326" s="31" t="s">
        <v>2537</v>
      </c>
      <c r="G2326" s="1448"/>
      <c r="H2326" s="30">
        <v>30216940</v>
      </c>
      <c r="I2326" s="35">
        <v>35600</v>
      </c>
      <c r="J2326" s="64">
        <v>0.13</v>
      </c>
      <c r="K2326" s="1448"/>
      <c r="L2326" s="1448"/>
      <c r="M2326" s="1454"/>
      <c r="N2326" s="1446"/>
    </row>
    <row r="2327" spans="2:14" ht="16.5" customHeight="1">
      <c r="B2327" s="1448"/>
      <c r="C2327" s="1448"/>
      <c r="D2327" s="1448"/>
      <c r="E2327" s="30">
        <v>73546885</v>
      </c>
      <c r="F2327" s="31" t="s">
        <v>2538</v>
      </c>
      <c r="G2327" s="1448"/>
      <c r="H2327" s="30">
        <v>30216942</v>
      </c>
      <c r="I2327" s="35">
        <v>40900</v>
      </c>
      <c r="J2327" s="64">
        <v>0.13</v>
      </c>
      <c r="K2327" s="1448"/>
      <c r="L2327" s="1448"/>
      <c r="M2327" s="1454"/>
      <c r="N2327" s="1446"/>
    </row>
    <row r="2328" spans="2:14" ht="16.5" customHeight="1">
      <c r="B2328" s="1448"/>
      <c r="C2328" s="1448"/>
      <c r="D2328" s="1448"/>
      <c r="E2328" s="30">
        <v>73546887</v>
      </c>
      <c r="F2328" s="31" t="s">
        <v>2539</v>
      </c>
      <c r="G2328" s="1448"/>
      <c r="H2328" s="30">
        <v>30216947</v>
      </c>
      <c r="I2328" s="35">
        <v>42300</v>
      </c>
      <c r="J2328" s="64">
        <v>0.13</v>
      </c>
      <c r="K2328" s="1448"/>
      <c r="L2328" s="1448"/>
      <c r="M2328" s="1454"/>
      <c r="N2328" s="1446"/>
    </row>
    <row r="2329" spans="2:14" ht="16.5" customHeight="1">
      <c r="B2329" s="1448"/>
      <c r="C2329" s="1448"/>
      <c r="D2329" s="1448"/>
      <c r="E2329" s="30">
        <v>73546906</v>
      </c>
      <c r="F2329" s="31" t="s">
        <v>2540</v>
      </c>
      <c r="G2329" s="1448"/>
      <c r="H2329" s="30">
        <v>30216954</v>
      </c>
      <c r="I2329" s="35">
        <v>54600</v>
      </c>
      <c r="J2329" s="64">
        <v>0.13</v>
      </c>
      <c r="K2329" s="1448"/>
      <c r="L2329" s="1448"/>
      <c r="M2329" s="1454"/>
      <c r="N2329" s="1446"/>
    </row>
    <row r="2330" spans="2:14" ht="16.5" customHeight="1">
      <c r="B2330" s="1448"/>
      <c r="C2330" s="1448"/>
      <c r="D2330" s="1448"/>
      <c r="E2330" s="30">
        <v>73547014</v>
      </c>
      <c r="F2330" s="31" t="s">
        <v>2541</v>
      </c>
      <c r="G2330" s="1448"/>
      <c r="H2330" s="30">
        <v>30216956</v>
      </c>
      <c r="I2330" s="35">
        <v>63300</v>
      </c>
      <c r="J2330" s="64">
        <v>0.13</v>
      </c>
      <c r="K2330" s="1448"/>
      <c r="L2330" s="1448"/>
      <c r="M2330" s="1454"/>
      <c r="N2330" s="1446"/>
    </row>
    <row r="2331" spans="2:14" ht="16.5" customHeight="1">
      <c r="B2331" s="1448"/>
      <c r="C2331" s="1448"/>
      <c r="D2331" s="1448"/>
      <c r="E2331" s="30">
        <v>73547094</v>
      </c>
      <c r="F2331" s="31" t="s">
        <v>2542</v>
      </c>
      <c r="G2331" s="1448"/>
      <c r="H2331" s="30">
        <v>30216960</v>
      </c>
      <c r="I2331" s="35">
        <v>78900</v>
      </c>
      <c r="J2331" s="64">
        <v>0.13</v>
      </c>
      <c r="K2331" s="1448"/>
      <c r="L2331" s="1448"/>
      <c r="M2331" s="1454"/>
      <c r="N2331" s="1446"/>
    </row>
    <row r="2332" spans="2:14" ht="16.5" customHeight="1">
      <c r="B2332" s="1448"/>
      <c r="C2332" s="1448"/>
      <c r="D2332" s="1448"/>
      <c r="E2332" s="30">
        <v>70053538</v>
      </c>
      <c r="F2332" s="31" t="s">
        <v>637</v>
      </c>
      <c r="G2332" s="1448"/>
      <c r="H2332" s="30">
        <v>30206361</v>
      </c>
      <c r="I2332" s="35">
        <v>79100</v>
      </c>
      <c r="J2332" s="64">
        <v>0.13</v>
      </c>
      <c r="K2332" s="1448"/>
      <c r="L2332" s="1448"/>
      <c r="M2332" s="1454"/>
      <c r="N2332" s="1446"/>
    </row>
    <row r="2333" spans="2:14" ht="16.5" customHeight="1">
      <c r="B2333" s="1448"/>
      <c r="C2333" s="1448"/>
      <c r="D2333" s="1448"/>
      <c r="E2333" s="30">
        <v>70053474</v>
      </c>
      <c r="F2333" s="31" t="s">
        <v>638</v>
      </c>
      <c r="G2333" s="1448"/>
      <c r="H2333" s="30">
        <v>30205987</v>
      </c>
      <c r="I2333" s="35">
        <v>97000</v>
      </c>
      <c r="J2333" s="64">
        <v>0.13</v>
      </c>
      <c r="K2333" s="1448"/>
      <c r="L2333" s="1448"/>
      <c r="M2333" s="1454"/>
      <c r="N2333" s="1446"/>
    </row>
    <row r="2334" spans="2:14" ht="16.5" customHeight="1">
      <c r="B2334" s="1448"/>
      <c r="C2334" s="1448"/>
      <c r="D2334" s="1448"/>
      <c r="E2334" s="30">
        <v>70053589</v>
      </c>
      <c r="F2334" s="31" t="s">
        <v>639</v>
      </c>
      <c r="G2334" s="1448"/>
      <c r="H2334" s="30">
        <v>30205988</v>
      </c>
      <c r="I2334" s="35">
        <v>91400</v>
      </c>
      <c r="J2334" s="64">
        <v>0.13</v>
      </c>
      <c r="K2334" s="1448"/>
      <c r="L2334" s="1448"/>
      <c r="M2334" s="1454"/>
      <c r="N2334" s="1446"/>
    </row>
    <row r="2335" spans="2:14" ht="16.5" customHeight="1">
      <c r="B2335" s="1448"/>
      <c r="C2335" s="1448"/>
      <c r="D2335" s="1448"/>
      <c r="E2335" s="30">
        <v>70053629</v>
      </c>
      <c r="F2335" s="31" t="s">
        <v>640</v>
      </c>
      <c r="G2335" s="1448"/>
      <c r="H2335" s="30">
        <v>30205989</v>
      </c>
      <c r="I2335" s="35">
        <v>121500</v>
      </c>
      <c r="J2335" s="64">
        <v>0.13</v>
      </c>
      <c r="K2335" s="1448"/>
      <c r="L2335" s="1448"/>
      <c r="M2335" s="1454"/>
      <c r="N2335" s="1446"/>
    </row>
    <row r="2336" spans="2:14" ht="16.5" customHeight="1">
      <c r="B2336" s="1448"/>
      <c r="C2336" s="1448"/>
      <c r="D2336" s="1448"/>
      <c r="E2336" s="30">
        <v>70053551</v>
      </c>
      <c r="F2336" s="31" t="s">
        <v>641</v>
      </c>
      <c r="G2336" s="1448"/>
      <c r="H2336" s="30">
        <v>30205990</v>
      </c>
      <c r="I2336" s="35">
        <v>62400</v>
      </c>
      <c r="J2336" s="64">
        <v>0.13</v>
      </c>
      <c r="K2336" s="1448"/>
      <c r="L2336" s="1448"/>
      <c r="M2336" s="1454"/>
      <c r="N2336" s="1446"/>
    </row>
    <row r="2337" spans="2:14" ht="16.5" customHeight="1">
      <c r="B2337" s="1448"/>
      <c r="C2337" s="1448"/>
      <c r="D2337" s="1448"/>
      <c r="E2337" s="30">
        <v>70053466</v>
      </c>
      <c r="F2337" s="31" t="s">
        <v>642</v>
      </c>
      <c r="G2337" s="1448"/>
      <c r="H2337" s="30">
        <v>30205992</v>
      </c>
      <c r="I2337" s="35">
        <v>79100</v>
      </c>
      <c r="J2337" s="64">
        <v>0.13</v>
      </c>
      <c r="K2337" s="1448"/>
      <c r="L2337" s="1448"/>
      <c r="M2337" s="1454"/>
      <c r="N2337" s="1446"/>
    </row>
    <row r="2338" spans="2:14" ht="16.5" customHeight="1">
      <c r="B2338" s="1448"/>
      <c r="C2338" s="1448"/>
      <c r="D2338" s="1448"/>
      <c r="E2338" s="30">
        <v>70053584</v>
      </c>
      <c r="F2338" s="31" t="s">
        <v>643</v>
      </c>
      <c r="G2338" s="1448"/>
      <c r="H2338" s="30">
        <v>30205994</v>
      </c>
      <c r="I2338" s="35">
        <v>75800</v>
      </c>
      <c r="J2338" s="64">
        <v>0.13</v>
      </c>
      <c r="K2338" s="1448"/>
      <c r="L2338" s="1448"/>
      <c r="M2338" s="1454"/>
      <c r="N2338" s="1446"/>
    </row>
    <row r="2339" spans="2:14" ht="16.5" customHeight="1">
      <c r="B2339" s="1448"/>
      <c r="C2339" s="1448"/>
      <c r="D2339" s="1448"/>
      <c r="E2339" s="30">
        <v>70053630</v>
      </c>
      <c r="F2339" s="31" t="s">
        <v>644</v>
      </c>
      <c r="G2339" s="1448"/>
      <c r="H2339" s="30">
        <v>30205999</v>
      </c>
      <c r="I2339" s="35">
        <v>105900</v>
      </c>
      <c r="J2339" s="64">
        <v>0.13</v>
      </c>
      <c r="K2339" s="1448"/>
      <c r="L2339" s="1448"/>
      <c r="M2339" s="1454"/>
      <c r="N2339" s="1446"/>
    </row>
    <row r="2340" spans="2:14" ht="16.5" customHeight="1">
      <c r="B2340" s="1448"/>
      <c r="C2340" s="1448"/>
      <c r="D2340" s="1448"/>
      <c r="E2340" s="30">
        <v>70053554</v>
      </c>
      <c r="F2340" s="31" t="s">
        <v>645</v>
      </c>
      <c r="G2340" s="1448"/>
      <c r="H2340" s="30">
        <v>30206009</v>
      </c>
      <c r="I2340" s="35">
        <v>62400</v>
      </c>
      <c r="J2340" s="64">
        <v>0.13</v>
      </c>
      <c r="K2340" s="1448"/>
      <c r="L2340" s="1448"/>
      <c r="M2340" s="1454"/>
      <c r="N2340" s="1446"/>
    </row>
    <row r="2341" spans="2:14" ht="16.5" customHeight="1">
      <c r="B2341" s="1448"/>
      <c r="C2341" s="1448"/>
      <c r="D2341" s="1448"/>
      <c r="E2341" s="30">
        <v>70053483</v>
      </c>
      <c r="F2341" s="31" t="s">
        <v>646</v>
      </c>
      <c r="G2341" s="1448"/>
      <c r="H2341" s="30">
        <v>30206013</v>
      </c>
      <c r="I2341" s="35">
        <v>79100</v>
      </c>
      <c r="J2341" s="64">
        <v>0.13</v>
      </c>
      <c r="K2341" s="1448"/>
      <c r="L2341" s="1448"/>
      <c r="M2341" s="1454"/>
      <c r="N2341" s="1446"/>
    </row>
    <row r="2342" spans="2:14" ht="16.5" customHeight="1">
      <c r="B2342" s="1448"/>
      <c r="C2342" s="1448"/>
      <c r="D2342" s="1448"/>
      <c r="E2342" s="30">
        <v>70053587</v>
      </c>
      <c r="F2342" s="31" t="s">
        <v>647</v>
      </c>
      <c r="G2342" s="1448"/>
      <c r="H2342" s="30">
        <v>30206014</v>
      </c>
      <c r="I2342" s="35">
        <v>73500</v>
      </c>
      <c r="J2342" s="64">
        <v>0.13</v>
      </c>
      <c r="K2342" s="1448"/>
      <c r="L2342" s="1448"/>
      <c r="M2342" s="1454"/>
      <c r="N2342" s="1446"/>
    </row>
    <row r="2343" spans="2:14" ht="16.5" customHeight="1">
      <c r="B2343" s="1448"/>
      <c r="C2343" s="1448"/>
      <c r="D2343" s="1448"/>
      <c r="E2343" s="30">
        <v>70053631</v>
      </c>
      <c r="F2343" s="31" t="s">
        <v>648</v>
      </c>
      <c r="G2343" s="1448"/>
      <c r="H2343" s="30">
        <v>30206015</v>
      </c>
      <c r="I2343" s="35">
        <v>101400</v>
      </c>
      <c r="J2343" s="64">
        <v>0.13</v>
      </c>
      <c r="K2343" s="1448"/>
      <c r="L2343" s="1448"/>
      <c r="M2343" s="1454"/>
      <c r="N2343" s="1446"/>
    </row>
    <row r="2344" spans="2:14" ht="16.5" customHeight="1">
      <c r="B2344" s="1448"/>
      <c r="C2344" s="1448"/>
      <c r="D2344" s="1448"/>
      <c r="E2344" s="30">
        <v>61948914</v>
      </c>
      <c r="F2344" s="31" t="s">
        <v>2543</v>
      </c>
      <c r="G2344" s="1448"/>
      <c r="H2344" s="30">
        <v>30219577</v>
      </c>
      <c r="I2344" s="35">
        <v>74700</v>
      </c>
      <c r="J2344" s="64">
        <v>0.13</v>
      </c>
      <c r="K2344" s="1448"/>
      <c r="L2344" s="1448"/>
      <c r="M2344" s="1454"/>
      <c r="N2344" s="1446"/>
    </row>
    <row r="2345" spans="2:14" ht="16.5" customHeight="1">
      <c r="B2345" s="1448"/>
      <c r="C2345" s="1448"/>
      <c r="D2345" s="1448"/>
      <c r="E2345" s="30">
        <v>61948916</v>
      </c>
      <c r="F2345" s="31" t="s">
        <v>2544</v>
      </c>
      <c r="G2345" s="1448"/>
      <c r="H2345" s="30">
        <v>30219578</v>
      </c>
      <c r="I2345" s="35">
        <v>89700</v>
      </c>
      <c r="J2345" s="64">
        <v>0.13</v>
      </c>
      <c r="K2345" s="1448"/>
      <c r="L2345" s="1448"/>
      <c r="M2345" s="1454"/>
      <c r="N2345" s="1446"/>
    </row>
    <row r="2346" spans="2:14" ht="16.5" customHeight="1">
      <c r="B2346" s="1448"/>
      <c r="C2346" s="1448"/>
      <c r="D2346" s="1448"/>
      <c r="E2346" s="30">
        <v>61948918</v>
      </c>
      <c r="F2346" s="31" t="s">
        <v>2545</v>
      </c>
      <c r="G2346" s="1448"/>
      <c r="H2346" s="30">
        <v>30219579</v>
      </c>
      <c r="I2346" s="35">
        <v>88000</v>
      </c>
      <c r="J2346" s="64">
        <v>0.13</v>
      </c>
      <c r="K2346" s="1448"/>
      <c r="L2346" s="1448"/>
      <c r="M2346" s="1454"/>
      <c r="N2346" s="1446"/>
    </row>
    <row r="2347" spans="2:14" ht="16.5" customHeight="1">
      <c r="B2347" s="1448"/>
      <c r="C2347" s="1448"/>
      <c r="D2347" s="1448"/>
      <c r="E2347" s="30">
        <v>61948917</v>
      </c>
      <c r="F2347" s="31" t="s">
        <v>2546</v>
      </c>
      <c r="G2347" s="1448"/>
      <c r="H2347" s="30">
        <v>30219580</v>
      </c>
      <c r="I2347" s="35">
        <v>114800</v>
      </c>
      <c r="J2347" s="64">
        <v>0.13</v>
      </c>
      <c r="K2347" s="1448"/>
      <c r="L2347" s="1448"/>
      <c r="M2347" s="1454"/>
      <c r="N2347" s="1447"/>
    </row>
    <row r="2348" spans="2:14" ht="16.5" customHeight="1">
      <c r="B2348" s="1448"/>
      <c r="C2348" s="1448">
        <v>3</v>
      </c>
      <c r="D2348" s="1448" t="s">
        <v>166</v>
      </c>
      <c r="E2348" s="30">
        <v>30173887</v>
      </c>
      <c r="F2348" s="31" t="s">
        <v>167</v>
      </c>
      <c r="G2348" s="1448" t="s">
        <v>168</v>
      </c>
      <c r="H2348" s="30">
        <v>30205919</v>
      </c>
      <c r="I2348" s="35">
        <v>49900</v>
      </c>
      <c r="J2348" s="64">
        <v>0.05</v>
      </c>
      <c r="K2348" s="1448">
        <v>5</v>
      </c>
      <c r="L2348" s="1459">
        <v>249500</v>
      </c>
      <c r="M2348" s="1454" t="s">
        <v>169</v>
      </c>
      <c r="N2348" s="1445">
        <v>20250213268</v>
      </c>
    </row>
    <row r="2349" spans="2:14" ht="16.5" customHeight="1">
      <c r="B2349" s="1448"/>
      <c r="C2349" s="1448"/>
      <c r="D2349" s="1448"/>
      <c r="E2349" s="30">
        <v>30173888</v>
      </c>
      <c r="F2349" s="31" t="s">
        <v>170</v>
      </c>
      <c r="G2349" s="1448"/>
      <c r="H2349" s="30">
        <v>30205922</v>
      </c>
      <c r="I2349" s="35">
        <v>49900</v>
      </c>
      <c r="J2349" s="64">
        <v>0.05</v>
      </c>
      <c r="K2349" s="1448"/>
      <c r="L2349" s="1459"/>
      <c r="M2349" s="1454"/>
      <c r="N2349" s="1446"/>
    </row>
    <row r="2350" spans="2:14" ht="16.5" customHeight="1">
      <c r="B2350" s="1448"/>
      <c r="C2350" s="1448"/>
      <c r="D2350" s="1448"/>
      <c r="E2350" s="30">
        <v>30173890</v>
      </c>
      <c r="F2350" s="31" t="s">
        <v>171</v>
      </c>
      <c r="G2350" s="1448"/>
      <c r="H2350" s="30">
        <v>30205924</v>
      </c>
      <c r="I2350" s="35">
        <v>39900</v>
      </c>
      <c r="J2350" s="64">
        <v>0.05</v>
      </c>
      <c r="K2350" s="1448"/>
      <c r="L2350" s="1459"/>
      <c r="M2350" s="1454"/>
      <c r="N2350" s="1446"/>
    </row>
    <row r="2351" spans="2:14" ht="16.5" customHeight="1">
      <c r="B2351" s="1448"/>
      <c r="C2351" s="1448"/>
      <c r="D2351" s="1448"/>
      <c r="E2351" s="30">
        <v>30173893</v>
      </c>
      <c r="F2351" s="31" t="s">
        <v>172</v>
      </c>
      <c r="G2351" s="1448"/>
      <c r="H2351" s="30">
        <v>30205926</v>
      </c>
      <c r="I2351" s="35">
        <v>39900</v>
      </c>
      <c r="J2351" s="64">
        <v>0.05</v>
      </c>
      <c r="K2351" s="1448"/>
      <c r="L2351" s="1459"/>
      <c r="M2351" s="1454"/>
      <c r="N2351" s="1447"/>
    </row>
    <row r="2352" spans="2:14" ht="16.5" customHeight="1">
      <c r="B2352" s="1448"/>
      <c r="C2352" s="1448">
        <v>4</v>
      </c>
      <c r="D2352" s="1448" t="s">
        <v>1541</v>
      </c>
      <c r="E2352" s="30">
        <v>73402956</v>
      </c>
      <c r="F2352" s="31" t="s">
        <v>180</v>
      </c>
      <c r="G2352" s="1448" t="s">
        <v>2547</v>
      </c>
      <c r="H2352" s="30">
        <v>30214026</v>
      </c>
      <c r="I2352" s="35">
        <v>12900</v>
      </c>
      <c r="J2352" s="64">
        <v>0.13</v>
      </c>
      <c r="K2352" s="1448">
        <v>5</v>
      </c>
      <c r="L2352" s="1448">
        <f>I2352*5</f>
        <v>64500</v>
      </c>
      <c r="M2352" s="1454" t="s">
        <v>2548</v>
      </c>
      <c r="N2352" s="1445">
        <v>20250213269</v>
      </c>
    </row>
    <row r="2353" spans="2:14" ht="16.5" customHeight="1">
      <c r="B2353" s="1448"/>
      <c r="C2353" s="1448"/>
      <c r="D2353" s="1448"/>
      <c r="E2353" s="30">
        <v>73402942</v>
      </c>
      <c r="F2353" s="31" t="s">
        <v>183</v>
      </c>
      <c r="G2353" s="1448"/>
      <c r="H2353" s="30">
        <v>30214027</v>
      </c>
      <c r="I2353" s="35">
        <v>14900</v>
      </c>
      <c r="J2353" s="64">
        <v>0.13</v>
      </c>
      <c r="K2353" s="1448"/>
      <c r="L2353" s="1448"/>
      <c r="M2353" s="1454"/>
      <c r="N2353" s="1446"/>
    </row>
    <row r="2354" spans="2:14" ht="16.5" customHeight="1">
      <c r="B2354" s="1448"/>
      <c r="C2354" s="1448"/>
      <c r="D2354" s="1448"/>
      <c r="E2354" s="30">
        <v>73402925</v>
      </c>
      <c r="F2354" s="31" t="s">
        <v>184</v>
      </c>
      <c r="G2354" s="1448"/>
      <c r="H2354" s="30">
        <v>30214028</v>
      </c>
      <c r="I2354" s="35">
        <v>17900</v>
      </c>
      <c r="J2354" s="64">
        <v>0.13</v>
      </c>
      <c r="K2354" s="1448"/>
      <c r="L2354" s="1448"/>
      <c r="M2354" s="1454"/>
      <c r="N2354" s="1447"/>
    </row>
    <row r="2355" spans="2:14" ht="16.5" customHeight="1">
      <c r="B2355" s="1448"/>
      <c r="C2355" s="29">
        <v>5</v>
      </c>
      <c r="D2355" s="29" t="s">
        <v>1546</v>
      </c>
      <c r="E2355" s="30">
        <v>77384817</v>
      </c>
      <c r="F2355" s="31" t="s">
        <v>2549</v>
      </c>
      <c r="G2355" s="31" t="s">
        <v>2549</v>
      </c>
      <c r="H2355" s="30">
        <v>30219861</v>
      </c>
      <c r="I2355" s="35">
        <v>14900</v>
      </c>
      <c r="J2355" s="64">
        <v>0.13</v>
      </c>
      <c r="K2355" s="29">
        <v>5</v>
      </c>
      <c r="L2355" s="29">
        <f>I2355*5</f>
        <v>74500</v>
      </c>
      <c r="M2355" s="421" t="s">
        <v>2550</v>
      </c>
      <c r="N2355" s="34">
        <v>20250213270</v>
      </c>
    </row>
    <row r="2356" spans="2:14" ht="16.5" customHeight="1">
      <c r="B2356" s="1448"/>
      <c r="C2356" s="1448">
        <v>6</v>
      </c>
      <c r="D2356" s="1448" t="s">
        <v>2551</v>
      </c>
      <c r="E2356" s="30">
        <v>60001057</v>
      </c>
      <c r="F2356" s="31" t="s">
        <v>611</v>
      </c>
      <c r="G2356" s="1454" t="s">
        <v>612</v>
      </c>
      <c r="H2356" s="30">
        <v>30173255</v>
      </c>
      <c r="I2356" s="35">
        <v>6900</v>
      </c>
      <c r="J2356" s="64">
        <v>0.13</v>
      </c>
      <c r="K2356" s="1448">
        <v>5</v>
      </c>
      <c r="L2356" s="1448">
        <f>I2356*5</f>
        <v>34500</v>
      </c>
      <c r="M2356" s="1454" t="s">
        <v>2552</v>
      </c>
      <c r="N2356" s="1445">
        <v>20250213271</v>
      </c>
    </row>
    <row r="2357" spans="2:14" ht="16.5" customHeight="1">
      <c r="B2357" s="1448"/>
      <c r="C2357" s="1448"/>
      <c r="D2357" s="1448"/>
      <c r="E2357" s="30">
        <v>75182284</v>
      </c>
      <c r="F2357" s="31" t="s">
        <v>2553</v>
      </c>
      <c r="G2357" s="1448"/>
      <c r="H2357" s="30">
        <v>30214841</v>
      </c>
      <c r="I2357" s="35">
        <v>7900</v>
      </c>
      <c r="J2357" s="64">
        <v>0.13</v>
      </c>
      <c r="K2357" s="1448"/>
      <c r="L2357" s="1448"/>
      <c r="M2357" s="1454"/>
      <c r="N2357" s="1446"/>
    </row>
    <row r="2358" spans="2:14" ht="16.5" customHeight="1">
      <c r="B2358" s="1448"/>
      <c r="C2358" s="1448"/>
      <c r="D2358" s="1448"/>
      <c r="E2358" s="30">
        <v>75182306</v>
      </c>
      <c r="F2358" s="31" t="s">
        <v>2554</v>
      </c>
      <c r="G2358" s="1448"/>
      <c r="H2358" s="30">
        <v>30214843</v>
      </c>
      <c r="I2358" s="35">
        <v>7900</v>
      </c>
      <c r="J2358" s="64">
        <v>0.13</v>
      </c>
      <c r="K2358" s="1448"/>
      <c r="L2358" s="1448"/>
      <c r="M2358" s="1454"/>
      <c r="N2358" s="1446"/>
    </row>
    <row r="2359" spans="2:14" ht="16.5" customHeight="1">
      <c r="B2359" s="1448"/>
      <c r="C2359" s="1448"/>
      <c r="D2359" s="1448"/>
      <c r="E2359" s="30">
        <v>60001053</v>
      </c>
      <c r="F2359" s="31" t="s">
        <v>614</v>
      </c>
      <c r="G2359" s="1448"/>
      <c r="H2359" s="30">
        <v>30173254</v>
      </c>
      <c r="I2359" s="35">
        <v>7900</v>
      </c>
      <c r="J2359" s="64">
        <v>0.13</v>
      </c>
      <c r="K2359" s="1448"/>
      <c r="L2359" s="1448"/>
      <c r="M2359" s="1454"/>
      <c r="N2359" s="1446"/>
    </row>
    <row r="2360" spans="2:14" ht="16.5" customHeight="1">
      <c r="B2360" s="1448"/>
      <c r="C2360" s="1448"/>
      <c r="D2360" s="1448"/>
      <c r="E2360" s="30">
        <v>60001050</v>
      </c>
      <c r="F2360" s="31" t="s">
        <v>615</v>
      </c>
      <c r="G2360" s="1448"/>
      <c r="H2360" s="30">
        <v>30173253</v>
      </c>
      <c r="I2360" s="35">
        <v>7900</v>
      </c>
      <c r="J2360" s="64">
        <v>0.13</v>
      </c>
      <c r="K2360" s="1448"/>
      <c r="L2360" s="1448"/>
      <c r="M2360" s="1454"/>
      <c r="N2360" s="1446"/>
    </row>
    <row r="2361" spans="2:14" ht="16.5" customHeight="1">
      <c r="B2361" s="1448"/>
      <c r="C2361" s="1448"/>
      <c r="D2361" s="1448"/>
      <c r="E2361" s="30">
        <v>60001046</v>
      </c>
      <c r="F2361" s="31" t="s">
        <v>616</v>
      </c>
      <c r="G2361" s="1448"/>
      <c r="H2361" s="30">
        <v>30173252</v>
      </c>
      <c r="I2361" s="35">
        <v>7900</v>
      </c>
      <c r="J2361" s="64">
        <v>0.13</v>
      </c>
      <c r="K2361" s="1448"/>
      <c r="L2361" s="1448"/>
      <c r="M2361" s="1454"/>
      <c r="N2361" s="1446"/>
    </row>
    <row r="2362" spans="2:14" ht="16.5" customHeight="1">
      <c r="B2362" s="1448"/>
      <c r="C2362" s="1448"/>
      <c r="D2362" s="1448"/>
      <c r="E2362" s="30">
        <v>30219885</v>
      </c>
      <c r="F2362" s="31" t="s">
        <v>617</v>
      </c>
      <c r="G2362" s="1448"/>
      <c r="H2362" s="30">
        <v>30219927</v>
      </c>
      <c r="I2362" s="35">
        <v>7900</v>
      </c>
      <c r="J2362" s="64">
        <v>0.13</v>
      </c>
      <c r="K2362" s="1448"/>
      <c r="L2362" s="1448"/>
      <c r="M2362" s="1454"/>
      <c r="N2362" s="1446"/>
    </row>
    <row r="2363" spans="2:14" ht="16.5" customHeight="1">
      <c r="B2363" s="1448"/>
      <c r="C2363" s="1448"/>
      <c r="D2363" s="1448"/>
      <c r="E2363" s="30">
        <v>60001039</v>
      </c>
      <c r="F2363" s="31" t="s">
        <v>618</v>
      </c>
      <c r="G2363" s="1448"/>
      <c r="H2363" s="30">
        <v>30173250</v>
      </c>
      <c r="I2363" s="35">
        <v>7900</v>
      </c>
      <c r="J2363" s="64">
        <v>0.13</v>
      </c>
      <c r="K2363" s="1448"/>
      <c r="L2363" s="1448"/>
      <c r="M2363" s="1454"/>
      <c r="N2363" s="1446"/>
    </row>
    <row r="2364" spans="2:14" ht="16.5" customHeight="1">
      <c r="B2364" s="1448"/>
      <c r="C2364" s="1448"/>
      <c r="D2364" s="1448"/>
      <c r="E2364" s="30">
        <v>30219888</v>
      </c>
      <c r="F2364" s="31" t="s">
        <v>619</v>
      </c>
      <c r="G2364" s="1448"/>
      <c r="H2364" s="30">
        <v>30219930</v>
      </c>
      <c r="I2364" s="35">
        <v>7900</v>
      </c>
      <c r="J2364" s="64">
        <v>0.13</v>
      </c>
      <c r="K2364" s="1448"/>
      <c r="L2364" s="1448"/>
      <c r="M2364" s="1454"/>
      <c r="N2364" s="1446"/>
    </row>
    <row r="2365" spans="2:14" ht="16.5" customHeight="1">
      <c r="B2365" s="1448"/>
      <c r="C2365" s="1448"/>
      <c r="D2365" s="1448"/>
      <c r="E2365" s="30">
        <v>60001091</v>
      </c>
      <c r="F2365" s="31" t="s">
        <v>2555</v>
      </c>
      <c r="G2365" s="1448"/>
      <c r="H2365" s="30">
        <v>30219931</v>
      </c>
      <c r="I2365" s="66">
        <v>8900</v>
      </c>
      <c r="J2365" s="64">
        <v>0.13</v>
      </c>
      <c r="K2365" s="1448"/>
      <c r="L2365" s="1448"/>
      <c r="M2365" s="1454"/>
      <c r="N2365" s="1447"/>
    </row>
    <row r="2366" spans="2:14" ht="16.5" customHeight="1">
      <c r="B2366" s="1448" t="s">
        <v>185</v>
      </c>
      <c r="C2366" s="1448">
        <v>1</v>
      </c>
      <c r="D2366" s="1448" t="s">
        <v>194</v>
      </c>
      <c r="E2366" s="30">
        <v>56287771</v>
      </c>
      <c r="F2366" s="31" t="s">
        <v>195</v>
      </c>
      <c r="G2366" s="1448" t="s">
        <v>195</v>
      </c>
      <c r="H2366" s="30">
        <v>30209133</v>
      </c>
      <c r="I2366" s="66">
        <v>5900</v>
      </c>
      <c r="J2366" s="64">
        <v>0.13</v>
      </c>
      <c r="K2366" s="1448">
        <v>5</v>
      </c>
      <c r="L2366" s="1450">
        <v>29500</v>
      </c>
      <c r="M2366" s="1450" t="s">
        <v>196</v>
      </c>
      <c r="N2366" s="1445">
        <v>20250213272</v>
      </c>
    </row>
    <row r="2367" spans="2:14" ht="16.5" customHeight="1">
      <c r="B2367" s="1448"/>
      <c r="C2367" s="1448"/>
      <c r="D2367" s="1448"/>
      <c r="E2367" s="30">
        <v>67604739</v>
      </c>
      <c r="F2367" s="31" t="s">
        <v>197</v>
      </c>
      <c r="G2367" s="1448"/>
      <c r="H2367" s="30">
        <v>30209135</v>
      </c>
      <c r="I2367" s="66">
        <v>8900</v>
      </c>
      <c r="J2367" s="64">
        <v>0.13</v>
      </c>
      <c r="K2367" s="1448"/>
      <c r="L2367" s="1450"/>
      <c r="M2367" s="1450"/>
      <c r="N2367" s="1446"/>
    </row>
    <row r="2368" spans="2:14" ht="16.5" customHeight="1">
      <c r="B2368" s="1448"/>
      <c r="C2368" s="1448"/>
      <c r="D2368" s="1448"/>
      <c r="E2368" s="30">
        <v>71507012</v>
      </c>
      <c r="F2368" s="31" t="s">
        <v>198</v>
      </c>
      <c r="G2368" s="1448"/>
      <c r="H2368" s="30">
        <v>30209136</v>
      </c>
      <c r="I2368" s="66">
        <v>8900</v>
      </c>
      <c r="J2368" s="64">
        <v>0.13</v>
      </c>
      <c r="K2368" s="1448"/>
      <c r="L2368" s="1450"/>
      <c r="M2368" s="1450"/>
      <c r="N2368" s="1446"/>
    </row>
    <row r="2369" spans="2:15" ht="16.5" customHeight="1">
      <c r="B2369" s="1448"/>
      <c r="C2369" s="1448"/>
      <c r="D2369" s="1448"/>
      <c r="E2369" s="30">
        <v>67857158</v>
      </c>
      <c r="F2369" s="31" t="s">
        <v>199</v>
      </c>
      <c r="G2369" s="1448"/>
      <c r="H2369" s="30">
        <v>30202077</v>
      </c>
      <c r="I2369" s="66">
        <v>9900</v>
      </c>
      <c r="J2369" s="64">
        <v>0.13</v>
      </c>
      <c r="K2369" s="1448"/>
      <c r="L2369" s="1450"/>
      <c r="M2369" s="1450"/>
      <c r="N2369" s="1446"/>
    </row>
    <row r="2370" spans="2:15" ht="16.5" customHeight="1">
      <c r="B2370" s="1448"/>
      <c r="C2370" s="1448"/>
      <c r="D2370" s="1448"/>
      <c r="E2370" s="30">
        <v>66023216</v>
      </c>
      <c r="F2370" s="31" t="s">
        <v>200</v>
      </c>
      <c r="G2370" s="1448"/>
      <c r="H2370" s="30">
        <v>30202078</v>
      </c>
      <c r="I2370" s="66">
        <v>9900</v>
      </c>
      <c r="J2370" s="64">
        <v>0.13</v>
      </c>
      <c r="K2370" s="1448"/>
      <c r="L2370" s="1450"/>
      <c r="M2370" s="1450"/>
      <c r="N2370" s="1446"/>
    </row>
    <row r="2371" spans="2:15" ht="16.5" customHeight="1">
      <c r="B2371" s="1448"/>
      <c r="C2371" s="1448"/>
      <c r="D2371" s="1448"/>
      <c r="E2371" s="30">
        <v>66023198</v>
      </c>
      <c r="F2371" s="31" t="s">
        <v>201</v>
      </c>
      <c r="G2371" s="1448"/>
      <c r="H2371" s="30">
        <v>30202079</v>
      </c>
      <c r="I2371" s="66">
        <v>9900</v>
      </c>
      <c r="J2371" s="64">
        <v>0.13</v>
      </c>
      <c r="K2371" s="1448"/>
      <c r="L2371" s="1450"/>
      <c r="M2371" s="1450"/>
      <c r="N2371" s="1446"/>
    </row>
    <row r="2372" spans="2:15" ht="16.5" customHeight="1">
      <c r="B2372" s="1448"/>
      <c r="C2372" s="1448"/>
      <c r="D2372" s="1448"/>
      <c r="E2372" s="30">
        <v>66023209</v>
      </c>
      <c r="F2372" s="31" t="s">
        <v>202</v>
      </c>
      <c r="G2372" s="1448"/>
      <c r="H2372" s="30">
        <v>30202081</v>
      </c>
      <c r="I2372" s="66">
        <v>9900</v>
      </c>
      <c r="J2372" s="64">
        <v>0.13</v>
      </c>
      <c r="K2372" s="1448"/>
      <c r="L2372" s="1450"/>
      <c r="M2372" s="1450"/>
      <c r="N2372" s="1446"/>
    </row>
    <row r="2373" spans="2:15" ht="16.5" customHeight="1">
      <c r="B2373" s="1448"/>
      <c r="C2373" s="1448"/>
      <c r="D2373" s="1448"/>
      <c r="E2373" s="30">
        <v>66023203</v>
      </c>
      <c r="F2373" s="31" t="s">
        <v>203</v>
      </c>
      <c r="G2373" s="1448"/>
      <c r="H2373" s="30">
        <v>30205139</v>
      </c>
      <c r="I2373" s="66">
        <v>9900</v>
      </c>
      <c r="J2373" s="64">
        <v>0.13</v>
      </c>
      <c r="K2373" s="1448"/>
      <c r="L2373" s="1450"/>
      <c r="M2373" s="1450"/>
      <c r="N2373" s="1446"/>
    </row>
    <row r="2374" spans="2:15" ht="16.5" customHeight="1">
      <c r="B2374" s="1448"/>
      <c r="C2374" s="1448"/>
      <c r="D2374" s="1448"/>
      <c r="E2374" s="30">
        <v>66023235</v>
      </c>
      <c r="F2374" s="31" t="s">
        <v>2556</v>
      </c>
      <c r="G2374" s="1448"/>
      <c r="H2374" s="30">
        <v>30220124</v>
      </c>
      <c r="I2374" s="66">
        <v>9900</v>
      </c>
      <c r="J2374" s="64">
        <v>0.13</v>
      </c>
      <c r="K2374" s="1448"/>
      <c r="L2374" s="1450"/>
      <c r="M2374" s="1450"/>
      <c r="N2374" s="1446"/>
    </row>
    <row r="2375" spans="2:15" ht="16.5" customHeight="1">
      <c r="B2375" s="1448"/>
      <c r="C2375" s="1448"/>
      <c r="D2375" s="1448"/>
      <c r="E2375" s="30">
        <v>72888739</v>
      </c>
      <c r="F2375" s="31" t="s">
        <v>206</v>
      </c>
      <c r="G2375" s="1448"/>
      <c r="H2375" s="30">
        <v>30214190</v>
      </c>
      <c r="I2375" s="66">
        <v>10900</v>
      </c>
      <c r="J2375" s="64">
        <v>0.13</v>
      </c>
      <c r="K2375" s="1448"/>
      <c r="L2375" s="1450"/>
      <c r="M2375" s="1450"/>
      <c r="N2375" s="1447"/>
    </row>
    <row r="2376" spans="2:15" ht="16.5" customHeight="1">
      <c r="B2376" s="1448"/>
      <c r="C2376" s="1448">
        <v>2</v>
      </c>
      <c r="D2376" s="1448" t="s">
        <v>189</v>
      </c>
      <c r="E2376" s="30">
        <v>30145069</v>
      </c>
      <c r="F2376" s="30" t="s">
        <v>2557</v>
      </c>
      <c r="G2376" s="1448" t="s">
        <v>2558</v>
      </c>
      <c r="H2376" s="30">
        <v>30211616</v>
      </c>
      <c r="I2376" s="66">
        <v>18900</v>
      </c>
      <c r="J2376" s="64">
        <v>0.13</v>
      </c>
      <c r="K2376" s="1448">
        <v>5</v>
      </c>
      <c r="L2376" s="1450">
        <v>94500</v>
      </c>
      <c r="M2376" s="1450" t="s">
        <v>2559</v>
      </c>
      <c r="N2376" s="1445">
        <v>20250213273</v>
      </c>
      <c r="O2376" s="4" t="s">
        <v>19</v>
      </c>
    </row>
    <row r="2377" spans="2:15" ht="16.5" customHeight="1">
      <c r="B2377" s="1448"/>
      <c r="C2377" s="1448"/>
      <c r="D2377" s="1448"/>
      <c r="E2377" s="30">
        <v>30211093</v>
      </c>
      <c r="F2377" s="30" t="s">
        <v>2560</v>
      </c>
      <c r="G2377" s="1448"/>
      <c r="H2377" s="30">
        <v>30211619</v>
      </c>
      <c r="I2377" s="66">
        <v>32900</v>
      </c>
      <c r="J2377" s="64">
        <v>0.13</v>
      </c>
      <c r="K2377" s="1448"/>
      <c r="L2377" s="1450"/>
      <c r="M2377" s="1450"/>
      <c r="N2377" s="1447"/>
    </row>
    <row r="2378" spans="2:15" ht="16.5" customHeight="1">
      <c r="B2378" s="1448"/>
      <c r="C2378" s="29">
        <v>3</v>
      </c>
      <c r="D2378" s="29" t="s">
        <v>186</v>
      </c>
      <c r="E2378" s="30">
        <v>30218723</v>
      </c>
      <c r="F2378" s="31" t="s">
        <v>2561</v>
      </c>
      <c r="G2378" s="29" t="s">
        <v>2561</v>
      </c>
      <c r="H2378" s="30">
        <v>30220125</v>
      </c>
      <c r="I2378" s="66">
        <v>27900</v>
      </c>
      <c r="J2378" s="64">
        <v>0.15</v>
      </c>
      <c r="K2378" s="29">
        <v>5</v>
      </c>
      <c r="L2378" s="67">
        <v>139500</v>
      </c>
      <c r="M2378" s="67" t="s">
        <v>2562</v>
      </c>
      <c r="N2378" s="34">
        <v>20250213274</v>
      </c>
    </row>
    <row r="2379" spans="2:15" ht="16.5" customHeight="1">
      <c r="B2379" s="1448"/>
      <c r="C2379" s="29">
        <v>4</v>
      </c>
      <c r="D2379" s="29" t="s">
        <v>186</v>
      </c>
      <c r="E2379" s="30">
        <v>30202895</v>
      </c>
      <c r="F2379" s="31" t="s">
        <v>2563</v>
      </c>
      <c r="G2379" s="30" t="s">
        <v>2563</v>
      </c>
      <c r="H2379" s="30">
        <v>30220126</v>
      </c>
      <c r="I2379" s="66">
        <v>29900</v>
      </c>
      <c r="J2379" s="64">
        <v>0.15</v>
      </c>
      <c r="K2379" s="29">
        <v>5</v>
      </c>
      <c r="L2379" s="67">
        <v>139500</v>
      </c>
      <c r="M2379" s="67" t="s">
        <v>2564</v>
      </c>
      <c r="N2379" s="34">
        <v>20250213275</v>
      </c>
      <c r="O2379" s="4" t="s">
        <v>1954</v>
      </c>
    </row>
    <row r="2380" spans="2:15" ht="16.5" customHeight="1">
      <c r="B2380" s="1448"/>
      <c r="C2380" s="29">
        <v>5</v>
      </c>
      <c r="D2380" s="29" t="s">
        <v>2565</v>
      </c>
      <c r="E2380" s="30">
        <v>76661994</v>
      </c>
      <c r="F2380" s="30" t="s">
        <v>2566</v>
      </c>
      <c r="G2380" s="29" t="s">
        <v>2566</v>
      </c>
      <c r="H2380" s="30">
        <v>30220128</v>
      </c>
      <c r="I2380" s="66">
        <v>29900</v>
      </c>
      <c r="J2380" s="64">
        <v>0.15</v>
      </c>
      <c r="K2380" s="29">
        <v>5</v>
      </c>
      <c r="L2380" s="67">
        <v>149500</v>
      </c>
      <c r="M2380" s="67" t="s">
        <v>2567</v>
      </c>
      <c r="N2380" s="34">
        <v>20250213276</v>
      </c>
    </row>
    <row r="2381" spans="2:15" ht="16.5" customHeight="1">
      <c r="B2381" s="1448"/>
      <c r="C2381" s="1448">
        <v>6</v>
      </c>
      <c r="D2381" s="1448" t="s">
        <v>212</v>
      </c>
      <c r="E2381" s="30">
        <v>30183426</v>
      </c>
      <c r="F2381" s="31" t="s">
        <v>213</v>
      </c>
      <c r="G2381" s="1448" t="s">
        <v>2568</v>
      </c>
      <c r="H2381" s="30">
        <v>30183426</v>
      </c>
      <c r="I2381" s="66">
        <v>8500</v>
      </c>
      <c r="J2381" s="64">
        <v>0.17</v>
      </c>
      <c r="K2381" s="1448">
        <v>5</v>
      </c>
      <c r="L2381" s="1450">
        <v>42500</v>
      </c>
      <c r="M2381" s="1450" t="s">
        <v>2569</v>
      </c>
      <c r="N2381" s="1445">
        <v>20250213277</v>
      </c>
    </row>
    <row r="2382" spans="2:15" ht="16.5" customHeight="1">
      <c r="B2382" s="1448"/>
      <c r="C2382" s="1448"/>
      <c r="D2382" s="1448"/>
      <c r="E2382" s="30">
        <v>30183427</v>
      </c>
      <c r="F2382" s="31" t="s">
        <v>215</v>
      </c>
      <c r="G2382" s="1448"/>
      <c r="H2382" s="30">
        <v>30183427</v>
      </c>
      <c r="I2382" s="66">
        <v>14900</v>
      </c>
      <c r="J2382" s="64">
        <v>0.17</v>
      </c>
      <c r="K2382" s="1448"/>
      <c r="L2382" s="1450"/>
      <c r="M2382" s="1450"/>
      <c r="N2382" s="1446"/>
    </row>
    <row r="2383" spans="2:15" ht="16.5" customHeight="1">
      <c r="B2383" s="1448"/>
      <c r="C2383" s="1448"/>
      <c r="D2383" s="1448"/>
      <c r="E2383" s="30">
        <v>30214207</v>
      </c>
      <c r="F2383" s="31" t="s">
        <v>216</v>
      </c>
      <c r="G2383" s="1448"/>
      <c r="H2383" s="30">
        <v>30214207</v>
      </c>
      <c r="I2383" s="66">
        <v>27900</v>
      </c>
      <c r="J2383" s="64">
        <v>0.17</v>
      </c>
      <c r="K2383" s="1448"/>
      <c r="L2383" s="1450"/>
      <c r="M2383" s="1450"/>
      <c r="N2383" s="1446"/>
    </row>
    <row r="2384" spans="2:15" ht="16.5" customHeight="1">
      <c r="B2384" s="1448"/>
      <c r="C2384" s="1448"/>
      <c r="D2384" s="1448"/>
      <c r="E2384" s="30">
        <v>30186424</v>
      </c>
      <c r="F2384" s="31" t="s">
        <v>217</v>
      </c>
      <c r="G2384" s="1448"/>
      <c r="H2384" s="30">
        <v>30186424</v>
      </c>
      <c r="I2384" s="66">
        <v>8500</v>
      </c>
      <c r="J2384" s="64">
        <v>0.17</v>
      </c>
      <c r="K2384" s="1448"/>
      <c r="L2384" s="1450"/>
      <c r="M2384" s="1450"/>
      <c r="N2384" s="1446"/>
    </row>
    <row r="2385" spans="2:15" ht="16.5" customHeight="1">
      <c r="B2385" s="1448"/>
      <c r="C2385" s="1448"/>
      <c r="D2385" s="1448"/>
      <c r="E2385" s="30">
        <v>30186427</v>
      </c>
      <c r="F2385" s="31" t="s">
        <v>218</v>
      </c>
      <c r="G2385" s="1448"/>
      <c r="H2385" s="30">
        <v>30186427</v>
      </c>
      <c r="I2385" s="66">
        <v>14900</v>
      </c>
      <c r="J2385" s="64">
        <v>0.17</v>
      </c>
      <c r="K2385" s="1448"/>
      <c r="L2385" s="1450"/>
      <c r="M2385" s="1450"/>
      <c r="N2385" s="1446"/>
    </row>
    <row r="2386" spans="2:15" ht="16.5" customHeight="1">
      <c r="B2386" s="1448"/>
      <c r="C2386" s="1448"/>
      <c r="D2386" s="1448"/>
      <c r="E2386" s="30">
        <v>30214210</v>
      </c>
      <c r="F2386" s="31" t="s">
        <v>219</v>
      </c>
      <c r="G2386" s="1448"/>
      <c r="H2386" s="30">
        <v>30214210</v>
      </c>
      <c r="I2386" s="66">
        <v>27900</v>
      </c>
      <c r="J2386" s="64">
        <v>0.17</v>
      </c>
      <c r="K2386" s="1448"/>
      <c r="L2386" s="1450"/>
      <c r="M2386" s="1450"/>
      <c r="N2386" s="1446"/>
    </row>
    <row r="2387" spans="2:15" ht="16.5" customHeight="1">
      <c r="B2387" s="1448"/>
      <c r="C2387" s="1448"/>
      <c r="D2387" s="1448"/>
      <c r="E2387" s="30">
        <v>30186425</v>
      </c>
      <c r="F2387" s="31" t="s">
        <v>220</v>
      </c>
      <c r="G2387" s="1448"/>
      <c r="H2387" s="30">
        <v>30186425</v>
      </c>
      <c r="I2387" s="66">
        <v>14900</v>
      </c>
      <c r="J2387" s="64">
        <v>0.17</v>
      </c>
      <c r="K2387" s="1448"/>
      <c r="L2387" s="1450"/>
      <c r="M2387" s="1450"/>
      <c r="N2387" s="1447"/>
    </row>
    <row r="2388" spans="2:15" ht="16.5" customHeight="1">
      <c r="B2388" s="1448" t="s">
        <v>221</v>
      </c>
      <c r="C2388" s="1448">
        <v>1</v>
      </c>
      <c r="D2388" s="1448" t="s">
        <v>239</v>
      </c>
      <c r="E2388" s="30">
        <v>54986273</v>
      </c>
      <c r="F2388" s="31" t="s">
        <v>1625</v>
      </c>
      <c r="G2388" s="1448" t="s">
        <v>1625</v>
      </c>
      <c r="H2388" s="30">
        <v>30154247</v>
      </c>
      <c r="I2388" s="66">
        <v>26900</v>
      </c>
      <c r="J2388" s="64">
        <v>0.15</v>
      </c>
      <c r="K2388" s="1448">
        <v>5</v>
      </c>
      <c r="L2388" s="1450">
        <v>134500</v>
      </c>
      <c r="M2388" s="1450" t="s">
        <v>2570</v>
      </c>
      <c r="N2388" s="1445">
        <v>20250213278</v>
      </c>
      <c r="O2388" s="4" t="s">
        <v>2571</v>
      </c>
    </row>
    <row r="2389" spans="2:15" ht="16.5" customHeight="1">
      <c r="B2389" s="1448"/>
      <c r="C2389" s="1448"/>
      <c r="D2389" s="1448"/>
      <c r="E2389" s="30">
        <v>54986388</v>
      </c>
      <c r="F2389" s="31" t="s">
        <v>1626</v>
      </c>
      <c r="G2389" s="1448"/>
      <c r="H2389" s="30">
        <v>30154251</v>
      </c>
      <c r="I2389" s="66">
        <v>30900</v>
      </c>
      <c r="J2389" s="64">
        <v>0.15</v>
      </c>
      <c r="K2389" s="1448"/>
      <c r="L2389" s="1450"/>
      <c r="M2389" s="1450" t="s">
        <v>252</v>
      </c>
      <c r="N2389" s="1446"/>
    </row>
    <row r="2390" spans="2:15" ht="16.5" customHeight="1">
      <c r="B2390" s="1448"/>
      <c r="C2390" s="1448"/>
      <c r="D2390" s="1448"/>
      <c r="E2390" s="30">
        <v>59125495</v>
      </c>
      <c r="F2390" s="30" t="s">
        <v>2572</v>
      </c>
      <c r="G2390" s="1448"/>
      <c r="H2390" s="30">
        <v>30173736</v>
      </c>
      <c r="I2390" s="66">
        <v>36900</v>
      </c>
      <c r="J2390" s="64">
        <v>0.15</v>
      </c>
      <c r="K2390" s="1448"/>
      <c r="L2390" s="1450"/>
      <c r="M2390" s="1450" t="s">
        <v>252</v>
      </c>
      <c r="N2390" s="1447"/>
    </row>
    <row r="2391" spans="2:15" ht="16.5" customHeight="1">
      <c r="B2391" s="1448"/>
      <c r="C2391" s="1448">
        <v>2</v>
      </c>
      <c r="D2391" s="1448" t="s">
        <v>239</v>
      </c>
      <c r="E2391" s="30">
        <v>72339344</v>
      </c>
      <c r="F2391" s="31" t="s">
        <v>2573</v>
      </c>
      <c r="G2391" s="1448" t="s">
        <v>2573</v>
      </c>
      <c r="H2391" s="30">
        <v>30220136</v>
      </c>
      <c r="I2391" s="66">
        <v>19900</v>
      </c>
      <c r="J2391" s="64">
        <v>0.15</v>
      </c>
      <c r="K2391" s="1448">
        <v>5</v>
      </c>
      <c r="L2391" s="1450">
        <v>99500</v>
      </c>
      <c r="M2391" s="1450" t="s">
        <v>2574</v>
      </c>
      <c r="N2391" s="1445">
        <v>20250213279</v>
      </c>
    </row>
    <row r="2392" spans="2:15" ht="16.5" customHeight="1">
      <c r="B2392" s="1448"/>
      <c r="C2392" s="1448"/>
      <c r="D2392" s="1448"/>
      <c r="E2392" s="30">
        <v>55021969</v>
      </c>
      <c r="F2392" s="31" t="s">
        <v>1933</v>
      </c>
      <c r="G2392" s="1448"/>
      <c r="H2392" s="30">
        <v>30158611</v>
      </c>
      <c r="I2392" s="66">
        <v>19900</v>
      </c>
      <c r="J2392" s="64">
        <v>0.15</v>
      </c>
      <c r="K2392" s="1448"/>
      <c r="L2392" s="1450"/>
      <c r="M2392" s="1450" t="s">
        <v>252</v>
      </c>
      <c r="N2392" s="1446"/>
    </row>
    <row r="2393" spans="2:15" ht="16.5" customHeight="1">
      <c r="B2393" s="1448"/>
      <c r="C2393" s="1448"/>
      <c r="D2393" s="1448"/>
      <c r="E2393" s="30">
        <v>68506079</v>
      </c>
      <c r="F2393" s="31" t="s">
        <v>1177</v>
      </c>
      <c r="G2393" s="1448"/>
      <c r="H2393" s="30">
        <v>30215765</v>
      </c>
      <c r="I2393" s="66">
        <v>21900</v>
      </c>
      <c r="J2393" s="64">
        <v>0.15</v>
      </c>
      <c r="K2393" s="1448"/>
      <c r="L2393" s="1450"/>
      <c r="M2393" s="1450" t="s">
        <v>252</v>
      </c>
      <c r="N2393" s="1447"/>
    </row>
    <row r="2394" spans="2:15" ht="16.5" customHeight="1">
      <c r="B2394" s="1448"/>
      <c r="C2394" s="1448">
        <v>3</v>
      </c>
      <c r="D2394" s="1448" t="s">
        <v>222</v>
      </c>
      <c r="E2394" s="30">
        <v>30209151</v>
      </c>
      <c r="F2394" s="31" t="s">
        <v>1611</v>
      </c>
      <c r="G2394" s="1448" t="s">
        <v>1612</v>
      </c>
      <c r="H2394" s="30">
        <v>30216999</v>
      </c>
      <c r="I2394" s="66">
        <v>9900</v>
      </c>
      <c r="J2394" s="64">
        <v>0.15</v>
      </c>
      <c r="K2394" s="1448">
        <v>5</v>
      </c>
      <c r="L2394" s="1450">
        <v>49500</v>
      </c>
      <c r="M2394" s="1450" t="s">
        <v>2575</v>
      </c>
      <c r="N2394" s="1445">
        <v>20250213280</v>
      </c>
      <c r="O2394" s="4" t="s">
        <v>1721</v>
      </c>
    </row>
    <row r="2395" spans="2:15" ht="16.5" customHeight="1">
      <c r="B2395" s="1448"/>
      <c r="C2395" s="1448"/>
      <c r="D2395" s="1448"/>
      <c r="E2395" s="30">
        <v>30209156</v>
      </c>
      <c r="F2395" s="31" t="s">
        <v>1615</v>
      </c>
      <c r="G2395" s="1448"/>
      <c r="H2395" s="30">
        <v>30217000</v>
      </c>
      <c r="I2395" s="66">
        <v>24900</v>
      </c>
      <c r="J2395" s="64">
        <v>0.15</v>
      </c>
      <c r="K2395" s="1448"/>
      <c r="L2395" s="1450"/>
      <c r="M2395" s="1450"/>
      <c r="N2395" s="1446"/>
      <c r="O2395" s="4" t="s">
        <v>2576</v>
      </c>
    </row>
    <row r="2396" spans="2:15" ht="16.5" customHeight="1">
      <c r="B2396" s="1448"/>
      <c r="C2396" s="1448"/>
      <c r="D2396" s="1448"/>
      <c r="E2396" s="30">
        <v>30209157</v>
      </c>
      <c r="F2396" s="31" t="s">
        <v>1617</v>
      </c>
      <c r="G2396" s="1448"/>
      <c r="H2396" s="30">
        <v>30217001</v>
      </c>
      <c r="I2396" s="66">
        <v>41900</v>
      </c>
      <c r="J2396" s="64">
        <v>0.15</v>
      </c>
      <c r="K2396" s="1448"/>
      <c r="L2396" s="1450"/>
      <c r="M2396" s="1450"/>
      <c r="N2396" s="1447"/>
    </row>
    <row r="2397" spans="2:15" ht="16.5" customHeight="1">
      <c r="B2397" s="1448"/>
      <c r="C2397" s="1448">
        <v>4</v>
      </c>
      <c r="D2397" s="1448" t="s">
        <v>226</v>
      </c>
      <c r="E2397" s="30">
        <v>73210053</v>
      </c>
      <c r="F2397" s="31" t="s">
        <v>227</v>
      </c>
      <c r="G2397" s="1448" t="s">
        <v>2577</v>
      </c>
      <c r="H2397" s="30">
        <v>30214214</v>
      </c>
      <c r="I2397" s="66">
        <v>16900</v>
      </c>
      <c r="J2397" s="64">
        <v>0.15</v>
      </c>
      <c r="K2397" s="1448">
        <v>5</v>
      </c>
      <c r="L2397" s="1450">
        <v>84500</v>
      </c>
      <c r="M2397" s="1450" t="s">
        <v>228</v>
      </c>
      <c r="N2397" s="1445">
        <v>20250213281</v>
      </c>
    </row>
    <row r="2398" spans="2:15" ht="16.5" customHeight="1">
      <c r="B2398" s="1448"/>
      <c r="C2398" s="1448"/>
      <c r="D2398" s="1448"/>
      <c r="E2398" s="30">
        <v>73210051</v>
      </c>
      <c r="F2398" s="31" t="s">
        <v>2578</v>
      </c>
      <c r="G2398" s="1448"/>
      <c r="H2398" s="30">
        <v>30220137</v>
      </c>
      <c r="I2398" s="66">
        <v>29900</v>
      </c>
      <c r="J2398" s="64">
        <v>0.15</v>
      </c>
      <c r="K2398" s="1448"/>
      <c r="L2398" s="1450"/>
      <c r="M2398" s="1450"/>
      <c r="N2398" s="1446"/>
    </row>
    <row r="2399" spans="2:15" ht="16.5" customHeight="1">
      <c r="B2399" s="1448"/>
      <c r="C2399" s="1448"/>
      <c r="D2399" s="1448"/>
      <c r="E2399" s="30">
        <v>73210050</v>
      </c>
      <c r="F2399" s="31" t="s">
        <v>230</v>
      </c>
      <c r="G2399" s="1448"/>
      <c r="H2399" s="30">
        <v>30214230</v>
      </c>
      <c r="I2399" s="66">
        <v>39900</v>
      </c>
      <c r="J2399" s="64">
        <v>0.15</v>
      </c>
      <c r="K2399" s="1448"/>
      <c r="L2399" s="1450"/>
      <c r="M2399" s="1450"/>
      <c r="N2399" s="1447"/>
    </row>
    <row r="2400" spans="2:15" ht="16.5" customHeight="1">
      <c r="B2400" s="1448"/>
      <c r="C2400" s="1448">
        <v>5</v>
      </c>
      <c r="D2400" s="1448" t="s">
        <v>234</v>
      </c>
      <c r="E2400" s="30">
        <v>30176141</v>
      </c>
      <c r="F2400" s="31" t="s">
        <v>235</v>
      </c>
      <c r="G2400" s="1448" t="s">
        <v>2579</v>
      </c>
      <c r="H2400" s="30">
        <v>30176141</v>
      </c>
      <c r="I2400" s="66">
        <v>8900</v>
      </c>
      <c r="J2400" s="64">
        <v>0.17</v>
      </c>
      <c r="K2400" s="1448">
        <v>5</v>
      </c>
      <c r="L2400" s="1450">
        <v>44500</v>
      </c>
      <c r="M2400" s="1450" t="s">
        <v>236</v>
      </c>
      <c r="N2400" s="1445">
        <v>20250213282</v>
      </c>
    </row>
    <row r="2401" spans="2:14" ht="16.5" customHeight="1">
      <c r="B2401" s="1448"/>
      <c r="C2401" s="1448"/>
      <c r="D2401" s="1448"/>
      <c r="E2401" s="30">
        <v>30154257</v>
      </c>
      <c r="F2401" s="31" t="s">
        <v>237</v>
      </c>
      <c r="G2401" s="1448"/>
      <c r="H2401" s="30">
        <v>30154257</v>
      </c>
      <c r="I2401" s="66">
        <v>19900</v>
      </c>
      <c r="J2401" s="64">
        <v>0.17</v>
      </c>
      <c r="K2401" s="1448"/>
      <c r="L2401" s="1450"/>
      <c r="M2401" s="1450"/>
      <c r="N2401" s="1446"/>
    </row>
    <row r="2402" spans="2:14" ht="16.5" customHeight="1">
      <c r="B2402" s="1448"/>
      <c r="C2402" s="1448"/>
      <c r="D2402" s="1448"/>
      <c r="E2402" s="30">
        <v>55188757</v>
      </c>
      <c r="F2402" s="31" t="s">
        <v>238</v>
      </c>
      <c r="G2402" s="1448"/>
      <c r="H2402" s="30">
        <v>30210116</v>
      </c>
      <c r="I2402" s="66">
        <v>36900</v>
      </c>
      <c r="J2402" s="64">
        <v>0.17</v>
      </c>
      <c r="K2402" s="1448"/>
      <c r="L2402" s="1450"/>
      <c r="M2402" s="1450"/>
      <c r="N2402" s="1447"/>
    </row>
    <row r="2403" spans="2:14" ht="16.5" customHeight="1">
      <c r="B2403" s="1448"/>
      <c r="C2403" s="29">
        <v>6</v>
      </c>
      <c r="D2403" s="29" t="s">
        <v>248</v>
      </c>
      <c r="E2403" s="30">
        <v>30205938</v>
      </c>
      <c r="F2403" s="31" t="s">
        <v>765</v>
      </c>
      <c r="G2403" s="29" t="s">
        <v>765</v>
      </c>
      <c r="H2403" s="30">
        <v>30215770</v>
      </c>
      <c r="I2403" s="66">
        <v>3900</v>
      </c>
      <c r="J2403" s="64">
        <v>0.15</v>
      </c>
      <c r="K2403" s="29">
        <v>5</v>
      </c>
      <c r="L2403" s="67">
        <v>19500</v>
      </c>
      <c r="M2403" s="67" t="s">
        <v>766</v>
      </c>
      <c r="N2403" s="34">
        <v>20250213283</v>
      </c>
    </row>
    <row r="2404" spans="2:14" ht="16.5" customHeight="1">
      <c r="B2404" s="1448"/>
      <c r="C2404" s="1448">
        <v>7</v>
      </c>
      <c r="D2404" s="1448" t="s">
        <v>248</v>
      </c>
      <c r="E2404" s="30">
        <v>30189618</v>
      </c>
      <c r="F2404" s="31" t="s">
        <v>1935</v>
      </c>
      <c r="G2404" s="1448" t="s">
        <v>1935</v>
      </c>
      <c r="H2404" s="30">
        <v>30205934</v>
      </c>
      <c r="I2404" s="66">
        <v>22900</v>
      </c>
      <c r="J2404" s="64">
        <v>0.15</v>
      </c>
      <c r="K2404" s="1448">
        <v>5</v>
      </c>
      <c r="L2404" s="1450">
        <v>174500</v>
      </c>
      <c r="M2404" s="1450" t="s">
        <v>1936</v>
      </c>
      <c r="N2404" s="1445">
        <v>20250213284</v>
      </c>
    </row>
    <row r="2405" spans="2:14" ht="16.5" customHeight="1">
      <c r="B2405" s="1448"/>
      <c r="C2405" s="1448"/>
      <c r="D2405" s="1448"/>
      <c r="E2405" s="30">
        <v>30208898</v>
      </c>
      <c r="F2405" s="31" t="s">
        <v>1937</v>
      </c>
      <c r="G2405" s="1448"/>
      <c r="H2405" s="30">
        <v>30210118</v>
      </c>
      <c r="I2405" s="66">
        <v>34900</v>
      </c>
      <c r="J2405" s="64">
        <v>0.15</v>
      </c>
      <c r="K2405" s="1448"/>
      <c r="L2405" s="1450"/>
      <c r="M2405" s="1450" t="s">
        <v>252</v>
      </c>
      <c r="N2405" s="1446"/>
    </row>
    <row r="2406" spans="2:14" ht="16.5" customHeight="1">
      <c r="B2406" s="1448"/>
      <c r="C2406" s="1448"/>
      <c r="D2406" s="1448"/>
      <c r="E2406" s="30">
        <v>30206298</v>
      </c>
      <c r="F2406" s="31" t="s">
        <v>1938</v>
      </c>
      <c r="G2406" s="1448"/>
      <c r="H2406" s="30">
        <v>30207797</v>
      </c>
      <c r="I2406" s="66">
        <v>28900</v>
      </c>
      <c r="J2406" s="64">
        <v>0.15</v>
      </c>
      <c r="K2406" s="1448"/>
      <c r="L2406" s="1450"/>
      <c r="M2406" s="1450" t="s">
        <v>252</v>
      </c>
      <c r="N2406" s="1446"/>
    </row>
    <row r="2407" spans="2:14" ht="16.5" customHeight="1">
      <c r="B2407" s="1448"/>
      <c r="C2407" s="1448"/>
      <c r="D2407" s="1448"/>
      <c r="E2407" s="30">
        <v>30213231</v>
      </c>
      <c r="F2407" s="31" t="s">
        <v>1939</v>
      </c>
      <c r="G2407" s="1448"/>
      <c r="H2407" s="30">
        <v>30217047</v>
      </c>
      <c r="I2407" s="66">
        <v>28900</v>
      </c>
      <c r="J2407" s="64">
        <v>0.15</v>
      </c>
      <c r="K2407" s="1448"/>
      <c r="L2407" s="1450"/>
      <c r="M2407" s="1450" t="s">
        <v>252</v>
      </c>
      <c r="N2407" s="1446"/>
    </row>
    <row r="2408" spans="2:14" ht="16.5" customHeight="1">
      <c r="B2408" s="1448"/>
      <c r="C2408" s="1448"/>
      <c r="D2408" s="1448"/>
      <c r="E2408" s="30">
        <v>30203592</v>
      </c>
      <c r="F2408" s="31" t="s">
        <v>1940</v>
      </c>
      <c r="G2408" s="1448"/>
      <c r="H2408" s="30">
        <v>30218167</v>
      </c>
      <c r="I2408" s="66">
        <v>26900</v>
      </c>
      <c r="J2408" s="64">
        <v>0.15</v>
      </c>
      <c r="K2408" s="1448"/>
      <c r="L2408" s="1450"/>
      <c r="M2408" s="1450" t="s">
        <v>252</v>
      </c>
      <c r="N2408" s="1446"/>
    </row>
    <row r="2409" spans="2:14" ht="16.5" customHeight="1">
      <c r="B2409" s="1448"/>
      <c r="C2409" s="1448"/>
      <c r="D2409" s="1448"/>
      <c r="E2409" s="30">
        <v>30199228</v>
      </c>
      <c r="F2409" s="31" t="s">
        <v>1941</v>
      </c>
      <c r="G2409" s="1448"/>
      <c r="H2409" s="30">
        <v>30218168</v>
      </c>
      <c r="I2409" s="66">
        <v>35900</v>
      </c>
      <c r="J2409" s="64">
        <v>0.15</v>
      </c>
      <c r="K2409" s="1448"/>
      <c r="L2409" s="1450"/>
      <c r="M2409" s="1450" t="s">
        <v>252</v>
      </c>
      <c r="N2409" s="1446"/>
    </row>
    <row r="2410" spans="2:14" ht="16.5" customHeight="1">
      <c r="B2410" s="1448"/>
      <c r="C2410" s="1448"/>
      <c r="D2410" s="1448"/>
      <c r="E2410" s="30">
        <v>30174585</v>
      </c>
      <c r="F2410" s="31" t="s">
        <v>1942</v>
      </c>
      <c r="G2410" s="1448"/>
      <c r="H2410" s="30">
        <v>30218169</v>
      </c>
      <c r="I2410" s="66">
        <v>32900</v>
      </c>
      <c r="J2410" s="64">
        <v>0.15</v>
      </c>
      <c r="K2410" s="1448"/>
      <c r="L2410" s="1450"/>
      <c r="M2410" s="1450" t="s">
        <v>252</v>
      </c>
      <c r="N2410" s="1447"/>
    </row>
    <row r="2411" spans="2:14" ht="16.5" customHeight="1">
      <c r="B2411" s="1448"/>
      <c r="C2411" s="1448">
        <v>8</v>
      </c>
      <c r="D2411" s="1448" t="s">
        <v>257</v>
      </c>
      <c r="E2411" s="30">
        <v>30171699</v>
      </c>
      <c r="F2411" s="31" t="s">
        <v>258</v>
      </c>
      <c r="G2411" s="1448" t="s">
        <v>258</v>
      </c>
      <c r="H2411" s="30">
        <v>30172295</v>
      </c>
      <c r="I2411" s="66">
        <v>12900</v>
      </c>
      <c r="J2411" s="64">
        <v>0.15</v>
      </c>
      <c r="K2411" s="1448">
        <v>5</v>
      </c>
      <c r="L2411" s="1450">
        <v>64500</v>
      </c>
      <c r="M2411" s="1450" t="s">
        <v>1943</v>
      </c>
      <c r="N2411" s="1445">
        <v>20250213285</v>
      </c>
    </row>
    <row r="2412" spans="2:14" ht="16.5" customHeight="1">
      <c r="B2412" s="1448"/>
      <c r="C2412" s="1448"/>
      <c r="D2412" s="1448"/>
      <c r="E2412" s="30">
        <v>30171703</v>
      </c>
      <c r="F2412" s="31" t="s">
        <v>260</v>
      </c>
      <c r="G2412" s="1448"/>
      <c r="H2412" s="30">
        <v>30172296</v>
      </c>
      <c r="I2412" s="66">
        <v>12900</v>
      </c>
      <c r="J2412" s="64">
        <v>0.15</v>
      </c>
      <c r="K2412" s="1448"/>
      <c r="L2412" s="1450"/>
      <c r="M2412" s="1450"/>
      <c r="N2412" s="1446"/>
    </row>
    <row r="2413" spans="2:14" ht="16.5" customHeight="1">
      <c r="B2413" s="1448"/>
      <c r="C2413" s="1448"/>
      <c r="D2413" s="1448"/>
      <c r="E2413" s="30">
        <v>30171694</v>
      </c>
      <c r="F2413" s="31" t="s">
        <v>261</v>
      </c>
      <c r="G2413" s="1448"/>
      <c r="H2413" s="30">
        <v>30172289</v>
      </c>
      <c r="I2413" s="66">
        <v>13500</v>
      </c>
      <c r="J2413" s="64">
        <v>0.15</v>
      </c>
      <c r="K2413" s="1448"/>
      <c r="L2413" s="1450"/>
      <c r="M2413" s="1450"/>
      <c r="N2413" s="1446"/>
    </row>
    <row r="2414" spans="2:14" ht="16.5" customHeight="1">
      <c r="B2414" s="1448"/>
      <c r="C2414" s="1448"/>
      <c r="D2414" s="1448"/>
      <c r="E2414" s="30">
        <v>30171697</v>
      </c>
      <c r="F2414" s="31" t="s">
        <v>262</v>
      </c>
      <c r="G2414" s="1448"/>
      <c r="H2414" s="30">
        <v>30172290</v>
      </c>
      <c r="I2414" s="66">
        <v>16900</v>
      </c>
      <c r="J2414" s="64">
        <v>0.15</v>
      </c>
      <c r="K2414" s="1448"/>
      <c r="L2414" s="1450"/>
      <c r="M2414" s="1450"/>
      <c r="N2414" s="1446"/>
    </row>
    <row r="2415" spans="2:14" ht="16.5" customHeight="1">
      <c r="B2415" s="1448"/>
      <c r="C2415" s="1448"/>
      <c r="D2415" s="1448"/>
      <c r="E2415" s="30">
        <v>30175703</v>
      </c>
      <c r="F2415" s="31" t="s">
        <v>263</v>
      </c>
      <c r="G2415" s="1448"/>
      <c r="H2415" s="30">
        <v>30176294</v>
      </c>
      <c r="I2415" s="66">
        <v>17900</v>
      </c>
      <c r="J2415" s="64">
        <v>0.15</v>
      </c>
      <c r="K2415" s="1448"/>
      <c r="L2415" s="1450"/>
      <c r="M2415" s="1450"/>
      <c r="N2415" s="1447"/>
    </row>
    <row r="2416" spans="2:14" ht="16.5" customHeight="1">
      <c r="B2416" s="1448" t="s">
        <v>477</v>
      </c>
      <c r="C2416" s="1448">
        <v>1</v>
      </c>
      <c r="D2416" s="1451" t="s">
        <v>2580</v>
      </c>
      <c r="E2416" s="70">
        <v>57390179</v>
      </c>
      <c r="F2416" s="31" t="s">
        <v>2581</v>
      </c>
      <c r="G2416" s="1448" t="s">
        <v>2581</v>
      </c>
      <c r="H2416" s="30">
        <v>30220247</v>
      </c>
      <c r="I2416" s="30">
        <v>8900</v>
      </c>
      <c r="J2416" s="64">
        <v>9.9999999999999978E-2</v>
      </c>
      <c r="K2416" s="30">
        <v>10</v>
      </c>
      <c r="L2416" s="30">
        <f>I2416*10</f>
        <v>89000</v>
      </c>
      <c r="M2416" s="1454" t="s">
        <v>2582</v>
      </c>
      <c r="N2416" s="1445">
        <v>20250213288</v>
      </c>
    </row>
    <row r="2417" spans="2:14" ht="16.5" customHeight="1">
      <c r="B2417" s="1448"/>
      <c r="C2417" s="1448"/>
      <c r="D2417" s="1452"/>
      <c r="E2417" s="70">
        <v>75154494</v>
      </c>
      <c r="F2417" s="31" t="s">
        <v>2583</v>
      </c>
      <c r="G2417" s="1448"/>
      <c r="H2417" s="30">
        <v>30220246</v>
      </c>
      <c r="I2417" s="30">
        <v>17900</v>
      </c>
      <c r="J2417" s="64">
        <v>9.9999999999999978E-2</v>
      </c>
      <c r="K2417" s="30">
        <v>10</v>
      </c>
      <c r="L2417" s="30">
        <f t="shared" ref="L2417:L2471" si="9">I2417*10</f>
        <v>179000</v>
      </c>
      <c r="M2417" s="1454"/>
      <c r="N2417" s="1446"/>
    </row>
    <row r="2418" spans="2:14" ht="16.5" customHeight="1">
      <c r="B2418" s="1448"/>
      <c r="C2418" s="1448"/>
      <c r="D2418" s="1452"/>
      <c r="E2418" s="70">
        <v>47563016</v>
      </c>
      <c r="F2418" s="31" t="s">
        <v>2584</v>
      </c>
      <c r="G2418" s="1448"/>
      <c r="H2418" s="30">
        <v>30220245</v>
      </c>
      <c r="I2418" s="30">
        <v>19900</v>
      </c>
      <c r="J2418" s="64">
        <v>9.9999999999999978E-2</v>
      </c>
      <c r="K2418" s="30">
        <v>10</v>
      </c>
      <c r="L2418" s="30">
        <f t="shared" si="9"/>
        <v>199000</v>
      </c>
      <c r="M2418" s="1454"/>
      <c r="N2418" s="1446"/>
    </row>
    <row r="2419" spans="2:14" ht="16.5" customHeight="1">
      <c r="B2419" s="1448"/>
      <c r="C2419" s="1448"/>
      <c r="D2419" s="1453"/>
      <c r="E2419" s="70">
        <v>47021307</v>
      </c>
      <c r="F2419" s="31" t="s">
        <v>2585</v>
      </c>
      <c r="G2419" s="1448"/>
      <c r="H2419" s="30">
        <v>30220244</v>
      </c>
      <c r="I2419" s="30">
        <v>19900</v>
      </c>
      <c r="J2419" s="64">
        <v>9.9999999999999978E-2</v>
      </c>
      <c r="K2419" s="30">
        <v>10</v>
      </c>
      <c r="L2419" s="30">
        <f t="shared" si="9"/>
        <v>199000</v>
      </c>
      <c r="M2419" s="1454"/>
      <c r="N2419" s="1447"/>
    </row>
    <row r="2420" spans="2:14" ht="16.5" customHeight="1">
      <c r="B2420" s="1448"/>
      <c r="C2420" s="1448">
        <v>2</v>
      </c>
      <c r="D2420" s="1451" t="s">
        <v>816</v>
      </c>
      <c r="E2420" s="70" t="s">
        <v>2586</v>
      </c>
      <c r="F2420" s="31" t="s">
        <v>2587</v>
      </c>
      <c r="G2420" s="1454" t="s">
        <v>2587</v>
      </c>
      <c r="H2420" s="30">
        <v>30210867</v>
      </c>
      <c r="I2420" s="30">
        <v>19900</v>
      </c>
      <c r="J2420" s="64">
        <v>7.999999999999996E-2</v>
      </c>
      <c r="K2420" s="30">
        <v>10</v>
      </c>
      <c r="L2420" s="30">
        <f t="shared" si="9"/>
        <v>199000</v>
      </c>
      <c r="M2420" s="1454" t="s">
        <v>2588</v>
      </c>
      <c r="N2420" s="1445">
        <v>20250213289</v>
      </c>
    </row>
    <row r="2421" spans="2:14" ht="16.5" customHeight="1">
      <c r="B2421" s="1448"/>
      <c r="C2421" s="1448"/>
      <c r="D2421" s="1452"/>
      <c r="E2421" s="70" t="s">
        <v>2589</v>
      </c>
      <c r="F2421" s="31" t="s">
        <v>2590</v>
      </c>
      <c r="G2421" s="1454"/>
      <c r="H2421" s="30">
        <v>30220243</v>
      </c>
      <c r="I2421" s="30">
        <v>21900</v>
      </c>
      <c r="J2421" s="64">
        <v>7.999999999999996E-2</v>
      </c>
      <c r="K2421" s="30">
        <v>10</v>
      </c>
      <c r="L2421" s="30">
        <f t="shared" si="9"/>
        <v>219000</v>
      </c>
      <c r="M2421" s="1454"/>
      <c r="N2421" s="1446"/>
    </row>
    <row r="2422" spans="2:14" ht="16.5" customHeight="1">
      <c r="B2422" s="1448"/>
      <c r="C2422" s="1448"/>
      <c r="D2422" s="1452"/>
      <c r="E2422" s="70" t="s">
        <v>2591</v>
      </c>
      <c r="F2422" s="31" t="s">
        <v>2592</v>
      </c>
      <c r="G2422" s="1454"/>
      <c r="H2422" s="30">
        <v>30210871</v>
      </c>
      <c r="I2422" s="30">
        <v>21900</v>
      </c>
      <c r="J2422" s="64">
        <v>7.999999999999996E-2</v>
      </c>
      <c r="K2422" s="30">
        <v>10</v>
      </c>
      <c r="L2422" s="30">
        <f t="shared" si="9"/>
        <v>219000</v>
      </c>
      <c r="M2422" s="1454"/>
      <c r="N2422" s="1446"/>
    </row>
    <row r="2423" spans="2:14" ht="16.5" customHeight="1">
      <c r="B2423" s="1448"/>
      <c r="C2423" s="1448"/>
      <c r="D2423" s="1453"/>
      <c r="E2423" s="70" t="s">
        <v>2593</v>
      </c>
      <c r="F2423" s="31" t="s">
        <v>2594</v>
      </c>
      <c r="G2423" s="1454"/>
      <c r="H2423" s="30">
        <v>30220241</v>
      </c>
      <c r="I2423" s="30">
        <v>15900</v>
      </c>
      <c r="J2423" s="64">
        <v>7.999999999999996E-2</v>
      </c>
      <c r="K2423" s="30">
        <v>10</v>
      </c>
      <c r="L2423" s="30">
        <f t="shared" si="9"/>
        <v>159000</v>
      </c>
      <c r="M2423" s="1454"/>
      <c r="N2423" s="1447"/>
    </row>
    <row r="2424" spans="2:14" ht="16.5" customHeight="1">
      <c r="B2424" s="1448"/>
      <c r="C2424" s="1448">
        <v>3</v>
      </c>
      <c r="D2424" s="1451" t="s">
        <v>478</v>
      </c>
      <c r="E2424" s="70">
        <v>76761442</v>
      </c>
      <c r="F2424" s="31" t="s">
        <v>2595</v>
      </c>
      <c r="G2424" s="1454" t="s">
        <v>2595</v>
      </c>
      <c r="H2424" s="30">
        <v>30220240</v>
      </c>
      <c r="I2424" s="30">
        <v>9900</v>
      </c>
      <c r="J2424" s="64">
        <v>9.9999999999999978E-2</v>
      </c>
      <c r="K2424" s="30">
        <v>10</v>
      </c>
      <c r="L2424" s="30">
        <f t="shared" si="9"/>
        <v>99000</v>
      </c>
      <c r="M2424" s="1454" t="s">
        <v>2596</v>
      </c>
      <c r="N2424" s="1445">
        <v>20250213290</v>
      </c>
    </row>
    <row r="2425" spans="2:14" ht="16.5" customHeight="1">
      <c r="B2425" s="1448"/>
      <c r="C2425" s="1448"/>
      <c r="D2425" s="1452"/>
      <c r="E2425" s="70">
        <v>76761446</v>
      </c>
      <c r="F2425" s="31" t="s">
        <v>2597</v>
      </c>
      <c r="G2425" s="1454"/>
      <c r="H2425" s="30">
        <v>30220238</v>
      </c>
      <c r="I2425" s="30">
        <v>12500</v>
      </c>
      <c r="J2425" s="64">
        <v>9.9999999999999978E-2</v>
      </c>
      <c r="K2425" s="30">
        <v>10</v>
      </c>
      <c r="L2425" s="30">
        <f t="shared" si="9"/>
        <v>125000</v>
      </c>
      <c r="M2425" s="1454"/>
      <c r="N2425" s="1446"/>
    </row>
    <row r="2426" spans="2:14" ht="16.5" customHeight="1">
      <c r="B2426" s="1448"/>
      <c r="C2426" s="1448"/>
      <c r="D2426" s="1452"/>
      <c r="E2426" s="70">
        <v>72215290</v>
      </c>
      <c r="F2426" s="31" t="s">
        <v>2598</v>
      </c>
      <c r="G2426" s="1454"/>
      <c r="H2426" s="30">
        <v>30220237</v>
      </c>
      <c r="I2426" s="30">
        <v>12000</v>
      </c>
      <c r="J2426" s="64">
        <v>9.9999999999999978E-2</v>
      </c>
      <c r="K2426" s="30">
        <v>10</v>
      </c>
      <c r="L2426" s="30">
        <f t="shared" si="9"/>
        <v>120000</v>
      </c>
      <c r="M2426" s="1454"/>
      <c r="N2426" s="1446"/>
    </row>
    <row r="2427" spans="2:14" ht="16.5" customHeight="1">
      <c r="B2427" s="1448"/>
      <c r="C2427" s="1448"/>
      <c r="D2427" s="1452"/>
      <c r="E2427" s="70">
        <v>72215289</v>
      </c>
      <c r="F2427" s="31" t="s">
        <v>2599</v>
      </c>
      <c r="G2427" s="1454"/>
      <c r="H2427" s="30">
        <v>30220236</v>
      </c>
      <c r="I2427" s="30">
        <v>16900</v>
      </c>
      <c r="J2427" s="64">
        <v>9.9999999999999978E-2</v>
      </c>
      <c r="K2427" s="30">
        <v>10</v>
      </c>
      <c r="L2427" s="30">
        <f t="shared" si="9"/>
        <v>169000</v>
      </c>
      <c r="M2427" s="1454"/>
      <c r="N2427" s="1446"/>
    </row>
    <row r="2428" spans="2:14" ht="16.5" customHeight="1">
      <c r="B2428" s="1448"/>
      <c r="C2428" s="1448"/>
      <c r="D2428" s="1453"/>
      <c r="E2428" s="70">
        <v>72215288</v>
      </c>
      <c r="F2428" s="31" t="s">
        <v>2600</v>
      </c>
      <c r="G2428" s="1454"/>
      <c r="H2428" s="30">
        <v>30220235</v>
      </c>
      <c r="I2428" s="30">
        <v>28900</v>
      </c>
      <c r="J2428" s="64">
        <v>9.9999999999999978E-2</v>
      </c>
      <c r="K2428" s="30">
        <v>10</v>
      </c>
      <c r="L2428" s="30">
        <f t="shared" si="9"/>
        <v>289000</v>
      </c>
      <c r="M2428" s="1454"/>
      <c r="N2428" s="1447"/>
    </row>
    <row r="2429" spans="2:14" ht="16.5" customHeight="1">
      <c r="B2429" s="1448"/>
      <c r="C2429" s="1448">
        <v>4</v>
      </c>
      <c r="D2429" s="1451" t="s">
        <v>478</v>
      </c>
      <c r="E2429" s="70" t="s">
        <v>2601</v>
      </c>
      <c r="F2429" s="31" t="s">
        <v>2602</v>
      </c>
      <c r="G2429" s="1454" t="s">
        <v>2602</v>
      </c>
      <c r="H2429" s="30">
        <v>30209959</v>
      </c>
      <c r="I2429" s="30">
        <v>8500</v>
      </c>
      <c r="J2429" s="64">
        <v>9.9999999999999978E-2</v>
      </c>
      <c r="K2429" s="30">
        <v>10</v>
      </c>
      <c r="L2429" s="30">
        <f t="shared" si="9"/>
        <v>85000</v>
      </c>
      <c r="M2429" s="1454" t="s">
        <v>2603</v>
      </c>
      <c r="N2429" s="1445">
        <v>20250214304</v>
      </c>
    </row>
    <row r="2430" spans="2:14" ht="16.5" customHeight="1">
      <c r="B2430" s="1448"/>
      <c r="C2430" s="1448"/>
      <c r="D2430" s="1452"/>
      <c r="E2430" s="70" t="s">
        <v>2604</v>
      </c>
      <c r="F2430" s="31" t="s">
        <v>2605</v>
      </c>
      <c r="G2430" s="1454"/>
      <c r="H2430" s="30">
        <v>30209958</v>
      </c>
      <c r="I2430" s="30">
        <v>11900</v>
      </c>
      <c r="J2430" s="64">
        <v>9.9999999999999978E-2</v>
      </c>
      <c r="K2430" s="30">
        <v>10</v>
      </c>
      <c r="L2430" s="30">
        <f t="shared" si="9"/>
        <v>119000</v>
      </c>
      <c r="M2430" s="1454"/>
      <c r="N2430" s="1446"/>
    </row>
    <row r="2431" spans="2:14" ht="16.5" customHeight="1">
      <c r="B2431" s="1448"/>
      <c r="C2431" s="1448"/>
      <c r="D2431" s="1453"/>
      <c r="E2431" s="70" t="s">
        <v>2606</v>
      </c>
      <c r="F2431" s="31" t="s">
        <v>2607</v>
      </c>
      <c r="G2431" s="1454"/>
      <c r="H2431" s="30">
        <v>30209957</v>
      </c>
      <c r="I2431" s="30">
        <v>18000</v>
      </c>
      <c r="J2431" s="64">
        <v>9.9999999999999978E-2</v>
      </c>
      <c r="K2431" s="30">
        <v>10</v>
      </c>
      <c r="L2431" s="30">
        <f t="shared" si="9"/>
        <v>180000</v>
      </c>
      <c r="M2431" s="1454"/>
      <c r="N2431" s="1447"/>
    </row>
    <row r="2432" spans="2:14" ht="16.5" customHeight="1">
      <c r="B2432" s="1448"/>
      <c r="C2432" s="1448">
        <v>5</v>
      </c>
      <c r="D2432" s="1451" t="s">
        <v>478</v>
      </c>
      <c r="E2432" s="70" t="s">
        <v>2608</v>
      </c>
      <c r="F2432" s="31" t="s">
        <v>2609</v>
      </c>
      <c r="G2432" s="1454" t="s">
        <v>2609</v>
      </c>
      <c r="H2432" s="30">
        <v>30220232</v>
      </c>
      <c r="I2432" s="30">
        <v>17900</v>
      </c>
      <c r="J2432" s="64">
        <v>9.9999999999999978E-2</v>
      </c>
      <c r="K2432" s="30">
        <v>10</v>
      </c>
      <c r="L2432" s="30">
        <f t="shared" si="9"/>
        <v>179000</v>
      </c>
      <c r="M2432" s="1454" t="s">
        <v>2610</v>
      </c>
      <c r="N2432" s="1445">
        <v>20250213291</v>
      </c>
    </row>
    <row r="2433" spans="2:14" ht="16.5" customHeight="1">
      <c r="B2433" s="1448"/>
      <c r="C2433" s="1448"/>
      <c r="D2433" s="1452"/>
      <c r="E2433" s="70" t="s">
        <v>2611</v>
      </c>
      <c r="F2433" s="31" t="s">
        <v>2612</v>
      </c>
      <c r="G2433" s="1454"/>
      <c r="H2433" s="30">
        <v>30220231</v>
      </c>
      <c r="I2433" s="30">
        <v>19900</v>
      </c>
      <c r="J2433" s="64">
        <v>9.9999999999999978E-2</v>
      </c>
      <c r="K2433" s="30">
        <v>10</v>
      </c>
      <c r="L2433" s="30">
        <f t="shared" si="9"/>
        <v>199000</v>
      </c>
      <c r="M2433" s="1454"/>
      <c r="N2433" s="1446"/>
    </row>
    <row r="2434" spans="2:14" ht="16.5" customHeight="1">
      <c r="B2434" s="1448"/>
      <c r="C2434" s="1448"/>
      <c r="D2434" s="1452"/>
      <c r="E2434" s="70" t="s">
        <v>2613</v>
      </c>
      <c r="F2434" s="31" t="s">
        <v>2614</v>
      </c>
      <c r="G2434" s="1454"/>
      <c r="H2434" s="30">
        <v>30220230</v>
      </c>
      <c r="I2434" s="30">
        <v>29900</v>
      </c>
      <c r="J2434" s="64">
        <v>9.9999999999999978E-2</v>
      </c>
      <c r="K2434" s="30">
        <v>10</v>
      </c>
      <c r="L2434" s="30">
        <f t="shared" si="9"/>
        <v>299000</v>
      </c>
      <c r="M2434" s="1454"/>
      <c r="N2434" s="1446"/>
    </row>
    <row r="2435" spans="2:14" ht="16.5" customHeight="1">
      <c r="B2435" s="1448"/>
      <c r="C2435" s="1448"/>
      <c r="D2435" s="1453"/>
      <c r="E2435" s="70" t="s">
        <v>2615</v>
      </c>
      <c r="F2435" s="31" t="s">
        <v>2616</v>
      </c>
      <c r="G2435" s="1454"/>
      <c r="H2435" s="30">
        <v>30220229</v>
      </c>
      <c r="I2435" s="30">
        <v>34900</v>
      </c>
      <c r="J2435" s="64">
        <v>9.9999999999999978E-2</v>
      </c>
      <c r="K2435" s="30">
        <v>10</v>
      </c>
      <c r="L2435" s="30">
        <f t="shared" si="9"/>
        <v>349000</v>
      </c>
      <c r="M2435" s="1454"/>
      <c r="N2435" s="1447"/>
    </row>
    <row r="2436" spans="2:14" ht="16.5" customHeight="1">
      <c r="B2436" s="1448" t="s">
        <v>417</v>
      </c>
      <c r="C2436" s="1448">
        <v>1</v>
      </c>
      <c r="D2436" s="1448" t="s">
        <v>2617</v>
      </c>
      <c r="E2436" s="30">
        <v>70712446</v>
      </c>
      <c r="F2436" s="31" t="s">
        <v>2618</v>
      </c>
      <c r="G2436" s="1448" t="s">
        <v>2618</v>
      </c>
      <c r="H2436" s="30">
        <v>30220190</v>
      </c>
      <c r="I2436" s="30">
        <v>20700</v>
      </c>
      <c r="J2436" s="64">
        <v>0.1</v>
      </c>
      <c r="K2436" s="30">
        <v>10</v>
      </c>
      <c r="L2436" s="30">
        <f t="shared" si="9"/>
        <v>207000</v>
      </c>
      <c r="M2436" s="1454" t="s">
        <v>2619</v>
      </c>
      <c r="N2436" s="1445">
        <v>20250213292</v>
      </c>
    </row>
    <row r="2437" spans="2:14" ht="16.5" customHeight="1">
      <c r="B2437" s="1448"/>
      <c r="C2437" s="1448"/>
      <c r="D2437" s="1448"/>
      <c r="E2437" s="30">
        <v>70712431</v>
      </c>
      <c r="F2437" s="31" t="s">
        <v>2620</v>
      </c>
      <c r="G2437" s="1448"/>
      <c r="H2437" s="30">
        <v>30220189</v>
      </c>
      <c r="I2437" s="30">
        <v>23600</v>
      </c>
      <c r="J2437" s="64">
        <v>0.1</v>
      </c>
      <c r="K2437" s="30">
        <v>10</v>
      </c>
      <c r="L2437" s="30">
        <f t="shared" si="9"/>
        <v>236000</v>
      </c>
      <c r="M2437" s="1454"/>
      <c r="N2437" s="1446"/>
    </row>
    <row r="2438" spans="2:14" ht="16.5" customHeight="1">
      <c r="B2438" s="1448"/>
      <c r="C2438" s="1448"/>
      <c r="D2438" s="1448"/>
      <c r="E2438" s="30">
        <v>70712434</v>
      </c>
      <c r="F2438" s="31" t="s">
        <v>2621</v>
      </c>
      <c r="G2438" s="1448"/>
      <c r="H2438" s="30">
        <v>30220188</v>
      </c>
      <c r="I2438" s="30">
        <v>26600</v>
      </c>
      <c r="J2438" s="64">
        <v>0.1</v>
      </c>
      <c r="K2438" s="30">
        <v>10</v>
      </c>
      <c r="L2438" s="30">
        <f t="shared" si="9"/>
        <v>266000</v>
      </c>
      <c r="M2438" s="1454"/>
      <c r="N2438" s="1446"/>
    </row>
    <row r="2439" spans="2:14" ht="16.5" customHeight="1">
      <c r="B2439" s="1448"/>
      <c r="C2439" s="1448"/>
      <c r="D2439" s="1448"/>
      <c r="E2439" s="30">
        <v>70712435</v>
      </c>
      <c r="F2439" s="31" t="s">
        <v>2622</v>
      </c>
      <c r="G2439" s="1448"/>
      <c r="H2439" s="30">
        <v>30220187</v>
      </c>
      <c r="I2439" s="30">
        <v>29500</v>
      </c>
      <c r="J2439" s="64">
        <v>0.1</v>
      </c>
      <c r="K2439" s="30">
        <v>10</v>
      </c>
      <c r="L2439" s="30">
        <f t="shared" si="9"/>
        <v>295000</v>
      </c>
      <c r="M2439" s="1454"/>
      <c r="N2439" s="1446"/>
    </row>
    <row r="2440" spans="2:14" ht="16.5" customHeight="1">
      <c r="B2440" s="1448"/>
      <c r="C2440" s="1448"/>
      <c r="D2440" s="1448"/>
      <c r="E2440" s="30">
        <v>70712447</v>
      </c>
      <c r="F2440" s="31" t="s">
        <v>2623</v>
      </c>
      <c r="G2440" s="1448"/>
      <c r="H2440" s="30">
        <v>30220186</v>
      </c>
      <c r="I2440" s="30">
        <v>32500</v>
      </c>
      <c r="J2440" s="64">
        <v>0.1</v>
      </c>
      <c r="K2440" s="30">
        <v>10</v>
      </c>
      <c r="L2440" s="30">
        <f t="shared" si="9"/>
        <v>325000</v>
      </c>
      <c r="M2440" s="1454"/>
      <c r="N2440" s="1446"/>
    </row>
    <row r="2441" spans="2:14" ht="16.5" customHeight="1">
      <c r="B2441" s="1448"/>
      <c r="C2441" s="1448"/>
      <c r="D2441" s="1448"/>
      <c r="E2441" s="30">
        <v>70712450</v>
      </c>
      <c r="F2441" s="31" t="s">
        <v>2624</v>
      </c>
      <c r="G2441" s="1448"/>
      <c r="H2441" s="30">
        <v>30220184</v>
      </c>
      <c r="I2441" s="30">
        <v>35400</v>
      </c>
      <c r="J2441" s="64">
        <v>0.1</v>
      </c>
      <c r="K2441" s="30">
        <v>10</v>
      </c>
      <c r="L2441" s="30">
        <f t="shared" si="9"/>
        <v>354000</v>
      </c>
      <c r="M2441" s="1454"/>
      <c r="N2441" s="1447"/>
    </row>
    <row r="2442" spans="2:14" ht="16.5" customHeight="1">
      <c r="B2442" s="1448"/>
      <c r="C2442" s="1451">
        <v>2</v>
      </c>
      <c r="D2442" s="1451" t="s">
        <v>426</v>
      </c>
      <c r="E2442" s="30">
        <v>77389435</v>
      </c>
      <c r="F2442" s="31" t="s">
        <v>2625</v>
      </c>
      <c r="G2442" s="1451" t="s">
        <v>2625</v>
      </c>
      <c r="H2442" s="30">
        <v>30220756</v>
      </c>
      <c r="I2442" s="35">
        <v>16900</v>
      </c>
      <c r="J2442" s="64">
        <v>0.1</v>
      </c>
      <c r="K2442" s="30">
        <v>10</v>
      </c>
      <c r="L2442" s="30">
        <f>I2442*10</f>
        <v>169000</v>
      </c>
      <c r="M2442" s="1512" t="s">
        <v>2626</v>
      </c>
      <c r="N2442" s="1445">
        <v>20250213293</v>
      </c>
    </row>
    <row r="2443" spans="2:14" ht="16.5" customHeight="1">
      <c r="B2443" s="1448"/>
      <c r="C2443" s="1452"/>
      <c r="D2443" s="1452"/>
      <c r="E2443" s="234">
        <v>77389429</v>
      </c>
      <c r="F2443" s="228" t="s">
        <v>2627</v>
      </c>
      <c r="G2443" s="1452"/>
      <c r="H2443" s="30">
        <v>30220198</v>
      </c>
      <c r="I2443" s="30">
        <v>19900</v>
      </c>
      <c r="J2443" s="64">
        <v>0.1</v>
      </c>
      <c r="K2443" s="30">
        <v>10</v>
      </c>
      <c r="L2443" s="30">
        <f t="shared" si="9"/>
        <v>199000</v>
      </c>
      <c r="M2443" s="1514"/>
      <c r="N2443" s="1446"/>
    </row>
    <row r="2444" spans="2:14" ht="16.5" customHeight="1">
      <c r="B2444" s="1448"/>
      <c r="C2444" s="1452"/>
      <c r="D2444" s="1452"/>
      <c r="E2444" s="30">
        <v>77389423</v>
      </c>
      <c r="F2444" s="31" t="s">
        <v>2628</v>
      </c>
      <c r="G2444" s="1452"/>
      <c r="H2444" s="30">
        <v>30220197</v>
      </c>
      <c r="I2444" s="30">
        <v>29900</v>
      </c>
      <c r="J2444" s="64">
        <v>0.1</v>
      </c>
      <c r="K2444" s="30">
        <v>10</v>
      </c>
      <c r="L2444" s="30">
        <f t="shared" si="9"/>
        <v>299000</v>
      </c>
      <c r="M2444" s="1514"/>
      <c r="N2444" s="1446"/>
    </row>
    <row r="2445" spans="2:14" ht="16.5" customHeight="1">
      <c r="B2445" s="1448"/>
      <c r="C2445" s="1453"/>
      <c r="D2445" s="1453"/>
      <c r="E2445" s="30">
        <v>77389415</v>
      </c>
      <c r="F2445" s="31" t="s">
        <v>2629</v>
      </c>
      <c r="G2445" s="1453"/>
      <c r="H2445" s="30">
        <v>30220196</v>
      </c>
      <c r="I2445" s="30">
        <v>33900</v>
      </c>
      <c r="J2445" s="64">
        <v>0.1</v>
      </c>
      <c r="K2445" s="30">
        <v>10</v>
      </c>
      <c r="L2445" s="30">
        <f t="shared" si="9"/>
        <v>339000</v>
      </c>
      <c r="M2445" s="1513"/>
      <c r="N2445" s="1447"/>
    </row>
    <row r="2446" spans="2:14" ht="16.5" customHeight="1">
      <c r="B2446" s="1448"/>
      <c r="C2446" s="1448">
        <v>3</v>
      </c>
      <c r="D2446" s="1448" t="s">
        <v>439</v>
      </c>
      <c r="E2446" s="30">
        <v>70181094</v>
      </c>
      <c r="F2446" s="31" t="s">
        <v>2630</v>
      </c>
      <c r="G2446" s="1448" t="s">
        <v>2630</v>
      </c>
      <c r="H2446" s="30">
        <v>30213472</v>
      </c>
      <c r="I2446" s="30">
        <v>7900</v>
      </c>
      <c r="J2446" s="64">
        <v>0.1</v>
      </c>
      <c r="K2446" s="30">
        <v>10</v>
      </c>
      <c r="L2446" s="30">
        <f t="shared" si="9"/>
        <v>79000</v>
      </c>
      <c r="M2446" s="1454" t="s">
        <v>2631</v>
      </c>
      <c r="N2446" s="1445">
        <v>20250213294</v>
      </c>
    </row>
    <row r="2447" spans="2:14" ht="16.5" customHeight="1">
      <c r="B2447" s="1448"/>
      <c r="C2447" s="1448"/>
      <c r="D2447" s="1448"/>
      <c r="E2447" s="30">
        <v>70181589</v>
      </c>
      <c r="F2447" s="31" t="s">
        <v>2632</v>
      </c>
      <c r="G2447" s="1448"/>
      <c r="H2447" s="30">
        <v>30213471</v>
      </c>
      <c r="I2447" s="30">
        <v>8900</v>
      </c>
      <c r="J2447" s="64">
        <v>0.1</v>
      </c>
      <c r="K2447" s="30">
        <v>10</v>
      </c>
      <c r="L2447" s="30">
        <f t="shared" si="9"/>
        <v>89000</v>
      </c>
      <c r="M2447" s="1454"/>
      <c r="N2447" s="1446"/>
    </row>
    <row r="2448" spans="2:14" ht="16.5" customHeight="1">
      <c r="B2448" s="1448"/>
      <c r="C2448" s="1448"/>
      <c r="D2448" s="1448"/>
      <c r="E2448" s="30">
        <v>70180995</v>
      </c>
      <c r="F2448" s="31" t="s">
        <v>2633</v>
      </c>
      <c r="G2448" s="1448"/>
      <c r="H2448" s="30">
        <v>30200468</v>
      </c>
      <c r="I2448" s="30">
        <v>10900</v>
      </c>
      <c r="J2448" s="64">
        <v>0.1</v>
      </c>
      <c r="K2448" s="30">
        <v>10</v>
      </c>
      <c r="L2448" s="30">
        <f t="shared" si="9"/>
        <v>109000</v>
      </c>
      <c r="M2448" s="1454"/>
      <c r="N2448" s="1446"/>
    </row>
    <row r="2449" spans="2:14" ht="16.5" customHeight="1">
      <c r="B2449" s="1448"/>
      <c r="C2449" s="1448"/>
      <c r="D2449" s="1448"/>
      <c r="E2449" s="30">
        <v>70181468</v>
      </c>
      <c r="F2449" s="31" t="s">
        <v>2634</v>
      </c>
      <c r="G2449" s="1448"/>
      <c r="H2449" s="30">
        <v>30213469</v>
      </c>
      <c r="I2449" s="30">
        <v>11900</v>
      </c>
      <c r="J2449" s="64">
        <v>0.1</v>
      </c>
      <c r="K2449" s="30">
        <v>10</v>
      </c>
      <c r="L2449" s="30">
        <f t="shared" si="9"/>
        <v>119000</v>
      </c>
      <c r="M2449" s="1454"/>
      <c r="N2449" s="1446"/>
    </row>
    <row r="2450" spans="2:14" ht="16.5" customHeight="1">
      <c r="B2450" s="1448"/>
      <c r="C2450" s="1448"/>
      <c r="D2450" s="1448"/>
      <c r="E2450" s="30">
        <v>70181030</v>
      </c>
      <c r="F2450" s="31" t="s">
        <v>2635</v>
      </c>
      <c r="G2450" s="1448"/>
      <c r="H2450" s="30">
        <v>30213470</v>
      </c>
      <c r="I2450" s="30">
        <v>12900</v>
      </c>
      <c r="J2450" s="64">
        <v>0.1</v>
      </c>
      <c r="K2450" s="30">
        <v>10</v>
      </c>
      <c r="L2450" s="30">
        <f t="shared" si="9"/>
        <v>129000</v>
      </c>
      <c r="M2450" s="1454"/>
      <c r="N2450" s="1446"/>
    </row>
    <row r="2451" spans="2:14" ht="16.5" customHeight="1">
      <c r="B2451" s="1448"/>
      <c r="C2451" s="1448"/>
      <c r="D2451" s="1448"/>
      <c r="E2451" s="30">
        <v>70181050</v>
      </c>
      <c r="F2451" s="31" t="s">
        <v>2636</v>
      </c>
      <c r="G2451" s="1448"/>
      <c r="H2451" s="30">
        <v>30200471</v>
      </c>
      <c r="I2451" s="30">
        <v>12900</v>
      </c>
      <c r="J2451" s="64">
        <v>0.1</v>
      </c>
      <c r="K2451" s="30">
        <v>10</v>
      </c>
      <c r="L2451" s="30">
        <f t="shared" si="9"/>
        <v>129000</v>
      </c>
      <c r="M2451" s="1454"/>
      <c r="N2451" s="1447"/>
    </row>
    <row r="2452" spans="2:14" ht="16.5" customHeight="1">
      <c r="B2452" s="1448"/>
      <c r="C2452" s="1448">
        <v>4</v>
      </c>
      <c r="D2452" s="1448" t="s">
        <v>432</v>
      </c>
      <c r="E2452" s="30">
        <v>56012877</v>
      </c>
      <c r="F2452" s="31" t="s">
        <v>433</v>
      </c>
      <c r="G2452" s="1448" t="s">
        <v>433</v>
      </c>
      <c r="H2452" s="30">
        <v>30200491</v>
      </c>
      <c r="I2452" s="30">
        <v>9900</v>
      </c>
      <c r="J2452" s="64">
        <v>0.1</v>
      </c>
      <c r="K2452" s="30">
        <v>10</v>
      </c>
      <c r="L2452" s="30">
        <f t="shared" si="9"/>
        <v>99000</v>
      </c>
      <c r="M2452" s="1454" t="s">
        <v>1682</v>
      </c>
      <c r="N2452" s="1445">
        <v>20250213295</v>
      </c>
    </row>
    <row r="2453" spans="2:14" ht="16.5" customHeight="1">
      <c r="B2453" s="1448"/>
      <c r="C2453" s="1448"/>
      <c r="D2453" s="1448"/>
      <c r="E2453" s="30">
        <v>46531923</v>
      </c>
      <c r="F2453" s="31" t="s">
        <v>2637</v>
      </c>
      <c r="G2453" s="1448"/>
      <c r="H2453" s="30">
        <v>30187656</v>
      </c>
      <c r="I2453" s="30">
        <v>8600</v>
      </c>
      <c r="J2453" s="64">
        <v>0.1</v>
      </c>
      <c r="K2453" s="30">
        <v>10</v>
      </c>
      <c r="L2453" s="30">
        <f t="shared" si="9"/>
        <v>86000</v>
      </c>
      <c r="M2453" s="1454"/>
      <c r="N2453" s="1446"/>
    </row>
    <row r="2454" spans="2:14" ht="16.5" customHeight="1">
      <c r="B2454" s="1448"/>
      <c r="C2454" s="1448"/>
      <c r="D2454" s="1448"/>
      <c r="E2454" s="30">
        <v>70155487</v>
      </c>
      <c r="F2454" s="31" t="s">
        <v>2638</v>
      </c>
      <c r="G2454" s="1448"/>
      <c r="H2454" s="30">
        <v>30212150</v>
      </c>
      <c r="I2454" s="30">
        <v>11700</v>
      </c>
      <c r="J2454" s="64">
        <v>0.1</v>
      </c>
      <c r="K2454" s="30">
        <v>10</v>
      </c>
      <c r="L2454" s="30">
        <f t="shared" si="9"/>
        <v>117000</v>
      </c>
      <c r="M2454" s="1454"/>
      <c r="N2454" s="1446"/>
    </row>
    <row r="2455" spans="2:14" ht="16.5" customHeight="1">
      <c r="B2455" s="1448"/>
      <c r="C2455" s="1448"/>
      <c r="D2455" s="1448"/>
      <c r="E2455" s="30">
        <v>56012854</v>
      </c>
      <c r="F2455" s="31" t="s">
        <v>2639</v>
      </c>
      <c r="G2455" s="1448"/>
      <c r="H2455" s="30">
        <v>30168057</v>
      </c>
      <c r="I2455" s="30">
        <v>12700</v>
      </c>
      <c r="J2455" s="64">
        <v>0.1</v>
      </c>
      <c r="K2455" s="30">
        <v>10</v>
      </c>
      <c r="L2455" s="30">
        <f t="shared" si="9"/>
        <v>127000</v>
      </c>
      <c r="M2455" s="1454"/>
      <c r="N2455" s="1446"/>
    </row>
    <row r="2456" spans="2:14" ht="16.5" customHeight="1">
      <c r="B2456" s="1448"/>
      <c r="C2456" s="1448"/>
      <c r="D2456" s="1448"/>
      <c r="E2456" s="30">
        <v>48829911</v>
      </c>
      <c r="F2456" s="31" t="s">
        <v>2640</v>
      </c>
      <c r="G2456" s="1448"/>
      <c r="H2456" s="30">
        <v>30162412</v>
      </c>
      <c r="I2456" s="30">
        <v>14900</v>
      </c>
      <c r="J2456" s="64">
        <v>0.1</v>
      </c>
      <c r="K2456" s="30">
        <v>10</v>
      </c>
      <c r="L2456" s="30">
        <f t="shared" si="9"/>
        <v>149000</v>
      </c>
      <c r="M2456" s="1454"/>
      <c r="N2456" s="1447"/>
    </row>
    <row r="2457" spans="2:14" ht="16.5" customHeight="1">
      <c r="B2457" s="1448"/>
      <c r="C2457" s="1448">
        <v>5</v>
      </c>
      <c r="D2457" s="1448" t="s">
        <v>1255</v>
      </c>
      <c r="E2457" s="30">
        <v>30195645</v>
      </c>
      <c r="F2457" s="31" t="s">
        <v>2641</v>
      </c>
      <c r="G2457" s="1448" t="s">
        <v>2641</v>
      </c>
      <c r="H2457" s="30">
        <v>30217089</v>
      </c>
      <c r="I2457" s="30">
        <v>9900</v>
      </c>
      <c r="J2457" s="64">
        <v>0.1</v>
      </c>
      <c r="K2457" s="30">
        <v>10</v>
      </c>
      <c r="L2457" s="30">
        <f t="shared" si="9"/>
        <v>99000</v>
      </c>
      <c r="M2457" s="1454" t="s">
        <v>2642</v>
      </c>
      <c r="N2457" s="1445">
        <v>20250213296</v>
      </c>
    </row>
    <row r="2458" spans="2:14" ht="16.5" customHeight="1">
      <c r="B2458" s="1448"/>
      <c r="C2458" s="1448"/>
      <c r="D2458" s="1448"/>
      <c r="E2458" s="422">
        <v>30196864</v>
      </c>
      <c r="F2458" s="423" t="s">
        <v>2643</v>
      </c>
      <c r="G2458" s="1448"/>
      <c r="H2458" s="422">
        <v>30217088</v>
      </c>
      <c r="I2458" s="30">
        <v>10900</v>
      </c>
      <c r="J2458" s="64">
        <v>0.1</v>
      </c>
      <c r="K2458" s="30">
        <v>10</v>
      </c>
      <c r="L2458" s="30">
        <f t="shared" si="9"/>
        <v>109000</v>
      </c>
      <c r="M2458" s="1454"/>
      <c r="N2458" s="1446"/>
    </row>
    <row r="2459" spans="2:14" ht="16.5" customHeight="1">
      <c r="B2459" s="1448"/>
      <c r="C2459" s="1448"/>
      <c r="D2459" s="1448"/>
      <c r="E2459" s="422">
        <v>30197000</v>
      </c>
      <c r="F2459" s="423" t="s">
        <v>2644</v>
      </c>
      <c r="G2459" s="1448"/>
      <c r="H2459" s="422">
        <v>30217086</v>
      </c>
      <c r="I2459" s="30">
        <v>10500</v>
      </c>
      <c r="J2459" s="64">
        <v>0.1</v>
      </c>
      <c r="K2459" s="30">
        <v>10</v>
      </c>
      <c r="L2459" s="30">
        <f t="shared" si="9"/>
        <v>105000</v>
      </c>
      <c r="M2459" s="1454"/>
      <c r="N2459" s="1446"/>
    </row>
    <row r="2460" spans="2:14" ht="16.5" customHeight="1">
      <c r="B2460" s="1448"/>
      <c r="C2460" s="1448"/>
      <c r="D2460" s="1448"/>
      <c r="E2460" s="30">
        <v>30199213</v>
      </c>
      <c r="F2460" s="31" t="s">
        <v>2645</v>
      </c>
      <c r="G2460" s="1448"/>
      <c r="H2460" s="30">
        <v>30217085</v>
      </c>
      <c r="I2460" s="30">
        <v>11500</v>
      </c>
      <c r="J2460" s="64">
        <v>0.1</v>
      </c>
      <c r="K2460" s="30">
        <v>10</v>
      </c>
      <c r="L2460" s="30">
        <f t="shared" si="9"/>
        <v>115000</v>
      </c>
      <c r="M2460" s="1454"/>
      <c r="N2460" s="1446"/>
    </row>
    <row r="2461" spans="2:14" ht="16.5" customHeight="1">
      <c r="B2461" s="1448"/>
      <c r="C2461" s="1448"/>
      <c r="D2461" s="1448"/>
      <c r="E2461" s="30">
        <v>30199215</v>
      </c>
      <c r="F2461" s="31" t="s">
        <v>2646</v>
      </c>
      <c r="G2461" s="1448"/>
      <c r="H2461" s="30">
        <v>30217084</v>
      </c>
      <c r="I2461" s="30">
        <v>12500</v>
      </c>
      <c r="J2461" s="64">
        <v>0.1</v>
      </c>
      <c r="K2461" s="30">
        <v>10</v>
      </c>
      <c r="L2461" s="30">
        <f t="shared" si="9"/>
        <v>125000</v>
      </c>
      <c r="M2461" s="1454"/>
      <c r="N2461" s="1446"/>
    </row>
    <row r="2462" spans="2:14" ht="16.5" customHeight="1">
      <c r="B2462" s="1448"/>
      <c r="C2462" s="1448"/>
      <c r="D2462" s="1448"/>
      <c r="E2462" s="30">
        <v>30199011</v>
      </c>
      <c r="F2462" s="31" t="s">
        <v>2647</v>
      </c>
      <c r="G2462" s="1448"/>
      <c r="H2462" s="30">
        <v>30217083</v>
      </c>
      <c r="I2462" s="30">
        <v>10900</v>
      </c>
      <c r="J2462" s="64">
        <v>0.1</v>
      </c>
      <c r="K2462" s="30">
        <v>10</v>
      </c>
      <c r="L2462" s="30">
        <f t="shared" si="9"/>
        <v>109000</v>
      </c>
      <c r="M2462" s="1454"/>
      <c r="N2462" s="1446"/>
    </row>
    <row r="2463" spans="2:14" ht="16.5" customHeight="1">
      <c r="B2463" s="1448"/>
      <c r="C2463" s="1448"/>
      <c r="D2463" s="1448"/>
      <c r="E2463" s="30">
        <v>30199038</v>
      </c>
      <c r="F2463" s="31" t="s">
        <v>2648</v>
      </c>
      <c r="G2463" s="1448"/>
      <c r="H2463" s="30">
        <v>30217081</v>
      </c>
      <c r="I2463" s="30">
        <v>12900</v>
      </c>
      <c r="J2463" s="64">
        <v>0.1</v>
      </c>
      <c r="K2463" s="30">
        <v>10</v>
      </c>
      <c r="L2463" s="30">
        <f t="shared" si="9"/>
        <v>129000</v>
      </c>
      <c r="M2463" s="1454"/>
      <c r="N2463" s="1446"/>
    </row>
    <row r="2464" spans="2:14" ht="16.5" customHeight="1">
      <c r="B2464" s="1448"/>
      <c r="C2464" s="1448"/>
      <c r="D2464" s="1448"/>
      <c r="E2464" s="30">
        <v>30199033</v>
      </c>
      <c r="F2464" s="31" t="s">
        <v>2649</v>
      </c>
      <c r="G2464" s="1448"/>
      <c r="H2464" s="30">
        <v>30217079</v>
      </c>
      <c r="I2464" s="30">
        <v>12900</v>
      </c>
      <c r="J2464" s="64">
        <v>0.1</v>
      </c>
      <c r="K2464" s="30">
        <v>10</v>
      </c>
      <c r="L2464" s="30">
        <f t="shared" si="9"/>
        <v>129000</v>
      </c>
      <c r="M2464" s="1454"/>
      <c r="N2464" s="1446"/>
    </row>
    <row r="2465" spans="2:14" ht="16.5" customHeight="1">
      <c r="B2465" s="1448"/>
      <c r="C2465" s="1448"/>
      <c r="D2465" s="1448"/>
      <c r="E2465" s="30">
        <v>30199251</v>
      </c>
      <c r="F2465" s="31" t="s">
        <v>2650</v>
      </c>
      <c r="G2465" s="1448"/>
      <c r="H2465" s="30">
        <v>30217078</v>
      </c>
      <c r="I2465" s="30">
        <v>12500</v>
      </c>
      <c r="J2465" s="64">
        <v>0.1</v>
      </c>
      <c r="K2465" s="30">
        <v>10</v>
      </c>
      <c r="L2465" s="30">
        <f t="shared" si="9"/>
        <v>125000</v>
      </c>
      <c r="M2465" s="1454"/>
      <c r="N2465" s="1446"/>
    </row>
    <row r="2466" spans="2:14" ht="16.5" customHeight="1">
      <c r="B2466" s="1448"/>
      <c r="C2466" s="1448"/>
      <c r="D2466" s="1448"/>
      <c r="E2466" s="30">
        <v>30199250</v>
      </c>
      <c r="F2466" s="31" t="s">
        <v>2651</v>
      </c>
      <c r="G2466" s="1448"/>
      <c r="H2466" s="30">
        <v>30217077</v>
      </c>
      <c r="I2466" s="30">
        <v>25900</v>
      </c>
      <c r="J2466" s="64">
        <v>0.1</v>
      </c>
      <c r="K2466" s="30">
        <v>10</v>
      </c>
      <c r="L2466" s="30">
        <f t="shared" si="9"/>
        <v>259000</v>
      </c>
      <c r="M2466" s="1454"/>
      <c r="N2466" s="1447"/>
    </row>
    <row r="2467" spans="2:14" ht="16.5" customHeight="1">
      <c r="B2467" s="1448"/>
      <c r="C2467" s="1448">
        <v>6</v>
      </c>
      <c r="D2467" s="1448" t="s">
        <v>426</v>
      </c>
      <c r="E2467" s="30">
        <v>62810062</v>
      </c>
      <c r="F2467" s="31" t="s">
        <v>2652</v>
      </c>
      <c r="G2467" s="1448" t="s">
        <v>2652</v>
      </c>
      <c r="H2467" s="30">
        <v>30220224</v>
      </c>
      <c r="I2467" s="30">
        <v>14900</v>
      </c>
      <c r="J2467" s="64">
        <v>0.1</v>
      </c>
      <c r="K2467" s="30">
        <v>10</v>
      </c>
      <c r="L2467" s="30">
        <f t="shared" si="9"/>
        <v>149000</v>
      </c>
      <c r="M2467" s="1454" t="s">
        <v>2653</v>
      </c>
      <c r="N2467" s="1445">
        <v>20250213297</v>
      </c>
    </row>
    <row r="2468" spans="2:14" ht="16.5" customHeight="1">
      <c r="B2468" s="1448"/>
      <c r="C2468" s="1448"/>
      <c r="D2468" s="1448"/>
      <c r="E2468" s="30">
        <v>56064904</v>
      </c>
      <c r="F2468" s="31" t="s">
        <v>2654</v>
      </c>
      <c r="G2468" s="1448"/>
      <c r="H2468" s="30">
        <v>30162444</v>
      </c>
      <c r="I2468" s="30">
        <v>9900</v>
      </c>
      <c r="J2468" s="64">
        <v>0.1</v>
      </c>
      <c r="K2468" s="30">
        <v>10</v>
      </c>
      <c r="L2468" s="30">
        <f t="shared" si="9"/>
        <v>99000</v>
      </c>
      <c r="M2468" s="1454"/>
      <c r="N2468" s="1446"/>
    </row>
    <row r="2469" spans="2:14" ht="16.5" customHeight="1">
      <c r="B2469" s="1448"/>
      <c r="C2469" s="1448"/>
      <c r="D2469" s="1448"/>
      <c r="E2469" s="30">
        <v>61635430</v>
      </c>
      <c r="F2469" s="31" t="s">
        <v>2655</v>
      </c>
      <c r="G2469" s="1448"/>
      <c r="H2469" s="30">
        <v>30220223</v>
      </c>
      <c r="I2469" s="30">
        <v>9900</v>
      </c>
      <c r="J2469" s="64">
        <v>0.1</v>
      </c>
      <c r="K2469" s="30">
        <v>10</v>
      </c>
      <c r="L2469" s="30">
        <f t="shared" si="9"/>
        <v>99000</v>
      </c>
      <c r="M2469" s="1454"/>
      <c r="N2469" s="1446"/>
    </row>
    <row r="2470" spans="2:14" ht="16.5" customHeight="1">
      <c r="B2470" s="1448"/>
      <c r="C2470" s="1448"/>
      <c r="D2470" s="1448"/>
      <c r="E2470" s="30">
        <v>74050654</v>
      </c>
      <c r="F2470" s="31" t="s">
        <v>2656</v>
      </c>
      <c r="G2470" s="1448"/>
      <c r="H2470" s="30">
        <v>30220226</v>
      </c>
      <c r="I2470" s="30">
        <v>9900</v>
      </c>
      <c r="J2470" s="64">
        <v>0.1</v>
      </c>
      <c r="K2470" s="30">
        <v>10</v>
      </c>
      <c r="L2470" s="30">
        <f t="shared" si="9"/>
        <v>99000</v>
      </c>
      <c r="M2470" s="1454"/>
      <c r="N2470" s="1446"/>
    </row>
    <row r="2471" spans="2:14" ht="16.5" customHeight="1">
      <c r="B2471" s="1448"/>
      <c r="C2471" s="1448"/>
      <c r="D2471" s="1448"/>
      <c r="E2471" s="30">
        <v>65532180</v>
      </c>
      <c r="F2471" s="31" t="s">
        <v>2657</v>
      </c>
      <c r="G2471" s="1448"/>
      <c r="H2471" s="30">
        <v>30220221</v>
      </c>
      <c r="I2471" s="30">
        <v>9900</v>
      </c>
      <c r="J2471" s="64">
        <v>0.1</v>
      </c>
      <c r="K2471" s="30">
        <v>10</v>
      </c>
      <c r="L2471" s="30">
        <f t="shared" si="9"/>
        <v>99000</v>
      </c>
      <c r="M2471" s="1454"/>
      <c r="N2471" s="1447"/>
    </row>
    <row r="2472" spans="2:14" ht="16.5" customHeight="1">
      <c r="B2472" s="1448" t="s">
        <v>137</v>
      </c>
      <c r="C2472" s="1448">
        <v>1</v>
      </c>
      <c r="D2472" s="1448" t="s">
        <v>158</v>
      </c>
      <c r="E2472" s="92">
        <v>30214764</v>
      </c>
      <c r="F2472" s="90" t="s">
        <v>793</v>
      </c>
      <c r="G2472" s="1532" t="s">
        <v>793</v>
      </c>
      <c r="H2472" s="92">
        <v>30214764</v>
      </c>
      <c r="I2472" s="424">
        <v>28800</v>
      </c>
      <c r="J2472" s="203">
        <v>0.15</v>
      </c>
      <c r="K2472" s="1524">
        <v>5</v>
      </c>
      <c r="L2472" s="1526">
        <v>144000</v>
      </c>
      <c r="M2472" s="1527" t="s">
        <v>2658</v>
      </c>
      <c r="N2472" s="1445">
        <v>20250213298</v>
      </c>
    </row>
    <row r="2473" spans="2:14" ht="16.5" customHeight="1">
      <c r="B2473" s="1448"/>
      <c r="C2473" s="1448"/>
      <c r="D2473" s="1448"/>
      <c r="E2473" s="92">
        <v>30214769</v>
      </c>
      <c r="F2473" s="90" t="s">
        <v>792</v>
      </c>
      <c r="G2473" s="1532"/>
      <c r="H2473" s="92">
        <v>30214769</v>
      </c>
      <c r="I2473" s="424">
        <v>24800</v>
      </c>
      <c r="J2473" s="203">
        <v>0.15</v>
      </c>
      <c r="K2473" s="1524"/>
      <c r="L2473" s="1526"/>
      <c r="M2473" s="1527"/>
      <c r="N2473" s="1446"/>
    </row>
    <row r="2474" spans="2:14" ht="16.5" customHeight="1">
      <c r="B2474" s="1448"/>
      <c r="C2474" s="1448"/>
      <c r="D2474" s="1448"/>
      <c r="E2474" s="92">
        <v>30220091</v>
      </c>
      <c r="F2474" s="90" t="s">
        <v>2659</v>
      </c>
      <c r="G2474" s="1532"/>
      <c r="H2474" s="92">
        <v>30220091</v>
      </c>
      <c r="I2474" s="424">
        <v>29800</v>
      </c>
      <c r="J2474" s="203">
        <v>0.15</v>
      </c>
      <c r="K2474" s="1524"/>
      <c r="L2474" s="1526"/>
      <c r="M2474" s="1527"/>
      <c r="N2474" s="1446"/>
    </row>
    <row r="2475" spans="2:14" ht="16.5" customHeight="1">
      <c r="B2475" s="1448"/>
      <c r="C2475" s="1448"/>
      <c r="D2475" s="1448"/>
      <c r="E2475" s="92">
        <v>30214762</v>
      </c>
      <c r="F2475" s="90" t="s">
        <v>794</v>
      </c>
      <c r="G2475" s="1532"/>
      <c r="H2475" s="92">
        <v>30214762</v>
      </c>
      <c r="I2475" s="424">
        <v>34800</v>
      </c>
      <c r="J2475" s="203">
        <v>0.15</v>
      </c>
      <c r="K2475" s="1524"/>
      <c r="L2475" s="1526"/>
      <c r="M2475" s="1527"/>
      <c r="N2475" s="1447"/>
    </row>
    <row r="2476" spans="2:14" ht="16.5" customHeight="1">
      <c r="B2476" s="1448"/>
      <c r="C2476" s="1448">
        <v>2</v>
      </c>
      <c r="D2476" s="1528" t="s">
        <v>147</v>
      </c>
      <c r="E2476" s="46">
        <v>30022311</v>
      </c>
      <c r="F2476" s="46" t="s">
        <v>1366</v>
      </c>
      <c r="G2476" s="1529" t="s">
        <v>148</v>
      </c>
      <c r="H2476" s="46">
        <v>30172484</v>
      </c>
      <c r="I2476" s="425">
        <v>10900</v>
      </c>
      <c r="J2476" s="49">
        <v>0.1</v>
      </c>
      <c r="K2476" s="1528">
        <v>3</v>
      </c>
      <c r="L2476" s="1530">
        <v>32700</v>
      </c>
      <c r="M2476" s="1531" t="s">
        <v>149</v>
      </c>
      <c r="N2476" s="1445">
        <v>20250213299</v>
      </c>
    </row>
    <row r="2477" spans="2:14" ht="16.5" customHeight="1">
      <c r="B2477" s="1448"/>
      <c r="C2477" s="1448"/>
      <c r="D2477" s="1448"/>
      <c r="E2477" s="46">
        <v>11130360</v>
      </c>
      <c r="F2477" s="46" t="s">
        <v>788</v>
      </c>
      <c r="G2477" s="1529"/>
      <c r="H2477" s="46">
        <v>30183380</v>
      </c>
      <c r="I2477" s="425">
        <v>13900</v>
      </c>
      <c r="J2477" s="49">
        <v>0.1</v>
      </c>
      <c r="K2477" s="1528"/>
      <c r="L2477" s="1530"/>
      <c r="M2477" s="1531"/>
      <c r="N2477" s="1446"/>
    </row>
    <row r="2478" spans="2:14" ht="16.5" customHeight="1">
      <c r="B2478" s="1448"/>
      <c r="C2478" s="1448"/>
      <c r="D2478" s="1448"/>
      <c r="E2478" s="46">
        <v>66982451</v>
      </c>
      <c r="F2478" s="46" t="s">
        <v>2660</v>
      </c>
      <c r="G2478" s="1529"/>
      <c r="H2478" s="46">
        <v>30196618</v>
      </c>
      <c r="I2478" s="425">
        <v>10900</v>
      </c>
      <c r="J2478" s="49">
        <v>0.1</v>
      </c>
      <c r="K2478" s="1528"/>
      <c r="L2478" s="1530"/>
      <c r="M2478" s="1531"/>
      <c r="N2478" s="1446"/>
    </row>
    <row r="2479" spans="2:14" ht="16.5" customHeight="1">
      <c r="B2479" s="1448"/>
      <c r="C2479" s="1448"/>
      <c r="D2479" s="1448"/>
      <c r="E2479" s="46">
        <v>49470716</v>
      </c>
      <c r="F2479" s="46" t="s">
        <v>2661</v>
      </c>
      <c r="G2479" s="1529"/>
      <c r="H2479" s="46">
        <v>30201370</v>
      </c>
      <c r="I2479" s="425">
        <v>13900</v>
      </c>
      <c r="J2479" s="49">
        <v>0.1</v>
      </c>
      <c r="K2479" s="1528"/>
      <c r="L2479" s="1530"/>
      <c r="M2479" s="1531"/>
      <c r="N2479" s="1446"/>
    </row>
    <row r="2480" spans="2:14" ht="16.5" customHeight="1">
      <c r="B2480" s="1448"/>
      <c r="C2480" s="1448"/>
      <c r="D2480" s="1448"/>
      <c r="E2480" s="46">
        <v>30036529</v>
      </c>
      <c r="F2480" s="46" t="s">
        <v>2662</v>
      </c>
      <c r="G2480" s="1529"/>
      <c r="H2480" s="46">
        <v>30219994</v>
      </c>
      <c r="I2480" s="425">
        <v>8900</v>
      </c>
      <c r="J2480" s="49">
        <v>0.1</v>
      </c>
      <c r="K2480" s="1528"/>
      <c r="L2480" s="1530"/>
      <c r="M2480" s="1531"/>
      <c r="N2480" s="1447"/>
    </row>
    <row r="2481" spans="2:15" ht="16.5" customHeight="1">
      <c r="B2481" s="1448"/>
      <c r="C2481" s="1448">
        <v>3</v>
      </c>
      <c r="D2481" s="1462" t="s">
        <v>773</v>
      </c>
      <c r="E2481" s="38">
        <v>30196289</v>
      </c>
      <c r="F2481" s="38" t="s">
        <v>2663</v>
      </c>
      <c r="G2481" s="1521" t="s">
        <v>2664</v>
      </c>
      <c r="H2481" s="40">
        <v>30196622</v>
      </c>
      <c r="I2481" s="426">
        <v>10900</v>
      </c>
      <c r="J2481" s="42">
        <v>0.1</v>
      </c>
      <c r="K2481" s="1462">
        <v>3</v>
      </c>
      <c r="L2481" s="1525">
        <v>32700</v>
      </c>
      <c r="M2481" s="1521" t="s">
        <v>2665</v>
      </c>
      <c r="N2481" s="1445">
        <v>20250213300</v>
      </c>
    </row>
    <row r="2482" spans="2:15" ht="16.5" customHeight="1">
      <c r="B2482" s="1448"/>
      <c r="C2482" s="1448"/>
      <c r="D2482" s="1462"/>
      <c r="E2482" s="38">
        <v>30197027</v>
      </c>
      <c r="F2482" s="38" t="s">
        <v>2666</v>
      </c>
      <c r="G2482" s="1521"/>
      <c r="H2482" s="40">
        <v>30202589</v>
      </c>
      <c r="I2482" s="426">
        <v>12900</v>
      </c>
      <c r="J2482" s="42">
        <v>0.1</v>
      </c>
      <c r="K2482" s="1462"/>
      <c r="L2482" s="1525"/>
      <c r="M2482" s="1521"/>
      <c r="N2482" s="1446"/>
    </row>
    <row r="2483" spans="2:15" ht="16.5" customHeight="1">
      <c r="B2483" s="1448"/>
      <c r="C2483" s="1448"/>
      <c r="D2483" s="1462"/>
      <c r="E2483" s="38">
        <v>30140405</v>
      </c>
      <c r="F2483" s="38" t="s">
        <v>2667</v>
      </c>
      <c r="G2483" s="1521"/>
      <c r="H2483" s="40">
        <v>30184538</v>
      </c>
      <c r="I2483" s="426">
        <v>10900</v>
      </c>
      <c r="J2483" s="42">
        <v>0.1</v>
      </c>
      <c r="K2483" s="1462"/>
      <c r="L2483" s="1525"/>
      <c r="M2483" s="1521"/>
      <c r="N2483" s="1446"/>
    </row>
    <row r="2484" spans="2:15" ht="16.5" customHeight="1">
      <c r="B2484" s="1448"/>
      <c r="C2484" s="1448"/>
      <c r="D2484" s="1462"/>
      <c r="E2484" s="38">
        <v>30196291</v>
      </c>
      <c r="F2484" s="38" t="s">
        <v>142</v>
      </c>
      <c r="G2484" s="1521"/>
      <c r="H2484" s="40">
        <v>30196638</v>
      </c>
      <c r="I2484" s="426">
        <v>10900</v>
      </c>
      <c r="J2484" s="42">
        <v>0.1</v>
      </c>
      <c r="K2484" s="1462"/>
      <c r="L2484" s="1525"/>
      <c r="M2484" s="1521"/>
      <c r="N2484" s="1446"/>
    </row>
    <row r="2485" spans="2:15" ht="16.5" customHeight="1">
      <c r="B2485" s="1448"/>
      <c r="C2485" s="1448"/>
      <c r="D2485" s="1462"/>
      <c r="E2485" s="38">
        <v>30195669</v>
      </c>
      <c r="F2485" s="38" t="s">
        <v>144</v>
      </c>
      <c r="G2485" s="1521"/>
      <c r="H2485" s="40">
        <v>30195740</v>
      </c>
      <c r="I2485" s="426">
        <v>12900</v>
      </c>
      <c r="J2485" s="42">
        <v>0.1</v>
      </c>
      <c r="K2485" s="1462"/>
      <c r="L2485" s="1525"/>
      <c r="M2485" s="1521"/>
      <c r="N2485" s="1446"/>
    </row>
    <row r="2486" spans="2:15" ht="16.5" customHeight="1">
      <c r="B2486" s="1448"/>
      <c r="C2486" s="1448"/>
      <c r="D2486" s="1462"/>
      <c r="E2486" s="38">
        <v>30196287</v>
      </c>
      <c r="F2486" s="38" t="s">
        <v>146</v>
      </c>
      <c r="G2486" s="1521"/>
      <c r="H2486" s="40">
        <v>30196639</v>
      </c>
      <c r="I2486" s="426">
        <v>15900</v>
      </c>
      <c r="J2486" s="42">
        <v>0.1</v>
      </c>
      <c r="K2486" s="1462"/>
      <c r="L2486" s="1525"/>
      <c r="M2486" s="1521"/>
      <c r="N2486" s="1447"/>
    </row>
    <row r="2487" spans="2:15" ht="16.5" customHeight="1">
      <c r="B2487" s="1448" t="s">
        <v>795</v>
      </c>
      <c r="C2487" s="1448">
        <v>1</v>
      </c>
      <c r="D2487" s="1524" t="s">
        <v>1220</v>
      </c>
      <c r="E2487" s="40">
        <v>76617772</v>
      </c>
      <c r="F2487" s="40" t="s">
        <v>2668</v>
      </c>
      <c r="G2487" s="1444" t="s">
        <v>2669</v>
      </c>
      <c r="H2487" s="157">
        <v>30220275</v>
      </c>
      <c r="I2487" s="427">
        <v>8600</v>
      </c>
      <c r="J2487" s="203">
        <v>0.1</v>
      </c>
      <c r="K2487" s="1443">
        <v>10</v>
      </c>
      <c r="L2487" s="1474">
        <v>86000</v>
      </c>
      <c r="M2487" s="1444" t="s">
        <v>2670</v>
      </c>
      <c r="N2487" s="1445">
        <v>20250213301</v>
      </c>
    </row>
    <row r="2488" spans="2:15" ht="16.5" customHeight="1">
      <c r="B2488" s="1448"/>
      <c r="C2488" s="1448"/>
      <c r="D2488" s="1524"/>
      <c r="E2488" s="40">
        <v>44997903</v>
      </c>
      <c r="F2488" s="40" t="s">
        <v>2671</v>
      </c>
      <c r="G2488" s="1444"/>
      <c r="H2488" s="157">
        <v>30220274</v>
      </c>
      <c r="I2488" s="427">
        <v>12900</v>
      </c>
      <c r="J2488" s="203">
        <v>0.1</v>
      </c>
      <c r="K2488" s="1443"/>
      <c r="L2488" s="1443"/>
      <c r="M2488" s="1444"/>
      <c r="N2488" s="1446"/>
    </row>
    <row r="2489" spans="2:15" ht="16.5" customHeight="1">
      <c r="B2489" s="1448"/>
      <c r="C2489" s="1448"/>
      <c r="D2489" s="1524"/>
      <c r="E2489" s="40">
        <v>44997905</v>
      </c>
      <c r="F2489" s="40" t="s">
        <v>2672</v>
      </c>
      <c r="G2489" s="1444"/>
      <c r="H2489" s="157">
        <v>30220272</v>
      </c>
      <c r="I2489" s="427">
        <v>17200</v>
      </c>
      <c r="J2489" s="203">
        <v>0.1</v>
      </c>
      <c r="K2489" s="1443"/>
      <c r="L2489" s="1443"/>
      <c r="M2489" s="1444"/>
      <c r="N2489" s="1447"/>
    </row>
    <row r="2490" spans="2:15" ht="16.5" customHeight="1">
      <c r="B2490" s="1448"/>
      <c r="C2490" s="1448">
        <v>2</v>
      </c>
      <c r="D2490" s="1520" t="s">
        <v>257</v>
      </c>
      <c r="E2490" s="38">
        <v>30185926</v>
      </c>
      <c r="F2490" s="38" t="s">
        <v>1232</v>
      </c>
      <c r="G2490" s="1521" t="s">
        <v>1885</v>
      </c>
      <c r="H2490" s="38">
        <v>30198440</v>
      </c>
      <c r="I2490" s="426">
        <v>15500</v>
      </c>
      <c r="J2490" s="42">
        <v>0.15</v>
      </c>
      <c r="K2490" s="1520">
        <v>10</v>
      </c>
      <c r="L2490" s="1523">
        <v>155000</v>
      </c>
      <c r="M2490" s="1521" t="s">
        <v>1886</v>
      </c>
      <c r="N2490" s="1445">
        <v>20250213302</v>
      </c>
      <c r="O2490" s="4" t="s">
        <v>1217</v>
      </c>
    </row>
    <row r="2491" spans="2:15" ht="16.5" customHeight="1">
      <c r="B2491" s="1448"/>
      <c r="C2491" s="1448"/>
      <c r="D2491" s="1520"/>
      <c r="E2491" s="38">
        <v>30185932</v>
      </c>
      <c r="F2491" s="38" t="s">
        <v>1235</v>
      </c>
      <c r="G2491" s="1521"/>
      <c r="H2491" s="38">
        <v>30198439</v>
      </c>
      <c r="I2491" s="426">
        <v>20500</v>
      </c>
      <c r="J2491" s="42">
        <v>0.15</v>
      </c>
      <c r="K2491" s="1520"/>
      <c r="L2491" s="1520"/>
      <c r="M2491" s="1521"/>
      <c r="N2491" s="1446"/>
    </row>
    <row r="2492" spans="2:15" ht="16.5" customHeight="1">
      <c r="B2492" s="1448"/>
      <c r="C2492" s="1448"/>
      <c r="D2492" s="1520"/>
      <c r="E2492" s="38">
        <v>30185933</v>
      </c>
      <c r="F2492" s="38" t="s">
        <v>1236</v>
      </c>
      <c r="G2492" s="1521"/>
      <c r="H2492" s="38">
        <v>30197906</v>
      </c>
      <c r="I2492" s="41">
        <v>26500</v>
      </c>
      <c r="J2492" s="42">
        <v>0.15</v>
      </c>
      <c r="K2492" s="1520"/>
      <c r="L2492" s="1520"/>
      <c r="M2492" s="1521"/>
      <c r="N2492" s="1447"/>
    </row>
    <row r="2493" spans="2:15">
      <c r="B2493" s="253"/>
      <c r="C2493" s="253"/>
      <c r="D2493" s="127"/>
      <c r="E2493" s="127"/>
      <c r="F2493" s="128"/>
      <c r="G2493" s="254"/>
      <c r="H2493" s="127"/>
      <c r="I2493" s="127"/>
      <c r="J2493" s="255"/>
      <c r="K2493" s="127"/>
      <c r="L2493" s="256"/>
      <c r="M2493" s="254"/>
      <c r="N2493" s="127"/>
    </row>
    <row r="2494" spans="2:15" ht="31.5">
      <c r="B2494" s="1441" t="s">
        <v>2673</v>
      </c>
      <c r="C2494" s="1442"/>
      <c r="D2494" s="1442"/>
      <c r="E2494" s="1442"/>
      <c r="F2494" s="1442"/>
      <c r="G2494" s="1442"/>
      <c r="H2494" s="1442"/>
      <c r="I2494" s="1442"/>
      <c r="J2494" s="1442"/>
      <c r="K2494" s="1442"/>
      <c r="L2494" s="1442"/>
      <c r="M2494" s="1442"/>
      <c r="N2494" s="1442"/>
    </row>
    <row r="2495" spans="2:15" ht="29.25" customHeight="1">
      <c r="B2495" s="15" t="s">
        <v>2674</v>
      </c>
      <c r="C2495" s="15"/>
      <c r="D2495" s="15"/>
      <c r="E2495" s="15"/>
      <c r="F2495" s="15"/>
      <c r="G2495" s="15"/>
      <c r="H2495" s="15"/>
      <c r="I2495" s="15"/>
      <c r="J2495" s="15"/>
      <c r="K2495" s="15"/>
      <c r="L2495" s="15"/>
      <c r="M2495" s="15"/>
      <c r="N2495" s="15"/>
    </row>
    <row r="2496" spans="2:15" ht="16.5" customHeight="1">
      <c r="B2496" s="1448" t="s">
        <v>910</v>
      </c>
      <c r="C2496" s="29">
        <v>1</v>
      </c>
      <c r="D2496" s="29" t="s">
        <v>911</v>
      </c>
      <c r="E2496" s="30">
        <v>30164968</v>
      </c>
      <c r="F2496" s="31" t="s">
        <v>912</v>
      </c>
      <c r="G2496" s="33" t="s">
        <v>2675</v>
      </c>
      <c r="H2496" s="30">
        <v>30209852</v>
      </c>
      <c r="I2496" s="35">
        <v>8900</v>
      </c>
      <c r="J2496" s="64">
        <v>0.15</v>
      </c>
      <c r="K2496" s="30">
        <v>10</v>
      </c>
      <c r="L2496" s="35">
        <v>89000</v>
      </c>
      <c r="M2496" s="33" t="s">
        <v>2676</v>
      </c>
      <c r="N2496" s="69">
        <v>20250219306</v>
      </c>
    </row>
    <row r="2497" spans="2:14" ht="16.5" customHeight="1">
      <c r="B2497" s="1448"/>
      <c r="C2497" s="1448">
        <v>2</v>
      </c>
      <c r="D2497" s="1448" t="s">
        <v>930</v>
      </c>
      <c r="E2497" s="30">
        <v>30218313</v>
      </c>
      <c r="F2497" s="31" t="s">
        <v>2677</v>
      </c>
      <c r="G2497" s="1454" t="s">
        <v>2678</v>
      </c>
      <c r="H2497" s="30">
        <v>30220730</v>
      </c>
      <c r="I2497" s="35">
        <v>14900</v>
      </c>
      <c r="J2497" s="64">
        <v>0.1</v>
      </c>
      <c r="K2497" s="30">
        <v>10</v>
      </c>
      <c r="L2497" s="35">
        <v>149000</v>
      </c>
      <c r="M2497" s="1454" t="s">
        <v>2679</v>
      </c>
      <c r="N2497" s="1445">
        <v>20250219307</v>
      </c>
    </row>
    <row r="2498" spans="2:14" ht="16.5" customHeight="1">
      <c r="B2498" s="1448"/>
      <c r="C2498" s="1448"/>
      <c r="D2498" s="1448"/>
      <c r="E2498" s="30">
        <v>30220673</v>
      </c>
      <c r="F2498" s="31" t="s">
        <v>2680</v>
      </c>
      <c r="G2498" s="1448"/>
      <c r="H2498" s="30">
        <v>30220736</v>
      </c>
      <c r="I2498" s="35">
        <v>26900</v>
      </c>
      <c r="J2498" s="64">
        <v>0.1</v>
      </c>
      <c r="K2498" s="30">
        <v>5</v>
      </c>
      <c r="L2498" s="35">
        <v>134500</v>
      </c>
      <c r="M2498" s="1454"/>
      <c r="N2498" s="1447"/>
    </row>
    <row r="2499" spans="2:14" ht="16.5" customHeight="1">
      <c r="B2499" s="1448"/>
      <c r="C2499" s="1448">
        <v>3</v>
      </c>
      <c r="D2499" s="1448" t="s">
        <v>935</v>
      </c>
      <c r="E2499" s="30">
        <v>30152268</v>
      </c>
      <c r="F2499" s="31" t="s">
        <v>2681</v>
      </c>
      <c r="G2499" s="1454" t="s">
        <v>2682</v>
      </c>
      <c r="H2499" s="30">
        <v>30152268</v>
      </c>
      <c r="I2499" s="35">
        <v>7500</v>
      </c>
      <c r="J2499" s="64">
        <v>0.13</v>
      </c>
      <c r="K2499" s="30">
        <v>10</v>
      </c>
      <c r="L2499" s="35">
        <v>75000</v>
      </c>
      <c r="M2499" s="1454" t="s">
        <v>2683</v>
      </c>
      <c r="N2499" s="1445">
        <v>20250219308</v>
      </c>
    </row>
    <row r="2500" spans="2:14" ht="16.5" customHeight="1">
      <c r="B2500" s="1448"/>
      <c r="C2500" s="1448"/>
      <c r="D2500" s="1448"/>
      <c r="E2500" s="30">
        <v>30152269</v>
      </c>
      <c r="F2500" s="31" t="s">
        <v>2684</v>
      </c>
      <c r="G2500" s="1454"/>
      <c r="H2500" s="30">
        <v>30152269</v>
      </c>
      <c r="I2500" s="35">
        <v>11900</v>
      </c>
      <c r="J2500" s="64">
        <v>0.13</v>
      </c>
      <c r="K2500" s="30">
        <v>10</v>
      </c>
      <c r="L2500" s="35">
        <v>119000</v>
      </c>
      <c r="M2500" s="1454"/>
      <c r="N2500" s="1446"/>
    </row>
    <row r="2501" spans="2:14" ht="16.5" customHeight="1">
      <c r="B2501" s="1448"/>
      <c r="C2501" s="1448"/>
      <c r="D2501" s="1448"/>
      <c r="E2501" s="30">
        <v>30152270</v>
      </c>
      <c r="F2501" s="31" t="s">
        <v>2685</v>
      </c>
      <c r="G2501" s="1448"/>
      <c r="H2501" s="30">
        <v>30152270</v>
      </c>
      <c r="I2501" s="35">
        <v>21900</v>
      </c>
      <c r="J2501" s="64">
        <v>0.13</v>
      </c>
      <c r="K2501" s="30">
        <v>5</v>
      </c>
      <c r="L2501" s="35">
        <v>109500</v>
      </c>
      <c r="M2501" s="1454"/>
      <c r="N2501" s="1446"/>
    </row>
    <row r="2502" spans="2:14" ht="16.5" customHeight="1">
      <c r="B2502" s="1448"/>
      <c r="C2502" s="1448"/>
      <c r="D2502" s="1448"/>
      <c r="E2502" s="30">
        <v>30152273</v>
      </c>
      <c r="F2502" s="31" t="s">
        <v>940</v>
      </c>
      <c r="G2502" s="1448"/>
      <c r="H2502" s="30">
        <v>30152273</v>
      </c>
      <c r="I2502" s="35">
        <v>7500</v>
      </c>
      <c r="J2502" s="64">
        <v>0.13</v>
      </c>
      <c r="K2502" s="30">
        <v>10</v>
      </c>
      <c r="L2502" s="35">
        <v>75000</v>
      </c>
      <c r="M2502" s="1454"/>
      <c r="N2502" s="1446"/>
    </row>
    <row r="2503" spans="2:14" ht="16.5" customHeight="1">
      <c r="B2503" s="1448"/>
      <c r="C2503" s="1448"/>
      <c r="D2503" s="1448"/>
      <c r="E2503" s="30">
        <v>30152275</v>
      </c>
      <c r="F2503" s="31" t="s">
        <v>941</v>
      </c>
      <c r="G2503" s="1448"/>
      <c r="H2503" s="30">
        <v>30152275</v>
      </c>
      <c r="I2503" s="35">
        <v>11900</v>
      </c>
      <c r="J2503" s="64">
        <v>0.13</v>
      </c>
      <c r="K2503" s="30">
        <v>10</v>
      </c>
      <c r="L2503" s="35">
        <v>119000</v>
      </c>
      <c r="M2503" s="1454"/>
      <c r="N2503" s="1447"/>
    </row>
    <row r="2504" spans="2:14" ht="16.5" customHeight="1">
      <c r="B2504" s="1448"/>
      <c r="C2504" s="1448">
        <v>4</v>
      </c>
      <c r="D2504" s="1448" t="s">
        <v>915</v>
      </c>
      <c r="E2504" s="30">
        <v>10361276</v>
      </c>
      <c r="F2504" s="31" t="s">
        <v>1718</v>
      </c>
      <c r="G2504" s="1454" t="s">
        <v>2686</v>
      </c>
      <c r="H2504" s="30">
        <v>30175572</v>
      </c>
      <c r="I2504" s="35">
        <v>9500</v>
      </c>
      <c r="J2504" s="64">
        <v>0.1</v>
      </c>
      <c r="K2504" s="30">
        <v>10</v>
      </c>
      <c r="L2504" s="35">
        <v>95000</v>
      </c>
      <c r="M2504" s="1454" t="s">
        <v>2687</v>
      </c>
      <c r="N2504" s="1445">
        <v>20250219309</v>
      </c>
    </row>
    <row r="2505" spans="2:14" ht="16.5" customHeight="1">
      <c r="B2505" s="1448"/>
      <c r="C2505" s="1448"/>
      <c r="D2505" s="1448"/>
      <c r="E2505" s="30">
        <v>30176130</v>
      </c>
      <c r="F2505" s="31" t="s">
        <v>1722</v>
      </c>
      <c r="G2505" s="1448"/>
      <c r="H2505" s="30">
        <v>30213468</v>
      </c>
      <c r="I2505" s="35">
        <v>9900</v>
      </c>
      <c r="J2505" s="64">
        <v>0.1</v>
      </c>
      <c r="K2505" s="30">
        <v>10</v>
      </c>
      <c r="L2505" s="35">
        <v>99000</v>
      </c>
      <c r="M2505" s="1454"/>
      <c r="N2505" s="1447"/>
    </row>
    <row r="2506" spans="2:14" ht="16.5" customHeight="1">
      <c r="B2506" s="1448"/>
      <c r="C2506" s="1448">
        <v>5</v>
      </c>
      <c r="D2506" s="1448" t="s">
        <v>2688</v>
      </c>
      <c r="E2506" s="30">
        <v>30221358</v>
      </c>
      <c r="F2506" s="31" t="s">
        <v>2689</v>
      </c>
      <c r="G2506" s="1451" t="s">
        <v>2690</v>
      </c>
      <c r="H2506" s="30">
        <v>30222136</v>
      </c>
      <c r="I2506" s="35">
        <v>21500</v>
      </c>
      <c r="J2506" s="64">
        <v>0.12</v>
      </c>
      <c r="K2506" s="30">
        <v>5</v>
      </c>
      <c r="L2506" s="35">
        <v>107500</v>
      </c>
      <c r="M2506" s="1514" t="s">
        <v>2691</v>
      </c>
      <c r="N2506" s="1446">
        <v>20250219335</v>
      </c>
    </row>
    <row r="2507" spans="2:14" ht="16.5" customHeight="1">
      <c r="B2507" s="1448"/>
      <c r="C2507" s="1448"/>
      <c r="D2507" s="1448"/>
      <c r="E2507" s="30">
        <v>30221354</v>
      </c>
      <c r="F2507" s="31" t="s">
        <v>2692</v>
      </c>
      <c r="G2507" s="1452"/>
      <c r="H2507" s="30">
        <v>30222135</v>
      </c>
      <c r="I2507" s="35">
        <v>28900</v>
      </c>
      <c r="J2507" s="64">
        <v>0.12</v>
      </c>
      <c r="K2507" s="30">
        <v>5</v>
      </c>
      <c r="L2507" s="35">
        <v>144500</v>
      </c>
      <c r="M2507" s="1514"/>
      <c r="N2507" s="1446"/>
    </row>
    <row r="2508" spans="2:14" ht="16.5" customHeight="1">
      <c r="B2508" s="1448"/>
      <c r="C2508" s="1448"/>
      <c r="D2508" s="1448"/>
      <c r="E2508" s="30">
        <v>30221363</v>
      </c>
      <c r="F2508" s="31" t="s">
        <v>2693</v>
      </c>
      <c r="G2508" s="1453"/>
      <c r="H2508" s="30">
        <v>30222137</v>
      </c>
      <c r="I2508" s="35">
        <v>20500</v>
      </c>
      <c r="J2508" s="64">
        <v>0.12</v>
      </c>
      <c r="K2508" s="30">
        <v>5</v>
      </c>
      <c r="L2508" s="35">
        <v>102500</v>
      </c>
      <c r="M2508" s="1513"/>
      <c r="N2508" s="1447"/>
    </row>
    <row r="2509" spans="2:14" ht="16.5" customHeight="1">
      <c r="B2509" s="1448" t="s">
        <v>942</v>
      </c>
      <c r="C2509" s="29">
        <v>1</v>
      </c>
      <c r="D2509" s="29" t="s">
        <v>2694</v>
      </c>
      <c r="E2509" s="428">
        <v>30220340</v>
      </c>
      <c r="F2509" s="31" t="s">
        <v>2695</v>
      </c>
      <c r="G2509" s="31" t="s">
        <v>2696</v>
      </c>
      <c r="H2509" s="30">
        <v>30220641</v>
      </c>
      <c r="I2509" s="30">
        <v>69900</v>
      </c>
      <c r="J2509" s="64">
        <v>0.12</v>
      </c>
      <c r="K2509" s="30">
        <v>5</v>
      </c>
      <c r="L2509" s="35">
        <v>349500</v>
      </c>
      <c r="M2509" s="33" t="s">
        <v>2697</v>
      </c>
      <c r="N2509" s="69">
        <v>20250219310</v>
      </c>
    </row>
    <row r="2510" spans="2:14" ht="16.5" customHeight="1">
      <c r="B2510" s="1448"/>
      <c r="C2510" s="29">
        <v>2</v>
      </c>
      <c r="D2510" s="29" t="s">
        <v>2698</v>
      </c>
      <c r="E2510" s="428">
        <v>30220341</v>
      </c>
      <c r="F2510" s="31" t="s">
        <v>2699</v>
      </c>
      <c r="G2510" s="31" t="s">
        <v>2700</v>
      </c>
      <c r="H2510" s="30">
        <v>30220653</v>
      </c>
      <c r="I2510" s="30">
        <v>14900</v>
      </c>
      <c r="J2510" s="64">
        <v>0.1</v>
      </c>
      <c r="K2510" s="30">
        <v>10</v>
      </c>
      <c r="L2510" s="35">
        <v>149000</v>
      </c>
      <c r="M2510" s="31" t="s">
        <v>2701</v>
      </c>
      <c r="N2510" s="69">
        <v>20250219311</v>
      </c>
    </row>
    <row r="2511" spans="2:14" ht="16.5" customHeight="1">
      <c r="B2511" s="1448"/>
      <c r="C2511" s="29">
        <v>4</v>
      </c>
      <c r="D2511" s="29" t="s">
        <v>2702</v>
      </c>
      <c r="E2511" s="30">
        <v>30169871</v>
      </c>
      <c r="F2511" s="31" t="s">
        <v>2703</v>
      </c>
      <c r="G2511" s="31" t="s">
        <v>2704</v>
      </c>
      <c r="H2511" s="30">
        <v>30220528</v>
      </c>
      <c r="I2511" s="30">
        <v>25900</v>
      </c>
      <c r="J2511" s="64">
        <v>0.1</v>
      </c>
      <c r="K2511" s="30">
        <v>5</v>
      </c>
      <c r="L2511" s="35">
        <v>129500</v>
      </c>
      <c r="M2511" s="33" t="s">
        <v>2705</v>
      </c>
      <c r="N2511" s="69">
        <v>20250219312</v>
      </c>
    </row>
    <row r="2512" spans="2:14" ht="16.5" customHeight="1">
      <c r="B2512" s="1448"/>
      <c r="C2512" s="29">
        <v>5</v>
      </c>
      <c r="D2512" s="29" t="s">
        <v>2706</v>
      </c>
      <c r="E2512" s="428">
        <v>30219782</v>
      </c>
      <c r="F2512" s="31" t="s">
        <v>2707</v>
      </c>
      <c r="G2512" s="29" t="s">
        <v>2708</v>
      </c>
      <c r="H2512" s="30">
        <v>30220661</v>
      </c>
      <c r="I2512" s="30">
        <v>59900</v>
      </c>
      <c r="J2512" s="64">
        <v>0.12</v>
      </c>
      <c r="K2512" s="30">
        <v>3</v>
      </c>
      <c r="L2512" s="35">
        <v>179700</v>
      </c>
      <c r="M2512" s="33" t="s">
        <v>2709</v>
      </c>
      <c r="N2512" s="69">
        <v>20250219313</v>
      </c>
    </row>
    <row r="2513" spans="2:15" ht="16.5" customHeight="1">
      <c r="B2513" s="1448"/>
      <c r="C2513" s="29">
        <v>6</v>
      </c>
      <c r="D2513" s="29" t="s">
        <v>2710</v>
      </c>
      <c r="E2513" s="428">
        <v>30219771</v>
      </c>
      <c r="F2513" s="31" t="s">
        <v>2711</v>
      </c>
      <c r="G2513" s="33" t="s">
        <v>2712</v>
      </c>
      <c r="H2513" s="30">
        <v>30220318</v>
      </c>
      <c r="I2513" s="35">
        <v>10900</v>
      </c>
      <c r="J2513" s="64">
        <v>0.11</v>
      </c>
      <c r="K2513" s="30">
        <v>10</v>
      </c>
      <c r="L2513" s="35">
        <v>109000</v>
      </c>
      <c r="M2513" s="32" t="s">
        <v>2713</v>
      </c>
      <c r="N2513" s="72">
        <v>20250219314</v>
      </c>
    </row>
    <row r="2514" spans="2:15" ht="16.5" customHeight="1">
      <c r="B2514" s="1448"/>
      <c r="C2514" s="1448">
        <v>7</v>
      </c>
      <c r="D2514" s="1448" t="s">
        <v>951</v>
      </c>
      <c r="E2514" s="30">
        <v>30220511</v>
      </c>
      <c r="F2514" s="31" t="s">
        <v>2714</v>
      </c>
      <c r="G2514" s="1454" t="s">
        <v>2715</v>
      </c>
      <c r="H2514" s="30">
        <v>30220510</v>
      </c>
      <c r="I2514" s="35">
        <v>5500</v>
      </c>
      <c r="J2514" s="64">
        <v>0.11</v>
      </c>
      <c r="K2514" s="30">
        <v>10</v>
      </c>
      <c r="L2514" s="429">
        <v>55000</v>
      </c>
      <c r="M2514" s="1454" t="s">
        <v>2716</v>
      </c>
      <c r="N2514" s="1461">
        <v>20250219315</v>
      </c>
    </row>
    <row r="2515" spans="2:15" ht="16.5" customHeight="1">
      <c r="B2515" s="1448"/>
      <c r="C2515" s="1448"/>
      <c r="D2515" s="1448"/>
      <c r="E2515" s="30">
        <v>30052167</v>
      </c>
      <c r="F2515" s="31" t="s">
        <v>2717</v>
      </c>
      <c r="G2515" s="1448"/>
      <c r="H2515" s="30">
        <v>30220520</v>
      </c>
      <c r="I2515" s="35">
        <v>12900</v>
      </c>
      <c r="J2515" s="64">
        <v>0.1</v>
      </c>
      <c r="K2515" s="30">
        <v>10</v>
      </c>
      <c r="L2515" s="222">
        <v>105000</v>
      </c>
      <c r="M2515" s="1454"/>
      <c r="N2515" s="1461"/>
    </row>
    <row r="2516" spans="2:15" ht="16.5" customHeight="1">
      <c r="B2516" s="1448"/>
      <c r="C2516" s="1448"/>
      <c r="D2516" s="1448"/>
      <c r="E2516" s="30">
        <v>30220292</v>
      </c>
      <c r="F2516" s="31" t="s">
        <v>2718</v>
      </c>
      <c r="G2516" s="1448"/>
      <c r="H2516" s="30">
        <v>30220328</v>
      </c>
      <c r="I2516" s="35">
        <v>12500</v>
      </c>
      <c r="J2516" s="64">
        <v>0.1</v>
      </c>
      <c r="K2516" s="30">
        <v>10</v>
      </c>
      <c r="L2516" s="222">
        <v>125000</v>
      </c>
      <c r="M2516" s="1454"/>
      <c r="N2516" s="1461"/>
    </row>
    <row r="2517" spans="2:15" ht="16.5" customHeight="1">
      <c r="B2517" s="1448"/>
      <c r="C2517" s="1448"/>
      <c r="D2517" s="1448"/>
      <c r="E2517" s="30">
        <v>30220293</v>
      </c>
      <c r="F2517" s="31" t="s">
        <v>2719</v>
      </c>
      <c r="G2517" s="1448"/>
      <c r="H2517" s="30">
        <v>30220330</v>
      </c>
      <c r="I2517" s="35">
        <v>12500</v>
      </c>
      <c r="J2517" s="64">
        <v>0.1</v>
      </c>
      <c r="K2517" s="30">
        <v>10</v>
      </c>
      <c r="L2517" s="222">
        <v>125000</v>
      </c>
      <c r="M2517" s="1454"/>
      <c r="N2517" s="1461"/>
    </row>
    <row r="2518" spans="2:15" ht="16.5" customHeight="1">
      <c r="B2518" s="1448"/>
      <c r="C2518" s="1448"/>
      <c r="D2518" s="1448"/>
      <c r="E2518" s="30">
        <v>30220294</v>
      </c>
      <c r="F2518" s="31" t="s">
        <v>2720</v>
      </c>
      <c r="G2518" s="1448"/>
      <c r="H2518" s="30">
        <v>30220331</v>
      </c>
      <c r="I2518" s="35">
        <v>12500</v>
      </c>
      <c r="J2518" s="64">
        <v>0.1</v>
      </c>
      <c r="K2518" s="30">
        <v>10</v>
      </c>
      <c r="L2518" s="222">
        <v>125000</v>
      </c>
      <c r="M2518" s="1454"/>
      <c r="N2518" s="1461"/>
    </row>
    <row r="2519" spans="2:15" ht="16.5" customHeight="1">
      <c r="B2519" s="1448" t="s">
        <v>221</v>
      </c>
      <c r="C2519" s="1448">
        <v>1</v>
      </c>
      <c r="D2519" s="1454" t="s">
        <v>956</v>
      </c>
      <c r="E2519" s="30">
        <v>76422864</v>
      </c>
      <c r="F2519" s="31" t="s">
        <v>2721</v>
      </c>
      <c r="G2519" s="1454" t="s">
        <v>2722</v>
      </c>
      <c r="H2519" s="30">
        <v>30220332</v>
      </c>
      <c r="I2519" s="35">
        <v>26900</v>
      </c>
      <c r="J2519" s="64">
        <v>0.1</v>
      </c>
      <c r="K2519" s="30">
        <v>5</v>
      </c>
      <c r="L2519" s="222">
        <v>134500</v>
      </c>
      <c r="M2519" s="1454" t="s">
        <v>2723</v>
      </c>
      <c r="N2519" s="1461">
        <v>20250219316</v>
      </c>
    </row>
    <row r="2520" spans="2:15" ht="16.5" customHeight="1">
      <c r="B2520" s="1448"/>
      <c r="C2520" s="1448"/>
      <c r="D2520" s="1454"/>
      <c r="E2520" s="30">
        <v>76423034</v>
      </c>
      <c r="F2520" s="31" t="s">
        <v>2724</v>
      </c>
      <c r="G2520" s="1448"/>
      <c r="H2520" s="30">
        <v>30220333</v>
      </c>
      <c r="I2520" s="35">
        <v>19900</v>
      </c>
      <c r="J2520" s="64">
        <v>0.1</v>
      </c>
      <c r="K2520" s="30">
        <v>5</v>
      </c>
      <c r="L2520" s="222">
        <v>99500</v>
      </c>
      <c r="M2520" s="1454"/>
      <c r="N2520" s="1461"/>
    </row>
    <row r="2521" spans="2:15" ht="16.5" customHeight="1">
      <c r="B2521" s="1448"/>
      <c r="C2521" s="29">
        <v>2</v>
      </c>
      <c r="D2521" s="29" t="s">
        <v>411</v>
      </c>
      <c r="E2521" s="30">
        <v>11106615</v>
      </c>
      <c r="F2521" s="31" t="s">
        <v>2725</v>
      </c>
      <c r="G2521" s="31" t="s">
        <v>2726</v>
      </c>
      <c r="H2521" s="30">
        <v>30167066</v>
      </c>
      <c r="I2521" s="35">
        <v>24900</v>
      </c>
      <c r="J2521" s="64">
        <v>0.1</v>
      </c>
      <c r="K2521" s="30"/>
      <c r="L2521" s="35">
        <v>124500</v>
      </c>
      <c r="M2521" s="250" t="s">
        <v>2727</v>
      </c>
      <c r="N2521" s="430">
        <v>20250219317</v>
      </c>
    </row>
    <row r="2522" spans="2:15" ht="16.5" customHeight="1">
      <c r="B2522" s="1448" t="s">
        <v>1109</v>
      </c>
      <c r="C2522" s="1448">
        <v>1</v>
      </c>
      <c r="D2522" s="1448" t="s">
        <v>1502</v>
      </c>
      <c r="E2522" s="30">
        <v>30203100</v>
      </c>
      <c r="F2522" s="31" t="s">
        <v>1115</v>
      </c>
      <c r="G2522" s="1522" t="s">
        <v>2728</v>
      </c>
      <c r="H2522" s="30">
        <v>30210584</v>
      </c>
      <c r="I2522" s="35">
        <v>6900</v>
      </c>
      <c r="J2522" s="64">
        <v>0.1</v>
      </c>
      <c r="K2522" s="1448">
        <v>5</v>
      </c>
      <c r="L2522" s="1448">
        <f>I2522*5</f>
        <v>34500</v>
      </c>
      <c r="M2522" s="1454" t="s">
        <v>2729</v>
      </c>
      <c r="N2522" s="1445">
        <v>20250219318</v>
      </c>
      <c r="O2522" s="4" t="s">
        <v>2157</v>
      </c>
    </row>
    <row r="2523" spans="2:15" ht="16.5" customHeight="1">
      <c r="B2523" s="1448"/>
      <c r="C2523" s="1448"/>
      <c r="D2523" s="1448"/>
      <c r="E2523" s="30">
        <v>30198823</v>
      </c>
      <c r="F2523" s="31" t="s">
        <v>1111</v>
      </c>
      <c r="G2523" s="1448"/>
      <c r="H2523" s="30">
        <v>30201002</v>
      </c>
      <c r="I2523" s="35">
        <v>6900</v>
      </c>
      <c r="J2523" s="64">
        <v>0.1</v>
      </c>
      <c r="K2523" s="1448"/>
      <c r="L2523" s="1448"/>
      <c r="M2523" s="1454"/>
      <c r="N2523" s="1446"/>
    </row>
    <row r="2524" spans="2:15" ht="16.5" customHeight="1">
      <c r="B2524" s="1448"/>
      <c r="C2524" s="1448"/>
      <c r="D2524" s="1448"/>
      <c r="E2524" s="30">
        <v>30201344</v>
      </c>
      <c r="F2524" s="31" t="s">
        <v>1114</v>
      </c>
      <c r="G2524" s="1448"/>
      <c r="H2524" s="30">
        <v>30210583</v>
      </c>
      <c r="I2524" s="35">
        <v>8100</v>
      </c>
      <c r="J2524" s="64">
        <v>0.1</v>
      </c>
      <c r="K2524" s="1448"/>
      <c r="L2524" s="1448"/>
      <c r="M2524" s="1454"/>
      <c r="N2524" s="1446"/>
    </row>
    <row r="2525" spans="2:15" ht="16.5" customHeight="1">
      <c r="B2525" s="1448"/>
      <c r="C2525" s="1448"/>
      <c r="D2525" s="1448"/>
      <c r="E2525" s="30">
        <v>30199749</v>
      </c>
      <c r="F2525" s="31" t="s">
        <v>1116</v>
      </c>
      <c r="G2525" s="1448"/>
      <c r="H2525" s="30">
        <v>30210597</v>
      </c>
      <c r="I2525" s="35">
        <v>6100</v>
      </c>
      <c r="J2525" s="64">
        <v>0.1</v>
      </c>
      <c r="K2525" s="1448"/>
      <c r="L2525" s="1448"/>
      <c r="M2525" s="1454"/>
      <c r="N2525" s="1447"/>
    </row>
    <row r="2526" spans="2:15" ht="16.5" customHeight="1">
      <c r="B2526" s="1448" t="s">
        <v>32</v>
      </c>
      <c r="C2526" s="1448">
        <v>1</v>
      </c>
      <c r="D2526" s="1448" t="s">
        <v>525</v>
      </c>
      <c r="E2526" s="30"/>
      <c r="F2526" s="31" t="s">
        <v>527</v>
      </c>
      <c r="G2526" s="1454" t="s">
        <v>2267</v>
      </c>
      <c r="H2526" s="30">
        <v>30213534</v>
      </c>
      <c r="I2526" s="30">
        <v>38900</v>
      </c>
      <c r="J2526" s="64">
        <v>0.13</v>
      </c>
      <c r="K2526" s="30">
        <v>1</v>
      </c>
      <c r="L2526" s="30"/>
      <c r="M2526" s="1454" t="s">
        <v>2268</v>
      </c>
      <c r="N2526" s="1461">
        <v>20250219319</v>
      </c>
    </row>
    <row r="2527" spans="2:15" ht="16.5" customHeight="1">
      <c r="B2527" s="1448"/>
      <c r="C2527" s="1448"/>
      <c r="D2527" s="1448"/>
      <c r="E2527" s="30"/>
      <c r="F2527" s="31" t="s">
        <v>530</v>
      </c>
      <c r="G2527" s="1454"/>
      <c r="H2527" s="30">
        <v>30213535</v>
      </c>
      <c r="I2527" s="30">
        <v>42900</v>
      </c>
      <c r="J2527" s="64">
        <v>0.13</v>
      </c>
      <c r="K2527" s="30">
        <v>1</v>
      </c>
      <c r="L2527" s="30"/>
      <c r="M2527" s="1454"/>
      <c r="N2527" s="1461"/>
    </row>
    <row r="2528" spans="2:15" ht="16.5" customHeight="1">
      <c r="B2528" s="1448"/>
      <c r="C2528" s="1448"/>
      <c r="D2528" s="1448"/>
      <c r="E2528" s="30"/>
      <c r="F2528" s="31" t="s">
        <v>531</v>
      </c>
      <c r="G2528" s="1454"/>
      <c r="H2528" s="30">
        <v>30213533</v>
      </c>
      <c r="I2528" s="30">
        <v>69900</v>
      </c>
      <c r="J2528" s="64">
        <v>0.13</v>
      </c>
      <c r="K2528" s="30">
        <v>1</v>
      </c>
      <c r="L2528" s="30"/>
      <c r="M2528" s="1454"/>
      <c r="N2528" s="1461"/>
    </row>
    <row r="2529" spans="2:14" ht="16.5" customHeight="1">
      <c r="B2529" s="1448"/>
      <c r="C2529" s="1448"/>
      <c r="D2529" s="1448"/>
      <c r="E2529" s="30"/>
      <c r="F2529" s="31" t="s">
        <v>532</v>
      </c>
      <c r="G2529" s="1454"/>
      <c r="H2529" s="30">
        <v>30210492</v>
      </c>
      <c r="I2529" s="35">
        <v>38900</v>
      </c>
      <c r="J2529" s="64">
        <v>0.13</v>
      </c>
      <c r="K2529" s="30">
        <v>1</v>
      </c>
      <c r="L2529" s="30"/>
      <c r="M2529" s="1454"/>
      <c r="N2529" s="1461"/>
    </row>
    <row r="2530" spans="2:14" ht="16.5" customHeight="1">
      <c r="B2530" s="1448"/>
      <c r="C2530" s="1448"/>
      <c r="D2530" s="1448"/>
      <c r="E2530" s="30"/>
      <c r="F2530" s="31" t="s">
        <v>533</v>
      </c>
      <c r="G2530" s="1454"/>
      <c r="H2530" s="30">
        <v>30210493</v>
      </c>
      <c r="I2530" s="35">
        <v>41900</v>
      </c>
      <c r="J2530" s="64">
        <v>0.13</v>
      </c>
      <c r="K2530" s="30">
        <v>1</v>
      </c>
      <c r="L2530" s="30"/>
      <c r="M2530" s="1454"/>
      <c r="N2530" s="1461"/>
    </row>
    <row r="2531" spans="2:14" ht="16.5" customHeight="1">
      <c r="B2531" s="1448"/>
      <c r="C2531" s="1448"/>
      <c r="D2531" s="1448"/>
      <c r="E2531" s="30"/>
      <c r="F2531" s="31" t="s">
        <v>534</v>
      </c>
      <c r="G2531" s="1454"/>
      <c r="H2531" s="30">
        <v>30210494</v>
      </c>
      <c r="I2531" s="35">
        <v>69900</v>
      </c>
      <c r="J2531" s="64">
        <v>0.13</v>
      </c>
      <c r="K2531" s="30">
        <v>1</v>
      </c>
      <c r="L2531" s="30"/>
      <c r="M2531" s="1454"/>
      <c r="N2531" s="1461"/>
    </row>
    <row r="2532" spans="2:14" ht="16.5" customHeight="1">
      <c r="B2532" s="1448"/>
      <c r="C2532" s="1448"/>
      <c r="D2532" s="1448"/>
      <c r="E2532" s="30">
        <v>56762255</v>
      </c>
      <c r="F2532" s="31" t="s">
        <v>535</v>
      </c>
      <c r="G2532" s="1454"/>
      <c r="H2532" s="30">
        <v>30207418</v>
      </c>
      <c r="I2532" s="35">
        <v>29000</v>
      </c>
      <c r="J2532" s="64">
        <v>0.06</v>
      </c>
      <c r="K2532" s="30">
        <v>1</v>
      </c>
      <c r="L2532" s="30"/>
      <c r="M2532" s="1454"/>
      <c r="N2532" s="1461"/>
    </row>
    <row r="2533" spans="2:14" ht="16.5" customHeight="1">
      <c r="B2533" s="1448"/>
      <c r="C2533" s="1448"/>
      <c r="D2533" s="1448"/>
      <c r="E2533" s="30">
        <v>56762224</v>
      </c>
      <c r="F2533" s="31" t="s">
        <v>536</v>
      </c>
      <c r="G2533" s="1454"/>
      <c r="H2533" s="30">
        <v>30207421</v>
      </c>
      <c r="I2533" s="35">
        <v>49900</v>
      </c>
      <c r="J2533" s="64">
        <v>0.06</v>
      </c>
      <c r="K2533" s="30">
        <v>1</v>
      </c>
      <c r="L2533" s="30"/>
      <c r="M2533" s="1454"/>
      <c r="N2533" s="1461"/>
    </row>
    <row r="2534" spans="2:14" ht="16.5" customHeight="1">
      <c r="B2534" s="1448"/>
      <c r="C2534" s="1448"/>
      <c r="D2534" s="1448"/>
      <c r="E2534" s="30"/>
      <c r="F2534" s="31" t="s">
        <v>537</v>
      </c>
      <c r="G2534" s="1454"/>
      <c r="H2534" s="30">
        <v>30208560</v>
      </c>
      <c r="I2534" s="35">
        <v>34900</v>
      </c>
      <c r="J2534" s="64">
        <v>0.06</v>
      </c>
      <c r="K2534" s="30">
        <v>1</v>
      </c>
      <c r="L2534" s="30"/>
      <c r="M2534" s="1454"/>
      <c r="N2534" s="1461"/>
    </row>
    <row r="2535" spans="2:14" ht="16.5" customHeight="1">
      <c r="B2535" s="1448"/>
      <c r="C2535" s="1448"/>
      <c r="D2535" s="1448"/>
      <c r="E2535" s="30"/>
      <c r="F2535" s="31" t="s">
        <v>538</v>
      </c>
      <c r="G2535" s="1454"/>
      <c r="H2535" s="30">
        <v>30208561</v>
      </c>
      <c r="I2535" s="35">
        <v>34900</v>
      </c>
      <c r="J2535" s="64">
        <v>0.06</v>
      </c>
      <c r="K2535" s="30">
        <v>1</v>
      </c>
      <c r="L2535" s="30"/>
      <c r="M2535" s="1454"/>
      <c r="N2535" s="1461"/>
    </row>
    <row r="2536" spans="2:14" ht="16.5" customHeight="1">
      <c r="B2536" s="1448"/>
      <c r="C2536" s="1448"/>
      <c r="D2536" s="1448"/>
      <c r="E2536" s="30">
        <v>71611154</v>
      </c>
      <c r="F2536" s="31" t="s">
        <v>539</v>
      </c>
      <c r="G2536" s="1454"/>
      <c r="H2536" s="30">
        <v>30205968</v>
      </c>
      <c r="I2536" s="35">
        <v>39900</v>
      </c>
      <c r="J2536" s="64">
        <v>0.13</v>
      </c>
      <c r="K2536" s="30">
        <v>1</v>
      </c>
      <c r="L2536" s="30"/>
      <c r="M2536" s="1454"/>
      <c r="N2536" s="1461"/>
    </row>
    <row r="2537" spans="2:14" ht="16.5" customHeight="1">
      <c r="B2537" s="1448"/>
      <c r="C2537" s="1448"/>
      <c r="D2537" s="1448"/>
      <c r="E2537" s="30">
        <v>71611148</v>
      </c>
      <c r="F2537" s="31" t="s">
        <v>540</v>
      </c>
      <c r="G2537" s="1454"/>
      <c r="H2537" s="30">
        <v>30205967</v>
      </c>
      <c r="I2537" s="35">
        <v>45900</v>
      </c>
      <c r="J2537" s="64">
        <v>0.13</v>
      </c>
      <c r="K2537" s="30">
        <v>1</v>
      </c>
      <c r="L2537" s="30"/>
      <c r="M2537" s="1454"/>
      <c r="N2537" s="1461"/>
    </row>
    <row r="2538" spans="2:14" ht="16.5" customHeight="1">
      <c r="B2538" s="1448"/>
      <c r="C2538" s="1448"/>
      <c r="D2538" s="1448"/>
      <c r="E2538" s="30">
        <v>71611141</v>
      </c>
      <c r="F2538" s="31" t="s">
        <v>541</v>
      </c>
      <c r="G2538" s="1454"/>
      <c r="H2538" s="30">
        <v>30205965</v>
      </c>
      <c r="I2538" s="35">
        <v>79900</v>
      </c>
      <c r="J2538" s="64">
        <v>0.13</v>
      </c>
      <c r="K2538" s="30">
        <v>1</v>
      </c>
      <c r="L2538" s="30"/>
      <c r="M2538" s="1454"/>
      <c r="N2538" s="1461"/>
    </row>
    <row r="2539" spans="2:14" ht="16.5" customHeight="1">
      <c r="B2539" s="1448"/>
      <c r="C2539" s="1448"/>
      <c r="D2539" s="1448"/>
      <c r="E2539" s="30">
        <v>71611132</v>
      </c>
      <c r="F2539" s="31" t="s">
        <v>542</v>
      </c>
      <c r="G2539" s="1454"/>
      <c r="H2539" s="30">
        <v>30205966</v>
      </c>
      <c r="I2539" s="35">
        <v>69900</v>
      </c>
      <c r="J2539" s="64">
        <v>0.13</v>
      </c>
      <c r="K2539" s="30">
        <v>1</v>
      </c>
      <c r="L2539" s="30"/>
      <c r="M2539" s="1454"/>
      <c r="N2539" s="1461"/>
    </row>
    <row r="2540" spans="2:14" ht="16.5" customHeight="1">
      <c r="B2540" s="1448"/>
      <c r="C2540" s="1448"/>
      <c r="D2540" s="1448"/>
      <c r="E2540" s="30">
        <v>71611126</v>
      </c>
      <c r="F2540" s="31" t="s">
        <v>543</v>
      </c>
      <c r="G2540" s="1454"/>
      <c r="H2540" s="30">
        <v>30205964</v>
      </c>
      <c r="I2540" s="35">
        <v>79900</v>
      </c>
      <c r="J2540" s="64">
        <v>0.13</v>
      </c>
      <c r="K2540" s="30">
        <v>1</v>
      </c>
      <c r="L2540" s="30"/>
      <c r="M2540" s="1454"/>
      <c r="N2540" s="1461"/>
    </row>
    <row r="2541" spans="2:14" ht="16.5" customHeight="1">
      <c r="B2541" s="1448"/>
      <c r="C2541" s="1448"/>
      <c r="D2541" s="1448"/>
      <c r="E2541" s="30">
        <v>69222743</v>
      </c>
      <c r="F2541" s="31" t="s">
        <v>544</v>
      </c>
      <c r="G2541" s="1454"/>
      <c r="H2541" s="30">
        <v>30205969</v>
      </c>
      <c r="I2541" s="35">
        <v>79900</v>
      </c>
      <c r="J2541" s="64">
        <v>0.13</v>
      </c>
      <c r="K2541" s="30">
        <v>1</v>
      </c>
      <c r="L2541" s="30"/>
      <c r="M2541" s="1454"/>
      <c r="N2541" s="1461"/>
    </row>
    <row r="2542" spans="2:14" ht="16.5" customHeight="1">
      <c r="B2542" s="1448"/>
      <c r="C2542" s="1448"/>
      <c r="D2542" s="1448"/>
      <c r="E2542" s="30">
        <v>56414507</v>
      </c>
      <c r="F2542" s="31" t="s">
        <v>545</v>
      </c>
      <c r="G2542" s="1454"/>
      <c r="H2542" s="30">
        <v>30205970</v>
      </c>
      <c r="I2542" s="35">
        <v>29900</v>
      </c>
      <c r="J2542" s="64">
        <v>0.13</v>
      </c>
      <c r="K2542" s="30">
        <v>1</v>
      </c>
      <c r="L2542" s="30"/>
      <c r="M2542" s="1454"/>
      <c r="N2542" s="1461"/>
    </row>
    <row r="2543" spans="2:14" ht="16.5" customHeight="1">
      <c r="B2543" s="1448"/>
      <c r="C2543" s="1448"/>
      <c r="D2543" s="1448"/>
      <c r="E2543" s="30">
        <v>56414506</v>
      </c>
      <c r="F2543" s="31" t="s">
        <v>546</v>
      </c>
      <c r="G2543" s="1454"/>
      <c r="H2543" s="30">
        <v>71636213</v>
      </c>
      <c r="I2543" s="35">
        <v>34900</v>
      </c>
      <c r="J2543" s="64">
        <v>0.13</v>
      </c>
      <c r="K2543" s="30">
        <v>1</v>
      </c>
      <c r="L2543" s="30"/>
      <c r="M2543" s="1454"/>
      <c r="N2543" s="1461"/>
    </row>
    <row r="2544" spans="2:14" ht="16.5" customHeight="1">
      <c r="B2544" s="1448"/>
      <c r="C2544" s="1448"/>
      <c r="D2544" s="1448"/>
      <c r="E2544" s="30">
        <v>71612114</v>
      </c>
      <c r="F2544" s="31" t="s">
        <v>547</v>
      </c>
      <c r="G2544" s="1454"/>
      <c r="H2544" s="30">
        <v>71636250</v>
      </c>
      <c r="I2544" s="35">
        <v>59000</v>
      </c>
      <c r="J2544" s="64">
        <v>0.13</v>
      </c>
      <c r="K2544" s="30">
        <v>1</v>
      </c>
      <c r="L2544" s="30"/>
      <c r="M2544" s="1454"/>
      <c r="N2544" s="1461"/>
    </row>
    <row r="2545" spans="2:14" ht="16.5" customHeight="1">
      <c r="B2545" s="1448"/>
      <c r="C2545" s="1448"/>
      <c r="D2545" s="1448"/>
      <c r="E2545" s="30">
        <v>11122728</v>
      </c>
      <c r="F2545" s="31" t="s">
        <v>548</v>
      </c>
      <c r="G2545" s="1454"/>
      <c r="H2545" s="30">
        <v>71636324</v>
      </c>
      <c r="I2545" s="35">
        <v>69000</v>
      </c>
      <c r="J2545" s="64">
        <v>0.13</v>
      </c>
      <c r="K2545" s="30">
        <v>1</v>
      </c>
      <c r="L2545" s="30"/>
      <c r="M2545" s="1454"/>
      <c r="N2545" s="1461"/>
    </row>
    <row r="2546" spans="2:14" ht="16.5" customHeight="1">
      <c r="B2546" s="1448"/>
      <c r="C2546" s="1448"/>
      <c r="D2546" s="1448"/>
      <c r="E2546" s="30">
        <v>11122736</v>
      </c>
      <c r="F2546" s="31" t="s">
        <v>549</v>
      </c>
      <c r="G2546" s="1454"/>
      <c r="H2546" s="30">
        <v>71636391</v>
      </c>
      <c r="I2546" s="35">
        <v>49000</v>
      </c>
      <c r="J2546" s="64">
        <v>0.13</v>
      </c>
      <c r="K2546" s="30">
        <v>1</v>
      </c>
      <c r="L2546" s="30"/>
      <c r="M2546" s="1454"/>
      <c r="N2546" s="1461"/>
    </row>
    <row r="2547" spans="2:14" ht="16.5" customHeight="1">
      <c r="B2547" s="1448"/>
      <c r="C2547" s="1448"/>
      <c r="D2547" s="1448"/>
      <c r="E2547" s="30">
        <v>11122737</v>
      </c>
      <c r="F2547" s="31" t="s">
        <v>550</v>
      </c>
      <c r="G2547" s="1454"/>
      <c r="H2547" s="30">
        <v>71636390</v>
      </c>
      <c r="I2547" s="35">
        <v>54900</v>
      </c>
      <c r="J2547" s="64">
        <v>0.13</v>
      </c>
      <c r="K2547" s="30">
        <v>1</v>
      </c>
      <c r="L2547" s="30"/>
      <c r="M2547" s="1454"/>
      <c r="N2547" s="1461"/>
    </row>
    <row r="2548" spans="2:14" ht="16.5" customHeight="1">
      <c r="B2548" s="1448"/>
      <c r="C2548" s="1448">
        <v>2</v>
      </c>
      <c r="D2548" s="1448" t="s">
        <v>551</v>
      </c>
      <c r="E2548" s="30"/>
      <c r="F2548" s="31" t="s">
        <v>552</v>
      </c>
      <c r="G2548" s="1454" t="s">
        <v>553</v>
      </c>
      <c r="H2548" s="30">
        <v>30208423</v>
      </c>
      <c r="I2548" s="35">
        <v>24500</v>
      </c>
      <c r="J2548" s="64">
        <v>0.06</v>
      </c>
      <c r="K2548" s="30">
        <v>1</v>
      </c>
      <c r="L2548" s="30"/>
      <c r="M2548" s="1454" t="s">
        <v>554</v>
      </c>
      <c r="N2548" s="1461">
        <v>20250219320</v>
      </c>
    </row>
    <row r="2549" spans="2:14" ht="16.5" customHeight="1">
      <c r="B2549" s="1448"/>
      <c r="C2549" s="1448"/>
      <c r="D2549" s="1448"/>
      <c r="E2549" s="30"/>
      <c r="F2549" s="31" t="s">
        <v>555</v>
      </c>
      <c r="G2549" s="1454"/>
      <c r="H2549" s="30">
        <v>30208425</v>
      </c>
      <c r="I2549" s="35">
        <v>31900</v>
      </c>
      <c r="J2549" s="64">
        <v>0.06</v>
      </c>
      <c r="K2549" s="30">
        <v>1</v>
      </c>
      <c r="L2549" s="30"/>
      <c r="M2549" s="1454"/>
      <c r="N2549" s="1461"/>
    </row>
    <row r="2550" spans="2:14" ht="16.5" customHeight="1">
      <c r="B2550" s="1448"/>
      <c r="C2550" s="1448"/>
      <c r="D2550" s="1448"/>
      <c r="E2550" s="30"/>
      <c r="F2550" s="31" t="s">
        <v>556</v>
      </c>
      <c r="G2550" s="1454"/>
      <c r="H2550" s="30">
        <v>30208428</v>
      </c>
      <c r="I2550" s="35">
        <v>15500</v>
      </c>
      <c r="J2550" s="64">
        <v>0.06</v>
      </c>
      <c r="K2550" s="30">
        <v>1</v>
      </c>
      <c r="L2550" s="30"/>
      <c r="M2550" s="1454"/>
      <c r="N2550" s="1461"/>
    </row>
    <row r="2551" spans="2:14" ht="16.5" customHeight="1">
      <c r="B2551" s="1448"/>
      <c r="C2551" s="1448"/>
      <c r="D2551" s="1448"/>
      <c r="E2551" s="30"/>
      <c r="F2551" s="31" t="s">
        <v>557</v>
      </c>
      <c r="G2551" s="1454"/>
      <c r="H2551" s="30">
        <v>30208430</v>
      </c>
      <c r="I2551" s="35">
        <v>9400</v>
      </c>
      <c r="J2551" s="64">
        <v>0.06</v>
      </c>
      <c r="K2551" s="30">
        <v>1</v>
      </c>
      <c r="L2551" s="30"/>
      <c r="M2551" s="1454"/>
      <c r="N2551" s="1461"/>
    </row>
    <row r="2552" spans="2:14" ht="16.5" customHeight="1">
      <c r="B2552" s="1448"/>
      <c r="C2552" s="1448"/>
      <c r="D2552" s="1448"/>
      <c r="E2552" s="30"/>
      <c r="F2552" s="31" t="s">
        <v>558</v>
      </c>
      <c r="G2552" s="1454"/>
      <c r="H2552" s="30">
        <v>30208424</v>
      </c>
      <c r="I2552" s="35">
        <v>14900</v>
      </c>
      <c r="J2552" s="64">
        <v>0.06</v>
      </c>
      <c r="K2552" s="30">
        <v>1</v>
      </c>
      <c r="L2552" s="30"/>
      <c r="M2552" s="1454"/>
      <c r="N2552" s="1461"/>
    </row>
    <row r="2553" spans="2:14" ht="16.5" customHeight="1">
      <c r="B2553" s="1448"/>
      <c r="C2553" s="1448"/>
      <c r="D2553" s="1448"/>
      <c r="E2553" s="30"/>
      <c r="F2553" s="31" t="s">
        <v>559</v>
      </c>
      <c r="G2553" s="1454"/>
      <c r="H2553" s="30">
        <v>30208426</v>
      </c>
      <c r="I2553" s="35">
        <v>17900</v>
      </c>
      <c r="J2553" s="64">
        <v>0.06</v>
      </c>
      <c r="K2553" s="30">
        <v>1</v>
      </c>
      <c r="L2553" s="30"/>
      <c r="M2553" s="1454"/>
      <c r="N2553" s="1461"/>
    </row>
    <row r="2554" spans="2:14" ht="16.5" customHeight="1">
      <c r="B2554" s="1448"/>
      <c r="C2554" s="1448">
        <v>3</v>
      </c>
      <c r="D2554" s="1448" t="s">
        <v>560</v>
      </c>
      <c r="E2554" s="30"/>
      <c r="F2554" s="31" t="s">
        <v>561</v>
      </c>
      <c r="G2554" s="1448" t="s">
        <v>562</v>
      </c>
      <c r="H2554" s="30">
        <v>30213371</v>
      </c>
      <c r="I2554" s="35">
        <v>36900</v>
      </c>
      <c r="J2554" s="64">
        <v>0.1</v>
      </c>
      <c r="K2554" s="30">
        <v>1</v>
      </c>
      <c r="L2554" s="30"/>
      <c r="M2554" s="1454" t="s">
        <v>562</v>
      </c>
      <c r="N2554" s="1461">
        <v>20250219321</v>
      </c>
    </row>
    <row r="2555" spans="2:14" ht="16.5" customHeight="1">
      <c r="B2555" s="1448"/>
      <c r="C2555" s="1448"/>
      <c r="D2555" s="1448"/>
      <c r="E2555" s="30"/>
      <c r="F2555" s="31" t="s">
        <v>563</v>
      </c>
      <c r="G2555" s="1448"/>
      <c r="H2555" s="30">
        <v>30213372</v>
      </c>
      <c r="I2555" s="35">
        <v>32900</v>
      </c>
      <c r="J2555" s="64">
        <v>0.1</v>
      </c>
      <c r="K2555" s="30">
        <v>1</v>
      </c>
      <c r="L2555" s="30"/>
      <c r="M2555" s="1454"/>
      <c r="N2555" s="1461"/>
    </row>
    <row r="2556" spans="2:14" ht="16.5" customHeight="1">
      <c r="B2556" s="1448"/>
      <c r="C2556" s="1448"/>
      <c r="D2556" s="1448"/>
      <c r="E2556" s="30"/>
      <c r="F2556" s="31" t="s">
        <v>564</v>
      </c>
      <c r="G2556" s="1448"/>
      <c r="H2556" s="30">
        <v>30213373</v>
      </c>
      <c r="I2556" s="35">
        <v>29900</v>
      </c>
      <c r="J2556" s="64">
        <v>0.1</v>
      </c>
      <c r="K2556" s="30">
        <v>1</v>
      </c>
      <c r="L2556" s="30"/>
      <c r="M2556" s="1454"/>
      <c r="N2556" s="1461"/>
    </row>
    <row r="2557" spans="2:14" ht="16.5" customHeight="1">
      <c r="B2557" s="1448"/>
      <c r="C2557" s="29">
        <v>4</v>
      </c>
      <c r="D2557" s="29" t="s">
        <v>565</v>
      </c>
      <c r="E2557" s="30"/>
      <c r="F2557" s="31" t="s">
        <v>566</v>
      </c>
      <c r="G2557" s="30" t="s">
        <v>567</v>
      </c>
      <c r="H2557" s="30">
        <v>30210741</v>
      </c>
      <c r="I2557" s="35">
        <v>69000</v>
      </c>
      <c r="J2557" s="64">
        <v>0.06</v>
      </c>
      <c r="K2557" s="30">
        <v>1</v>
      </c>
      <c r="L2557" s="30"/>
      <c r="M2557" s="31" t="s">
        <v>567</v>
      </c>
      <c r="N2557" s="69">
        <v>20250219322</v>
      </c>
    </row>
    <row r="2558" spans="2:14" ht="16.5" customHeight="1">
      <c r="B2558" s="1448"/>
      <c r="C2558" s="1448">
        <v>5</v>
      </c>
      <c r="D2558" s="1448" t="s">
        <v>568</v>
      </c>
      <c r="E2558" s="30">
        <v>30205431</v>
      </c>
      <c r="F2558" s="31" t="s">
        <v>569</v>
      </c>
      <c r="G2558" s="1454" t="s">
        <v>570</v>
      </c>
      <c r="H2558" s="30">
        <v>30205786</v>
      </c>
      <c r="I2558" s="35">
        <v>23900</v>
      </c>
      <c r="J2558" s="64">
        <v>0.06</v>
      </c>
      <c r="K2558" s="30">
        <v>1</v>
      </c>
      <c r="L2558" s="30"/>
      <c r="M2558" s="1454" t="s">
        <v>571</v>
      </c>
      <c r="N2558" s="1461">
        <v>20250219323</v>
      </c>
    </row>
    <row r="2559" spans="2:14" ht="16.5" customHeight="1">
      <c r="B2559" s="1448"/>
      <c r="C2559" s="1448"/>
      <c r="D2559" s="1448"/>
      <c r="E2559" s="30">
        <v>30205165</v>
      </c>
      <c r="F2559" s="31" t="s">
        <v>572</v>
      </c>
      <c r="G2559" s="1454"/>
      <c r="H2559" s="30">
        <v>30205787</v>
      </c>
      <c r="I2559" s="35">
        <v>3900</v>
      </c>
      <c r="J2559" s="64">
        <v>0.06</v>
      </c>
      <c r="K2559" s="30">
        <v>1</v>
      </c>
      <c r="L2559" s="30"/>
      <c r="M2559" s="1454"/>
      <c r="N2559" s="1461"/>
    </row>
    <row r="2560" spans="2:14" ht="16.5" customHeight="1">
      <c r="B2560" s="1448"/>
      <c r="C2560" s="1448"/>
      <c r="D2560" s="1448"/>
      <c r="E2560" s="30">
        <v>30205192</v>
      </c>
      <c r="F2560" s="31" t="s">
        <v>573</v>
      </c>
      <c r="G2560" s="1454"/>
      <c r="H2560" s="30">
        <v>30205788</v>
      </c>
      <c r="I2560" s="35">
        <v>4900</v>
      </c>
      <c r="J2560" s="64">
        <v>0.06</v>
      </c>
      <c r="K2560" s="30">
        <v>1</v>
      </c>
      <c r="L2560" s="30"/>
      <c r="M2560" s="1454"/>
      <c r="N2560" s="1461"/>
    </row>
    <row r="2561" spans="2:14" ht="16.5" customHeight="1">
      <c r="B2561" s="1448"/>
      <c r="C2561" s="1448"/>
      <c r="D2561" s="1448"/>
      <c r="E2561" s="30">
        <v>30205169</v>
      </c>
      <c r="F2561" s="31" t="s">
        <v>574</v>
      </c>
      <c r="G2561" s="1454"/>
      <c r="H2561" s="30">
        <v>30205789</v>
      </c>
      <c r="I2561" s="35">
        <v>5900</v>
      </c>
      <c r="J2561" s="64">
        <v>0.06</v>
      </c>
      <c r="K2561" s="30">
        <v>1</v>
      </c>
      <c r="L2561" s="30"/>
      <c r="M2561" s="1454"/>
      <c r="N2561" s="1461"/>
    </row>
    <row r="2562" spans="2:14" ht="16.5" customHeight="1">
      <c r="B2562" s="1448"/>
      <c r="C2562" s="1448"/>
      <c r="D2562" s="1448"/>
      <c r="E2562" s="30">
        <v>30205172</v>
      </c>
      <c r="F2562" s="31" t="s">
        <v>575</v>
      </c>
      <c r="G2562" s="1454"/>
      <c r="H2562" s="30">
        <v>30205790</v>
      </c>
      <c r="I2562" s="35">
        <v>6900</v>
      </c>
      <c r="J2562" s="64">
        <v>0.06</v>
      </c>
      <c r="K2562" s="30">
        <v>1</v>
      </c>
      <c r="L2562" s="30"/>
      <c r="M2562" s="1454"/>
      <c r="N2562" s="1461"/>
    </row>
    <row r="2563" spans="2:14" ht="16.5" customHeight="1">
      <c r="B2563" s="1448"/>
      <c r="C2563" s="1448"/>
      <c r="D2563" s="1448" t="s">
        <v>576</v>
      </c>
      <c r="E2563" s="30">
        <v>30205215</v>
      </c>
      <c r="F2563" s="31" t="s">
        <v>581</v>
      </c>
      <c r="G2563" s="1448" t="s">
        <v>578</v>
      </c>
      <c r="H2563" s="30">
        <v>30205795</v>
      </c>
      <c r="I2563" s="35">
        <v>21900</v>
      </c>
      <c r="J2563" s="64">
        <v>0.06</v>
      </c>
      <c r="K2563" s="30">
        <v>1</v>
      </c>
      <c r="L2563" s="30"/>
      <c r="M2563" s="1454" t="s">
        <v>2730</v>
      </c>
      <c r="N2563" s="1461">
        <v>20250219328</v>
      </c>
    </row>
    <row r="2564" spans="2:14" ht="16.5" customHeight="1">
      <c r="B2564" s="1448"/>
      <c r="C2564" s="1448"/>
      <c r="D2564" s="1448"/>
      <c r="E2564" s="30"/>
      <c r="F2564" s="31" t="s">
        <v>582</v>
      </c>
      <c r="G2564" s="1448"/>
      <c r="H2564" s="30">
        <v>30209492</v>
      </c>
      <c r="I2564" s="35">
        <v>5900</v>
      </c>
      <c r="J2564" s="64">
        <v>0.06</v>
      </c>
      <c r="K2564" s="30">
        <v>1</v>
      </c>
      <c r="L2564" s="30"/>
      <c r="M2564" s="1454"/>
      <c r="N2564" s="1461"/>
    </row>
    <row r="2565" spans="2:14" ht="16.5" customHeight="1">
      <c r="B2565" s="1448"/>
      <c r="C2565" s="1448"/>
      <c r="D2565" s="1448"/>
      <c r="E2565" s="30"/>
      <c r="F2565" s="31" t="s">
        <v>583</v>
      </c>
      <c r="G2565" s="1448"/>
      <c r="H2565" s="30">
        <v>30209493</v>
      </c>
      <c r="I2565" s="35">
        <v>9900</v>
      </c>
      <c r="J2565" s="64">
        <v>0.06</v>
      </c>
      <c r="K2565" s="30">
        <v>1</v>
      </c>
      <c r="L2565" s="30"/>
      <c r="M2565" s="1454"/>
      <c r="N2565" s="1461"/>
    </row>
    <row r="2566" spans="2:14" ht="16.5" customHeight="1">
      <c r="B2566" s="1448"/>
      <c r="C2566" s="1448"/>
      <c r="D2566" s="1448"/>
      <c r="E2566" s="30"/>
      <c r="F2566" s="31" t="s">
        <v>584</v>
      </c>
      <c r="G2566" s="1448"/>
      <c r="H2566" s="30">
        <v>30209494</v>
      </c>
      <c r="I2566" s="35">
        <v>11900</v>
      </c>
      <c r="J2566" s="64">
        <v>0.06</v>
      </c>
      <c r="K2566" s="30">
        <v>1</v>
      </c>
      <c r="L2566" s="30"/>
      <c r="M2566" s="1454"/>
      <c r="N2566" s="1461"/>
    </row>
    <row r="2567" spans="2:14" ht="16.5" customHeight="1">
      <c r="B2567" s="1448"/>
      <c r="C2567" s="1448"/>
      <c r="D2567" s="1448"/>
      <c r="E2567" s="30"/>
      <c r="F2567" s="31" t="s">
        <v>585</v>
      </c>
      <c r="G2567" s="1448"/>
      <c r="H2567" s="30">
        <v>30209497</v>
      </c>
      <c r="I2567" s="35">
        <v>13900</v>
      </c>
      <c r="J2567" s="64">
        <v>0.06</v>
      </c>
      <c r="K2567" s="30">
        <v>1</v>
      </c>
      <c r="L2567" s="30"/>
      <c r="M2567" s="1454"/>
      <c r="N2567" s="1461"/>
    </row>
    <row r="2568" spans="2:14" ht="16.5" customHeight="1">
      <c r="B2568" s="1448"/>
      <c r="C2568" s="1448"/>
      <c r="D2568" s="1448"/>
      <c r="E2568" s="30">
        <v>30205199</v>
      </c>
      <c r="F2568" s="31" t="s">
        <v>586</v>
      </c>
      <c r="G2568" s="1448"/>
      <c r="H2568" s="30">
        <v>30205797</v>
      </c>
      <c r="I2568" s="35">
        <v>14900</v>
      </c>
      <c r="J2568" s="64">
        <v>0.06</v>
      </c>
      <c r="K2568" s="30">
        <v>1</v>
      </c>
      <c r="L2568" s="30"/>
      <c r="M2568" s="1454"/>
      <c r="N2568" s="1461"/>
    </row>
    <row r="2569" spans="2:14" ht="16.5" customHeight="1">
      <c r="B2569" s="1448"/>
      <c r="C2569" s="1448"/>
      <c r="D2569" s="1448"/>
      <c r="E2569" s="30">
        <v>30205200</v>
      </c>
      <c r="F2569" s="31" t="s">
        <v>588</v>
      </c>
      <c r="G2569" s="1448"/>
      <c r="H2569" s="30">
        <v>30205800</v>
      </c>
      <c r="I2569" s="35">
        <v>15900</v>
      </c>
      <c r="J2569" s="64">
        <v>0.06</v>
      </c>
      <c r="K2569" s="30">
        <v>1</v>
      </c>
      <c r="L2569" s="30"/>
      <c r="M2569" s="1454"/>
      <c r="N2569" s="1461"/>
    </row>
    <row r="2570" spans="2:14" ht="16.5" customHeight="1">
      <c r="B2570" s="1448"/>
      <c r="C2570" s="1448"/>
      <c r="D2570" s="1448"/>
      <c r="E2570" s="30">
        <v>30205146</v>
      </c>
      <c r="F2570" s="31" t="s">
        <v>589</v>
      </c>
      <c r="G2570" s="1448"/>
      <c r="H2570" s="30">
        <v>30205802</v>
      </c>
      <c r="I2570" s="35">
        <v>26900</v>
      </c>
      <c r="J2570" s="64">
        <v>0.06</v>
      </c>
      <c r="K2570" s="30">
        <v>1</v>
      </c>
      <c r="L2570" s="30"/>
      <c r="M2570" s="1454"/>
      <c r="N2570" s="1461"/>
    </row>
    <row r="2571" spans="2:14" ht="16.5" customHeight="1">
      <c r="B2571" s="1448"/>
      <c r="C2571" s="1448"/>
      <c r="D2571" s="1448"/>
      <c r="E2571" s="30">
        <v>30205154</v>
      </c>
      <c r="F2571" s="31" t="s">
        <v>590</v>
      </c>
      <c r="G2571" s="1448"/>
      <c r="H2571" s="30">
        <v>30205804</v>
      </c>
      <c r="I2571" s="35">
        <v>11900</v>
      </c>
      <c r="J2571" s="64">
        <v>0.06</v>
      </c>
      <c r="K2571" s="30">
        <v>1</v>
      </c>
      <c r="L2571" s="30"/>
      <c r="M2571" s="1454"/>
      <c r="N2571" s="1461"/>
    </row>
    <row r="2572" spans="2:14" ht="16.5" customHeight="1">
      <c r="B2572" s="1448"/>
      <c r="C2572" s="1448">
        <v>7</v>
      </c>
      <c r="D2572" s="1448" t="s">
        <v>591</v>
      </c>
      <c r="E2572" s="30">
        <v>30200519</v>
      </c>
      <c r="F2572" s="30" t="s">
        <v>592</v>
      </c>
      <c r="G2572" s="1454" t="s">
        <v>593</v>
      </c>
      <c r="H2572" s="30">
        <v>30201114</v>
      </c>
      <c r="I2572" s="35">
        <v>25800</v>
      </c>
      <c r="J2572" s="64">
        <v>0.1</v>
      </c>
      <c r="K2572" s="30">
        <v>1</v>
      </c>
      <c r="L2572" s="30"/>
      <c r="M2572" s="1454" t="s">
        <v>594</v>
      </c>
      <c r="N2572" s="1461">
        <v>20250219324</v>
      </c>
    </row>
    <row r="2573" spans="2:14" ht="16.5" customHeight="1">
      <c r="B2573" s="1448"/>
      <c r="C2573" s="1448"/>
      <c r="D2573" s="1448"/>
      <c r="E2573" s="30">
        <v>30200531</v>
      </c>
      <c r="F2573" s="30" t="s">
        <v>595</v>
      </c>
      <c r="G2573" s="1448"/>
      <c r="H2573" s="30">
        <v>30201116</v>
      </c>
      <c r="I2573" s="35">
        <v>23800</v>
      </c>
      <c r="J2573" s="64">
        <v>0.1</v>
      </c>
      <c r="K2573" s="30">
        <v>1</v>
      </c>
      <c r="L2573" s="30"/>
      <c r="M2573" s="1454"/>
      <c r="N2573" s="1461"/>
    </row>
    <row r="2574" spans="2:14" ht="16.5" customHeight="1">
      <c r="B2574" s="1448"/>
      <c r="C2574" s="1448"/>
      <c r="D2574" s="1448"/>
      <c r="E2574" s="30">
        <v>30200528</v>
      </c>
      <c r="F2574" s="30" t="s">
        <v>596</v>
      </c>
      <c r="G2574" s="1448"/>
      <c r="H2574" s="30">
        <v>30201115</v>
      </c>
      <c r="I2574" s="35">
        <v>50900</v>
      </c>
      <c r="J2574" s="64">
        <v>0.1</v>
      </c>
      <c r="K2574" s="30">
        <v>1</v>
      </c>
      <c r="L2574" s="30"/>
      <c r="M2574" s="1454"/>
      <c r="N2574" s="1461"/>
    </row>
    <row r="2575" spans="2:14" ht="16.5" customHeight="1">
      <c r="B2575" s="1448"/>
      <c r="C2575" s="1448"/>
      <c r="D2575" s="1448"/>
      <c r="E2575" s="30">
        <v>30200819</v>
      </c>
      <c r="F2575" s="30" t="s">
        <v>597</v>
      </c>
      <c r="G2575" s="1448"/>
      <c r="H2575" s="30">
        <v>30201117</v>
      </c>
      <c r="I2575" s="35">
        <v>46900</v>
      </c>
      <c r="J2575" s="64">
        <v>0.1</v>
      </c>
      <c r="K2575" s="30">
        <v>1</v>
      </c>
      <c r="L2575" s="30"/>
      <c r="M2575" s="1454"/>
      <c r="N2575" s="1461"/>
    </row>
    <row r="2576" spans="2:14" ht="16.5" customHeight="1">
      <c r="B2576" s="1448"/>
      <c r="C2576" s="1448"/>
      <c r="D2576" s="1448"/>
      <c r="E2576" s="30">
        <v>30200820</v>
      </c>
      <c r="F2576" s="30" t="s">
        <v>598</v>
      </c>
      <c r="G2576" s="1448"/>
      <c r="H2576" s="30">
        <v>30201113</v>
      </c>
      <c r="I2576" s="35">
        <v>48900</v>
      </c>
      <c r="J2576" s="64">
        <v>0.1</v>
      </c>
      <c r="K2576" s="30">
        <v>1</v>
      </c>
      <c r="L2576" s="30"/>
      <c r="M2576" s="1454"/>
      <c r="N2576" s="1461"/>
    </row>
    <row r="2577" spans="2:14" ht="16.5" customHeight="1">
      <c r="B2577" s="1448"/>
      <c r="C2577" s="1448"/>
      <c r="D2577" s="1448"/>
      <c r="E2577" s="30">
        <v>30201045</v>
      </c>
      <c r="F2577" s="30" t="s">
        <v>599</v>
      </c>
      <c r="G2577" s="1448"/>
      <c r="H2577" s="30">
        <v>30201123</v>
      </c>
      <c r="I2577" s="35">
        <v>31800</v>
      </c>
      <c r="J2577" s="64">
        <v>0.1</v>
      </c>
      <c r="K2577" s="30">
        <v>1</v>
      </c>
      <c r="L2577" s="30"/>
      <c r="M2577" s="1454"/>
      <c r="N2577" s="1461"/>
    </row>
    <row r="2578" spans="2:14" ht="16.5" customHeight="1">
      <c r="B2578" s="1448"/>
      <c r="C2578" s="1448"/>
      <c r="D2578" s="1448"/>
      <c r="E2578" s="30">
        <v>30201053</v>
      </c>
      <c r="F2578" s="30" t="s">
        <v>600</v>
      </c>
      <c r="G2578" s="1448"/>
      <c r="H2578" s="30">
        <v>30201124</v>
      </c>
      <c r="I2578" s="35">
        <v>34200</v>
      </c>
      <c r="J2578" s="64">
        <v>0.1</v>
      </c>
      <c r="K2578" s="30">
        <v>1</v>
      </c>
      <c r="L2578" s="30"/>
      <c r="M2578" s="1454"/>
      <c r="N2578" s="1461"/>
    </row>
    <row r="2579" spans="2:14" ht="16.5" customHeight="1">
      <c r="B2579" s="1448"/>
      <c r="C2579" s="1448"/>
      <c r="D2579" s="1448"/>
      <c r="E2579" s="30">
        <v>30201060</v>
      </c>
      <c r="F2579" s="30" t="s">
        <v>601</v>
      </c>
      <c r="G2579" s="1448"/>
      <c r="H2579" s="30">
        <v>30201125</v>
      </c>
      <c r="I2579" s="35">
        <v>24600</v>
      </c>
      <c r="J2579" s="64">
        <v>0.1</v>
      </c>
      <c r="K2579" s="30">
        <v>1</v>
      </c>
      <c r="L2579" s="30"/>
      <c r="M2579" s="1454"/>
      <c r="N2579" s="1461"/>
    </row>
    <row r="2580" spans="2:14" ht="16.5" customHeight="1">
      <c r="B2580" s="1448"/>
      <c r="C2580" s="1448"/>
      <c r="D2580" s="1448"/>
      <c r="E2580" s="30">
        <v>30201074</v>
      </c>
      <c r="F2580" s="30" t="s">
        <v>602</v>
      </c>
      <c r="G2580" s="1448"/>
      <c r="H2580" s="30">
        <v>30201126</v>
      </c>
      <c r="I2580" s="35">
        <v>27000</v>
      </c>
      <c r="J2580" s="64">
        <v>0.1</v>
      </c>
      <c r="K2580" s="30">
        <v>1</v>
      </c>
      <c r="L2580" s="30"/>
      <c r="M2580" s="1454"/>
      <c r="N2580" s="1461"/>
    </row>
    <row r="2581" spans="2:14" ht="16.5" customHeight="1">
      <c r="B2581" s="1448"/>
      <c r="C2581" s="1448"/>
      <c r="D2581" s="1448"/>
      <c r="E2581" s="30">
        <v>30201075</v>
      </c>
      <c r="F2581" s="30" t="s">
        <v>603</v>
      </c>
      <c r="G2581" s="1448"/>
      <c r="H2581" s="30">
        <v>30201127</v>
      </c>
      <c r="I2581" s="35">
        <v>27000</v>
      </c>
      <c r="J2581" s="64">
        <v>0.1</v>
      </c>
      <c r="K2581" s="30">
        <v>1</v>
      </c>
      <c r="L2581" s="30"/>
      <c r="M2581" s="1454"/>
      <c r="N2581" s="1461"/>
    </row>
    <row r="2582" spans="2:14" ht="16.5" customHeight="1">
      <c r="B2582" s="1448"/>
      <c r="C2582" s="1448"/>
      <c r="D2582" s="1448"/>
      <c r="E2582" s="30">
        <v>30201078</v>
      </c>
      <c r="F2582" s="30" t="s">
        <v>604</v>
      </c>
      <c r="G2582" s="1448"/>
      <c r="H2582" s="30">
        <v>30201128</v>
      </c>
      <c r="I2582" s="35">
        <v>29400</v>
      </c>
      <c r="J2582" s="64">
        <v>0.1</v>
      </c>
      <c r="K2582" s="30">
        <v>1</v>
      </c>
      <c r="L2582" s="30"/>
      <c r="M2582" s="1454"/>
      <c r="N2582" s="1461"/>
    </row>
    <row r="2583" spans="2:14" ht="16.5" customHeight="1">
      <c r="B2583" s="1448"/>
      <c r="C2583" s="1448"/>
      <c r="D2583" s="1448"/>
      <c r="E2583" s="30">
        <v>30201079</v>
      </c>
      <c r="F2583" s="30" t="s">
        <v>605</v>
      </c>
      <c r="G2583" s="1448"/>
      <c r="H2583" s="30">
        <v>30201129</v>
      </c>
      <c r="I2583" s="35">
        <v>29400</v>
      </c>
      <c r="J2583" s="64">
        <v>0.1</v>
      </c>
      <c r="K2583" s="30">
        <v>1</v>
      </c>
      <c r="L2583" s="30"/>
      <c r="M2583" s="1454"/>
      <c r="N2583" s="1461"/>
    </row>
    <row r="2584" spans="2:14" ht="16.5" customHeight="1">
      <c r="B2584" s="1448"/>
      <c r="C2584" s="1448"/>
      <c r="D2584" s="1448"/>
      <c r="E2584" s="30">
        <v>30201080</v>
      </c>
      <c r="F2584" s="30" t="s">
        <v>606</v>
      </c>
      <c r="G2584" s="1448"/>
      <c r="H2584" s="30">
        <v>30201130</v>
      </c>
      <c r="I2584" s="35">
        <v>31800</v>
      </c>
      <c r="J2584" s="64">
        <v>0.1</v>
      </c>
      <c r="K2584" s="30">
        <v>1</v>
      </c>
      <c r="L2584" s="30"/>
      <c r="M2584" s="1454"/>
      <c r="N2584" s="1461"/>
    </row>
    <row r="2585" spans="2:14" ht="16.5" customHeight="1">
      <c r="B2585" s="1448"/>
      <c r="C2585" s="1448"/>
      <c r="D2585" s="1448"/>
      <c r="E2585" s="30">
        <v>30201081</v>
      </c>
      <c r="F2585" s="30" t="s">
        <v>607</v>
      </c>
      <c r="G2585" s="1448"/>
      <c r="H2585" s="30">
        <v>30201131</v>
      </c>
      <c r="I2585" s="35">
        <v>31800</v>
      </c>
      <c r="J2585" s="64">
        <v>0.1</v>
      </c>
      <c r="K2585" s="30">
        <v>1</v>
      </c>
      <c r="L2585" s="30"/>
      <c r="M2585" s="1454"/>
      <c r="N2585" s="1461"/>
    </row>
    <row r="2586" spans="2:14" ht="16.5" customHeight="1">
      <c r="B2586" s="1448"/>
      <c r="C2586" s="1448"/>
      <c r="D2586" s="1448"/>
      <c r="E2586" s="30">
        <v>30201083</v>
      </c>
      <c r="F2586" s="30" t="s">
        <v>608</v>
      </c>
      <c r="G2586" s="1448"/>
      <c r="H2586" s="30">
        <v>30201132</v>
      </c>
      <c r="I2586" s="35">
        <v>34200</v>
      </c>
      <c r="J2586" s="64">
        <v>0.1</v>
      </c>
      <c r="K2586" s="30">
        <v>1</v>
      </c>
      <c r="L2586" s="30"/>
      <c r="M2586" s="1454"/>
      <c r="N2586" s="1461"/>
    </row>
    <row r="2587" spans="2:14" ht="16.5" customHeight="1">
      <c r="B2587" s="1520" t="s">
        <v>264</v>
      </c>
      <c r="C2587" s="1520">
        <v>1</v>
      </c>
      <c r="D2587" s="1521" t="s">
        <v>307</v>
      </c>
      <c r="E2587" s="38">
        <v>77594775</v>
      </c>
      <c r="F2587" s="38" t="s">
        <v>2731</v>
      </c>
      <c r="G2587" s="1521" t="s">
        <v>2732</v>
      </c>
      <c r="H2587" s="38">
        <v>30221031</v>
      </c>
      <c r="I2587" s="41">
        <v>10900</v>
      </c>
      <c r="J2587" s="42">
        <v>0.08</v>
      </c>
      <c r="K2587" s="38">
        <v>5</v>
      </c>
      <c r="L2587" s="41">
        <v>54500</v>
      </c>
      <c r="M2587" s="1521" t="s">
        <v>2733</v>
      </c>
      <c r="N2587" s="1461">
        <v>20250219325</v>
      </c>
    </row>
    <row r="2588" spans="2:14" ht="16.5" customHeight="1">
      <c r="B2588" s="1520"/>
      <c r="C2588" s="1520"/>
      <c r="D2588" s="1521"/>
      <c r="E2588" s="38">
        <v>77594911</v>
      </c>
      <c r="F2588" s="38" t="s">
        <v>2734</v>
      </c>
      <c r="G2588" s="1521"/>
      <c r="H2588" s="38">
        <v>30221035</v>
      </c>
      <c r="I2588" s="41">
        <v>9900</v>
      </c>
      <c r="J2588" s="42">
        <v>0.08</v>
      </c>
      <c r="K2588" s="38">
        <v>5</v>
      </c>
      <c r="L2588" s="41">
        <v>49500</v>
      </c>
      <c r="M2588" s="1521"/>
      <c r="N2588" s="1461"/>
    </row>
    <row r="2589" spans="2:14" ht="16.5" customHeight="1">
      <c r="B2589" s="1520"/>
      <c r="C2589" s="1520"/>
      <c r="D2589" s="1521"/>
      <c r="E2589" s="38">
        <v>77594912</v>
      </c>
      <c r="F2589" s="38" t="s">
        <v>2735</v>
      </c>
      <c r="G2589" s="1521"/>
      <c r="H2589" s="38">
        <v>30221037</v>
      </c>
      <c r="I2589" s="41">
        <v>9900</v>
      </c>
      <c r="J2589" s="42">
        <v>0.08</v>
      </c>
      <c r="K2589" s="38">
        <v>5</v>
      </c>
      <c r="L2589" s="41">
        <v>49500</v>
      </c>
      <c r="M2589" s="1521"/>
      <c r="N2589" s="1461"/>
    </row>
    <row r="2590" spans="2:14" ht="16.5" customHeight="1">
      <c r="B2590" s="1520"/>
      <c r="C2590" s="1520"/>
      <c r="D2590" s="1521"/>
      <c r="E2590" s="38">
        <v>77595024</v>
      </c>
      <c r="F2590" s="38" t="s">
        <v>2736</v>
      </c>
      <c r="G2590" s="1521"/>
      <c r="H2590" s="38">
        <v>30221039</v>
      </c>
      <c r="I2590" s="41">
        <v>9900</v>
      </c>
      <c r="J2590" s="42">
        <v>0.08</v>
      </c>
      <c r="K2590" s="38">
        <v>5</v>
      </c>
      <c r="L2590" s="41">
        <v>49500</v>
      </c>
      <c r="M2590" s="1521"/>
      <c r="N2590" s="1461"/>
    </row>
    <row r="2591" spans="2:14" ht="16.5" customHeight="1">
      <c r="B2591" s="1520"/>
      <c r="C2591" s="1520"/>
      <c r="D2591" s="1521"/>
      <c r="E2591" s="38">
        <v>77595062</v>
      </c>
      <c r="F2591" s="38" t="s">
        <v>2737</v>
      </c>
      <c r="G2591" s="1521"/>
      <c r="H2591" s="38">
        <v>30221041</v>
      </c>
      <c r="I2591" s="41">
        <v>9900</v>
      </c>
      <c r="J2591" s="42">
        <v>0.08</v>
      </c>
      <c r="K2591" s="38">
        <v>5</v>
      </c>
      <c r="L2591" s="41">
        <v>49500</v>
      </c>
      <c r="M2591" s="1521"/>
      <c r="N2591" s="1461"/>
    </row>
    <row r="2592" spans="2:14" ht="16.5" customHeight="1">
      <c r="B2592" s="1520"/>
      <c r="C2592" s="1520">
        <v>2</v>
      </c>
      <c r="D2592" s="1521" t="s">
        <v>299</v>
      </c>
      <c r="E2592" s="38">
        <v>76945926</v>
      </c>
      <c r="F2592" s="38" t="s">
        <v>2461</v>
      </c>
      <c r="G2592" s="1521" t="s">
        <v>2738</v>
      </c>
      <c r="H2592" s="38">
        <v>30221051</v>
      </c>
      <c r="I2592" s="41">
        <v>15900</v>
      </c>
      <c r="J2592" s="42">
        <v>0.08</v>
      </c>
      <c r="K2592" s="38">
        <v>5</v>
      </c>
      <c r="L2592" s="41">
        <v>79500</v>
      </c>
      <c r="M2592" s="1521" t="s">
        <v>2739</v>
      </c>
      <c r="N2592" s="1461">
        <v>20250219326</v>
      </c>
    </row>
    <row r="2593" spans="2:14" ht="16.5" customHeight="1">
      <c r="B2593" s="1520"/>
      <c r="C2593" s="1520"/>
      <c r="D2593" s="1521"/>
      <c r="E2593" s="38">
        <v>76946194</v>
      </c>
      <c r="F2593" s="38" t="s">
        <v>2464</v>
      </c>
      <c r="G2593" s="1521"/>
      <c r="H2593" s="38">
        <v>30221053</v>
      </c>
      <c r="I2593" s="41">
        <v>16900</v>
      </c>
      <c r="J2593" s="42">
        <v>0.08</v>
      </c>
      <c r="K2593" s="38">
        <v>5</v>
      </c>
      <c r="L2593" s="41">
        <v>84500</v>
      </c>
      <c r="M2593" s="1521"/>
      <c r="N2593" s="1461"/>
    </row>
    <row r="2594" spans="2:14" ht="16.5" customHeight="1">
      <c r="B2594" s="1520"/>
      <c r="C2594" s="1520"/>
      <c r="D2594" s="1521"/>
      <c r="E2594" s="38">
        <v>76945929</v>
      </c>
      <c r="F2594" s="38" t="s">
        <v>2466</v>
      </c>
      <c r="G2594" s="1521"/>
      <c r="H2594" s="38">
        <v>30221054</v>
      </c>
      <c r="I2594" s="41">
        <v>16900</v>
      </c>
      <c r="J2594" s="42">
        <v>0.08</v>
      </c>
      <c r="K2594" s="38">
        <v>5</v>
      </c>
      <c r="L2594" s="41">
        <v>84500</v>
      </c>
      <c r="M2594" s="1521"/>
      <c r="N2594" s="1461"/>
    </row>
    <row r="2595" spans="2:14" ht="16.5" customHeight="1">
      <c r="B2595" s="1520"/>
      <c r="C2595" s="1520"/>
      <c r="D2595" s="1521"/>
      <c r="E2595" s="38">
        <v>76945975</v>
      </c>
      <c r="F2595" s="38" t="s">
        <v>2465</v>
      </c>
      <c r="G2595" s="1521"/>
      <c r="H2595" s="38">
        <v>30221056</v>
      </c>
      <c r="I2595" s="41">
        <v>16900</v>
      </c>
      <c r="J2595" s="42">
        <v>0.08</v>
      </c>
      <c r="K2595" s="38">
        <v>5</v>
      </c>
      <c r="L2595" s="41">
        <v>84500</v>
      </c>
      <c r="M2595" s="1521"/>
      <c r="N2595" s="1461"/>
    </row>
    <row r="2596" spans="2:14" ht="16.5" customHeight="1">
      <c r="B2596" s="1520"/>
      <c r="C2596" s="1520"/>
      <c r="D2596" s="1521"/>
      <c r="E2596" s="38">
        <v>77385348</v>
      </c>
      <c r="F2596" s="38" t="s">
        <v>2740</v>
      </c>
      <c r="G2596" s="1521"/>
      <c r="H2596" s="38">
        <v>30221058</v>
      </c>
      <c r="I2596" s="41">
        <v>8500</v>
      </c>
      <c r="J2596" s="42">
        <v>0.08</v>
      </c>
      <c r="K2596" s="38">
        <v>5</v>
      </c>
      <c r="L2596" s="41">
        <v>42500</v>
      </c>
      <c r="M2596" s="1521"/>
      <c r="N2596" s="1461"/>
    </row>
    <row r="2597" spans="2:14" ht="16.5" customHeight="1">
      <c r="B2597" s="1520"/>
      <c r="C2597" s="1520">
        <v>3</v>
      </c>
      <c r="D2597" s="1521" t="s">
        <v>315</v>
      </c>
      <c r="E2597" s="38">
        <v>76917323</v>
      </c>
      <c r="F2597" s="38" t="s">
        <v>2275</v>
      </c>
      <c r="G2597" s="1521" t="s">
        <v>2741</v>
      </c>
      <c r="H2597" s="38">
        <v>30221060</v>
      </c>
      <c r="I2597" s="41">
        <v>9900</v>
      </c>
      <c r="J2597" s="42">
        <v>0.08</v>
      </c>
      <c r="K2597" s="38">
        <v>5</v>
      </c>
      <c r="L2597" s="41">
        <v>49500</v>
      </c>
      <c r="M2597" s="1521" t="s">
        <v>2742</v>
      </c>
      <c r="N2597" s="1461">
        <v>20250219327</v>
      </c>
    </row>
    <row r="2598" spans="2:14" ht="16.5" customHeight="1">
      <c r="B2598" s="1520"/>
      <c r="C2598" s="1520"/>
      <c r="D2598" s="1521"/>
      <c r="E2598" s="38">
        <v>76917333</v>
      </c>
      <c r="F2598" s="38" t="s">
        <v>2277</v>
      </c>
      <c r="G2598" s="1521"/>
      <c r="H2598" s="38">
        <v>30221062</v>
      </c>
      <c r="I2598" s="41">
        <v>16900</v>
      </c>
      <c r="J2598" s="42">
        <v>0.08</v>
      </c>
      <c r="K2598" s="38">
        <v>5</v>
      </c>
      <c r="L2598" s="41">
        <v>84500</v>
      </c>
      <c r="M2598" s="1521"/>
      <c r="N2598" s="1461"/>
    </row>
    <row r="2599" spans="2:14" ht="16.5" customHeight="1">
      <c r="B2599" s="1520"/>
      <c r="C2599" s="1520"/>
      <c r="D2599" s="1521"/>
      <c r="E2599" s="38">
        <v>76917325</v>
      </c>
      <c r="F2599" s="38" t="s">
        <v>2276</v>
      </c>
      <c r="G2599" s="1521"/>
      <c r="H2599" s="38">
        <v>30221064</v>
      </c>
      <c r="I2599" s="41">
        <v>18500</v>
      </c>
      <c r="J2599" s="42">
        <v>0.08</v>
      </c>
      <c r="K2599" s="38">
        <v>5</v>
      </c>
      <c r="L2599" s="41">
        <v>92500</v>
      </c>
      <c r="M2599" s="1521"/>
      <c r="N2599" s="1461"/>
    </row>
    <row r="2600" spans="2:14" ht="16.5" customHeight="1">
      <c r="B2600" s="1520"/>
      <c r="C2600" s="1520"/>
      <c r="D2600" s="1521"/>
      <c r="E2600" s="38">
        <v>76917339</v>
      </c>
      <c r="F2600" s="38" t="s">
        <v>2743</v>
      </c>
      <c r="G2600" s="1521"/>
      <c r="H2600" s="38">
        <v>30221066</v>
      </c>
      <c r="I2600" s="41">
        <v>19900</v>
      </c>
      <c r="J2600" s="42">
        <v>0.08</v>
      </c>
      <c r="K2600" s="38">
        <v>5</v>
      </c>
      <c r="L2600" s="41">
        <v>99500</v>
      </c>
      <c r="M2600" s="1521"/>
      <c r="N2600" s="1461"/>
    </row>
    <row r="2601" spans="2:14" ht="16.5" customHeight="1">
      <c r="B2601" s="1520"/>
      <c r="C2601" s="1520"/>
      <c r="D2601" s="1521"/>
      <c r="E2601" s="38">
        <v>76917329</v>
      </c>
      <c r="F2601" s="38" t="s">
        <v>2744</v>
      </c>
      <c r="G2601" s="1521"/>
      <c r="H2601" s="38">
        <v>30221067</v>
      </c>
      <c r="I2601" s="41">
        <v>21700</v>
      </c>
      <c r="J2601" s="42">
        <v>0.08</v>
      </c>
      <c r="K2601" s="38">
        <v>5</v>
      </c>
      <c r="L2601" s="41">
        <v>108500</v>
      </c>
      <c r="M2601" s="1521"/>
      <c r="N2601" s="1461"/>
    </row>
    <row r="2602" spans="2:14" ht="16.5" customHeight="1">
      <c r="B2602" s="1520"/>
      <c r="C2602" s="1520">
        <v>4</v>
      </c>
      <c r="D2602" s="1520" t="s">
        <v>286</v>
      </c>
      <c r="E2602" s="47">
        <v>77273000</v>
      </c>
      <c r="F2602" s="47" t="s">
        <v>2745</v>
      </c>
      <c r="G2602" s="1520" t="s">
        <v>2746</v>
      </c>
      <c r="H2602" s="39">
        <v>30221069</v>
      </c>
      <c r="I2602" s="431">
        <v>29600</v>
      </c>
      <c r="J2602" s="42">
        <v>0.16</v>
      </c>
      <c r="K2602" s="38">
        <v>5</v>
      </c>
      <c r="L2602" s="41">
        <v>148000</v>
      </c>
      <c r="M2602" s="1521" t="s">
        <v>2747</v>
      </c>
      <c r="N2602" s="1461">
        <v>20250219329</v>
      </c>
    </row>
    <row r="2603" spans="2:14" ht="16.5" customHeight="1">
      <c r="B2603" s="1520"/>
      <c r="C2603" s="1520"/>
      <c r="D2603" s="1520"/>
      <c r="E2603" s="46">
        <v>70260782</v>
      </c>
      <c r="F2603" s="46" t="s">
        <v>2079</v>
      </c>
      <c r="G2603" s="1520"/>
      <c r="H2603" s="38">
        <v>30218355</v>
      </c>
      <c r="I2603" s="48">
        <v>9900</v>
      </c>
      <c r="J2603" s="42">
        <v>0.16</v>
      </c>
      <c r="K2603" s="38">
        <v>5</v>
      </c>
      <c r="L2603" s="41">
        <v>49500</v>
      </c>
      <c r="M2603" s="1521"/>
      <c r="N2603" s="1461"/>
    </row>
    <row r="2604" spans="2:14" ht="16.5" customHeight="1">
      <c r="B2604" s="1520"/>
      <c r="C2604" s="1520"/>
      <c r="D2604" s="1520"/>
      <c r="E2604" s="46">
        <v>55755584</v>
      </c>
      <c r="F2604" s="46" t="s">
        <v>2081</v>
      </c>
      <c r="G2604" s="1520"/>
      <c r="H2604" s="38">
        <v>30218356</v>
      </c>
      <c r="I2604" s="48">
        <v>9900</v>
      </c>
      <c r="J2604" s="42">
        <v>0.16</v>
      </c>
      <c r="K2604" s="38">
        <v>5</v>
      </c>
      <c r="L2604" s="41">
        <v>49500</v>
      </c>
      <c r="M2604" s="1521"/>
      <c r="N2604" s="1461"/>
    </row>
    <row r="2605" spans="2:14" ht="16.5" customHeight="1">
      <c r="B2605" s="1520"/>
      <c r="C2605" s="1520"/>
      <c r="D2605" s="1520"/>
      <c r="E2605" s="46">
        <v>72592544</v>
      </c>
      <c r="F2605" s="47" t="s">
        <v>1399</v>
      </c>
      <c r="G2605" s="1520"/>
      <c r="H2605" s="38">
        <v>30216341</v>
      </c>
      <c r="I2605" s="48">
        <v>19900</v>
      </c>
      <c r="J2605" s="42">
        <v>0.16</v>
      </c>
      <c r="K2605" s="38">
        <v>5</v>
      </c>
      <c r="L2605" s="41">
        <v>99500</v>
      </c>
      <c r="M2605" s="1521"/>
      <c r="N2605" s="1461"/>
    </row>
    <row r="2606" spans="2:14" ht="16.5" customHeight="1">
      <c r="B2606" s="1520"/>
      <c r="C2606" s="1520"/>
      <c r="D2606" s="1520"/>
      <c r="E2606" s="432">
        <v>77384097</v>
      </c>
      <c r="F2606" s="47" t="s">
        <v>2748</v>
      </c>
      <c r="G2606" s="1520"/>
      <c r="H2606" s="38">
        <v>30221077</v>
      </c>
      <c r="I2606" s="48">
        <v>14900</v>
      </c>
      <c r="J2606" s="42">
        <v>0.16</v>
      </c>
      <c r="K2606" s="38">
        <v>5</v>
      </c>
      <c r="L2606" s="41">
        <v>74500</v>
      </c>
      <c r="M2606" s="1521"/>
      <c r="N2606" s="1461"/>
    </row>
    <row r="2607" spans="2:14" ht="16.5" customHeight="1">
      <c r="B2607" s="1520"/>
      <c r="C2607" s="1520">
        <v>5</v>
      </c>
      <c r="D2607" s="1520" t="s">
        <v>2478</v>
      </c>
      <c r="E2607" s="38">
        <v>70794379</v>
      </c>
      <c r="F2607" s="38" t="s">
        <v>271</v>
      </c>
      <c r="G2607" s="1521" t="s">
        <v>2749</v>
      </c>
      <c r="H2607" s="38">
        <v>30208327</v>
      </c>
      <c r="I2607" s="41">
        <v>8400</v>
      </c>
      <c r="J2607" s="42">
        <v>0.1</v>
      </c>
      <c r="K2607" s="38">
        <v>5</v>
      </c>
      <c r="L2607" s="41">
        <v>42000</v>
      </c>
      <c r="M2607" s="1521" t="s">
        <v>2750</v>
      </c>
      <c r="N2607" s="1461">
        <v>20250219330</v>
      </c>
    </row>
    <row r="2608" spans="2:14" ht="16.5" customHeight="1">
      <c r="B2608" s="1520"/>
      <c r="C2608" s="1520"/>
      <c r="D2608" s="1520"/>
      <c r="E2608" s="38">
        <v>71220928</v>
      </c>
      <c r="F2608" s="38" t="s">
        <v>649</v>
      </c>
      <c r="G2608" s="1521"/>
      <c r="H2608" s="38">
        <v>30210943</v>
      </c>
      <c r="I2608" s="41">
        <v>8500</v>
      </c>
      <c r="J2608" s="42">
        <v>0.1</v>
      </c>
      <c r="K2608" s="38">
        <v>5</v>
      </c>
      <c r="L2608" s="41">
        <v>42500</v>
      </c>
      <c r="M2608" s="1521"/>
      <c r="N2608" s="1461"/>
    </row>
    <row r="2609" spans="2:14" ht="16.5" customHeight="1">
      <c r="B2609" s="1520"/>
      <c r="C2609" s="1520"/>
      <c r="D2609" s="1520"/>
      <c r="E2609" s="38">
        <v>64091302</v>
      </c>
      <c r="F2609" s="38" t="s">
        <v>2751</v>
      </c>
      <c r="G2609" s="1521"/>
      <c r="H2609" s="38">
        <v>30204158</v>
      </c>
      <c r="I2609" s="41">
        <v>14300</v>
      </c>
      <c r="J2609" s="42">
        <v>0.1</v>
      </c>
      <c r="K2609" s="38">
        <v>5</v>
      </c>
      <c r="L2609" s="41">
        <v>71500</v>
      </c>
      <c r="M2609" s="1521"/>
      <c r="N2609" s="1461"/>
    </row>
    <row r="2610" spans="2:14" ht="16.5" customHeight="1">
      <c r="B2610" s="1520"/>
      <c r="C2610" s="1520"/>
      <c r="D2610" s="1520"/>
      <c r="E2610" s="38">
        <v>64092165</v>
      </c>
      <c r="F2610" s="38" t="s">
        <v>2752</v>
      </c>
      <c r="G2610" s="1521"/>
      <c r="H2610" s="38">
        <v>30221107</v>
      </c>
      <c r="I2610" s="41">
        <v>14900</v>
      </c>
      <c r="J2610" s="42">
        <v>0.1</v>
      </c>
      <c r="K2610" s="38">
        <v>5</v>
      </c>
      <c r="L2610" s="41">
        <v>74500</v>
      </c>
      <c r="M2610" s="1521"/>
      <c r="N2610" s="1461"/>
    </row>
    <row r="2611" spans="2:14" ht="16.5" customHeight="1">
      <c r="B2611" s="1520"/>
      <c r="C2611" s="1520"/>
      <c r="D2611" s="1520"/>
      <c r="E2611" s="38">
        <v>71569726</v>
      </c>
      <c r="F2611" s="38" t="s">
        <v>2482</v>
      </c>
      <c r="G2611" s="1521"/>
      <c r="H2611" s="38">
        <v>30221110</v>
      </c>
      <c r="I2611" s="41">
        <v>22300</v>
      </c>
      <c r="J2611" s="42">
        <v>0.1</v>
      </c>
      <c r="K2611" s="38">
        <v>5</v>
      </c>
      <c r="L2611" s="41">
        <v>111500</v>
      </c>
      <c r="M2611" s="1521"/>
      <c r="N2611" s="1461"/>
    </row>
    <row r="2612" spans="2:14" ht="16.5" customHeight="1">
      <c r="B2612" s="1520" t="s">
        <v>331</v>
      </c>
      <c r="C2612" s="38">
        <v>1</v>
      </c>
      <c r="D2612" s="38" t="s">
        <v>2082</v>
      </c>
      <c r="E2612" s="38">
        <v>30169322</v>
      </c>
      <c r="F2612" s="38" t="s">
        <v>2753</v>
      </c>
      <c r="G2612" s="38" t="s">
        <v>2754</v>
      </c>
      <c r="H2612" s="38">
        <v>30221114</v>
      </c>
      <c r="I2612" s="38">
        <v>10900</v>
      </c>
      <c r="J2612" s="42">
        <v>0.13</v>
      </c>
      <c r="K2612" s="38">
        <v>5</v>
      </c>
      <c r="L2612" s="41">
        <v>54500</v>
      </c>
      <c r="M2612" s="39" t="s">
        <v>2755</v>
      </c>
      <c r="N2612" s="69">
        <v>20250219331</v>
      </c>
    </row>
    <row r="2613" spans="2:14" ht="16.5" customHeight="1">
      <c r="B2613" s="1520"/>
      <c r="C2613" s="38">
        <v>2</v>
      </c>
      <c r="D2613" s="38" t="s">
        <v>360</v>
      </c>
      <c r="E2613" s="38">
        <v>45154899</v>
      </c>
      <c r="F2613" s="38" t="s">
        <v>2756</v>
      </c>
      <c r="G2613" s="38" t="s">
        <v>2757</v>
      </c>
      <c r="H2613" s="38">
        <v>30198339</v>
      </c>
      <c r="I2613" s="41">
        <v>20900</v>
      </c>
      <c r="J2613" s="42">
        <v>0.1</v>
      </c>
      <c r="K2613" s="38">
        <v>5</v>
      </c>
      <c r="L2613" s="41">
        <v>104500</v>
      </c>
      <c r="M2613" s="39" t="s">
        <v>2758</v>
      </c>
      <c r="N2613" s="69">
        <v>20250219332</v>
      </c>
    </row>
    <row r="2614" spans="2:14" ht="16.5" customHeight="1">
      <c r="B2614" s="1520"/>
      <c r="C2614" s="1520">
        <v>3</v>
      </c>
      <c r="D2614" s="1520" t="s">
        <v>352</v>
      </c>
      <c r="E2614" s="38">
        <v>76408080</v>
      </c>
      <c r="F2614" s="40" t="s">
        <v>2759</v>
      </c>
      <c r="G2614" s="1521" t="s">
        <v>2760</v>
      </c>
      <c r="H2614" s="38">
        <v>30221119</v>
      </c>
      <c r="I2614" s="41">
        <v>15800</v>
      </c>
      <c r="J2614" s="42">
        <v>0.1</v>
      </c>
      <c r="K2614" s="38">
        <v>5</v>
      </c>
      <c r="L2614" s="41">
        <v>79000</v>
      </c>
      <c r="M2614" s="1521" t="s">
        <v>2761</v>
      </c>
      <c r="N2614" s="1461">
        <v>20250219333</v>
      </c>
    </row>
    <row r="2615" spans="2:14" ht="16.5" customHeight="1">
      <c r="B2615" s="1520"/>
      <c r="C2615" s="1520"/>
      <c r="D2615" s="1520"/>
      <c r="E2615" s="38">
        <v>76559371</v>
      </c>
      <c r="F2615" s="40" t="s">
        <v>2762</v>
      </c>
      <c r="G2615" s="1521"/>
      <c r="H2615" s="38">
        <v>30221121</v>
      </c>
      <c r="I2615" s="41">
        <v>17800</v>
      </c>
      <c r="J2615" s="42">
        <v>0.1</v>
      </c>
      <c r="K2615" s="38">
        <v>5</v>
      </c>
      <c r="L2615" s="41">
        <v>89000</v>
      </c>
      <c r="M2615" s="1521"/>
      <c r="N2615" s="1461"/>
    </row>
    <row r="2616" spans="2:14" ht="16.5" customHeight="1">
      <c r="B2616" s="1520"/>
      <c r="C2616" s="1520"/>
      <c r="D2616" s="1520"/>
      <c r="E2616" s="38">
        <v>60351584</v>
      </c>
      <c r="F2616" s="40" t="s">
        <v>2763</v>
      </c>
      <c r="G2616" s="1521"/>
      <c r="H2616" s="38">
        <v>30221124</v>
      </c>
      <c r="I2616" s="41">
        <v>17800</v>
      </c>
      <c r="J2616" s="42">
        <v>0.1</v>
      </c>
      <c r="K2616" s="38">
        <v>5</v>
      </c>
      <c r="L2616" s="41">
        <v>89000</v>
      </c>
      <c r="M2616" s="1521"/>
      <c r="N2616" s="1461"/>
    </row>
    <row r="2617" spans="2:14" ht="16.5" customHeight="1">
      <c r="B2617" s="1520"/>
      <c r="C2617" s="1520"/>
      <c r="D2617" s="1520"/>
      <c r="E2617" s="38">
        <v>57446962</v>
      </c>
      <c r="F2617" s="40" t="s">
        <v>2764</v>
      </c>
      <c r="G2617" s="1521"/>
      <c r="H2617" s="38">
        <v>30221125</v>
      </c>
      <c r="I2617" s="41">
        <v>19800</v>
      </c>
      <c r="J2617" s="42">
        <v>0.1</v>
      </c>
      <c r="K2617" s="38">
        <v>5</v>
      </c>
      <c r="L2617" s="41">
        <v>99000</v>
      </c>
      <c r="M2617" s="1521"/>
      <c r="N2617" s="1461"/>
    </row>
    <row r="2618" spans="2:14" ht="16.5" customHeight="1">
      <c r="B2618" s="1520"/>
      <c r="C2618" s="1520"/>
      <c r="D2618" s="1520"/>
      <c r="E2618" s="38">
        <v>57446903</v>
      </c>
      <c r="F2618" s="40" t="s">
        <v>1498</v>
      </c>
      <c r="G2618" s="1521"/>
      <c r="H2618" s="38">
        <v>30217295</v>
      </c>
      <c r="I2618" s="41">
        <v>19800</v>
      </c>
      <c r="J2618" s="42">
        <v>0.1</v>
      </c>
      <c r="K2618" s="38">
        <v>5</v>
      </c>
      <c r="L2618" s="41">
        <v>99000</v>
      </c>
      <c r="M2618" s="1521"/>
      <c r="N2618" s="1461"/>
    </row>
    <row r="2619" spans="2:14" ht="16.5" customHeight="1">
      <c r="B2619" s="1520"/>
      <c r="C2619" s="1520">
        <v>4</v>
      </c>
      <c r="D2619" s="1520" t="s">
        <v>2765</v>
      </c>
      <c r="E2619" s="38">
        <v>30168693</v>
      </c>
      <c r="F2619" s="38" t="s">
        <v>2766</v>
      </c>
      <c r="G2619" s="1521" t="s">
        <v>2767</v>
      </c>
      <c r="H2619" s="38">
        <v>30221129</v>
      </c>
      <c r="I2619" s="41">
        <v>19900</v>
      </c>
      <c r="J2619" s="42">
        <v>0.15</v>
      </c>
      <c r="K2619" s="38">
        <v>5</v>
      </c>
      <c r="L2619" s="41">
        <v>99500</v>
      </c>
      <c r="M2619" s="1521" t="s">
        <v>2768</v>
      </c>
      <c r="N2619" s="1461">
        <v>20250219334</v>
      </c>
    </row>
    <row r="2620" spans="2:14" ht="16.5" customHeight="1">
      <c r="B2620" s="1520"/>
      <c r="C2620" s="1520"/>
      <c r="D2620" s="1520"/>
      <c r="E2620" s="38">
        <v>30172151</v>
      </c>
      <c r="F2620" s="38" t="s">
        <v>2769</v>
      </c>
      <c r="G2620" s="1521"/>
      <c r="H2620" s="38">
        <v>30221130</v>
      </c>
      <c r="I2620" s="41">
        <v>19900</v>
      </c>
      <c r="J2620" s="42">
        <v>0.15</v>
      </c>
      <c r="K2620" s="38">
        <v>5</v>
      </c>
      <c r="L2620" s="41">
        <v>99500</v>
      </c>
      <c r="M2620" s="1521"/>
      <c r="N2620" s="1461"/>
    </row>
    <row r="2621" spans="2:14" ht="16.5" customHeight="1">
      <c r="B2621" s="1520"/>
      <c r="C2621" s="1520"/>
      <c r="D2621" s="1520"/>
      <c r="E2621" s="38">
        <v>30174357</v>
      </c>
      <c r="F2621" s="38" t="s">
        <v>2770</v>
      </c>
      <c r="G2621" s="1521"/>
      <c r="H2621" s="38">
        <v>30221131</v>
      </c>
      <c r="I2621" s="41">
        <v>20900</v>
      </c>
      <c r="J2621" s="42">
        <v>0.15</v>
      </c>
      <c r="K2621" s="38">
        <v>5</v>
      </c>
      <c r="L2621" s="41">
        <v>104500</v>
      </c>
      <c r="M2621" s="1521"/>
      <c r="N2621" s="1461"/>
    </row>
    <row r="2622" spans="2:14" ht="16.5" customHeight="1">
      <c r="B2622" s="1520"/>
      <c r="C2622" s="1520"/>
      <c r="D2622" s="1520"/>
      <c r="E2622" s="38">
        <v>30202726</v>
      </c>
      <c r="F2622" s="38" t="s">
        <v>2771</v>
      </c>
      <c r="G2622" s="1521"/>
      <c r="H2622" s="38">
        <v>30221135</v>
      </c>
      <c r="I2622" s="41">
        <v>20900</v>
      </c>
      <c r="J2622" s="42">
        <v>0.15</v>
      </c>
      <c r="K2622" s="38">
        <v>5</v>
      </c>
      <c r="L2622" s="41">
        <v>104500</v>
      </c>
      <c r="M2622" s="1521"/>
      <c r="N2622" s="1461"/>
    </row>
    <row r="2623" spans="2:14" ht="16.5" customHeight="1">
      <c r="B2623" s="1520"/>
      <c r="C2623" s="1520"/>
      <c r="D2623" s="1520"/>
      <c r="E2623" s="38">
        <v>30215708</v>
      </c>
      <c r="F2623" s="38" t="s">
        <v>2772</v>
      </c>
      <c r="G2623" s="1521"/>
      <c r="H2623" s="38">
        <v>30221138</v>
      </c>
      <c r="I2623" s="41">
        <v>19900</v>
      </c>
      <c r="J2623" s="42">
        <v>0.15</v>
      </c>
      <c r="K2623" s="38">
        <v>5</v>
      </c>
      <c r="L2623" s="41">
        <v>99500</v>
      </c>
      <c r="M2623" s="1521"/>
      <c r="N2623" s="1461"/>
    </row>
    <row r="2624" spans="2:14" ht="16.5" customHeight="1">
      <c r="B2624" s="1520"/>
      <c r="C2624" s="1520">
        <v>5</v>
      </c>
      <c r="D2624" s="1521" t="s">
        <v>2094</v>
      </c>
      <c r="E2624" s="38">
        <v>30218280</v>
      </c>
      <c r="F2624" s="38" t="s">
        <v>2296</v>
      </c>
      <c r="G2624" s="1521" t="s">
        <v>2773</v>
      </c>
      <c r="H2624" s="38">
        <v>30221139</v>
      </c>
      <c r="I2624" s="41">
        <v>12500</v>
      </c>
      <c r="J2624" s="42">
        <v>0.15</v>
      </c>
      <c r="K2624" s="38">
        <v>5</v>
      </c>
      <c r="L2624" s="41">
        <v>62500</v>
      </c>
      <c r="M2624" s="1521" t="s">
        <v>2774</v>
      </c>
      <c r="N2624" s="1461">
        <v>20250219336</v>
      </c>
    </row>
    <row r="2625" spans="2:15" ht="16.5" customHeight="1">
      <c r="B2625" s="1520"/>
      <c r="C2625" s="1520"/>
      <c r="D2625" s="1521"/>
      <c r="E2625" s="38">
        <v>30218302</v>
      </c>
      <c r="F2625" s="38" t="s">
        <v>2295</v>
      </c>
      <c r="G2625" s="1521"/>
      <c r="H2625" s="38">
        <v>30221140</v>
      </c>
      <c r="I2625" s="41">
        <v>12500</v>
      </c>
      <c r="J2625" s="42">
        <v>0.15</v>
      </c>
      <c r="K2625" s="38">
        <v>5</v>
      </c>
      <c r="L2625" s="41">
        <v>62500</v>
      </c>
      <c r="M2625" s="1521"/>
      <c r="N2625" s="1461"/>
    </row>
    <row r="2626" spans="2:15" ht="16.5" customHeight="1">
      <c r="B2626" s="1520"/>
      <c r="C2626" s="1520"/>
      <c r="D2626" s="1521"/>
      <c r="E2626" s="38">
        <v>30198518</v>
      </c>
      <c r="F2626" s="38" t="s">
        <v>2292</v>
      </c>
      <c r="G2626" s="1521"/>
      <c r="H2626" s="38">
        <v>30221142</v>
      </c>
      <c r="I2626" s="41">
        <v>6900</v>
      </c>
      <c r="J2626" s="42">
        <v>0.15</v>
      </c>
      <c r="K2626" s="38">
        <v>5</v>
      </c>
      <c r="L2626" s="41">
        <v>34500</v>
      </c>
      <c r="M2626" s="1521"/>
      <c r="N2626" s="1461"/>
    </row>
    <row r="2627" spans="2:15" ht="16.5" customHeight="1">
      <c r="B2627" s="1520"/>
      <c r="C2627" s="1520"/>
      <c r="D2627" s="1521"/>
      <c r="E2627" s="38">
        <v>30198535</v>
      </c>
      <c r="F2627" s="38" t="s">
        <v>2297</v>
      </c>
      <c r="G2627" s="1521"/>
      <c r="H2627" s="38">
        <v>30221143</v>
      </c>
      <c r="I2627" s="41">
        <v>9900</v>
      </c>
      <c r="J2627" s="42">
        <v>0.15</v>
      </c>
      <c r="K2627" s="38">
        <v>5</v>
      </c>
      <c r="L2627" s="41">
        <v>49500</v>
      </c>
      <c r="M2627" s="1521"/>
      <c r="N2627" s="1461"/>
    </row>
    <row r="2628" spans="2:15" ht="16.5" customHeight="1">
      <c r="B2628" s="1520"/>
      <c r="C2628" s="1520">
        <v>6</v>
      </c>
      <c r="D2628" s="1521" t="s">
        <v>2094</v>
      </c>
      <c r="E2628" s="38">
        <v>30220123</v>
      </c>
      <c r="F2628" s="38" t="s">
        <v>2775</v>
      </c>
      <c r="G2628" s="1521" t="s">
        <v>2776</v>
      </c>
      <c r="H2628" s="38">
        <v>30221144</v>
      </c>
      <c r="I2628" s="41">
        <v>9900</v>
      </c>
      <c r="J2628" s="42">
        <v>0.15</v>
      </c>
      <c r="K2628" s="38">
        <v>5</v>
      </c>
      <c r="L2628" s="41">
        <v>49500</v>
      </c>
      <c r="M2628" s="1521" t="s">
        <v>2777</v>
      </c>
      <c r="N2628" s="1461">
        <v>20250219337</v>
      </c>
    </row>
    <row r="2629" spans="2:15" ht="16.5" customHeight="1">
      <c r="B2629" s="1520"/>
      <c r="C2629" s="1520"/>
      <c r="D2629" s="1521"/>
      <c r="E2629" s="38">
        <v>30199777</v>
      </c>
      <c r="F2629" s="38" t="s">
        <v>2778</v>
      </c>
      <c r="G2629" s="1521"/>
      <c r="H2629" s="38">
        <v>30221145</v>
      </c>
      <c r="I2629" s="41">
        <v>7900</v>
      </c>
      <c r="J2629" s="42">
        <v>0.15</v>
      </c>
      <c r="K2629" s="38">
        <v>5</v>
      </c>
      <c r="L2629" s="41">
        <v>39500</v>
      </c>
      <c r="M2629" s="1521"/>
      <c r="N2629" s="1461"/>
    </row>
    <row r="2630" spans="2:15" ht="16.5" customHeight="1">
      <c r="B2630" s="1520"/>
      <c r="C2630" s="1520"/>
      <c r="D2630" s="1521"/>
      <c r="E2630" s="38">
        <v>30207288</v>
      </c>
      <c r="F2630" s="38" t="s">
        <v>2099</v>
      </c>
      <c r="G2630" s="1521"/>
      <c r="H2630" s="38">
        <v>30218403</v>
      </c>
      <c r="I2630" s="41">
        <v>8500</v>
      </c>
      <c r="J2630" s="42">
        <v>0.15</v>
      </c>
      <c r="K2630" s="38">
        <v>5</v>
      </c>
      <c r="L2630" s="41">
        <v>42500</v>
      </c>
      <c r="M2630" s="1521"/>
      <c r="N2630" s="1461"/>
    </row>
    <row r="2631" spans="2:15" ht="16.5" customHeight="1">
      <c r="B2631" s="1520"/>
      <c r="C2631" s="1520"/>
      <c r="D2631" s="1521"/>
      <c r="E2631" s="38">
        <v>30207303</v>
      </c>
      <c r="F2631" s="38" t="s">
        <v>2098</v>
      </c>
      <c r="G2631" s="1521"/>
      <c r="H2631" s="38">
        <v>30218401</v>
      </c>
      <c r="I2631" s="41">
        <v>10500</v>
      </c>
      <c r="J2631" s="42">
        <v>0.15</v>
      </c>
      <c r="K2631" s="38">
        <v>5</v>
      </c>
      <c r="L2631" s="41">
        <v>52500</v>
      </c>
      <c r="M2631" s="1521"/>
      <c r="N2631" s="1461"/>
    </row>
    <row r="2632" spans="2:15" ht="16.5" customHeight="1">
      <c r="B2632" s="1448" t="s">
        <v>185</v>
      </c>
      <c r="C2632" s="1448">
        <v>1</v>
      </c>
      <c r="D2632" s="1448" t="s">
        <v>194</v>
      </c>
      <c r="E2632" s="40">
        <v>72608063</v>
      </c>
      <c r="F2632" s="92" t="s">
        <v>2779</v>
      </c>
      <c r="G2632" s="1448" t="s">
        <v>2780</v>
      </c>
      <c r="H2632" s="38">
        <v>30221730</v>
      </c>
      <c r="I2632" s="41">
        <v>25900</v>
      </c>
      <c r="J2632" s="304">
        <v>0.13</v>
      </c>
      <c r="K2632" s="1448">
        <v>5</v>
      </c>
      <c r="L2632" s="1450">
        <f>I2632*K2632</f>
        <v>129500</v>
      </c>
      <c r="M2632" s="1450" t="s">
        <v>2781</v>
      </c>
      <c r="N2632" s="1445">
        <v>20250219338</v>
      </c>
    </row>
    <row r="2633" spans="2:15" ht="16.5" customHeight="1">
      <c r="B2633" s="1448"/>
      <c r="C2633" s="1448"/>
      <c r="D2633" s="1448"/>
      <c r="E2633" s="40">
        <v>67333029</v>
      </c>
      <c r="F2633" s="92" t="s">
        <v>2782</v>
      </c>
      <c r="G2633" s="1448"/>
      <c r="H2633" s="38">
        <v>30221740</v>
      </c>
      <c r="I2633" s="41">
        <v>29900</v>
      </c>
      <c r="J2633" s="304">
        <v>0.13</v>
      </c>
      <c r="K2633" s="1448"/>
      <c r="L2633" s="1450"/>
      <c r="M2633" s="1519"/>
      <c r="N2633" s="1446"/>
    </row>
    <row r="2634" spans="2:15" ht="16.5" customHeight="1">
      <c r="B2634" s="1448"/>
      <c r="C2634" s="1448">
        <v>2</v>
      </c>
      <c r="D2634" s="1448" t="s">
        <v>189</v>
      </c>
      <c r="E2634" s="40">
        <v>30186612</v>
      </c>
      <c r="F2634" s="92" t="s">
        <v>2783</v>
      </c>
      <c r="G2634" s="1448" t="s">
        <v>2784</v>
      </c>
      <c r="H2634" s="38">
        <v>30203059</v>
      </c>
      <c r="I2634" s="41">
        <v>10900</v>
      </c>
      <c r="J2634" s="304">
        <v>0.13</v>
      </c>
      <c r="K2634" s="1448">
        <v>5</v>
      </c>
      <c r="L2634" s="1517">
        <f>I2634*K2634</f>
        <v>54500</v>
      </c>
      <c r="M2634" s="1450" t="s">
        <v>2785</v>
      </c>
      <c r="N2634" s="1461">
        <v>20250219339</v>
      </c>
      <c r="O2634" s="4" t="s">
        <v>1914</v>
      </c>
    </row>
    <row r="2635" spans="2:15" ht="16.5" customHeight="1">
      <c r="B2635" s="1448"/>
      <c r="C2635" s="1448"/>
      <c r="D2635" s="1448"/>
      <c r="E2635" s="40">
        <v>30186618</v>
      </c>
      <c r="F2635" s="92" t="s">
        <v>2786</v>
      </c>
      <c r="G2635" s="1448"/>
      <c r="H2635" s="38">
        <v>30203060</v>
      </c>
      <c r="I2635" s="41">
        <v>19900</v>
      </c>
      <c r="J2635" s="304">
        <v>0.13</v>
      </c>
      <c r="K2635" s="1448"/>
      <c r="L2635" s="1517"/>
      <c r="M2635" s="1450"/>
      <c r="N2635" s="1461"/>
    </row>
    <row r="2636" spans="2:15" ht="16.5" customHeight="1">
      <c r="B2636" s="1448"/>
      <c r="C2636" s="1448"/>
      <c r="D2636" s="1448"/>
      <c r="E2636" s="40">
        <v>30186619</v>
      </c>
      <c r="F2636" s="92" t="s">
        <v>2787</v>
      </c>
      <c r="G2636" s="1448"/>
      <c r="H2636" s="38">
        <v>30203061</v>
      </c>
      <c r="I2636" s="41">
        <v>27900</v>
      </c>
      <c r="J2636" s="304">
        <v>0.13</v>
      </c>
      <c r="K2636" s="1448"/>
      <c r="L2636" s="1517"/>
      <c r="M2636" s="1450"/>
      <c r="N2636" s="1461"/>
    </row>
    <row r="2637" spans="2:15" ht="16.5" customHeight="1">
      <c r="B2637" s="1448"/>
      <c r="C2637" s="1448">
        <v>3</v>
      </c>
      <c r="D2637" s="1448" t="s">
        <v>212</v>
      </c>
      <c r="E2637" s="40">
        <v>30179519</v>
      </c>
      <c r="F2637" s="92" t="s">
        <v>2788</v>
      </c>
      <c r="G2637" s="1448" t="s">
        <v>2789</v>
      </c>
      <c r="H2637" s="38">
        <v>30221755</v>
      </c>
      <c r="I2637" s="41">
        <v>9500</v>
      </c>
      <c r="J2637" s="304">
        <v>0.17</v>
      </c>
      <c r="K2637" s="1448">
        <v>5</v>
      </c>
      <c r="L2637" s="1517">
        <f>I2637*K2637</f>
        <v>47500</v>
      </c>
      <c r="M2637" s="1450" t="s">
        <v>2790</v>
      </c>
      <c r="N2637" s="1461">
        <v>20250219340</v>
      </c>
    </row>
    <row r="2638" spans="2:15" ht="16.5" customHeight="1">
      <c r="B2638" s="1448"/>
      <c r="C2638" s="1448"/>
      <c r="D2638" s="1448"/>
      <c r="E2638" s="40">
        <v>30179520</v>
      </c>
      <c r="F2638" s="92" t="s">
        <v>2791</v>
      </c>
      <c r="G2638" s="1448"/>
      <c r="H2638" s="38">
        <v>30221757</v>
      </c>
      <c r="I2638" s="41">
        <v>14900</v>
      </c>
      <c r="J2638" s="304">
        <v>0.17</v>
      </c>
      <c r="K2638" s="1448"/>
      <c r="L2638" s="1517"/>
      <c r="M2638" s="1450"/>
      <c r="N2638" s="1461"/>
    </row>
    <row r="2639" spans="2:15" ht="16.5" customHeight="1">
      <c r="B2639" s="1448"/>
      <c r="C2639" s="1448"/>
      <c r="D2639" s="1448"/>
      <c r="E2639" s="40">
        <v>30179521</v>
      </c>
      <c r="F2639" s="92" t="s">
        <v>2792</v>
      </c>
      <c r="G2639" s="1448"/>
      <c r="H2639" s="38">
        <v>30221759</v>
      </c>
      <c r="I2639" s="41">
        <v>22900</v>
      </c>
      <c r="J2639" s="304">
        <v>0.17</v>
      </c>
      <c r="K2639" s="1448"/>
      <c r="L2639" s="1517"/>
      <c r="M2639" s="1450"/>
      <c r="N2639" s="1461"/>
    </row>
    <row r="2640" spans="2:15" ht="16.5" customHeight="1">
      <c r="B2640" s="1448"/>
      <c r="C2640" s="1448">
        <v>4</v>
      </c>
      <c r="D2640" s="1448" t="s">
        <v>2565</v>
      </c>
      <c r="E2640" s="40">
        <v>74140087</v>
      </c>
      <c r="F2640" s="92" t="s">
        <v>2793</v>
      </c>
      <c r="G2640" s="1448" t="s">
        <v>2794</v>
      </c>
      <c r="H2640" s="38">
        <v>30221774</v>
      </c>
      <c r="I2640" s="41">
        <v>38900</v>
      </c>
      <c r="J2640" s="304">
        <v>0.13</v>
      </c>
      <c r="K2640" s="1448">
        <v>5</v>
      </c>
      <c r="L2640" s="1450">
        <f>I2640*K2640</f>
        <v>194500</v>
      </c>
      <c r="M2640" s="1518" t="s">
        <v>2795</v>
      </c>
      <c r="N2640" s="1446">
        <v>20250219341</v>
      </c>
    </row>
    <row r="2641" spans="2:15" ht="16.5" customHeight="1">
      <c r="B2641" s="1448"/>
      <c r="C2641" s="1448"/>
      <c r="D2641" s="1448"/>
      <c r="E2641" s="40">
        <v>74140109</v>
      </c>
      <c r="F2641" s="92" t="s">
        <v>2796</v>
      </c>
      <c r="G2641" s="1448"/>
      <c r="H2641" s="38">
        <v>30221777</v>
      </c>
      <c r="I2641" s="41">
        <v>54900</v>
      </c>
      <c r="J2641" s="304">
        <v>0.13</v>
      </c>
      <c r="K2641" s="1448"/>
      <c r="L2641" s="1450"/>
      <c r="M2641" s="1450"/>
      <c r="N2641" s="1447"/>
    </row>
    <row r="2642" spans="2:15" ht="16.5" customHeight="1">
      <c r="B2642" s="1448"/>
      <c r="C2642" s="1448">
        <v>5</v>
      </c>
      <c r="D2642" s="1515" t="s">
        <v>2797</v>
      </c>
      <c r="E2642" s="40">
        <v>43272401</v>
      </c>
      <c r="F2642" s="434" t="s">
        <v>2798</v>
      </c>
      <c r="G2642" s="1515" t="s">
        <v>2798</v>
      </c>
      <c r="H2642" s="38">
        <v>30175295</v>
      </c>
      <c r="I2642" s="41">
        <v>35200</v>
      </c>
      <c r="J2642" s="304">
        <v>0.15</v>
      </c>
      <c r="K2642" s="1515">
        <v>5</v>
      </c>
      <c r="L2642" s="1450">
        <f>I2642*K2642</f>
        <v>176000</v>
      </c>
      <c r="M2642" s="1450" t="s">
        <v>2799</v>
      </c>
      <c r="N2642" s="1445">
        <v>20250219342</v>
      </c>
    </row>
    <row r="2643" spans="2:15" ht="16.5" customHeight="1">
      <c r="B2643" s="1448"/>
      <c r="C2643" s="1448"/>
      <c r="D2643" s="1515" t="s">
        <v>2797</v>
      </c>
      <c r="E2643" s="40">
        <v>57284314</v>
      </c>
      <c r="F2643" s="434" t="s">
        <v>2800</v>
      </c>
      <c r="G2643" s="1515"/>
      <c r="H2643" s="38">
        <v>30221778</v>
      </c>
      <c r="I2643" s="41">
        <v>48800</v>
      </c>
      <c r="J2643" s="304">
        <v>0.15</v>
      </c>
      <c r="K2643" s="1515"/>
      <c r="L2643" s="1450"/>
      <c r="M2643" s="1450"/>
      <c r="N2643" s="1446"/>
    </row>
    <row r="2644" spans="2:15" ht="16.5" customHeight="1">
      <c r="B2644" s="1448"/>
      <c r="C2644" s="1448"/>
      <c r="D2644" s="1515" t="s">
        <v>2797</v>
      </c>
      <c r="E2644" s="40">
        <v>47642020</v>
      </c>
      <c r="F2644" s="434" t="s">
        <v>2801</v>
      </c>
      <c r="G2644" s="1515"/>
      <c r="H2644" s="38">
        <v>30221779</v>
      </c>
      <c r="I2644" s="41">
        <v>22300</v>
      </c>
      <c r="J2644" s="304">
        <v>0.15</v>
      </c>
      <c r="K2644" s="1515"/>
      <c r="L2644" s="1450"/>
      <c r="M2644" s="1450"/>
      <c r="N2644" s="1447"/>
    </row>
    <row r="2645" spans="2:15" ht="16.5" customHeight="1">
      <c r="B2645" s="1448"/>
      <c r="C2645" s="1448">
        <v>6</v>
      </c>
      <c r="D2645" s="1515" t="s">
        <v>2802</v>
      </c>
      <c r="E2645" s="40">
        <v>72340657</v>
      </c>
      <c r="F2645" s="434" t="s">
        <v>2803</v>
      </c>
      <c r="G2645" s="1515" t="s">
        <v>2803</v>
      </c>
      <c r="H2645" s="38">
        <v>30221781</v>
      </c>
      <c r="I2645" s="41">
        <v>37800</v>
      </c>
      <c r="J2645" s="304">
        <v>0.15</v>
      </c>
      <c r="K2645" s="1515">
        <v>5</v>
      </c>
      <c r="L2645" s="1450">
        <f>I2645*K2645</f>
        <v>189000</v>
      </c>
      <c r="M2645" s="1450" t="s">
        <v>2804</v>
      </c>
      <c r="N2645" s="1445">
        <v>20250219343</v>
      </c>
    </row>
    <row r="2646" spans="2:15" ht="16.5" customHeight="1">
      <c r="B2646" s="1448"/>
      <c r="C2646" s="1448"/>
      <c r="D2646" s="1515" t="s">
        <v>2802</v>
      </c>
      <c r="E2646" s="40">
        <v>61693163</v>
      </c>
      <c r="F2646" s="434" t="s">
        <v>2805</v>
      </c>
      <c r="G2646" s="1515"/>
      <c r="H2646" s="38">
        <v>30221782</v>
      </c>
      <c r="I2646" s="41">
        <v>84800</v>
      </c>
      <c r="J2646" s="304">
        <v>0.15</v>
      </c>
      <c r="K2646" s="1515"/>
      <c r="L2646" s="1450"/>
      <c r="M2646" s="1450"/>
      <c r="N2646" s="1447"/>
    </row>
    <row r="2647" spans="2:15" ht="16.5" customHeight="1">
      <c r="B2647" s="1448" t="s">
        <v>221</v>
      </c>
      <c r="C2647" s="1515">
        <v>1</v>
      </c>
      <c r="D2647" s="1448" t="s">
        <v>248</v>
      </c>
      <c r="E2647" s="40">
        <v>30221045</v>
      </c>
      <c r="F2647" s="434" t="s">
        <v>2806</v>
      </c>
      <c r="G2647" s="1448" t="s">
        <v>2806</v>
      </c>
      <c r="H2647" s="38">
        <v>30221787</v>
      </c>
      <c r="I2647" s="41">
        <v>4900</v>
      </c>
      <c r="J2647" s="304">
        <v>0.15</v>
      </c>
      <c r="K2647" s="1448">
        <v>5</v>
      </c>
      <c r="L2647" s="1450">
        <f>K2647*I2647</f>
        <v>24500</v>
      </c>
      <c r="M2647" s="1448" t="s">
        <v>2807</v>
      </c>
      <c r="N2647" s="1445">
        <v>20250219344</v>
      </c>
      <c r="O2647" s="4" t="s">
        <v>1529</v>
      </c>
    </row>
    <row r="2648" spans="2:15" ht="16.5" customHeight="1">
      <c r="B2648" s="1448"/>
      <c r="C2648" s="1515"/>
      <c r="D2648" s="1448"/>
      <c r="E2648" s="40">
        <v>30221033</v>
      </c>
      <c r="F2648" s="434" t="s">
        <v>2808</v>
      </c>
      <c r="G2648" s="1448"/>
      <c r="H2648" s="38">
        <v>30221788</v>
      </c>
      <c r="I2648" s="41">
        <v>6900</v>
      </c>
      <c r="J2648" s="304">
        <v>0.15</v>
      </c>
      <c r="K2648" s="1448"/>
      <c r="L2648" s="1450"/>
      <c r="M2648" s="1448" t="s">
        <v>252</v>
      </c>
      <c r="N2648" s="1446"/>
    </row>
    <row r="2649" spans="2:15" ht="16.5" customHeight="1">
      <c r="B2649" s="1448"/>
      <c r="C2649" s="1515"/>
      <c r="D2649" s="1448"/>
      <c r="E2649" s="40">
        <v>30221061</v>
      </c>
      <c r="F2649" s="434" t="s">
        <v>2809</v>
      </c>
      <c r="G2649" s="1448"/>
      <c r="H2649" s="38">
        <v>30221790</v>
      </c>
      <c r="I2649" s="41">
        <v>5900</v>
      </c>
      <c r="J2649" s="304">
        <v>0.15</v>
      </c>
      <c r="K2649" s="1448"/>
      <c r="L2649" s="1450"/>
      <c r="M2649" s="1448" t="s">
        <v>252</v>
      </c>
      <c r="N2649" s="1446"/>
    </row>
    <row r="2650" spans="2:15" ht="16.5" customHeight="1">
      <c r="B2650" s="1448"/>
      <c r="C2650" s="1515"/>
      <c r="D2650" s="1448"/>
      <c r="E2650" s="40">
        <v>30221063</v>
      </c>
      <c r="F2650" s="434" t="s">
        <v>2810</v>
      </c>
      <c r="G2650" s="1448"/>
      <c r="H2650" s="38">
        <v>30221791</v>
      </c>
      <c r="I2650" s="41">
        <v>5900</v>
      </c>
      <c r="J2650" s="304">
        <v>0.15</v>
      </c>
      <c r="K2650" s="1448"/>
      <c r="L2650" s="1450"/>
      <c r="M2650" s="1448" t="s">
        <v>252</v>
      </c>
      <c r="N2650" s="1447"/>
    </row>
    <row r="2651" spans="2:15" ht="16.5" customHeight="1">
      <c r="B2651" s="1448"/>
      <c r="C2651" s="433">
        <v>2</v>
      </c>
      <c r="D2651" s="29" t="s">
        <v>231</v>
      </c>
      <c r="E2651" s="40">
        <v>43654127</v>
      </c>
      <c r="F2651" s="434" t="s">
        <v>2811</v>
      </c>
      <c r="G2651" s="434" t="s">
        <v>2811</v>
      </c>
      <c r="H2651" s="38">
        <v>30221784</v>
      </c>
      <c r="I2651" s="41">
        <v>9900</v>
      </c>
      <c r="J2651" s="304">
        <v>0.17</v>
      </c>
      <c r="K2651" s="29">
        <v>5</v>
      </c>
      <c r="L2651" s="67">
        <f>I2651*K2651</f>
        <v>49500</v>
      </c>
      <c r="M2651" s="67" t="s">
        <v>2812</v>
      </c>
      <c r="N2651" s="69">
        <v>20250219345</v>
      </c>
    </row>
    <row r="2652" spans="2:15" ht="16.5" customHeight="1">
      <c r="B2652" s="1448"/>
      <c r="C2652" s="1515">
        <v>3</v>
      </c>
      <c r="D2652" s="1448" t="s">
        <v>239</v>
      </c>
      <c r="E2652" s="40">
        <v>55017630</v>
      </c>
      <c r="F2652" s="92" t="s">
        <v>1946</v>
      </c>
      <c r="G2652" s="1448" t="s">
        <v>1946</v>
      </c>
      <c r="H2652" s="38">
        <v>30163475</v>
      </c>
      <c r="I2652" s="41">
        <v>16900</v>
      </c>
      <c r="J2652" s="304">
        <v>0.15</v>
      </c>
      <c r="K2652" s="1448">
        <v>5</v>
      </c>
      <c r="L2652" s="1450">
        <f>I2652*K2652</f>
        <v>84500</v>
      </c>
      <c r="M2652" s="1450" t="s">
        <v>2813</v>
      </c>
      <c r="N2652" s="1445">
        <v>20250219346</v>
      </c>
      <c r="O2652" s="4" t="s">
        <v>2814</v>
      </c>
    </row>
    <row r="2653" spans="2:15" ht="16.5" customHeight="1">
      <c r="B2653" s="1448"/>
      <c r="C2653" s="1515"/>
      <c r="D2653" s="1448"/>
      <c r="E2653" s="40">
        <v>55017677</v>
      </c>
      <c r="F2653" s="92" t="s">
        <v>2815</v>
      </c>
      <c r="G2653" s="1448"/>
      <c r="H2653" s="38">
        <v>30157957</v>
      </c>
      <c r="I2653" s="41">
        <v>13900</v>
      </c>
      <c r="J2653" s="304">
        <v>0.15</v>
      </c>
      <c r="K2653" s="1448"/>
      <c r="L2653" s="1450"/>
      <c r="M2653" s="1450"/>
      <c r="N2653" s="1446"/>
    </row>
    <row r="2654" spans="2:15" ht="16.5" customHeight="1">
      <c r="B2654" s="1448"/>
      <c r="C2654" s="1515"/>
      <c r="D2654" s="1448"/>
      <c r="E2654" s="40">
        <v>55017581</v>
      </c>
      <c r="F2654" s="92" t="s">
        <v>1171</v>
      </c>
      <c r="G2654" s="1448"/>
      <c r="H2654" s="38">
        <v>30171296</v>
      </c>
      <c r="I2654" s="41">
        <v>21900</v>
      </c>
      <c r="J2654" s="304">
        <v>0.15</v>
      </c>
      <c r="K2654" s="1448"/>
      <c r="L2654" s="1450"/>
      <c r="M2654" s="1450"/>
      <c r="N2654" s="1447"/>
    </row>
    <row r="2655" spans="2:15" ht="16.5" customHeight="1">
      <c r="B2655" s="1448"/>
      <c r="C2655" s="1515">
        <v>4</v>
      </c>
      <c r="D2655" s="1448" t="s">
        <v>222</v>
      </c>
      <c r="E2655" s="40">
        <v>30209160</v>
      </c>
      <c r="F2655" s="92" t="s">
        <v>2816</v>
      </c>
      <c r="G2655" s="1448" t="s">
        <v>2816</v>
      </c>
      <c r="H2655" s="38">
        <v>30212298</v>
      </c>
      <c r="I2655" s="41">
        <v>17900</v>
      </c>
      <c r="J2655" s="304">
        <v>0.15</v>
      </c>
      <c r="K2655" s="1448">
        <v>5</v>
      </c>
      <c r="L2655" s="1450">
        <f>I2655*K2655</f>
        <v>89500</v>
      </c>
      <c r="M2655" s="1450" t="s">
        <v>2817</v>
      </c>
      <c r="N2655" s="1445">
        <v>20250219347</v>
      </c>
    </row>
    <row r="2656" spans="2:15" ht="16.5" customHeight="1">
      <c r="B2656" s="1448"/>
      <c r="C2656" s="1515"/>
      <c r="D2656" s="1448"/>
      <c r="E2656" s="40">
        <v>30167336</v>
      </c>
      <c r="F2656" s="92" t="s">
        <v>2818</v>
      </c>
      <c r="G2656" s="1448"/>
      <c r="H2656" s="38">
        <v>30167835</v>
      </c>
      <c r="I2656" s="41">
        <v>19900</v>
      </c>
      <c r="J2656" s="304">
        <v>0.15</v>
      </c>
      <c r="K2656" s="1448"/>
      <c r="L2656" s="1450"/>
      <c r="M2656" s="1450"/>
      <c r="N2656" s="1446"/>
    </row>
    <row r="2657" spans="2:14" ht="16.5" customHeight="1">
      <c r="B2657" s="1448"/>
      <c r="C2657" s="1515"/>
      <c r="D2657" s="1448"/>
      <c r="E2657" s="40">
        <v>30214724</v>
      </c>
      <c r="F2657" s="92" t="s">
        <v>2819</v>
      </c>
      <c r="G2657" s="1448"/>
      <c r="H2657" s="38">
        <v>30221802</v>
      </c>
      <c r="I2657" s="41">
        <v>21900</v>
      </c>
      <c r="J2657" s="304">
        <v>0.15</v>
      </c>
      <c r="K2657" s="1448"/>
      <c r="L2657" s="1450"/>
      <c r="M2657" s="1450"/>
      <c r="N2657" s="1446"/>
    </row>
    <row r="2658" spans="2:14" ht="16.5" customHeight="1">
      <c r="B2658" s="1448"/>
      <c r="C2658" s="1515"/>
      <c r="D2658" s="1448"/>
      <c r="E2658" s="40">
        <v>30089528</v>
      </c>
      <c r="F2658" s="92" t="s">
        <v>2820</v>
      </c>
      <c r="G2658" s="1448"/>
      <c r="H2658" s="38">
        <v>30221803</v>
      </c>
      <c r="I2658" s="41">
        <v>21900</v>
      </c>
      <c r="J2658" s="304">
        <v>0.15</v>
      </c>
      <c r="K2658" s="1448"/>
      <c r="L2658" s="1450"/>
      <c r="M2658" s="1450"/>
      <c r="N2658" s="1446"/>
    </row>
    <row r="2659" spans="2:14" ht="16.5" customHeight="1">
      <c r="B2659" s="1448"/>
      <c r="C2659" s="1515"/>
      <c r="D2659" s="1448"/>
      <c r="E2659" s="40">
        <v>30205591</v>
      </c>
      <c r="F2659" s="92" t="s">
        <v>2821</v>
      </c>
      <c r="G2659" s="1448"/>
      <c r="H2659" s="38">
        <v>30206824</v>
      </c>
      <c r="I2659" s="41">
        <v>25900</v>
      </c>
      <c r="J2659" s="304">
        <v>0.15</v>
      </c>
      <c r="K2659" s="1448"/>
      <c r="L2659" s="1450"/>
      <c r="M2659" s="1450"/>
      <c r="N2659" s="1446"/>
    </row>
    <row r="2660" spans="2:14" ht="16.5" customHeight="1">
      <c r="B2660" s="1448"/>
      <c r="C2660" s="1515"/>
      <c r="D2660" s="1448"/>
      <c r="E2660" s="40">
        <v>30107301</v>
      </c>
      <c r="F2660" s="92" t="s">
        <v>2822</v>
      </c>
      <c r="G2660" s="1448"/>
      <c r="H2660" s="38">
        <v>30221804</v>
      </c>
      <c r="I2660" s="41">
        <v>25900</v>
      </c>
      <c r="J2660" s="304">
        <v>0.15</v>
      </c>
      <c r="K2660" s="1448"/>
      <c r="L2660" s="1450"/>
      <c r="M2660" s="1450"/>
      <c r="N2660" s="1446"/>
    </row>
    <row r="2661" spans="2:14" ht="16.5" customHeight="1">
      <c r="B2661" s="1448"/>
      <c r="C2661" s="1515"/>
      <c r="D2661" s="1448"/>
      <c r="E2661" s="40">
        <v>30195075</v>
      </c>
      <c r="F2661" s="92" t="s">
        <v>2823</v>
      </c>
      <c r="G2661" s="1448"/>
      <c r="H2661" s="38">
        <v>30221827</v>
      </c>
      <c r="I2661" s="41">
        <v>29900</v>
      </c>
      <c r="J2661" s="304">
        <v>0.15</v>
      </c>
      <c r="K2661" s="1448"/>
      <c r="L2661" s="1450"/>
      <c r="M2661" s="1450"/>
      <c r="N2661" s="1447"/>
    </row>
    <row r="2662" spans="2:14" ht="16.5" customHeight="1">
      <c r="B2662" s="1448"/>
      <c r="C2662" s="1515">
        <v>5</v>
      </c>
      <c r="D2662" s="1448" t="s">
        <v>239</v>
      </c>
      <c r="E2662" s="40">
        <v>68506082</v>
      </c>
      <c r="F2662" s="92" t="s">
        <v>2824</v>
      </c>
      <c r="G2662" s="1448" t="s">
        <v>2824</v>
      </c>
      <c r="H2662" s="38">
        <v>30201233</v>
      </c>
      <c r="I2662" s="41">
        <v>16500</v>
      </c>
      <c r="J2662" s="304">
        <v>0.15</v>
      </c>
      <c r="K2662" s="1448">
        <v>5</v>
      </c>
      <c r="L2662" s="1450">
        <f>I2662*K2662</f>
        <v>82500</v>
      </c>
      <c r="M2662" s="1450" t="s">
        <v>2825</v>
      </c>
      <c r="N2662" s="1445">
        <v>20250219348</v>
      </c>
    </row>
    <row r="2663" spans="2:14" ht="16.5" customHeight="1">
      <c r="B2663" s="1448"/>
      <c r="C2663" s="1515"/>
      <c r="D2663" s="1448"/>
      <c r="E2663" s="40">
        <v>55021813</v>
      </c>
      <c r="F2663" s="92" t="s">
        <v>244</v>
      </c>
      <c r="G2663" s="1448"/>
      <c r="H2663" s="38">
        <v>30157185</v>
      </c>
      <c r="I2663" s="41">
        <v>17900</v>
      </c>
      <c r="J2663" s="304">
        <v>0.15</v>
      </c>
      <c r="K2663" s="1448"/>
      <c r="L2663" s="1450"/>
      <c r="M2663" s="1450"/>
      <c r="N2663" s="1446"/>
    </row>
    <row r="2664" spans="2:14" ht="16.5" customHeight="1">
      <c r="B2664" s="1448"/>
      <c r="C2664" s="1515"/>
      <c r="D2664" s="1448"/>
      <c r="E2664" s="40">
        <v>60062308</v>
      </c>
      <c r="F2664" s="92" t="s">
        <v>754</v>
      </c>
      <c r="G2664" s="1448"/>
      <c r="H2664" s="38">
        <v>30179628</v>
      </c>
      <c r="I2664" s="41">
        <v>22500</v>
      </c>
      <c r="J2664" s="304">
        <v>0.15</v>
      </c>
      <c r="K2664" s="1448"/>
      <c r="L2664" s="1450"/>
      <c r="M2664" s="1450"/>
      <c r="N2664" s="1447"/>
    </row>
    <row r="2665" spans="2:14" ht="16.5" customHeight="1">
      <c r="B2665" s="1448"/>
      <c r="C2665" s="1515">
        <v>6</v>
      </c>
      <c r="D2665" s="1448" t="s">
        <v>2826</v>
      </c>
      <c r="E2665" s="40">
        <v>48905972</v>
      </c>
      <c r="F2665" s="92" t="s">
        <v>2827</v>
      </c>
      <c r="G2665" s="1448" t="s">
        <v>2827</v>
      </c>
      <c r="H2665" s="38">
        <v>30221829</v>
      </c>
      <c r="I2665" s="41">
        <v>59900</v>
      </c>
      <c r="J2665" s="304">
        <v>0.15</v>
      </c>
      <c r="K2665" s="1448">
        <v>5</v>
      </c>
      <c r="L2665" s="1450">
        <f>I2665*K2665</f>
        <v>299500</v>
      </c>
      <c r="M2665" s="1516" t="s">
        <v>2828</v>
      </c>
      <c r="N2665" s="1445">
        <v>20250219349</v>
      </c>
    </row>
    <row r="2666" spans="2:14" ht="16.5" customHeight="1">
      <c r="B2666" s="1448"/>
      <c r="C2666" s="1515"/>
      <c r="D2666" s="1448"/>
      <c r="E2666" s="40">
        <v>49396375</v>
      </c>
      <c r="F2666" s="92" t="s">
        <v>2829</v>
      </c>
      <c r="G2666" s="1448"/>
      <c r="H2666" s="38">
        <v>30221830</v>
      </c>
      <c r="I2666" s="41">
        <v>46900</v>
      </c>
      <c r="J2666" s="304">
        <v>0.15</v>
      </c>
      <c r="K2666" s="1448"/>
      <c r="L2666" s="1450"/>
      <c r="M2666" s="1450"/>
      <c r="N2666" s="1446"/>
    </row>
    <row r="2667" spans="2:14" ht="16.5" customHeight="1">
      <c r="B2667" s="1448"/>
      <c r="C2667" s="1515"/>
      <c r="D2667" s="1448"/>
      <c r="E2667" s="40">
        <v>49435588</v>
      </c>
      <c r="F2667" s="92" t="s">
        <v>2830</v>
      </c>
      <c r="G2667" s="1448"/>
      <c r="H2667" s="38">
        <v>30221831</v>
      </c>
      <c r="I2667" s="41">
        <v>65900</v>
      </c>
      <c r="J2667" s="304">
        <v>0.15</v>
      </c>
      <c r="K2667" s="1448"/>
      <c r="L2667" s="1450"/>
      <c r="M2667" s="1450"/>
      <c r="N2667" s="1446"/>
    </row>
    <row r="2668" spans="2:14" ht="16.5" customHeight="1">
      <c r="B2668" s="1448"/>
      <c r="C2668" s="1515"/>
      <c r="D2668" s="1448"/>
      <c r="E2668" s="40">
        <v>48679681</v>
      </c>
      <c r="F2668" s="92" t="s">
        <v>2831</v>
      </c>
      <c r="G2668" s="1448"/>
      <c r="H2668" s="38">
        <v>30221832</v>
      </c>
      <c r="I2668" s="41">
        <v>36900</v>
      </c>
      <c r="J2668" s="304">
        <v>0.15</v>
      </c>
      <c r="K2668" s="1448"/>
      <c r="L2668" s="1450"/>
      <c r="M2668" s="1450"/>
      <c r="N2668" s="1446"/>
    </row>
    <row r="2669" spans="2:14" ht="16.5" customHeight="1">
      <c r="B2669" s="1448"/>
      <c r="C2669" s="1515"/>
      <c r="D2669" s="1448"/>
      <c r="E2669" s="40">
        <v>48679788</v>
      </c>
      <c r="F2669" s="92" t="s">
        <v>2832</v>
      </c>
      <c r="G2669" s="1448"/>
      <c r="H2669" s="38">
        <v>30221833</v>
      </c>
      <c r="I2669" s="41">
        <v>38900</v>
      </c>
      <c r="J2669" s="304">
        <v>0.15</v>
      </c>
      <c r="K2669" s="1448"/>
      <c r="L2669" s="1450"/>
      <c r="M2669" s="1450"/>
      <c r="N2669" s="1447"/>
    </row>
    <row r="2670" spans="2:14" ht="16.5" customHeight="1">
      <c r="B2670" s="1448"/>
      <c r="C2670" s="1515">
        <v>7</v>
      </c>
      <c r="D2670" s="1448" t="s">
        <v>234</v>
      </c>
      <c r="E2670" s="40">
        <v>30198825</v>
      </c>
      <c r="F2670" s="92" t="s">
        <v>1182</v>
      </c>
      <c r="G2670" s="1448" t="s">
        <v>2833</v>
      </c>
      <c r="H2670" s="38">
        <v>30198825</v>
      </c>
      <c r="I2670" s="41">
        <v>10900</v>
      </c>
      <c r="J2670" s="304">
        <v>0.17</v>
      </c>
      <c r="K2670" s="1448">
        <v>5</v>
      </c>
      <c r="L2670" s="1450">
        <f>I2670*K2670</f>
        <v>54500</v>
      </c>
      <c r="M2670" s="1450" t="s">
        <v>1184</v>
      </c>
      <c r="N2670" s="1445">
        <v>20250219350</v>
      </c>
    </row>
    <row r="2671" spans="2:14" ht="16.5" customHeight="1">
      <c r="B2671" s="1448"/>
      <c r="C2671" s="1515"/>
      <c r="D2671" s="1448"/>
      <c r="E2671" s="40">
        <v>30172287</v>
      </c>
      <c r="F2671" s="92" t="s">
        <v>1185</v>
      </c>
      <c r="G2671" s="1448"/>
      <c r="H2671" s="38">
        <v>30172287</v>
      </c>
      <c r="I2671" s="41">
        <v>17900</v>
      </c>
      <c r="J2671" s="304">
        <v>0.17</v>
      </c>
      <c r="K2671" s="1448"/>
      <c r="L2671" s="1450"/>
      <c r="M2671" s="1450"/>
      <c r="N2671" s="1446"/>
    </row>
    <row r="2672" spans="2:14" ht="16.5" customHeight="1">
      <c r="B2672" s="1448"/>
      <c r="C2672" s="1515"/>
      <c r="D2672" s="1448"/>
      <c r="E2672" s="40">
        <v>59047860</v>
      </c>
      <c r="F2672" s="92" t="s">
        <v>2834</v>
      </c>
      <c r="G2672" s="1448"/>
      <c r="H2672" s="38">
        <v>30221834</v>
      </c>
      <c r="I2672" s="41">
        <v>30900</v>
      </c>
      <c r="J2672" s="304">
        <v>0.17</v>
      </c>
      <c r="K2672" s="1448"/>
      <c r="L2672" s="1450"/>
      <c r="M2672" s="1450"/>
      <c r="N2672" s="1447"/>
    </row>
    <row r="2673" spans="2:15" ht="16.5" customHeight="1">
      <c r="B2673" s="1448"/>
      <c r="C2673" s="1515">
        <v>8</v>
      </c>
      <c r="D2673" s="1448" t="s">
        <v>226</v>
      </c>
      <c r="E2673" s="40">
        <v>66756335</v>
      </c>
      <c r="F2673" s="92" t="s">
        <v>2835</v>
      </c>
      <c r="G2673" s="1448" t="s">
        <v>2836</v>
      </c>
      <c r="H2673" s="38">
        <v>30209129</v>
      </c>
      <c r="I2673" s="41">
        <v>19900</v>
      </c>
      <c r="J2673" s="304">
        <v>0.15</v>
      </c>
      <c r="K2673" s="1448">
        <v>5</v>
      </c>
      <c r="L2673" s="1450">
        <f>I2673*K2673</f>
        <v>99500</v>
      </c>
      <c r="M2673" s="1450" t="s">
        <v>2837</v>
      </c>
      <c r="N2673" s="1445">
        <v>20250219351</v>
      </c>
    </row>
    <row r="2674" spans="2:15" ht="16.5" customHeight="1">
      <c r="B2674" s="1448"/>
      <c r="C2674" s="1515"/>
      <c r="D2674" s="1448"/>
      <c r="E2674" s="40">
        <v>66756331</v>
      </c>
      <c r="F2674" s="92" t="s">
        <v>2838</v>
      </c>
      <c r="G2674" s="1448"/>
      <c r="H2674" s="38">
        <v>30197741</v>
      </c>
      <c r="I2674" s="41">
        <v>28900</v>
      </c>
      <c r="J2674" s="304">
        <v>0.15</v>
      </c>
      <c r="K2674" s="1448"/>
      <c r="L2674" s="1450"/>
      <c r="M2674" s="1450"/>
      <c r="N2674" s="1446"/>
    </row>
    <row r="2675" spans="2:15" ht="16.5" customHeight="1">
      <c r="B2675" s="1448"/>
      <c r="C2675" s="1515"/>
      <c r="D2675" s="1448"/>
      <c r="E2675" s="40">
        <v>66756324</v>
      </c>
      <c r="F2675" s="92" t="s">
        <v>2839</v>
      </c>
      <c r="G2675" s="1448"/>
      <c r="H2675" s="38">
        <v>30209130</v>
      </c>
      <c r="I2675" s="41">
        <v>49900</v>
      </c>
      <c r="J2675" s="304">
        <v>0.15</v>
      </c>
      <c r="K2675" s="1448"/>
      <c r="L2675" s="1450"/>
      <c r="M2675" s="1450"/>
      <c r="N2675" s="1447"/>
    </row>
    <row r="2676" spans="2:15" ht="16.5" customHeight="1">
      <c r="B2676" s="1448"/>
      <c r="C2676" s="1515">
        <v>9</v>
      </c>
      <c r="D2676" s="1448" t="s">
        <v>248</v>
      </c>
      <c r="E2676" s="40">
        <v>30202334</v>
      </c>
      <c r="F2676" s="434" t="s">
        <v>2840</v>
      </c>
      <c r="G2676" s="1448" t="s">
        <v>2840</v>
      </c>
      <c r="H2676" s="38">
        <v>30221835</v>
      </c>
      <c r="I2676" s="41">
        <v>1900</v>
      </c>
      <c r="J2676" s="304">
        <v>0.15</v>
      </c>
      <c r="K2676" s="1448">
        <v>5</v>
      </c>
      <c r="L2676" s="1450">
        <f>K2676*I2676</f>
        <v>9500</v>
      </c>
      <c r="M2676" s="1448" t="s">
        <v>2841</v>
      </c>
      <c r="N2676" s="1445">
        <v>20250219352</v>
      </c>
    </row>
    <row r="2677" spans="2:15" ht="16.5" customHeight="1">
      <c r="B2677" s="1448"/>
      <c r="C2677" s="1515"/>
      <c r="D2677" s="1448"/>
      <c r="E2677" s="40">
        <v>30221111</v>
      </c>
      <c r="F2677" s="434" t="s">
        <v>2842</v>
      </c>
      <c r="G2677" s="1448"/>
      <c r="H2677" s="38">
        <v>30202341</v>
      </c>
      <c r="I2677" s="41">
        <v>2900</v>
      </c>
      <c r="J2677" s="304">
        <v>0.15</v>
      </c>
      <c r="K2677" s="1448"/>
      <c r="L2677" s="1450"/>
      <c r="M2677" s="1448" t="s">
        <v>252</v>
      </c>
      <c r="N2677" s="1447"/>
    </row>
    <row r="2678" spans="2:15" ht="16.5" customHeight="1">
      <c r="B2678" s="1448"/>
      <c r="C2678" s="1515">
        <v>10</v>
      </c>
      <c r="D2678" s="1448" t="s">
        <v>248</v>
      </c>
      <c r="E2678" s="40">
        <v>30218761</v>
      </c>
      <c r="F2678" s="434" t="s">
        <v>2209</v>
      </c>
      <c r="G2678" s="1448" t="s">
        <v>2210</v>
      </c>
      <c r="H2678" s="38">
        <v>30188528</v>
      </c>
      <c r="I2678" s="41">
        <v>11900</v>
      </c>
      <c r="J2678" s="304">
        <v>0.15</v>
      </c>
      <c r="K2678" s="1448">
        <v>5</v>
      </c>
      <c r="L2678" s="1450">
        <f>K2678*I2678</f>
        <v>59500</v>
      </c>
      <c r="M2678" s="1448" t="s">
        <v>2843</v>
      </c>
      <c r="N2678" s="1445">
        <v>20250219353</v>
      </c>
    </row>
    <row r="2679" spans="2:15" ht="16.5" customHeight="1">
      <c r="B2679" s="1448"/>
      <c r="C2679" s="1515"/>
      <c r="D2679" s="1448"/>
      <c r="E2679" s="40">
        <v>30187779</v>
      </c>
      <c r="F2679" s="434" t="s">
        <v>2212</v>
      </c>
      <c r="G2679" s="1448"/>
      <c r="H2679" s="38">
        <v>30188529</v>
      </c>
      <c r="I2679" s="41">
        <v>12900</v>
      </c>
      <c r="J2679" s="304">
        <v>0.15</v>
      </c>
      <c r="K2679" s="1448"/>
      <c r="L2679" s="1450"/>
      <c r="M2679" s="1448" t="s">
        <v>252</v>
      </c>
      <c r="N2679" s="1446"/>
    </row>
    <row r="2680" spans="2:15" ht="16.5" customHeight="1">
      <c r="B2680" s="1448"/>
      <c r="C2680" s="1515"/>
      <c r="D2680" s="1448"/>
      <c r="E2680" s="40">
        <v>30178090</v>
      </c>
      <c r="F2680" s="434" t="s">
        <v>2213</v>
      </c>
      <c r="G2680" s="1448"/>
      <c r="H2680" s="38">
        <v>30198936</v>
      </c>
      <c r="I2680" s="41">
        <v>16900</v>
      </c>
      <c r="J2680" s="304">
        <v>0.15</v>
      </c>
      <c r="K2680" s="1448"/>
      <c r="L2680" s="1450"/>
      <c r="M2680" s="1448" t="s">
        <v>252</v>
      </c>
      <c r="N2680" s="1446"/>
    </row>
    <row r="2681" spans="2:15" ht="16.5" customHeight="1">
      <c r="B2681" s="1448"/>
      <c r="C2681" s="1515"/>
      <c r="D2681" s="1448"/>
      <c r="E2681" s="40">
        <v>30218741</v>
      </c>
      <c r="F2681" s="434" t="s">
        <v>2214</v>
      </c>
      <c r="G2681" s="1448"/>
      <c r="H2681" s="38">
        <v>30221836</v>
      </c>
      <c r="I2681" s="41">
        <v>16900</v>
      </c>
      <c r="J2681" s="304">
        <v>0.15</v>
      </c>
      <c r="K2681" s="1448"/>
      <c r="L2681" s="1450"/>
      <c r="M2681" s="1448" t="s">
        <v>252</v>
      </c>
      <c r="N2681" s="1446"/>
    </row>
    <row r="2682" spans="2:15" ht="16.5" customHeight="1">
      <c r="B2682" s="1448"/>
      <c r="C2682" s="1515"/>
      <c r="D2682" s="1448"/>
      <c r="E2682" s="40">
        <v>30177614</v>
      </c>
      <c r="F2682" s="434" t="s">
        <v>2215</v>
      </c>
      <c r="G2682" s="1448"/>
      <c r="H2682" s="38">
        <v>30177454</v>
      </c>
      <c r="I2682" s="41">
        <v>42900</v>
      </c>
      <c r="J2682" s="304">
        <v>0.15</v>
      </c>
      <c r="K2682" s="1448"/>
      <c r="L2682" s="1450"/>
      <c r="M2682" s="1448" t="s">
        <v>252</v>
      </c>
      <c r="N2682" s="1447"/>
    </row>
    <row r="2683" spans="2:15" ht="16.5" customHeight="1">
      <c r="B2683" s="1448" t="s">
        <v>1109</v>
      </c>
      <c r="C2683" s="1448">
        <v>1</v>
      </c>
      <c r="D2683" s="1448" t="s">
        <v>1518</v>
      </c>
      <c r="E2683" s="30">
        <v>47924681</v>
      </c>
      <c r="F2683" s="31" t="s">
        <v>2844</v>
      </c>
      <c r="G2683" s="1448" t="s">
        <v>2845</v>
      </c>
      <c r="H2683" s="30">
        <v>30221805</v>
      </c>
      <c r="I2683" s="41">
        <v>17900</v>
      </c>
      <c r="J2683" s="64">
        <v>0.1</v>
      </c>
      <c r="K2683" s="1448">
        <v>5</v>
      </c>
      <c r="L2683" s="1448"/>
      <c r="M2683" s="1454" t="s">
        <v>2846</v>
      </c>
      <c r="N2683" s="1445">
        <v>20250219354</v>
      </c>
      <c r="O2683" s="4" t="s">
        <v>1954</v>
      </c>
    </row>
    <row r="2684" spans="2:15" ht="16.5" customHeight="1">
      <c r="B2684" s="1448"/>
      <c r="C2684" s="1448"/>
      <c r="D2684" s="1448"/>
      <c r="E2684" s="30"/>
      <c r="F2684" s="31" t="s">
        <v>1522</v>
      </c>
      <c r="G2684" s="1448"/>
      <c r="H2684" s="30">
        <v>30217002</v>
      </c>
      <c r="I2684" s="41">
        <v>17900</v>
      </c>
      <c r="J2684" s="64">
        <v>0.1</v>
      </c>
      <c r="K2684" s="1448"/>
      <c r="L2684" s="1448"/>
      <c r="M2684" s="1454"/>
      <c r="N2684" s="1447"/>
    </row>
    <row r="2685" spans="2:15" ht="16.5" customHeight="1">
      <c r="B2685" s="1448" t="s">
        <v>165</v>
      </c>
      <c r="C2685" s="1448">
        <v>1</v>
      </c>
      <c r="D2685" s="1448" t="s">
        <v>166</v>
      </c>
      <c r="E2685" s="30">
        <v>30173887</v>
      </c>
      <c r="F2685" s="31" t="s">
        <v>167</v>
      </c>
      <c r="G2685" s="1451" t="s">
        <v>168</v>
      </c>
      <c r="H2685" s="30">
        <v>30204890</v>
      </c>
      <c r="I2685" s="41">
        <v>49900</v>
      </c>
      <c r="J2685" s="64">
        <v>0.05</v>
      </c>
      <c r="K2685" s="1448">
        <v>5</v>
      </c>
      <c r="L2685" s="1459">
        <v>249500</v>
      </c>
      <c r="M2685" s="1454" t="s">
        <v>169</v>
      </c>
      <c r="N2685" s="1445">
        <v>20250219358</v>
      </c>
    </row>
    <row r="2686" spans="2:15" ht="16.5" customHeight="1">
      <c r="B2686" s="1448"/>
      <c r="C2686" s="1448"/>
      <c r="D2686" s="1448"/>
      <c r="E2686" s="30">
        <v>30173888</v>
      </c>
      <c r="F2686" s="31" t="s">
        <v>170</v>
      </c>
      <c r="G2686" s="1452"/>
      <c r="H2686" s="30">
        <v>30204892</v>
      </c>
      <c r="I2686" s="41">
        <v>49900</v>
      </c>
      <c r="J2686" s="64">
        <v>0.05</v>
      </c>
      <c r="K2686" s="1448"/>
      <c r="L2686" s="1459"/>
      <c r="M2686" s="1454"/>
      <c r="N2686" s="1446"/>
    </row>
    <row r="2687" spans="2:15" ht="16.5" customHeight="1">
      <c r="B2687" s="1448"/>
      <c r="C2687" s="1448"/>
      <c r="D2687" s="1448"/>
      <c r="E2687" s="30">
        <v>30173890</v>
      </c>
      <c r="F2687" s="31" t="s">
        <v>171</v>
      </c>
      <c r="G2687" s="1453"/>
      <c r="H2687" s="30">
        <v>30204894</v>
      </c>
      <c r="I2687" s="41">
        <v>39900</v>
      </c>
      <c r="J2687" s="64">
        <v>0.05</v>
      </c>
      <c r="K2687" s="1448"/>
      <c r="L2687" s="1459"/>
      <c r="M2687" s="1454"/>
      <c r="N2687" s="1446"/>
    </row>
    <row r="2688" spans="2:15" ht="16.5" customHeight="1">
      <c r="B2688" s="1448"/>
      <c r="C2688" s="1448"/>
      <c r="D2688" s="1448"/>
      <c r="E2688" s="422">
        <v>30173893</v>
      </c>
      <c r="F2688" s="423" t="s">
        <v>172</v>
      </c>
      <c r="G2688" s="422"/>
      <c r="H2688" s="435">
        <v>30204895</v>
      </c>
      <c r="I2688" s="436">
        <v>39900</v>
      </c>
      <c r="J2688" s="437">
        <v>0.05</v>
      </c>
      <c r="K2688" s="1448"/>
      <c r="L2688" s="1459"/>
      <c r="M2688" s="1454"/>
      <c r="N2688" s="1447"/>
    </row>
    <row r="2689" spans="2:15" ht="16.5" customHeight="1">
      <c r="B2689" s="1448"/>
      <c r="C2689" s="1448">
        <v>2</v>
      </c>
      <c r="D2689" s="1448" t="s">
        <v>1255</v>
      </c>
      <c r="E2689" s="30">
        <v>30217690</v>
      </c>
      <c r="F2689" s="31" t="s">
        <v>2119</v>
      </c>
      <c r="G2689" s="1448" t="s">
        <v>2847</v>
      </c>
      <c r="H2689" s="30">
        <v>30219022</v>
      </c>
      <c r="I2689" s="41">
        <v>10400</v>
      </c>
      <c r="J2689" s="64">
        <v>0.1</v>
      </c>
      <c r="K2689" s="1448">
        <v>5</v>
      </c>
      <c r="L2689" s="1448">
        <f>I2689*5</f>
        <v>52000</v>
      </c>
      <c r="M2689" s="1454" t="s">
        <v>2848</v>
      </c>
      <c r="N2689" s="1445">
        <v>20250219361</v>
      </c>
    </row>
    <row r="2690" spans="2:15" ht="16.5" customHeight="1">
      <c r="B2690" s="1448"/>
      <c r="C2690" s="1448"/>
      <c r="D2690" s="1448"/>
      <c r="E2690" s="30">
        <v>30217691</v>
      </c>
      <c r="F2690" s="31" t="s">
        <v>2122</v>
      </c>
      <c r="G2690" s="1448"/>
      <c r="H2690" s="30">
        <v>30219023</v>
      </c>
      <c r="I2690" s="41">
        <v>15400</v>
      </c>
      <c r="J2690" s="64">
        <v>0.1</v>
      </c>
      <c r="K2690" s="1448"/>
      <c r="L2690" s="1448"/>
      <c r="M2690" s="1454"/>
      <c r="N2690" s="1446"/>
    </row>
    <row r="2691" spans="2:15" ht="16.5" customHeight="1">
      <c r="B2691" s="1448"/>
      <c r="C2691" s="1448"/>
      <c r="D2691" s="1448"/>
      <c r="E2691" s="30">
        <v>30218537</v>
      </c>
      <c r="F2691" s="31" t="s">
        <v>2158</v>
      </c>
      <c r="G2691" s="1448"/>
      <c r="H2691" s="30">
        <v>30219025</v>
      </c>
      <c r="I2691" s="41">
        <v>13900</v>
      </c>
      <c r="J2691" s="64">
        <v>0.1</v>
      </c>
      <c r="K2691" s="1448"/>
      <c r="L2691" s="1448"/>
      <c r="M2691" s="1454"/>
      <c r="N2691" s="1446"/>
    </row>
    <row r="2692" spans="2:15" ht="16.5" customHeight="1">
      <c r="B2692" s="1448"/>
      <c r="C2692" s="1448"/>
      <c r="D2692" s="1448"/>
      <c r="E2692" s="30">
        <v>30218501</v>
      </c>
      <c r="F2692" s="31" t="s">
        <v>2159</v>
      </c>
      <c r="G2692" s="1448"/>
      <c r="H2692" s="30">
        <v>30219029</v>
      </c>
      <c r="I2692" s="41">
        <v>27900</v>
      </c>
      <c r="J2692" s="64">
        <v>0.1</v>
      </c>
      <c r="K2692" s="1448"/>
      <c r="L2692" s="1448"/>
      <c r="M2692" s="1454"/>
      <c r="N2692" s="1447"/>
    </row>
    <row r="2693" spans="2:15" ht="16.5" customHeight="1">
      <c r="B2693" s="1448"/>
      <c r="C2693" s="1448">
        <v>3</v>
      </c>
      <c r="D2693" s="1448" t="s">
        <v>622</v>
      </c>
      <c r="E2693" s="30">
        <v>40636151</v>
      </c>
      <c r="F2693" s="31" t="s">
        <v>1526</v>
      </c>
      <c r="G2693" s="1448" t="s">
        <v>2849</v>
      </c>
      <c r="H2693" s="30">
        <v>30219044</v>
      </c>
      <c r="I2693" s="35">
        <v>13400</v>
      </c>
      <c r="J2693" s="64">
        <v>0.13</v>
      </c>
      <c r="K2693" s="1448">
        <v>5</v>
      </c>
      <c r="L2693" s="1448">
        <f>I2693*5</f>
        <v>67000</v>
      </c>
      <c r="M2693" s="1454" t="s">
        <v>2850</v>
      </c>
      <c r="N2693" s="1445">
        <v>20250219362</v>
      </c>
      <c r="O2693" s="4" t="s">
        <v>19</v>
      </c>
    </row>
    <row r="2694" spans="2:15" ht="16.5" customHeight="1">
      <c r="B2694" s="1448"/>
      <c r="C2694" s="1448"/>
      <c r="D2694" s="1448"/>
      <c r="E2694" s="30">
        <v>40636150</v>
      </c>
      <c r="F2694" s="31" t="s">
        <v>1530</v>
      </c>
      <c r="G2694" s="1448"/>
      <c r="H2694" s="30">
        <v>30219045</v>
      </c>
      <c r="I2694" s="35">
        <v>15700</v>
      </c>
      <c r="J2694" s="64">
        <v>0.13</v>
      </c>
      <c r="K2694" s="1448"/>
      <c r="L2694" s="1448"/>
      <c r="M2694" s="1454"/>
      <c r="N2694" s="1446"/>
    </row>
    <row r="2695" spans="2:15" ht="16.5" customHeight="1">
      <c r="B2695" s="1448"/>
      <c r="C2695" s="1448"/>
      <c r="D2695" s="1448"/>
      <c r="E2695" s="30">
        <v>60265746</v>
      </c>
      <c r="F2695" s="31" t="s">
        <v>2531</v>
      </c>
      <c r="G2695" s="1448"/>
      <c r="H2695" s="30">
        <v>30219046</v>
      </c>
      <c r="I2695" s="35">
        <v>12300</v>
      </c>
      <c r="J2695" s="64">
        <v>0.13</v>
      </c>
      <c r="K2695" s="1448"/>
      <c r="L2695" s="1448"/>
      <c r="M2695" s="1454"/>
      <c r="N2695" s="1446"/>
    </row>
    <row r="2696" spans="2:15" ht="16.5" customHeight="1">
      <c r="B2696" s="1448"/>
      <c r="C2696" s="1448"/>
      <c r="D2696" s="1448"/>
      <c r="E2696" s="30">
        <v>40636146</v>
      </c>
      <c r="F2696" s="31" t="s">
        <v>2532</v>
      </c>
      <c r="G2696" s="1448"/>
      <c r="H2696" s="30">
        <v>30219047</v>
      </c>
      <c r="I2696" s="35">
        <v>13400</v>
      </c>
      <c r="J2696" s="64">
        <v>0.13</v>
      </c>
      <c r="K2696" s="1448"/>
      <c r="L2696" s="1448"/>
      <c r="M2696" s="1454"/>
      <c r="N2696" s="1446"/>
    </row>
    <row r="2697" spans="2:15" ht="16.5" customHeight="1">
      <c r="B2697" s="1448"/>
      <c r="C2697" s="1448"/>
      <c r="D2697" s="1448"/>
      <c r="E2697" s="30">
        <v>55115021</v>
      </c>
      <c r="F2697" s="31" t="s">
        <v>2533</v>
      </c>
      <c r="G2697" s="1448"/>
      <c r="H2697" s="30">
        <v>30221392</v>
      </c>
      <c r="I2697" s="35">
        <v>20600</v>
      </c>
      <c r="J2697" s="64">
        <v>0.13</v>
      </c>
      <c r="K2697" s="1448"/>
      <c r="L2697" s="1448"/>
      <c r="M2697" s="1454"/>
      <c r="N2697" s="1446"/>
    </row>
    <row r="2698" spans="2:15" ht="16.5" customHeight="1">
      <c r="B2698" s="1448"/>
      <c r="C2698" s="1448"/>
      <c r="D2698" s="1448"/>
      <c r="E2698" s="30">
        <v>55115022</v>
      </c>
      <c r="F2698" s="31" t="s">
        <v>2534</v>
      </c>
      <c r="G2698" s="1448"/>
      <c r="H2698" s="30">
        <v>30221394</v>
      </c>
      <c r="I2698" s="35">
        <v>22300</v>
      </c>
      <c r="J2698" s="64">
        <v>0.13</v>
      </c>
      <c r="K2698" s="1448"/>
      <c r="L2698" s="1448"/>
      <c r="M2698" s="1454"/>
      <c r="N2698" s="1446"/>
    </row>
    <row r="2699" spans="2:15" ht="16.5" customHeight="1">
      <c r="B2699" s="1448"/>
      <c r="C2699" s="1448"/>
      <c r="D2699" s="1448"/>
      <c r="E2699" s="30">
        <v>44649590</v>
      </c>
      <c r="F2699" s="31" t="s">
        <v>2535</v>
      </c>
      <c r="G2699" s="1448"/>
      <c r="H2699" s="30">
        <v>30205979</v>
      </c>
      <c r="I2699" s="35">
        <v>21200</v>
      </c>
      <c r="J2699" s="64">
        <v>0.13</v>
      </c>
      <c r="K2699" s="1448"/>
      <c r="L2699" s="1448"/>
      <c r="M2699" s="1454"/>
      <c r="N2699" s="1446"/>
    </row>
    <row r="2700" spans="2:15" ht="16.5" customHeight="1">
      <c r="B2700" s="1448"/>
      <c r="C2700" s="1448"/>
      <c r="D2700" s="1448"/>
      <c r="E2700" s="30">
        <v>44649598</v>
      </c>
      <c r="F2700" s="31" t="s">
        <v>2536</v>
      </c>
      <c r="G2700" s="1448"/>
      <c r="H2700" s="30">
        <v>30205980</v>
      </c>
      <c r="I2700" s="35">
        <v>25700</v>
      </c>
      <c r="J2700" s="64">
        <v>0.13</v>
      </c>
      <c r="K2700" s="1448"/>
      <c r="L2700" s="1448"/>
      <c r="M2700" s="1454"/>
      <c r="N2700" s="1446"/>
    </row>
    <row r="2701" spans="2:15" ht="16.5" customHeight="1">
      <c r="B2701" s="1448"/>
      <c r="C2701" s="1448"/>
      <c r="D2701" s="1448"/>
      <c r="E2701" s="30">
        <v>48867652</v>
      </c>
      <c r="F2701" s="31" t="s">
        <v>1147</v>
      </c>
      <c r="G2701" s="1448"/>
      <c r="H2701" s="30">
        <v>30215522</v>
      </c>
      <c r="I2701" s="35">
        <v>18900</v>
      </c>
      <c r="J2701" s="64">
        <v>0.13</v>
      </c>
      <c r="K2701" s="1448"/>
      <c r="L2701" s="1448"/>
      <c r="M2701" s="1454"/>
      <c r="N2701" s="1446"/>
    </row>
    <row r="2702" spans="2:15" ht="16.5" customHeight="1">
      <c r="B2702" s="1448"/>
      <c r="C2702" s="1448"/>
      <c r="D2702" s="1448"/>
      <c r="E2702" s="30">
        <v>48867651</v>
      </c>
      <c r="F2702" s="31" t="s">
        <v>1148</v>
      </c>
      <c r="G2702" s="1448"/>
      <c r="H2702" s="30">
        <v>30215523</v>
      </c>
      <c r="I2702" s="35">
        <v>23300</v>
      </c>
      <c r="J2702" s="64">
        <v>0.13</v>
      </c>
      <c r="K2702" s="1448"/>
      <c r="L2702" s="1448"/>
      <c r="M2702" s="1454"/>
      <c r="N2702" s="1446"/>
    </row>
    <row r="2703" spans="2:15" ht="16.5" customHeight="1">
      <c r="B2703" s="1448"/>
      <c r="C2703" s="1448"/>
      <c r="D2703" s="1448"/>
      <c r="E2703" s="30">
        <v>73546886</v>
      </c>
      <c r="F2703" s="31" t="s">
        <v>2537</v>
      </c>
      <c r="G2703" s="1448"/>
      <c r="H2703" s="30">
        <v>30215525</v>
      </c>
      <c r="I2703" s="35">
        <v>35600</v>
      </c>
      <c r="J2703" s="64">
        <v>0.13</v>
      </c>
      <c r="K2703" s="1448"/>
      <c r="L2703" s="1448"/>
      <c r="M2703" s="1454"/>
      <c r="N2703" s="1446"/>
    </row>
    <row r="2704" spans="2:15" ht="16.5" customHeight="1">
      <c r="B2704" s="1448"/>
      <c r="C2704" s="1448"/>
      <c r="D2704" s="1448"/>
      <c r="E2704" s="30">
        <v>73546885</v>
      </c>
      <c r="F2704" s="31" t="s">
        <v>2851</v>
      </c>
      <c r="G2704" s="1448"/>
      <c r="H2704" s="30">
        <v>30215531</v>
      </c>
      <c r="I2704" s="35">
        <v>40900</v>
      </c>
      <c r="J2704" s="64">
        <v>0.13</v>
      </c>
      <c r="K2704" s="1448"/>
      <c r="L2704" s="1448"/>
      <c r="M2704" s="1454"/>
      <c r="N2704" s="1446"/>
    </row>
    <row r="2705" spans="2:14" ht="16.5" customHeight="1">
      <c r="B2705" s="1448"/>
      <c r="C2705" s="1448"/>
      <c r="D2705" s="1448"/>
      <c r="E2705" s="30">
        <v>73546887</v>
      </c>
      <c r="F2705" s="31" t="s">
        <v>2852</v>
      </c>
      <c r="G2705" s="1448"/>
      <c r="H2705" s="30">
        <v>30215533</v>
      </c>
      <c r="I2705" s="35">
        <v>42300</v>
      </c>
      <c r="J2705" s="64">
        <v>0.13</v>
      </c>
      <c r="K2705" s="1448"/>
      <c r="L2705" s="1448"/>
      <c r="M2705" s="1454"/>
      <c r="N2705" s="1446"/>
    </row>
    <row r="2706" spans="2:14" ht="16.5" customHeight="1">
      <c r="B2706" s="1448"/>
      <c r="C2706" s="1448"/>
      <c r="D2706" s="1448"/>
      <c r="E2706" s="30">
        <v>73546906</v>
      </c>
      <c r="F2706" s="31" t="s">
        <v>2853</v>
      </c>
      <c r="G2706" s="1448"/>
      <c r="H2706" s="30">
        <v>30215534</v>
      </c>
      <c r="I2706" s="35">
        <v>54600</v>
      </c>
      <c r="J2706" s="64">
        <v>0.13</v>
      </c>
      <c r="K2706" s="1448"/>
      <c r="L2706" s="1448"/>
      <c r="M2706" s="1454"/>
      <c r="N2706" s="1446"/>
    </row>
    <row r="2707" spans="2:14" ht="16.5" customHeight="1">
      <c r="B2707" s="1448"/>
      <c r="C2707" s="1448"/>
      <c r="D2707" s="1448"/>
      <c r="E2707" s="30">
        <v>73547014</v>
      </c>
      <c r="F2707" s="31" t="s">
        <v>2854</v>
      </c>
      <c r="G2707" s="1448"/>
      <c r="H2707" s="30">
        <v>30215535</v>
      </c>
      <c r="I2707" s="35">
        <v>63300</v>
      </c>
      <c r="J2707" s="64">
        <v>0.13</v>
      </c>
      <c r="K2707" s="1448"/>
      <c r="L2707" s="1448"/>
      <c r="M2707" s="1454"/>
      <c r="N2707" s="1446"/>
    </row>
    <row r="2708" spans="2:14" ht="16.5" customHeight="1">
      <c r="B2708" s="1448"/>
      <c r="C2708" s="1448"/>
      <c r="D2708" s="1448"/>
      <c r="E2708" s="30">
        <v>73547094</v>
      </c>
      <c r="F2708" s="31" t="s">
        <v>2855</v>
      </c>
      <c r="G2708" s="1448"/>
      <c r="H2708" s="30">
        <v>30215536</v>
      </c>
      <c r="I2708" s="35">
        <v>78900</v>
      </c>
      <c r="J2708" s="64">
        <v>0.13</v>
      </c>
      <c r="K2708" s="1448"/>
      <c r="L2708" s="1448"/>
      <c r="M2708" s="1454"/>
      <c r="N2708" s="1446"/>
    </row>
    <row r="2709" spans="2:14" ht="16.5" customHeight="1">
      <c r="B2709" s="1448"/>
      <c r="C2709" s="1448"/>
      <c r="D2709" s="1448"/>
      <c r="E2709" s="30">
        <v>70053538</v>
      </c>
      <c r="F2709" s="31" t="s">
        <v>637</v>
      </c>
      <c r="G2709" s="1448"/>
      <c r="H2709" s="30">
        <v>30205986</v>
      </c>
      <c r="I2709" s="35">
        <v>79100</v>
      </c>
      <c r="J2709" s="64">
        <v>0.13</v>
      </c>
      <c r="K2709" s="1448"/>
      <c r="L2709" s="1448"/>
      <c r="M2709" s="1454"/>
      <c r="N2709" s="1446"/>
    </row>
    <row r="2710" spans="2:14" ht="16.5" customHeight="1">
      <c r="B2710" s="1448"/>
      <c r="C2710" s="1448"/>
      <c r="D2710" s="1448"/>
      <c r="E2710" s="30">
        <v>70053474</v>
      </c>
      <c r="F2710" s="31" t="s">
        <v>638</v>
      </c>
      <c r="G2710" s="1448"/>
      <c r="H2710" s="30">
        <v>30206362</v>
      </c>
      <c r="I2710" s="35">
        <v>97000</v>
      </c>
      <c r="J2710" s="64">
        <v>0.13</v>
      </c>
      <c r="K2710" s="1448"/>
      <c r="L2710" s="1448"/>
      <c r="M2710" s="1454"/>
      <c r="N2710" s="1446"/>
    </row>
    <row r="2711" spans="2:14" ht="16.5" customHeight="1">
      <c r="B2711" s="1448"/>
      <c r="C2711" s="1448"/>
      <c r="D2711" s="1448"/>
      <c r="E2711" s="30">
        <v>70053589</v>
      </c>
      <c r="F2711" s="31" t="s">
        <v>639</v>
      </c>
      <c r="G2711" s="1448"/>
      <c r="H2711" s="30">
        <v>30206363</v>
      </c>
      <c r="I2711" s="35">
        <v>91400</v>
      </c>
      <c r="J2711" s="64">
        <v>0.13</v>
      </c>
      <c r="K2711" s="1448"/>
      <c r="L2711" s="1448"/>
      <c r="M2711" s="1454"/>
      <c r="N2711" s="1446"/>
    </row>
    <row r="2712" spans="2:14" ht="16.5" customHeight="1">
      <c r="B2712" s="1448"/>
      <c r="C2712" s="1448"/>
      <c r="D2712" s="1448"/>
      <c r="E2712" s="30">
        <v>70053629</v>
      </c>
      <c r="F2712" s="31" t="s">
        <v>640</v>
      </c>
      <c r="G2712" s="1448"/>
      <c r="H2712" s="30">
        <v>30206365</v>
      </c>
      <c r="I2712" s="35">
        <v>121500</v>
      </c>
      <c r="J2712" s="64">
        <v>0.13</v>
      </c>
      <c r="K2712" s="1448"/>
      <c r="L2712" s="1448"/>
      <c r="M2712" s="1454"/>
      <c r="N2712" s="1446"/>
    </row>
    <row r="2713" spans="2:14" ht="16.5" customHeight="1">
      <c r="B2713" s="1448"/>
      <c r="C2713" s="1448"/>
      <c r="D2713" s="1448"/>
      <c r="E2713" s="30">
        <v>70053551</v>
      </c>
      <c r="F2713" s="31" t="s">
        <v>641</v>
      </c>
      <c r="G2713" s="1448"/>
      <c r="H2713" s="30">
        <v>30206367</v>
      </c>
      <c r="I2713" s="35">
        <v>62400</v>
      </c>
      <c r="J2713" s="64">
        <v>0.13</v>
      </c>
      <c r="K2713" s="1448"/>
      <c r="L2713" s="1448"/>
      <c r="M2713" s="1454"/>
      <c r="N2713" s="1446"/>
    </row>
    <row r="2714" spans="2:14" ht="16.5" customHeight="1">
      <c r="B2714" s="1448"/>
      <c r="C2714" s="1448"/>
      <c r="D2714" s="1448"/>
      <c r="E2714" s="30">
        <v>70053466</v>
      </c>
      <c r="F2714" s="31" t="s">
        <v>642</v>
      </c>
      <c r="G2714" s="1448"/>
      <c r="H2714" s="30">
        <v>30206368</v>
      </c>
      <c r="I2714" s="35">
        <v>79100</v>
      </c>
      <c r="J2714" s="64">
        <v>0.13</v>
      </c>
      <c r="K2714" s="1448"/>
      <c r="L2714" s="1448"/>
      <c r="M2714" s="1454"/>
      <c r="N2714" s="1446"/>
    </row>
    <row r="2715" spans="2:14" ht="16.5" customHeight="1">
      <c r="B2715" s="1448"/>
      <c r="C2715" s="1448"/>
      <c r="D2715" s="1448"/>
      <c r="E2715" s="30">
        <v>70053584</v>
      </c>
      <c r="F2715" s="31" t="s">
        <v>643</v>
      </c>
      <c r="G2715" s="1448"/>
      <c r="H2715" s="30">
        <v>30206370</v>
      </c>
      <c r="I2715" s="35">
        <v>75800</v>
      </c>
      <c r="J2715" s="64">
        <v>0.13</v>
      </c>
      <c r="K2715" s="1448"/>
      <c r="L2715" s="1448"/>
      <c r="M2715" s="1454"/>
      <c r="N2715" s="1446"/>
    </row>
    <row r="2716" spans="2:14" ht="16.5" customHeight="1">
      <c r="B2716" s="1448"/>
      <c r="C2716" s="1448"/>
      <c r="D2716" s="1448"/>
      <c r="E2716" s="30">
        <v>70053630</v>
      </c>
      <c r="F2716" s="31" t="s">
        <v>644</v>
      </c>
      <c r="G2716" s="1448"/>
      <c r="H2716" s="30">
        <v>30206371</v>
      </c>
      <c r="I2716" s="35">
        <v>105900</v>
      </c>
      <c r="J2716" s="64">
        <v>0.13</v>
      </c>
      <c r="K2716" s="1448"/>
      <c r="L2716" s="1448"/>
      <c r="M2716" s="1454"/>
      <c r="N2716" s="1446"/>
    </row>
    <row r="2717" spans="2:14" ht="16.5" customHeight="1">
      <c r="B2717" s="1448"/>
      <c r="C2717" s="1448"/>
      <c r="D2717" s="1448"/>
      <c r="E2717" s="30">
        <v>70053554</v>
      </c>
      <c r="F2717" s="31" t="s">
        <v>645</v>
      </c>
      <c r="G2717" s="1448"/>
      <c r="H2717" s="30">
        <v>30206373</v>
      </c>
      <c r="I2717" s="35">
        <v>62400</v>
      </c>
      <c r="J2717" s="64">
        <v>0.13</v>
      </c>
      <c r="K2717" s="1448"/>
      <c r="L2717" s="1448"/>
      <c r="M2717" s="1454"/>
      <c r="N2717" s="1446"/>
    </row>
    <row r="2718" spans="2:14" ht="16.5" customHeight="1">
      <c r="B2718" s="1448"/>
      <c r="C2718" s="1448"/>
      <c r="D2718" s="1448"/>
      <c r="E2718" s="30">
        <v>70053483</v>
      </c>
      <c r="F2718" s="31" t="s">
        <v>646</v>
      </c>
      <c r="G2718" s="1448"/>
      <c r="H2718" s="30">
        <v>30206375</v>
      </c>
      <c r="I2718" s="35">
        <v>79100</v>
      </c>
      <c r="J2718" s="64">
        <v>0.13</v>
      </c>
      <c r="K2718" s="1448"/>
      <c r="L2718" s="1448"/>
      <c r="M2718" s="1454"/>
      <c r="N2718" s="1446"/>
    </row>
    <row r="2719" spans="2:14" ht="16.5" customHeight="1">
      <c r="B2719" s="1448"/>
      <c r="C2719" s="1448"/>
      <c r="D2719" s="1448"/>
      <c r="E2719" s="30">
        <v>70053587</v>
      </c>
      <c r="F2719" s="31" t="s">
        <v>647</v>
      </c>
      <c r="G2719" s="1448"/>
      <c r="H2719" s="30">
        <v>30206377</v>
      </c>
      <c r="I2719" s="35">
        <v>73500</v>
      </c>
      <c r="J2719" s="64">
        <v>0.13</v>
      </c>
      <c r="K2719" s="1448"/>
      <c r="L2719" s="1448"/>
      <c r="M2719" s="1454"/>
      <c r="N2719" s="1446"/>
    </row>
    <row r="2720" spans="2:14" ht="16.5" customHeight="1">
      <c r="B2720" s="1448"/>
      <c r="C2720" s="1448"/>
      <c r="D2720" s="1448"/>
      <c r="E2720" s="30">
        <v>70053631</v>
      </c>
      <c r="F2720" s="31" t="s">
        <v>648</v>
      </c>
      <c r="G2720" s="1448"/>
      <c r="H2720" s="30">
        <v>30206381</v>
      </c>
      <c r="I2720" s="35">
        <v>101400</v>
      </c>
      <c r="J2720" s="64">
        <v>0.13</v>
      </c>
      <c r="K2720" s="1448"/>
      <c r="L2720" s="1448"/>
      <c r="M2720" s="1454"/>
      <c r="N2720" s="1446"/>
    </row>
    <row r="2721" spans="2:15" ht="16.5" customHeight="1">
      <c r="B2721" s="1448"/>
      <c r="C2721" s="1448"/>
      <c r="D2721" s="1448"/>
      <c r="E2721" s="30">
        <v>61948914</v>
      </c>
      <c r="F2721" s="31" t="s">
        <v>2543</v>
      </c>
      <c r="G2721" s="1448"/>
      <c r="H2721" s="30">
        <v>30221414</v>
      </c>
      <c r="I2721" s="35">
        <v>74700</v>
      </c>
      <c r="J2721" s="64">
        <v>0.13</v>
      </c>
      <c r="K2721" s="1448"/>
      <c r="L2721" s="1448"/>
      <c r="M2721" s="1454"/>
      <c r="N2721" s="1446"/>
    </row>
    <row r="2722" spans="2:15" ht="16.5" customHeight="1">
      <c r="B2722" s="1448"/>
      <c r="C2722" s="1448"/>
      <c r="D2722" s="1448"/>
      <c r="E2722" s="30">
        <v>61948916</v>
      </c>
      <c r="F2722" s="31" t="s">
        <v>2544</v>
      </c>
      <c r="G2722" s="1448"/>
      <c r="H2722" s="30">
        <v>30221415</v>
      </c>
      <c r="I2722" s="35">
        <v>89700</v>
      </c>
      <c r="J2722" s="64">
        <v>0.13</v>
      </c>
      <c r="K2722" s="1448"/>
      <c r="L2722" s="1448"/>
      <c r="M2722" s="1454"/>
      <c r="N2722" s="1446"/>
    </row>
    <row r="2723" spans="2:15" ht="16.5" customHeight="1">
      <c r="B2723" s="1448"/>
      <c r="C2723" s="1448"/>
      <c r="D2723" s="1448"/>
      <c r="E2723" s="30">
        <v>61948918</v>
      </c>
      <c r="F2723" s="31" t="s">
        <v>2545</v>
      </c>
      <c r="G2723" s="1448"/>
      <c r="H2723" s="30">
        <v>30221417</v>
      </c>
      <c r="I2723" s="35">
        <v>88000</v>
      </c>
      <c r="J2723" s="64">
        <v>0.13</v>
      </c>
      <c r="K2723" s="1448"/>
      <c r="L2723" s="1448"/>
      <c r="M2723" s="1454"/>
      <c r="N2723" s="1446"/>
    </row>
    <row r="2724" spans="2:15" ht="16.5" customHeight="1">
      <c r="B2724" s="1448"/>
      <c r="C2724" s="1448"/>
      <c r="D2724" s="1448"/>
      <c r="E2724" s="30">
        <v>61948917</v>
      </c>
      <c r="F2724" s="31" t="s">
        <v>2546</v>
      </c>
      <c r="G2724" s="1448"/>
      <c r="H2724" s="30">
        <v>30221418</v>
      </c>
      <c r="I2724" s="35">
        <v>114800</v>
      </c>
      <c r="J2724" s="64">
        <v>0.13</v>
      </c>
      <c r="K2724" s="1448"/>
      <c r="L2724" s="1448"/>
      <c r="M2724" s="1454"/>
      <c r="N2724" s="1446"/>
    </row>
    <row r="2725" spans="2:15" ht="16.5" customHeight="1">
      <c r="B2725" s="1448"/>
      <c r="C2725" s="1448"/>
      <c r="D2725" s="1448"/>
      <c r="E2725" s="30">
        <v>59261592</v>
      </c>
      <c r="F2725" s="31" t="s">
        <v>2856</v>
      </c>
      <c r="G2725" s="1448"/>
      <c r="H2725" s="30">
        <v>30219053</v>
      </c>
      <c r="I2725" s="35">
        <v>28800</v>
      </c>
      <c r="J2725" s="64">
        <v>0.13</v>
      </c>
      <c r="K2725" s="1448"/>
      <c r="L2725" s="1448"/>
      <c r="M2725" s="1454"/>
      <c r="N2725" s="1446"/>
    </row>
    <row r="2726" spans="2:15" ht="16.5" customHeight="1">
      <c r="B2726" s="1448"/>
      <c r="C2726" s="1448"/>
      <c r="D2726" s="1448"/>
      <c r="E2726" s="30">
        <v>59261607</v>
      </c>
      <c r="F2726" s="31" t="s">
        <v>2857</v>
      </c>
      <c r="G2726" s="1448"/>
      <c r="H2726" s="30">
        <v>30219054</v>
      </c>
      <c r="I2726" s="35">
        <v>32300</v>
      </c>
      <c r="J2726" s="64">
        <v>0.13</v>
      </c>
      <c r="K2726" s="1448"/>
      <c r="L2726" s="1448"/>
      <c r="M2726" s="1454"/>
      <c r="N2726" s="1446"/>
    </row>
    <row r="2727" spans="2:15" ht="16.5" customHeight="1">
      <c r="B2727" s="1448"/>
      <c r="C2727" s="1448"/>
      <c r="D2727" s="1448"/>
      <c r="E2727" s="30">
        <v>60559967</v>
      </c>
      <c r="F2727" s="31" t="s">
        <v>1539</v>
      </c>
      <c r="G2727" s="1448"/>
      <c r="H2727" s="30">
        <v>30203839</v>
      </c>
      <c r="I2727" s="35">
        <v>23900</v>
      </c>
      <c r="J2727" s="64">
        <v>0.13</v>
      </c>
      <c r="K2727" s="1448"/>
      <c r="L2727" s="1448"/>
      <c r="M2727" s="1454"/>
      <c r="N2727" s="1446"/>
    </row>
    <row r="2728" spans="2:15" ht="16.5" customHeight="1">
      <c r="B2728" s="1448"/>
      <c r="C2728" s="1448"/>
      <c r="D2728" s="1448"/>
      <c r="E2728" s="30">
        <v>60560036</v>
      </c>
      <c r="F2728" s="31" t="s">
        <v>1540</v>
      </c>
      <c r="G2728" s="1448"/>
      <c r="H2728" s="30">
        <v>30173535</v>
      </c>
      <c r="I2728" s="35">
        <v>27900</v>
      </c>
      <c r="J2728" s="64">
        <v>0.13</v>
      </c>
      <c r="K2728" s="1448"/>
      <c r="L2728" s="1448"/>
      <c r="M2728" s="1454"/>
      <c r="N2728" s="1447"/>
    </row>
    <row r="2729" spans="2:15" ht="16.5" customHeight="1">
      <c r="B2729" s="1448" t="s">
        <v>417</v>
      </c>
      <c r="C2729" s="1448">
        <v>1</v>
      </c>
      <c r="D2729" s="1448" t="s">
        <v>1241</v>
      </c>
      <c r="E2729" s="30">
        <v>48176076</v>
      </c>
      <c r="F2729" s="31" t="s">
        <v>2858</v>
      </c>
      <c r="G2729" s="1448" t="s">
        <v>2858</v>
      </c>
      <c r="H2729" s="30">
        <v>30221700</v>
      </c>
      <c r="I2729" s="66">
        <v>21900</v>
      </c>
      <c r="J2729" s="64">
        <v>0.1</v>
      </c>
      <c r="K2729" s="30">
        <v>10</v>
      </c>
      <c r="L2729" s="66">
        <f t="shared" ref="L2729:L2792" si="10">I2729*10</f>
        <v>219000</v>
      </c>
      <c r="M2729" s="1454" t="s">
        <v>2859</v>
      </c>
      <c r="N2729" s="1445">
        <v>20250219363</v>
      </c>
      <c r="O2729" s="4" t="s">
        <v>1505</v>
      </c>
    </row>
    <row r="2730" spans="2:15" ht="16.5" customHeight="1">
      <c r="B2730" s="1448"/>
      <c r="C2730" s="1448"/>
      <c r="D2730" s="1448"/>
      <c r="E2730" s="30">
        <v>48176079</v>
      </c>
      <c r="F2730" s="31" t="s">
        <v>2860</v>
      </c>
      <c r="G2730" s="1448"/>
      <c r="H2730" s="30">
        <v>30221701</v>
      </c>
      <c r="I2730" s="66">
        <v>32900</v>
      </c>
      <c r="J2730" s="64">
        <v>0.1</v>
      </c>
      <c r="K2730" s="30">
        <v>10</v>
      </c>
      <c r="L2730" s="66">
        <f t="shared" si="10"/>
        <v>329000</v>
      </c>
      <c r="M2730" s="1454"/>
      <c r="N2730" s="1446"/>
    </row>
    <row r="2731" spans="2:15" ht="16.5" customHeight="1">
      <c r="B2731" s="1448"/>
      <c r="C2731" s="1448"/>
      <c r="D2731" s="1448"/>
      <c r="E2731" s="30">
        <v>48176083</v>
      </c>
      <c r="F2731" s="31" t="s">
        <v>2861</v>
      </c>
      <c r="G2731" s="1448"/>
      <c r="H2731" s="30">
        <v>30221698</v>
      </c>
      <c r="I2731" s="66">
        <v>61900</v>
      </c>
      <c r="J2731" s="64">
        <v>0.1</v>
      </c>
      <c r="K2731" s="30">
        <v>10</v>
      </c>
      <c r="L2731" s="66">
        <f t="shared" si="10"/>
        <v>619000</v>
      </c>
      <c r="M2731" s="1454"/>
      <c r="N2731" s="1447"/>
    </row>
    <row r="2732" spans="2:15" ht="16.5" customHeight="1">
      <c r="B2732" s="1448"/>
      <c r="C2732" s="1448">
        <v>2</v>
      </c>
      <c r="D2732" s="1448" t="s">
        <v>426</v>
      </c>
      <c r="E2732" s="30">
        <v>77285725</v>
      </c>
      <c r="F2732" s="31" t="s">
        <v>2862</v>
      </c>
      <c r="G2732" s="1448" t="s">
        <v>2862</v>
      </c>
      <c r="H2732" s="30">
        <v>30221770</v>
      </c>
      <c r="I2732" s="66">
        <v>11900</v>
      </c>
      <c r="J2732" s="64">
        <v>0.1</v>
      </c>
      <c r="K2732" s="30">
        <v>10</v>
      </c>
      <c r="L2732" s="66">
        <f t="shared" si="10"/>
        <v>119000</v>
      </c>
      <c r="M2732" s="1454" t="s">
        <v>2863</v>
      </c>
      <c r="N2732" s="1445">
        <v>20250219364</v>
      </c>
    </row>
    <row r="2733" spans="2:15" ht="16.5" customHeight="1">
      <c r="B2733" s="1448"/>
      <c r="C2733" s="1448"/>
      <c r="D2733" s="1448"/>
      <c r="E2733" s="30">
        <v>77285726</v>
      </c>
      <c r="F2733" s="31" t="s">
        <v>2864</v>
      </c>
      <c r="G2733" s="1448"/>
      <c r="H2733" s="30">
        <v>30221768</v>
      </c>
      <c r="I2733" s="66">
        <v>20900</v>
      </c>
      <c r="J2733" s="64">
        <v>0.1</v>
      </c>
      <c r="K2733" s="30">
        <v>10</v>
      </c>
      <c r="L2733" s="66">
        <f t="shared" si="10"/>
        <v>209000</v>
      </c>
      <c r="M2733" s="1454"/>
      <c r="N2733" s="1446"/>
    </row>
    <row r="2734" spans="2:15" ht="16.5" customHeight="1">
      <c r="B2734" s="1448"/>
      <c r="C2734" s="1448"/>
      <c r="D2734" s="1448"/>
      <c r="E2734" s="30">
        <v>77285761</v>
      </c>
      <c r="F2734" s="31" t="s">
        <v>2865</v>
      </c>
      <c r="G2734" s="1448"/>
      <c r="H2734" s="30">
        <v>30221767</v>
      </c>
      <c r="I2734" s="66">
        <v>21900</v>
      </c>
      <c r="J2734" s="64">
        <v>0.1</v>
      </c>
      <c r="K2734" s="30">
        <v>10</v>
      </c>
      <c r="L2734" s="66">
        <f t="shared" si="10"/>
        <v>219000</v>
      </c>
      <c r="M2734" s="1454"/>
      <c r="N2734" s="1446"/>
    </row>
    <row r="2735" spans="2:15" ht="16.5" customHeight="1">
      <c r="B2735" s="1448"/>
      <c r="C2735" s="1448"/>
      <c r="D2735" s="1448"/>
      <c r="E2735" s="30">
        <v>77285765</v>
      </c>
      <c r="F2735" s="31" t="s">
        <v>2866</v>
      </c>
      <c r="G2735" s="1448"/>
      <c r="H2735" s="30">
        <v>30221765</v>
      </c>
      <c r="I2735" s="66">
        <v>24900</v>
      </c>
      <c r="J2735" s="64">
        <v>0.1</v>
      </c>
      <c r="K2735" s="30">
        <v>10</v>
      </c>
      <c r="L2735" s="66">
        <f t="shared" si="10"/>
        <v>249000</v>
      </c>
      <c r="M2735" s="1454"/>
      <c r="N2735" s="1447"/>
    </row>
    <row r="2736" spans="2:15" ht="16.5" customHeight="1">
      <c r="B2736" s="1448"/>
      <c r="C2736" s="1448">
        <v>3</v>
      </c>
      <c r="D2736" s="1448" t="s">
        <v>439</v>
      </c>
      <c r="E2736" s="30">
        <v>75409458</v>
      </c>
      <c r="F2736" s="31" t="s">
        <v>1697</v>
      </c>
      <c r="G2736" s="1448" t="s">
        <v>1697</v>
      </c>
      <c r="H2736" s="30">
        <v>30217065</v>
      </c>
      <c r="I2736" s="66">
        <v>9900</v>
      </c>
      <c r="J2736" s="64">
        <v>0.1</v>
      </c>
      <c r="K2736" s="30">
        <v>10</v>
      </c>
      <c r="L2736" s="66">
        <f t="shared" si="10"/>
        <v>99000</v>
      </c>
      <c r="M2736" s="1454" t="s">
        <v>2867</v>
      </c>
      <c r="N2736" s="1445">
        <v>20250219365</v>
      </c>
    </row>
    <row r="2737" spans="2:14" ht="16.5" customHeight="1">
      <c r="B2737" s="1448"/>
      <c r="C2737" s="1448"/>
      <c r="D2737" s="1448"/>
      <c r="E2737" s="30">
        <v>75409474</v>
      </c>
      <c r="F2737" s="31" t="s">
        <v>1700</v>
      </c>
      <c r="G2737" s="1448"/>
      <c r="H2737" s="30">
        <v>30217064</v>
      </c>
      <c r="I2737" s="66">
        <v>14900</v>
      </c>
      <c r="J2737" s="64">
        <v>0.1</v>
      </c>
      <c r="K2737" s="30">
        <v>10</v>
      </c>
      <c r="L2737" s="66">
        <f t="shared" si="10"/>
        <v>149000</v>
      </c>
      <c r="M2737" s="1454"/>
      <c r="N2737" s="1446"/>
    </row>
    <row r="2738" spans="2:14" ht="16.5" customHeight="1">
      <c r="B2738" s="1448"/>
      <c r="C2738" s="1448"/>
      <c r="D2738" s="1448"/>
      <c r="E2738" s="30">
        <v>70189255</v>
      </c>
      <c r="F2738" s="31" t="s">
        <v>1701</v>
      </c>
      <c r="G2738" s="1448"/>
      <c r="H2738" s="30">
        <v>30215005</v>
      </c>
      <c r="I2738" s="66">
        <v>11900</v>
      </c>
      <c r="J2738" s="64">
        <v>0.1</v>
      </c>
      <c r="K2738" s="30">
        <v>10</v>
      </c>
      <c r="L2738" s="66">
        <f t="shared" si="10"/>
        <v>119000</v>
      </c>
      <c r="M2738" s="1454"/>
      <c r="N2738" s="1446"/>
    </row>
    <row r="2739" spans="2:14" ht="16.5" customHeight="1">
      <c r="B2739" s="1448"/>
      <c r="C2739" s="1448"/>
      <c r="D2739" s="1448"/>
      <c r="E2739" s="30">
        <v>70189257</v>
      </c>
      <c r="F2739" s="31" t="s">
        <v>1702</v>
      </c>
      <c r="G2739" s="1448"/>
      <c r="H2739" s="30">
        <v>30215006</v>
      </c>
      <c r="I2739" s="66">
        <v>11900</v>
      </c>
      <c r="J2739" s="64">
        <v>0.1</v>
      </c>
      <c r="K2739" s="30">
        <v>10</v>
      </c>
      <c r="L2739" s="66">
        <f t="shared" si="10"/>
        <v>119000</v>
      </c>
      <c r="M2739" s="1454"/>
      <c r="N2739" s="1446"/>
    </row>
    <row r="2740" spans="2:14" ht="16.5" customHeight="1">
      <c r="B2740" s="1448"/>
      <c r="C2740" s="1448"/>
      <c r="D2740" s="1448"/>
      <c r="E2740" s="30">
        <v>70190068</v>
      </c>
      <c r="F2740" s="31" t="s">
        <v>1703</v>
      </c>
      <c r="G2740" s="1448"/>
      <c r="H2740" s="30">
        <v>30215004</v>
      </c>
      <c r="I2740" s="66">
        <v>22900</v>
      </c>
      <c r="J2740" s="64">
        <v>0.1</v>
      </c>
      <c r="K2740" s="30">
        <v>10</v>
      </c>
      <c r="L2740" s="66">
        <f t="shared" si="10"/>
        <v>229000</v>
      </c>
      <c r="M2740" s="1454"/>
      <c r="N2740" s="1446"/>
    </row>
    <row r="2741" spans="2:14" ht="16.5" customHeight="1">
      <c r="B2741" s="1448"/>
      <c r="C2741" s="1448"/>
      <c r="D2741" s="1448"/>
      <c r="E2741" s="30">
        <v>70190070</v>
      </c>
      <c r="F2741" s="31" t="s">
        <v>1704</v>
      </c>
      <c r="G2741" s="1448"/>
      <c r="H2741" s="30">
        <v>30215003</v>
      </c>
      <c r="I2741" s="66">
        <v>22900</v>
      </c>
      <c r="J2741" s="64">
        <v>0.1</v>
      </c>
      <c r="K2741" s="30">
        <v>10</v>
      </c>
      <c r="L2741" s="66">
        <f t="shared" si="10"/>
        <v>229000</v>
      </c>
      <c r="M2741" s="1454"/>
      <c r="N2741" s="1447"/>
    </row>
    <row r="2742" spans="2:14" ht="16.5" customHeight="1">
      <c r="B2742" s="1448"/>
      <c r="C2742" s="1448">
        <v>4</v>
      </c>
      <c r="D2742" s="1448" t="s">
        <v>469</v>
      </c>
      <c r="E2742" s="30">
        <v>49008741</v>
      </c>
      <c r="F2742" s="31" t="s">
        <v>1272</v>
      </c>
      <c r="G2742" s="1448" t="s">
        <v>1272</v>
      </c>
      <c r="H2742" s="30">
        <v>30217056</v>
      </c>
      <c r="I2742" s="66">
        <v>13900</v>
      </c>
      <c r="J2742" s="64">
        <v>0.1</v>
      </c>
      <c r="K2742" s="30">
        <v>10</v>
      </c>
      <c r="L2742" s="66">
        <f t="shared" si="10"/>
        <v>139000</v>
      </c>
      <c r="M2742" s="1454" t="s">
        <v>2868</v>
      </c>
      <c r="N2742" s="1445">
        <v>20250219366</v>
      </c>
    </row>
    <row r="2743" spans="2:14" ht="16.5" customHeight="1">
      <c r="B2743" s="1448"/>
      <c r="C2743" s="1448"/>
      <c r="D2743" s="1448"/>
      <c r="E2743" s="30">
        <v>48607237</v>
      </c>
      <c r="F2743" s="31" t="s">
        <v>1273</v>
      </c>
      <c r="G2743" s="1448"/>
      <c r="H2743" s="30">
        <v>30217055</v>
      </c>
      <c r="I2743" s="66">
        <v>22900</v>
      </c>
      <c r="J2743" s="64">
        <v>0.1</v>
      </c>
      <c r="K2743" s="30">
        <v>10</v>
      </c>
      <c r="L2743" s="66">
        <f t="shared" si="10"/>
        <v>229000</v>
      </c>
      <c r="M2743" s="1454"/>
      <c r="N2743" s="1446"/>
    </row>
    <row r="2744" spans="2:14" ht="16.5" customHeight="1">
      <c r="B2744" s="1448"/>
      <c r="C2744" s="1448"/>
      <c r="D2744" s="1448"/>
      <c r="E2744" s="30">
        <v>48607225</v>
      </c>
      <c r="F2744" s="31" t="s">
        <v>1274</v>
      </c>
      <c r="G2744" s="1448"/>
      <c r="H2744" s="30">
        <v>30217054</v>
      </c>
      <c r="I2744" s="66">
        <v>40900</v>
      </c>
      <c r="J2744" s="64">
        <v>0.1</v>
      </c>
      <c r="K2744" s="30">
        <v>10</v>
      </c>
      <c r="L2744" s="66">
        <f t="shared" si="10"/>
        <v>409000</v>
      </c>
      <c r="M2744" s="1454"/>
      <c r="N2744" s="1446"/>
    </row>
    <row r="2745" spans="2:14" ht="16.5" customHeight="1">
      <c r="B2745" s="1448"/>
      <c r="C2745" s="1448"/>
      <c r="D2745" s="1448"/>
      <c r="E2745" s="30">
        <v>48606683</v>
      </c>
      <c r="F2745" s="31" t="s">
        <v>2869</v>
      </c>
      <c r="G2745" s="1448"/>
      <c r="H2745" s="30">
        <v>30221763</v>
      </c>
      <c r="I2745" s="66">
        <v>16500</v>
      </c>
      <c r="J2745" s="64">
        <v>0.1</v>
      </c>
      <c r="K2745" s="30">
        <v>10</v>
      </c>
      <c r="L2745" s="66">
        <f t="shared" si="10"/>
        <v>165000</v>
      </c>
      <c r="M2745" s="1454"/>
      <c r="N2745" s="1446"/>
    </row>
    <row r="2746" spans="2:14" ht="16.5" customHeight="1">
      <c r="B2746" s="1448"/>
      <c r="C2746" s="1448"/>
      <c r="D2746" s="1448"/>
      <c r="E2746" s="30">
        <v>48606973</v>
      </c>
      <c r="F2746" s="31" t="s">
        <v>1276</v>
      </c>
      <c r="G2746" s="1448"/>
      <c r="H2746" s="30">
        <v>30217052</v>
      </c>
      <c r="I2746" s="66">
        <v>11900</v>
      </c>
      <c r="J2746" s="64">
        <v>0.1</v>
      </c>
      <c r="K2746" s="30">
        <v>10</v>
      </c>
      <c r="L2746" s="66">
        <f t="shared" si="10"/>
        <v>119000</v>
      </c>
      <c r="M2746" s="1454"/>
      <c r="N2746" s="1446"/>
    </row>
    <row r="2747" spans="2:14" ht="16.5" customHeight="1">
      <c r="B2747" s="1448"/>
      <c r="C2747" s="1448"/>
      <c r="D2747" s="1448"/>
      <c r="E2747" s="30">
        <v>48607074</v>
      </c>
      <c r="F2747" s="31" t="s">
        <v>1277</v>
      </c>
      <c r="G2747" s="1448"/>
      <c r="H2747" s="30">
        <v>30217051</v>
      </c>
      <c r="I2747" s="66">
        <v>16500</v>
      </c>
      <c r="J2747" s="64">
        <v>0.1</v>
      </c>
      <c r="K2747" s="30">
        <v>10</v>
      </c>
      <c r="L2747" s="66">
        <f t="shared" si="10"/>
        <v>165000</v>
      </c>
      <c r="M2747" s="1454"/>
      <c r="N2747" s="1446"/>
    </row>
    <row r="2748" spans="2:14" ht="16.5" customHeight="1">
      <c r="B2748" s="1448"/>
      <c r="C2748" s="1448"/>
      <c r="D2748" s="1448"/>
      <c r="E2748" s="30">
        <v>48595249</v>
      </c>
      <c r="F2748" s="31" t="s">
        <v>470</v>
      </c>
      <c r="G2748" s="1448"/>
      <c r="H2748" s="30">
        <v>30214992</v>
      </c>
      <c r="I2748" s="66">
        <v>12900</v>
      </c>
      <c r="J2748" s="64">
        <v>0.1</v>
      </c>
      <c r="K2748" s="30">
        <v>10</v>
      </c>
      <c r="L2748" s="66">
        <f t="shared" si="10"/>
        <v>129000</v>
      </c>
      <c r="M2748" s="1454"/>
      <c r="N2748" s="1446"/>
    </row>
    <row r="2749" spans="2:14" ht="16.5" customHeight="1">
      <c r="B2749" s="1448"/>
      <c r="C2749" s="1448"/>
      <c r="D2749" s="1448"/>
      <c r="E2749" s="30">
        <v>30213451</v>
      </c>
      <c r="F2749" s="31" t="s">
        <v>473</v>
      </c>
      <c r="G2749" s="1448"/>
      <c r="H2749" s="30">
        <v>30213466</v>
      </c>
      <c r="I2749" s="66">
        <v>11500</v>
      </c>
      <c r="J2749" s="64">
        <v>0.1</v>
      </c>
      <c r="K2749" s="30">
        <v>10</v>
      </c>
      <c r="L2749" s="66">
        <f t="shared" si="10"/>
        <v>115000</v>
      </c>
      <c r="M2749" s="1454"/>
      <c r="N2749" s="1446"/>
    </row>
    <row r="2750" spans="2:14" ht="16.5" customHeight="1">
      <c r="B2750" s="1448"/>
      <c r="C2750" s="1448"/>
      <c r="D2750" s="1448"/>
      <c r="E2750" s="30">
        <v>48595278</v>
      </c>
      <c r="F2750" s="31" t="s">
        <v>2870</v>
      </c>
      <c r="G2750" s="1448"/>
      <c r="H2750" s="30">
        <v>30221746</v>
      </c>
      <c r="I2750" s="66">
        <v>14800</v>
      </c>
      <c r="J2750" s="64">
        <v>0.1</v>
      </c>
      <c r="K2750" s="30">
        <v>10</v>
      </c>
      <c r="L2750" s="66">
        <f t="shared" si="10"/>
        <v>148000</v>
      </c>
      <c r="M2750" s="1454"/>
      <c r="N2750" s="1446"/>
    </row>
    <row r="2751" spans="2:14" ht="16.5" customHeight="1">
      <c r="B2751" s="1448"/>
      <c r="C2751" s="1448"/>
      <c r="D2751" s="1448"/>
      <c r="E2751" s="30">
        <v>48595261</v>
      </c>
      <c r="F2751" s="31" t="s">
        <v>2871</v>
      </c>
      <c r="G2751" s="1448"/>
      <c r="H2751" s="30">
        <v>30221745</v>
      </c>
      <c r="I2751" s="66">
        <v>14500</v>
      </c>
      <c r="J2751" s="64">
        <v>0.1</v>
      </c>
      <c r="K2751" s="30">
        <v>10</v>
      </c>
      <c r="L2751" s="66">
        <f t="shared" si="10"/>
        <v>145000</v>
      </c>
      <c r="M2751" s="1454"/>
      <c r="N2751" s="1446"/>
    </row>
    <row r="2752" spans="2:14" ht="16.5" customHeight="1">
      <c r="B2752" s="1448"/>
      <c r="C2752" s="1448"/>
      <c r="D2752" s="1448"/>
      <c r="E2752" s="30">
        <v>48594586</v>
      </c>
      <c r="F2752" s="31" t="s">
        <v>474</v>
      </c>
      <c r="G2752" s="1448"/>
      <c r="H2752" s="30">
        <v>30213446</v>
      </c>
      <c r="I2752" s="66">
        <v>22500</v>
      </c>
      <c r="J2752" s="64">
        <v>0.1</v>
      </c>
      <c r="K2752" s="30">
        <v>10</v>
      </c>
      <c r="L2752" s="66">
        <f t="shared" si="10"/>
        <v>225000</v>
      </c>
      <c r="M2752" s="1454"/>
      <c r="N2752" s="1447"/>
    </row>
    <row r="2753" spans="2:14" ht="16.5" customHeight="1">
      <c r="B2753" s="1448"/>
      <c r="C2753" s="1448">
        <v>5</v>
      </c>
      <c r="D2753" s="1448" t="s">
        <v>1249</v>
      </c>
      <c r="E2753" s="30">
        <v>30170346</v>
      </c>
      <c r="F2753" s="31" t="s">
        <v>447</v>
      </c>
      <c r="G2753" s="1448" t="s">
        <v>448</v>
      </c>
      <c r="H2753" s="30">
        <v>30170346</v>
      </c>
      <c r="I2753" s="66">
        <v>10900</v>
      </c>
      <c r="J2753" s="64">
        <v>0.12</v>
      </c>
      <c r="K2753" s="30">
        <v>10</v>
      </c>
      <c r="L2753" s="66">
        <f t="shared" si="10"/>
        <v>109000</v>
      </c>
      <c r="M2753" s="1454" t="s">
        <v>449</v>
      </c>
      <c r="N2753" s="1445">
        <v>20250219367</v>
      </c>
    </row>
    <row r="2754" spans="2:14" ht="16.5" customHeight="1">
      <c r="B2754" s="1448"/>
      <c r="C2754" s="1448"/>
      <c r="D2754" s="1448"/>
      <c r="E2754" s="30">
        <v>30170932</v>
      </c>
      <c r="F2754" s="31" t="s">
        <v>2352</v>
      </c>
      <c r="G2754" s="1448"/>
      <c r="H2754" s="30">
        <v>30170932</v>
      </c>
      <c r="I2754" s="66">
        <v>16500</v>
      </c>
      <c r="J2754" s="64">
        <v>0.12</v>
      </c>
      <c r="K2754" s="30">
        <v>10</v>
      </c>
      <c r="L2754" s="66">
        <f t="shared" si="10"/>
        <v>165000</v>
      </c>
      <c r="M2754" s="1454"/>
      <c r="N2754" s="1446"/>
    </row>
    <row r="2755" spans="2:14" ht="16.5" customHeight="1">
      <c r="B2755" s="1448"/>
      <c r="C2755" s="1448"/>
      <c r="D2755" s="1448"/>
      <c r="E2755" s="30">
        <v>30170933</v>
      </c>
      <c r="F2755" s="31" t="s">
        <v>2353</v>
      </c>
      <c r="G2755" s="1448"/>
      <c r="H2755" s="30">
        <v>30170933</v>
      </c>
      <c r="I2755" s="66">
        <v>23800</v>
      </c>
      <c r="J2755" s="64">
        <v>0.12</v>
      </c>
      <c r="K2755" s="30">
        <v>10</v>
      </c>
      <c r="L2755" s="66">
        <f t="shared" si="10"/>
        <v>238000</v>
      </c>
      <c r="M2755" s="1454"/>
      <c r="N2755" s="1446"/>
    </row>
    <row r="2756" spans="2:14" ht="16.5" customHeight="1">
      <c r="B2756" s="1448"/>
      <c r="C2756" s="1448"/>
      <c r="D2756" s="1448"/>
      <c r="E2756" s="30">
        <v>30184098</v>
      </c>
      <c r="F2756" s="31" t="s">
        <v>2354</v>
      </c>
      <c r="G2756" s="1448"/>
      <c r="H2756" s="30">
        <v>30184098</v>
      </c>
      <c r="I2756" s="66">
        <v>9900</v>
      </c>
      <c r="J2756" s="64">
        <v>0.12</v>
      </c>
      <c r="K2756" s="30">
        <v>10</v>
      </c>
      <c r="L2756" s="66">
        <f t="shared" si="10"/>
        <v>99000</v>
      </c>
      <c r="M2756" s="1454"/>
      <c r="N2756" s="1446"/>
    </row>
    <row r="2757" spans="2:14" ht="16.5" customHeight="1">
      <c r="B2757" s="1448"/>
      <c r="C2757" s="1448"/>
      <c r="D2757" s="1448"/>
      <c r="E2757" s="30">
        <v>30184099</v>
      </c>
      <c r="F2757" s="31" t="s">
        <v>2355</v>
      </c>
      <c r="G2757" s="1448"/>
      <c r="H2757" s="30">
        <v>30184099</v>
      </c>
      <c r="I2757" s="66">
        <v>9900</v>
      </c>
      <c r="J2757" s="64">
        <v>0.12</v>
      </c>
      <c r="K2757" s="30">
        <v>10</v>
      </c>
      <c r="L2757" s="66">
        <f t="shared" si="10"/>
        <v>99000</v>
      </c>
      <c r="M2757" s="1454"/>
      <c r="N2757" s="1446"/>
    </row>
    <row r="2758" spans="2:14" ht="16.5" customHeight="1">
      <c r="B2758" s="1448"/>
      <c r="C2758" s="1448"/>
      <c r="D2758" s="1448"/>
      <c r="E2758" s="30">
        <v>30170935</v>
      </c>
      <c r="F2758" s="31" t="s">
        <v>2356</v>
      </c>
      <c r="G2758" s="1448"/>
      <c r="H2758" s="30">
        <v>30170935</v>
      </c>
      <c r="I2758" s="66">
        <v>8200</v>
      </c>
      <c r="J2758" s="64">
        <v>0.12</v>
      </c>
      <c r="K2758" s="30">
        <v>10</v>
      </c>
      <c r="L2758" s="66">
        <f t="shared" si="10"/>
        <v>82000</v>
      </c>
      <c r="M2758" s="1454"/>
      <c r="N2758" s="1446"/>
    </row>
    <row r="2759" spans="2:14" ht="16.5" customHeight="1">
      <c r="B2759" s="1448"/>
      <c r="C2759" s="1448"/>
      <c r="D2759" s="1448"/>
      <c r="E2759" s="30">
        <v>30170939</v>
      </c>
      <c r="F2759" s="31" t="s">
        <v>2357</v>
      </c>
      <c r="G2759" s="1448"/>
      <c r="H2759" s="30">
        <v>30170939</v>
      </c>
      <c r="I2759" s="66">
        <v>9900</v>
      </c>
      <c r="J2759" s="64">
        <v>0.12</v>
      </c>
      <c r="K2759" s="30">
        <v>10</v>
      </c>
      <c r="L2759" s="66">
        <f t="shared" si="10"/>
        <v>99000</v>
      </c>
      <c r="M2759" s="1454"/>
      <c r="N2759" s="1447"/>
    </row>
    <row r="2760" spans="2:14" ht="16.5" customHeight="1">
      <c r="B2760" s="1448"/>
      <c r="C2760" s="1448">
        <v>6</v>
      </c>
      <c r="D2760" s="1448" t="s">
        <v>426</v>
      </c>
      <c r="E2760" s="30">
        <v>41221146</v>
      </c>
      <c r="F2760" s="31" t="s">
        <v>2872</v>
      </c>
      <c r="G2760" s="1448" t="s">
        <v>2873</v>
      </c>
      <c r="H2760" s="30">
        <v>30165735</v>
      </c>
      <c r="I2760" s="66">
        <v>12900</v>
      </c>
      <c r="J2760" s="64">
        <v>0.1</v>
      </c>
      <c r="K2760" s="30">
        <v>10</v>
      </c>
      <c r="L2760" s="66">
        <f t="shared" si="10"/>
        <v>129000</v>
      </c>
      <c r="M2760" s="1454" t="s">
        <v>2874</v>
      </c>
      <c r="N2760" s="1445">
        <v>20250219368</v>
      </c>
    </row>
    <row r="2761" spans="2:14" ht="16.5" customHeight="1">
      <c r="B2761" s="1448"/>
      <c r="C2761" s="1448"/>
      <c r="D2761" s="1448"/>
      <c r="E2761" s="30">
        <v>48672791</v>
      </c>
      <c r="F2761" s="31" t="s">
        <v>2875</v>
      </c>
      <c r="G2761" s="1448"/>
      <c r="H2761" s="30">
        <v>30213522</v>
      </c>
      <c r="I2761" s="66">
        <v>18900</v>
      </c>
      <c r="J2761" s="64">
        <v>0.1</v>
      </c>
      <c r="K2761" s="30">
        <v>10</v>
      </c>
      <c r="L2761" s="66">
        <f t="shared" si="10"/>
        <v>189000</v>
      </c>
      <c r="M2761" s="1454"/>
      <c r="N2761" s="1446"/>
    </row>
    <row r="2762" spans="2:14" ht="16.5" customHeight="1">
      <c r="B2762" s="1448"/>
      <c r="C2762" s="1448"/>
      <c r="D2762" s="1448"/>
      <c r="E2762" s="30">
        <v>60628416</v>
      </c>
      <c r="F2762" s="31" t="s">
        <v>2876</v>
      </c>
      <c r="G2762" s="1448"/>
      <c r="H2762" s="30">
        <v>30221737</v>
      </c>
      <c r="I2762" s="66">
        <v>12900</v>
      </c>
      <c r="J2762" s="64">
        <v>0.1</v>
      </c>
      <c r="K2762" s="30">
        <v>10</v>
      </c>
      <c r="L2762" s="66">
        <f t="shared" si="10"/>
        <v>129000</v>
      </c>
      <c r="M2762" s="1454"/>
      <c r="N2762" s="1446"/>
    </row>
    <row r="2763" spans="2:14" ht="16.5" customHeight="1">
      <c r="B2763" s="1448"/>
      <c r="C2763" s="1448"/>
      <c r="D2763" s="1448"/>
      <c r="E2763" s="30">
        <v>60628419</v>
      </c>
      <c r="F2763" s="31" t="s">
        <v>2877</v>
      </c>
      <c r="G2763" s="1448"/>
      <c r="H2763" s="30">
        <v>30213523</v>
      </c>
      <c r="I2763" s="66">
        <v>16900</v>
      </c>
      <c r="J2763" s="64">
        <v>0.1</v>
      </c>
      <c r="K2763" s="30">
        <v>10</v>
      </c>
      <c r="L2763" s="66">
        <f t="shared" si="10"/>
        <v>169000</v>
      </c>
      <c r="M2763" s="1454"/>
      <c r="N2763" s="1447"/>
    </row>
    <row r="2764" spans="2:14" ht="16.5" customHeight="1">
      <c r="B2764" s="1448"/>
      <c r="C2764" s="1448">
        <v>7</v>
      </c>
      <c r="D2764" s="1448" t="s">
        <v>418</v>
      </c>
      <c r="E2764" s="30">
        <v>71896510</v>
      </c>
      <c r="F2764" s="31" t="s">
        <v>2878</v>
      </c>
      <c r="G2764" s="1448" t="s">
        <v>2878</v>
      </c>
      <c r="H2764" s="30">
        <v>30221713</v>
      </c>
      <c r="I2764" s="66">
        <v>8500</v>
      </c>
      <c r="J2764" s="64">
        <v>0.1</v>
      </c>
      <c r="K2764" s="30">
        <v>10</v>
      </c>
      <c r="L2764" s="66">
        <f t="shared" si="10"/>
        <v>85000</v>
      </c>
      <c r="M2764" s="1454" t="s">
        <v>2879</v>
      </c>
      <c r="N2764" s="1445">
        <v>20250219369</v>
      </c>
    </row>
    <row r="2765" spans="2:14" ht="16.5" customHeight="1">
      <c r="B2765" s="1448"/>
      <c r="C2765" s="1448"/>
      <c r="D2765" s="1448"/>
      <c r="E2765" s="30">
        <v>71897983</v>
      </c>
      <c r="F2765" s="31" t="s">
        <v>2880</v>
      </c>
      <c r="G2765" s="1448"/>
      <c r="H2765" s="30">
        <v>30221712</v>
      </c>
      <c r="I2765" s="66">
        <v>9000</v>
      </c>
      <c r="J2765" s="64">
        <v>0.1</v>
      </c>
      <c r="K2765" s="30">
        <v>10</v>
      </c>
      <c r="L2765" s="66">
        <f t="shared" si="10"/>
        <v>90000</v>
      </c>
      <c r="M2765" s="1454"/>
      <c r="N2765" s="1446"/>
    </row>
    <row r="2766" spans="2:14" ht="16.5" customHeight="1">
      <c r="B2766" s="1448"/>
      <c r="C2766" s="1448"/>
      <c r="D2766" s="1448"/>
      <c r="E2766" s="30">
        <v>71900063</v>
      </c>
      <c r="F2766" s="31" t="s">
        <v>2881</v>
      </c>
      <c r="G2766" s="1448"/>
      <c r="H2766" s="30">
        <v>30221711</v>
      </c>
      <c r="I2766" s="66">
        <v>14500</v>
      </c>
      <c r="J2766" s="64">
        <v>0.1</v>
      </c>
      <c r="K2766" s="30">
        <v>10</v>
      </c>
      <c r="L2766" s="66">
        <f t="shared" si="10"/>
        <v>145000</v>
      </c>
      <c r="M2766" s="1454"/>
      <c r="N2766" s="1446"/>
    </row>
    <row r="2767" spans="2:14" ht="16.5" customHeight="1">
      <c r="B2767" s="1448"/>
      <c r="C2767" s="1448"/>
      <c r="D2767" s="1448"/>
      <c r="E2767" s="30">
        <v>71900068</v>
      </c>
      <c r="F2767" s="31" t="s">
        <v>2882</v>
      </c>
      <c r="G2767" s="1448"/>
      <c r="H2767" s="30">
        <v>30221710</v>
      </c>
      <c r="I2767" s="66">
        <v>20900</v>
      </c>
      <c r="J2767" s="64">
        <v>0.1</v>
      </c>
      <c r="K2767" s="30">
        <v>10</v>
      </c>
      <c r="L2767" s="66">
        <f t="shared" si="10"/>
        <v>209000</v>
      </c>
      <c r="M2767" s="1454"/>
      <c r="N2767" s="1446"/>
    </row>
    <row r="2768" spans="2:14" ht="16.5" customHeight="1">
      <c r="B2768" s="1448"/>
      <c r="C2768" s="1448"/>
      <c r="D2768" s="1448"/>
      <c r="E2768" s="30">
        <v>72294401</v>
      </c>
      <c r="F2768" s="31" t="s">
        <v>2883</v>
      </c>
      <c r="G2768" s="1448"/>
      <c r="H2768" s="30">
        <v>30221709</v>
      </c>
      <c r="I2768" s="66">
        <v>15900</v>
      </c>
      <c r="J2768" s="64">
        <v>0.1</v>
      </c>
      <c r="K2768" s="30">
        <v>10</v>
      </c>
      <c r="L2768" s="66">
        <f t="shared" si="10"/>
        <v>159000</v>
      </c>
      <c r="M2768" s="1454"/>
      <c r="N2768" s="1446"/>
    </row>
    <row r="2769" spans="2:15" ht="16.5" customHeight="1">
      <c r="B2769" s="1448"/>
      <c r="C2769" s="1448"/>
      <c r="D2769" s="1448"/>
      <c r="E2769" s="30">
        <v>72294405</v>
      </c>
      <c r="F2769" s="31" t="s">
        <v>2884</v>
      </c>
      <c r="G2769" s="1448"/>
      <c r="H2769" s="30">
        <v>30221708</v>
      </c>
      <c r="I2769" s="66">
        <v>22300</v>
      </c>
      <c r="J2769" s="64">
        <v>0.1</v>
      </c>
      <c r="K2769" s="30">
        <v>10</v>
      </c>
      <c r="L2769" s="66">
        <f t="shared" si="10"/>
        <v>223000</v>
      </c>
      <c r="M2769" s="1454"/>
      <c r="N2769" s="1447"/>
    </row>
    <row r="2770" spans="2:15" ht="16.5" customHeight="1">
      <c r="B2770" s="1448"/>
      <c r="C2770" s="30">
        <v>8</v>
      </c>
      <c r="D2770" s="322" t="s">
        <v>2617</v>
      </c>
      <c r="E2770" s="438">
        <v>48159923</v>
      </c>
      <c r="F2770" s="228" t="s">
        <v>2885</v>
      </c>
      <c r="G2770" s="228" t="s">
        <v>2885</v>
      </c>
      <c r="H2770" s="234">
        <v>30221707</v>
      </c>
      <c r="I2770" s="439">
        <v>16900</v>
      </c>
      <c r="J2770" s="321">
        <v>0.1</v>
      </c>
      <c r="K2770" s="234">
        <v>10</v>
      </c>
      <c r="L2770" s="439">
        <f t="shared" si="10"/>
        <v>169000</v>
      </c>
      <c r="M2770" s="228" t="s">
        <v>2886</v>
      </c>
      <c r="N2770" s="234">
        <v>20250218305</v>
      </c>
      <c r="O2770" s="4" t="s">
        <v>2449</v>
      </c>
    </row>
    <row r="2771" spans="2:15" ht="16.5" customHeight="1">
      <c r="B2771" s="1448" t="s">
        <v>477</v>
      </c>
      <c r="C2771" s="1448">
        <v>1</v>
      </c>
      <c r="D2771" s="1448" t="s">
        <v>2887</v>
      </c>
      <c r="E2771" s="70" t="s">
        <v>2888</v>
      </c>
      <c r="F2771" s="31" t="s">
        <v>2889</v>
      </c>
      <c r="G2771" s="1448" t="s">
        <v>2890</v>
      </c>
      <c r="H2771" s="30">
        <v>30221826</v>
      </c>
      <c r="I2771" s="30">
        <v>19900</v>
      </c>
      <c r="J2771" s="64">
        <v>6.1557788944723635E-2</v>
      </c>
      <c r="K2771" s="30">
        <v>10</v>
      </c>
      <c r="L2771" s="66">
        <f t="shared" si="10"/>
        <v>199000</v>
      </c>
      <c r="M2771" s="1512" t="s">
        <v>2891</v>
      </c>
      <c r="N2771" s="1445">
        <v>20250219370</v>
      </c>
    </row>
    <row r="2772" spans="2:15" ht="16.5" customHeight="1">
      <c r="B2772" s="1448"/>
      <c r="C2772" s="1448"/>
      <c r="D2772" s="1448"/>
      <c r="E2772" s="70" t="s">
        <v>2892</v>
      </c>
      <c r="F2772" s="31" t="s">
        <v>2893</v>
      </c>
      <c r="G2772" s="1448"/>
      <c r="H2772" s="30">
        <v>30221825</v>
      </c>
      <c r="I2772" s="30">
        <v>29500</v>
      </c>
      <c r="J2772" s="64">
        <v>6.1864406779660985E-2</v>
      </c>
      <c r="K2772" s="30">
        <v>10</v>
      </c>
      <c r="L2772" s="66">
        <f t="shared" si="10"/>
        <v>295000</v>
      </c>
      <c r="M2772" s="1514"/>
      <c r="N2772" s="1446"/>
    </row>
    <row r="2773" spans="2:15" ht="16.5" customHeight="1">
      <c r="B2773" s="1448"/>
      <c r="C2773" s="1448"/>
      <c r="D2773" s="1448"/>
      <c r="E2773" s="70" t="s">
        <v>2894</v>
      </c>
      <c r="F2773" s="31" t="s">
        <v>2895</v>
      </c>
      <c r="G2773" s="1448"/>
      <c r="H2773" s="30">
        <v>30221824</v>
      </c>
      <c r="I2773" s="30">
        <v>22300</v>
      </c>
      <c r="J2773" s="64">
        <v>6.1659192825112119E-2</v>
      </c>
      <c r="K2773" s="30">
        <v>10</v>
      </c>
      <c r="L2773" s="66">
        <f t="shared" si="10"/>
        <v>223000</v>
      </c>
      <c r="M2773" s="1514"/>
      <c r="N2773" s="1446"/>
    </row>
    <row r="2774" spans="2:15" ht="16.5" customHeight="1">
      <c r="B2774" s="1448"/>
      <c r="C2774" s="1448"/>
      <c r="D2774" s="1448"/>
      <c r="E2774" s="70" t="s">
        <v>2896</v>
      </c>
      <c r="F2774" s="31" t="s">
        <v>2897</v>
      </c>
      <c r="G2774" s="1448"/>
      <c r="H2774" s="30">
        <v>30221823</v>
      </c>
      <c r="I2774" s="30">
        <v>32600</v>
      </c>
      <c r="J2774" s="64">
        <v>5.9049079754601275E-2</v>
      </c>
      <c r="K2774" s="30">
        <v>10</v>
      </c>
      <c r="L2774" s="66">
        <f t="shared" si="10"/>
        <v>326000</v>
      </c>
      <c r="M2774" s="1514"/>
      <c r="N2774" s="1446"/>
    </row>
    <row r="2775" spans="2:15" ht="16.5" customHeight="1">
      <c r="B2775" s="1448"/>
      <c r="C2775" s="1448"/>
      <c r="D2775" s="1448"/>
      <c r="E2775" s="70" t="s">
        <v>2898</v>
      </c>
      <c r="F2775" s="31" t="s">
        <v>2899</v>
      </c>
      <c r="G2775" s="1448"/>
      <c r="H2775" s="30">
        <v>30221822</v>
      </c>
      <c r="I2775" s="30">
        <v>44500</v>
      </c>
      <c r="J2775" s="64">
        <v>5.7865168539325884E-2</v>
      </c>
      <c r="K2775" s="30">
        <v>10</v>
      </c>
      <c r="L2775" s="66">
        <f t="shared" si="10"/>
        <v>445000</v>
      </c>
      <c r="M2775" s="1513"/>
      <c r="N2775" s="1447"/>
    </row>
    <row r="2776" spans="2:15" ht="16.5" customHeight="1">
      <c r="B2776" s="1448"/>
      <c r="C2776" s="30">
        <v>2</v>
      </c>
      <c r="D2776" s="30" t="s">
        <v>2900</v>
      </c>
      <c r="E2776" s="70">
        <v>77625091</v>
      </c>
      <c r="F2776" s="31" t="s">
        <v>2901</v>
      </c>
      <c r="G2776" s="31" t="s">
        <v>2901</v>
      </c>
      <c r="H2776" s="30">
        <v>30221821</v>
      </c>
      <c r="I2776" s="30">
        <v>14500</v>
      </c>
      <c r="J2776" s="64">
        <v>7.413793103448274E-2</v>
      </c>
      <c r="K2776" s="30">
        <v>10</v>
      </c>
      <c r="L2776" s="66">
        <f t="shared" si="10"/>
        <v>145000</v>
      </c>
      <c r="M2776" s="31" t="s">
        <v>2902</v>
      </c>
      <c r="N2776" s="69">
        <v>20250219371</v>
      </c>
    </row>
    <row r="2777" spans="2:15" ht="16.5" customHeight="1">
      <c r="B2777" s="1448"/>
      <c r="C2777" s="1448">
        <v>3</v>
      </c>
      <c r="D2777" s="1448" t="s">
        <v>2903</v>
      </c>
      <c r="E2777" s="70">
        <v>72304959</v>
      </c>
      <c r="F2777" s="31" t="s">
        <v>2904</v>
      </c>
      <c r="G2777" s="1448" t="s">
        <v>2904</v>
      </c>
      <c r="H2777" s="30">
        <v>30221820</v>
      </c>
      <c r="I2777" s="30">
        <v>12500</v>
      </c>
      <c r="J2777" s="64">
        <v>5.479999999999996E-2</v>
      </c>
      <c r="K2777" s="30">
        <v>10</v>
      </c>
      <c r="L2777" s="66">
        <f t="shared" si="10"/>
        <v>125000</v>
      </c>
      <c r="M2777" s="1512" t="s">
        <v>2905</v>
      </c>
      <c r="N2777" s="1445">
        <v>20250219372</v>
      </c>
    </row>
    <row r="2778" spans="2:15" ht="16.5" customHeight="1">
      <c r="B2778" s="1448"/>
      <c r="C2778" s="1448"/>
      <c r="D2778" s="1448"/>
      <c r="E2778" s="70">
        <v>72304964</v>
      </c>
      <c r="F2778" s="31" t="s">
        <v>2906</v>
      </c>
      <c r="G2778" s="1448"/>
      <c r="H2778" s="30">
        <v>30221819</v>
      </c>
      <c r="I2778" s="30">
        <v>13000</v>
      </c>
      <c r="J2778" s="64">
        <v>5.1923076923076961E-2</v>
      </c>
      <c r="K2778" s="30">
        <v>10</v>
      </c>
      <c r="L2778" s="66">
        <f t="shared" si="10"/>
        <v>130000</v>
      </c>
      <c r="M2778" s="1514"/>
      <c r="N2778" s="1446"/>
    </row>
    <row r="2779" spans="2:15" ht="16.5" customHeight="1">
      <c r="B2779" s="1448"/>
      <c r="C2779" s="1448"/>
      <c r="D2779" s="1448"/>
      <c r="E2779" s="70">
        <v>72304969</v>
      </c>
      <c r="F2779" s="31" t="s">
        <v>2907</v>
      </c>
      <c r="G2779" s="1448"/>
      <c r="H2779" s="30">
        <v>30221818</v>
      </c>
      <c r="I2779" s="30">
        <v>14300</v>
      </c>
      <c r="J2779" s="64">
        <v>5.4895104895104851E-2</v>
      </c>
      <c r="K2779" s="30">
        <v>10</v>
      </c>
      <c r="L2779" s="66">
        <f t="shared" si="10"/>
        <v>143000</v>
      </c>
      <c r="M2779" s="1514"/>
      <c r="N2779" s="1446"/>
    </row>
    <row r="2780" spans="2:15" ht="16.5" customHeight="1">
      <c r="B2780" s="1448"/>
      <c r="C2780" s="1448"/>
      <c r="D2780" s="1448"/>
      <c r="E2780" s="70">
        <v>72304977</v>
      </c>
      <c r="F2780" s="31" t="s">
        <v>2908</v>
      </c>
      <c r="G2780" s="1448"/>
      <c r="H2780" s="30">
        <v>30221817</v>
      </c>
      <c r="I2780" s="30">
        <v>14900</v>
      </c>
      <c r="J2780" s="64">
        <v>5.8724832214765099E-2</v>
      </c>
      <c r="K2780" s="30">
        <v>10</v>
      </c>
      <c r="L2780" s="66">
        <f t="shared" si="10"/>
        <v>149000</v>
      </c>
      <c r="M2780" s="1514"/>
      <c r="N2780" s="1446"/>
    </row>
    <row r="2781" spans="2:15" ht="16.5" customHeight="1">
      <c r="B2781" s="1448"/>
      <c r="C2781" s="1448"/>
      <c r="D2781" s="1448"/>
      <c r="E2781" s="70">
        <v>72304993</v>
      </c>
      <c r="F2781" s="31" t="s">
        <v>2909</v>
      </c>
      <c r="G2781" s="1448"/>
      <c r="H2781" s="30">
        <v>30221816</v>
      </c>
      <c r="I2781" s="30">
        <v>16000</v>
      </c>
      <c r="J2781" s="64">
        <v>4.9062500000000009E-2</v>
      </c>
      <c r="K2781" s="30">
        <v>10</v>
      </c>
      <c r="L2781" s="66">
        <f t="shared" si="10"/>
        <v>160000</v>
      </c>
      <c r="M2781" s="1513"/>
      <c r="N2781" s="1447"/>
    </row>
    <row r="2782" spans="2:15" ht="16.5" customHeight="1">
      <c r="B2782" s="1448"/>
      <c r="C2782" s="1448">
        <v>4</v>
      </c>
      <c r="D2782" s="1448" t="s">
        <v>2910</v>
      </c>
      <c r="E2782" s="70" t="s">
        <v>2911</v>
      </c>
      <c r="F2782" s="31" t="s">
        <v>2912</v>
      </c>
      <c r="G2782" s="1448" t="s">
        <v>2912</v>
      </c>
      <c r="H2782" s="30">
        <v>30221815</v>
      </c>
      <c r="I2782" s="30">
        <v>12200</v>
      </c>
      <c r="J2782" s="64">
        <v>4.8360655737704872E-2</v>
      </c>
      <c r="K2782" s="30">
        <v>10</v>
      </c>
      <c r="L2782" s="66">
        <f t="shared" si="10"/>
        <v>122000</v>
      </c>
      <c r="M2782" s="1512" t="s">
        <v>2913</v>
      </c>
      <c r="N2782" s="1445">
        <v>20250219373</v>
      </c>
    </row>
    <row r="2783" spans="2:15" ht="16.5" customHeight="1">
      <c r="B2783" s="1448"/>
      <c r="C2783" s="1448"/>
      <c r="D2783" s="1448"/>
      <c r="E2783" s="70" t="s">
        <v>2914</v>
      </c>
      <c r="F2783" s="31" t="s">
        <v>2915</v>
      </c>
      <c r="G2783" s="1448"/>
      <c r="H2783" s="30">
        <v>30221814</v>
      </c>
      <c r="I2783" s="30">
        <v>16000</v>
      </c>
      <c r="J2783" s="64">
        <v>4.9374999999999947E-2</v>
      </c>
      <c r="K2783" s="30">
        <v>10</v>
      </c>
      <c r="L2783" s="66">
        <f t="shared" si="10"/>
        <v>160000</v>
      </c>
      <c r="M2783" s="1514"/>
      <c r="N2783" s="1446"/>
    </row>
    <row r="2784" spans="2:15" ht="16.5" customHeight="1">
      <c r="B2784" s="1448"/>
      <c r="C2784" s="1448"/>
      <c r="D2784" s="1448"/>
      <c r="E2784" s="70" t="s">
        <v>2916</v>
      </c>
      <c r="F2784" s="31" t="s">
        <v>2917</v>
      </c>
      <c r="G2784" s="1448"/>
      <c r="H2784" s="30">
        <v>30221813</v>
      </c>
      <c r="I2784" s="30">
        <v>19400</v>
      </c>
      <c r="J2784" s="64">
        <v>4.8969072164948502E-2</v>
      </c>
      <c r="K2784" s="30">
        <v>10</v>
      </c>
      <c r="L2784" s="66">
        <f t="shared" si="10"/>
        <v>194000</v>
      </c>
      <c r="M2784" s="1514"/>
      <c r="N2784" s="1446"/>
    </row>
    <row r="2785" spans="2:14" ht="16.5" customHeight="1">
      <c r="B2785" s="1448"/>
      <c r="C2785" s="1448"/>
      <c r="D2785" s="1448"/>
      <c r="E2785" s="70" t="s">
        <v>2918</v>
      </c>
      <c r="F2785" s="31" t="s">
        <v>2919</v>
      </c>
      <c r="G2785" s="1448"/>
      <c r="H2785" s="30">
        <v>30221812</v>
      </c>
      <c r="I2785" s="30">
        <v>23300</v>
      </c>
      <c r="J2785" s="64">
        <v>5.3648068669527871E-2</v>
      </c>
      <c r="K2785" s="30">
        <v>10</v>
      </c>
      <c r="L2785" s="66">
        <f t="shared" si="10"/>
        <v>233000</v>
      </c>
      <c r="M2785" s="1513"/>
      <c r="N2785" s="1447"/>
    </row>
    <row r="2786" spans="2:14" ht="16.5" customHeight="1">
      <c r="B2786" s="1448"/>
      <c r="C2786" s="1448">
        <v>5</v>
      </c>
      <c r="D2786" s="1448" t="s">
        <v>2920</v>
      </c>
      <c r="E2786" s="70">
        <v>77688902</v>
      </c>
      <c r="F2786" s="31" t="s">
        <v>2921</v>
      </c>
      <c r="G2786" s="1448" t="s">
        <v>2921</v>
      </c>
      <c r="H2786" s="30">
        <v>30221811</v>
      </c>
      <c r="I2786" s="30">
        <v>29900</v>
      </c>
      <c r="J2786" s="64">
        <v>6.4715719063545118E-2</v>
      </c>
      <c r="K2786" s="30">
        <v>10</v>
      </c>
      <c r="L2786" s="66">
        <f t="shared" si="10"/>
        <v>299000</v>
      </c>
      <c r="M2786" s="1512" t="s">
        <v>2922</v>
      </c>
      <c r="N2786" s="1445">
        <v>20250219374</v>
      </c>
    </row>
    <row r="2787" spans="2:14" ht="16.5" customHeight="1">
      <c r="B2787" s="1448"/>
      <c r="C2787" s="1448"/>
      <c r="D2787" s="1448"/>
      <c r="E2787" s="70">
        <v>77688906</v>
      </c>
      <c r="F2787" s="31" t="s">
        <v>2923</v>
      </c>
      <c r="G2787" s="1448"/>
      <c r="H2787" s="30">
        <v>30221810</v>
      </c>
      <c r="I2787" s="30">
        <v>19900</v>
      </c>
      <c r="J2787" s="64">
        <v>6.4572864321608026E-2</v>
      </c>
      <c r="K2787" s="30">
        <v>10</v>
      </c>
      <c r="L2787" s="66">
        <f t="shared" si="10"/>
        <v>199000</v>
      </c>
      <c r="M2787" s="1513"/>
      <c r="N2787" s="1447"/>
    </row>
    <row r="2788" spans="2:14" ht="16.5" customHeight="1">
      <c r="B2788" s="1448"/>
      <c r="C2788" s="1448">
        <v>6</v>
      </c>
      <c r="D2788" s="1454" t="s">
        <v>2924</v>
      </c>
      <c r="E2788" s="70">
        <v>66723782</v>
      </c>
      <c r="F2788" s="31" t="s">
        <v>2925</v>
      </c>
      <c r="G2788" s="1448" t="s">
        <v>2925</v>
      </c>
      <c r="H2788" s="30">
        <v>30221809</v>
      </c>
      <c r="I2788" s="30">
        <v>20900</v>
      </c>
      <c r="J2788" s="64">
        <v>6.8660287081339755E-2</v>
      </c>
      <c r="K2788" s="30">
        <v>10</v>
      </c>
      <c r="L2788" s="66">
        <f t="shared" si="10"/>
        <v>209000</v>
      </c>
      <c r="M2788" s="1512" t="s">
        <v>2926</v>
      </c>
      <c r="N2788" s="1445">
        <v>20250220375</v>
      </c>
    </row>
    <row r="2789" spans="2:14" ht="16.5" customHeight="1">
      <c r="B2789" s="1448"/>
      <c r="C2789" s="1448"/>
      <c r="D2789" s="1448"/>
      <c r="E2789" s="70">
        <v>66533880</v>
      </c>
      <c r="F2789" s="31" t="s">
        <v>2927</v>
      </c>
      <c r="G2789" s="1448"/>
      <c r="H2789" s="30">
        <v>30221808</v>
      </c>
      <c r="I2789" s="30">
        <v>13500</v>
      </c>
      <c r="J2789" s="64">
        <v>8.7037037037037024E-2</v>
      </c>
      <c r="K2789" s="30">
        <v>10</v>
      </c>
      <c r="L2789" s="66">
        <f t="shared" si="10"/>
        <v>135000</v>
      </c>
      <c r="M2789" s="1513"/>
      <c r="N2789" s="1447"/>
    </row>
    <row r="2790" spans="2:14" ht="16.5" customHeight="1">
      <c r="B2790" s="1448"/>
      <c r="C2790" s="1448">
        <v>7</v>
      </c>
      <c r="D2790" s="1448" t="s">
        <v>1337</v>
      </c>
      <c r="E2790" s="70">
        <v>30208202</v>
      </c>
      <c r="F2790" s="31" t="s">
        <v>1338</v>
      </c>
      <c r="G2790" s="1448" t="s">
        <v>1338</v>
      </c>
      <c r="H2790" s="30">
        <v>30215737</v>
      </c>
      <c r="I2790" s="30">
        <v>14300</v>
      </c>
      <c r="J2790" s="64">
        <v>6.1188811188811143E-2</v>
      </c>
      <c r="K2790" s="30">
        <v>10</v>
      </c>
      <c r="L2790" s="66">
        <f t="shared" si="10"/>
        <v>143000</v>
      </c>
      <c r="M2790" s="1512" t="s">
        <v>2928</v>
      </c>
      <c r="N2790" s="1445">
        <v>20250220376</v>
      </c>
    </row>
    <row r="2791" spans="2:14" ht="16.5" customHeight="1">
      <c r="B2791" s="1448"/>
      <c r="C2791" s="1448"/>
      <c r="D2791" s="1448"/>
      <c r="E2791" s="70">
        <v>30208203</v>
      </c>
      <c r="F2791" s="31" t="s">
        <v>1340</v>
      </c>
      <c r="G2791" s="1448"/>
      <c r="H2791" s="30">
        <v>30215736</v>
      </c>
      <c r="I2791" s="30">
        <v>25500</v>
      </c>
      <c r="J2791" s="64">
        <v>6.1764705882352944E-2</v>
      </c>
      <c r="K2791" s="30">
        <v>10</v>
      </c>
      <c r="L2791" s="66">
        <f t="shared" si="10"/>
        <v>255000</v>
      </c>
      <c r="M2791" s="1513"/>
      <c r="N2791" s="1447"/>
    </row>
    <row r="2792" spans="2:14" ht="16.5" customHeight="1">
      <c r="B2792" s="1448"/>
      <c r="C2792" s="1448">
        <v>8</v>
      </c>
      <c r="D2792" s="1448" t="s">
        <v>512</v>
      </c>
      <c r="E2792" s="70">
        <v>30120947</v>
      </c>
      <c r="F2792" s="31" t="s">
        <v>513</v>
      </c>
      <c r="G2792" s="1454" t="s">
        <v>514</v>
      </c>
      <c r="H2792" s="30">
        <v>30173561</v>
      </c>
      <c r="I2792" s="30">
        <v>15500</v>
      </c>
      <c r="J2792" s="64">
        <v>6.9999999999999951E-2</v>
      </c>
      <c r="K2792" s="30">
        <v>10</v>
      </c>
      <c r="L2792" s="66">
        <f t="shared" si="10"/>
        <v>155000</v>
      </c>
      <c r="M2792" s="1512" t="s">
        <v>2929</v>
      </c>
      <c r="N2792" s="1445">
        <v>20250220377</v>
      </c>
    </row>
    <row r="2793" spans="2:14" ht="16.5" customHeight="1">
      <c r="B2793" s="1448"/>
      <c r="C2793" s="1448"/>
      <c r="D2793" s="1448"/>
      <c r="E2793" s="70">
        <v>30120957</v>
      </c>
      <c r="F2793" s="31" t="s">
        <v>516</v>
      </c>
      <c r="G2793" s="1454"/>
      <c r="H2793" s="30">
        <v>30173560</v>
      </c>
      <c r="I2793" s="30">
        <v>21500</v>
      </c>
      <c r="J2793" s="64">
        <v>6.9999999999999951E-2</v>
      </c>
      <c r="K2793" s="30">
        <v>10</v>
      </c>
      <c r="L2793" s="66">
        <f t="shared" ref="L2793:L2797" si="11">I2793*10</f>
        <v>215000</v>
      </c>
      <c r="M2793" s="1514"/>
      <c r="N2793" s="1446"/>
    </row>
    <row r="2794" spans="2:14" ht="16.5" customHeight="1">
      <c r="B2794" s="1448"/>
      <c r="C2794" s="1448"/>
      <c r="D2794" s="1448"/>
      <c r="E2794" s="70">
        <v>30120959</v>
      </c>
      <c r="F2794" s="31" t="s">
        <v>517</v>
      </c>
      <c r="G2794" s="1454"/>
      <c r="H2794" s="30">
        <v>30173559</v>
      </c>
      <c r="I2794" s="30">
        <v>27500</v>
      </c>
      <c r="J2794" s="64">
        <v>6.9999999999999951E-2</v>
      </c>
      <c r="K2794" s="30">
        <v>10</v>
      </c>
      <c r="L2794" s="66">
        <f t="shared" si="11"/>
        <v>275000</v>
      </c>
      <c r="M2794" s="1514"/>
      <c r="N2794" s="1446"/>
    </row>
    <row r="2795" spans="2:14" ht="16.5" customHeight="1">
      <c r="B2795" s="1448"/>
      <c r="C2795" s="1448"/>
      <c r="D2795" s="1448"/>
      <c r="E2795" s="70">
        <v>30220422</v>
      </c>
      <c r="F2795" s="31" t="s">
        <v>2930</v>
      </c>
      <c r="G2795" s="1454"/>
      <c r="H2795" s="30">
        <v>30221807</v>
      </c>
      <c r="I2795" s="30">
        <v>16500</v>
      </c>
      <c r="J2795" s="64">
        <v>6.9999999999999951E-2</v>
      </c>
      <c r="K2795" s="30">
        <v>10</v>
      </c>
      <c r="L2795" s="66">
        <f t="shared" si="11"/>
        <v>165000</v>
      </c>
      <c r="M2795" s="1514"/>
      <c r="N2795" s="1446"/>
    </row>
    <row r="2796" spans="2:14" ht="16.5" customHeight="1">
      <c r="B2796" s="1448"/>
      <c r="C2796" s="1448"/>
      <c r="D2796" s="1448"/>
      <c r="E2796" s="70">
        <v>30220424</v>
      </c>
      <c r="F2796" s="31" t="s">
        <v>2931</v>
      </c>
      <c r="G2796" s="1454"/>
      <c r="H2796" s="30">
        <v>30221806</v>
      </c>
      <c r="I2796" s="30">
        <v>28500</v>
      </c>
      <c r="J2796" s="64">
        <v>6.9999999999999951E-2</v>
      </c>
      <c r="K2796" s="30">
        <v>10</v>
      </c>
      <c r="L2796" s="66">
        <f t="shared" si="11"/>
        <v>285000</v>
      </c>
      <c r="M2796" s="1514"/>
      <c r="N2796" s="1446"/>
    </row>
    <row r="2797" spans="2:14" ht="16.5" customHeight="1">
      <c r="B2797" s="1451"/>
      <c r="C2797" s="1451"/>
      <c r="D2797" s="1451"/>
      <c r="E2797" s="440">
        <v>30220426</v>
      </c>
      <c r="F2797" s="221" t="s">
        <v>2932</v>
      </c>
      <c r="G2797" s="1512"/>
      <c r="H2797" s="210">
        <v>30221783</v>
      </c>
      <c r="I2797" s="210">
        <v>37500</v>
      </c>
      <c r="J2797" s="369">
        <v>6.9999999999999951E-2</v>
      </c>
      <c r="K2797" s="210">
        <v>10</v>
      </c>
      <c r="L2797" s="441">
        <f t="shared" si="11"/>
        <v>375000</v>
      </c>
      <c r="M2797" s="1514"/>
      <c r="N2797" s="1447"/>
    </row>
    <row r="2798" spans="2:14" ht="16.5" customHeight="1">
      <c r="B2798" s="1451" t="s">
        <v>137</v>
      </c>
      <c r="C2798" s="1451">
        <v>1</v>
      </c>
      <c r="D2798" s="1493" t="s">
        <v>773</v>
      </c>
      <c r="E2798" s="138">
        <v>30083819</v>
      </c>
      <c r="F2798" s="139" t="s">
        <v>2933</v>
      </c>
      <c r="G2798" s="1496" t="s">
        <v>2934</v>
      </c>
      <c r="H2798" s="442">
        <v>30220326</v>
      </c>
      <c r="I2798" s="141">
        <v>9900</v>
      </c>
      <c r="J2798" s="142">
        <v>0.1</v>
      </c>
      <c r="K2798" s="1499">
        <v>3</v>
      </c>
      <c r="L2798" s="1502">
        <v>29700</v>
      </c>
      <c r="M2798" s="1475" t="s">
        <v>2935</v>
      </c>
      <c r="N2798" s="1478">
        <v>20250221378</v>
      </c>
    </row>
    <row r="2799" spans="2:14" ht="16.5" customHeight="1">
      <c r="B2799" s="1452"/>
      <c r="C2799" s="1452"/>
      <c r="D2799" s="1494"/>
      <c r="E2799" s="143">
        <v>30220334</v>
      </c>
      <c r="F2799" s="144" t="s">
        <v>2936</v>
      </c>
      <c r="G2799" s="1497"/>
      <c r="H2799" s="443">
        <v>30220336</v>
      </c>
      <c r="I2799" s="146">
        <v>9900</v>
      </c>
      <c r="J2799" s="147">
        <v>0.1</v>
      </c>
      <c r="K2799" s="1500"/>
      <c r="L2799" s="1503"/>
      <c r="M2799" s="1476"/>
      <c r="N2799" s="1479"/>
    </row>
    <row r="2800" spans="2:14" ht="16.5" customHeight="1">
      <c r="B2800" s="1452"/>
      <c r="C2800" s="1452"/>
      <c r="D2800" s="1494"/>
      <c r="E2800" s="143">
        <v>30220335</v>
      </c>
      <c r="F2800" s="144" t="s">
        <v>2937</v>
      </c>
      <c r="G2800" s="1497"/>
      <c r="H2800" s="443">
        <v>30220337</v>
      </c>
      <c r="I2800" s="146">
        <v>11900</v>
      </c>
      <c r="J2800" s="147">
        <v>0.1</v>
      </c>
      <c r="K2800" s="1500"/>
      <c r="L2800" s="1503"/>
      <c r="M2800" s="1476"/>
      <c r="N2800" s="1479"/>
    </row>
    <row r="2801" spans="2:14" ht="16.5" customHeight="1">
      <c r="B2801" s="1452"/>
      <c r="C2801" s="1452"/>
      <c r="D2801" s="1494"/>
      <c r="E2801" s="143">
        <v>30084229</v>
      </c>
      <c r="F2801" s="144" t="s">
        <v>2938</v>
      </c>
      <c r="G2801" s="1497"/>
      <c r="H2801" s="443">
        <v>30220327</v>
      </c>
      <c r="I2801" s="146">
        <v>11900</v>
      </c>
      <c r="J2801" s="147">
        <v>0.1</v>
      </c>
      <c r="K2801" s="1500"/>
      <c r="L2801" s="1503"/>
      <c r="M2801" s="1476"/>
      <c r="N2801" s="1479"/>
    </row>
    <row r="2802" spans="2:14" ht="16.5" customHeight="1">
      <c r="B2802" s="1452"/>
      <c r="C2802" s="1452"/>
      <c r="D2802" s="1494"/>
      <c r="E2802" s="143">
        <v>30196291</v>
      </c>
      <c r="F2802" s="144" t="s">
        <v>142</v>
      </c>
      <c r="G2802" s="1497"/>
      <c r="H2802" s="443">
        <v>30196638</v>
      </c>
      <c r="I2802" s="146">
        <v>11900</v>
      </c>
      <c r="J2802" s="147">
        <v>0.1</v>
      </c>
      <c r="K2802" s="1500"/>
      <c r="L2802" s="1503"/>
      <c r="M2802" s="1476"/>
      <c r="N2802" s="1479"/>
    </row>
    <row r="2803" spans="2:14" ht="16.5" customHeight="1">
      <c r="B2803" s="1452"/>
      <c r="C2803" s="1453"/>
      <c r="D2803" s="1495"/>
      <c r="E2803" s="143">
        <v>30084238</v>
      </c>
      <c r="F2803" s="144" t="s">
        <v>2939</v>
      </c>
      <c r="G2803" s="1498"/>
      <c r="H2803" s="443">
        <v>30220329</v>
      </c>
      <c r="I2803" s="146">
        <v>13900</v>
      </c>
      <c r="J2803" s="147">
        <v>0.1</v>
      </c>
      <c r="K2803" s="1501"/>
      <c r="L2803" s="1504"/>
      <c r="M2803" s="1477"/>
      <c r="N2803" s="1480"/>
    </row>
    <row r="2804" spans="2:14" ht="16.5" customHeight="1">
      <c r="B2804" s="1452"/>
      <c r="C2804" s="1451">
        <v>2</v>
      </c>
      <c r="D2804" s="1481" t="s">
        <v>1892</v>
      </c>
      <c r="E2804" s="444">
        <v>58126811</v>
      </c>
      <c r="F2804" s="445" t="s">
        <v>1802</v>
      </c>
      <c r="G2804" s="1484" t="s">
        <v>2169</v>
      </c>
      <c r="H2804" s="446">
        <v>30167024</v>
      </c>
      <c r="I2804" s="447">
        <v>11900</v>
      </c>
      <c r="J2804" s="448">
        <v>0.1</v>
      </c>
      <c r="K2804" s="1487">
        <v>3</v>
      </c>
      <c r="L2804" s="1489">
        <v>35700</v>
      </c>
      <c r="M2804" s="1491" t="s">
        <v>2170</v>
      </c>
      <c r="N2804" s="1445">
        <v>20250221379</v>
      </c>
    </row>
    <row r="2805" spans="2:14" ht="16.5" customHeight="1">
      <c r="B2805" s="1452"/>
      <c r="C2805" s="1452"/>
      <c r="D2805" s="1482"/>
      <c r="E2805" s="449">
        <v>75870901</v>
      </c>
      <c r="F2805" s="179" t="s">
        <v>1369</v>
      </c>
      <c r="G2805" s="1485"/>
      <c r="H2805" s="450">
        <v>30215491</v>
      </c>
      <c r="I2805" s="451">
        <v>12900</v>
      </c>
      <c r="J2805" s="452">
        <v>0.1</v>
      </c>
      <c r="K2805" s="1488"/>
      <c r="L2805" s="1490"/>
      <c r="M2805" s="1492"/>
      <c r="N2805" s="1446"/>
    </row>
    <row r="2806" spans="2:14" ht="16.5" customHeight="1">
      <c r="B2806" s="1452"/>
      <c r="C2806" s="1452"/>
      <c r="D2806" s="1482"/>
      <c r="E2806" s="449">
        <v>30028281</v>
      </c>
      <c r="F2806" s="179" t="s">
        <v>2940</v>
      </c>
      <c r="G2806" s="1485"/>
      <c r="H2806" s="450">
        <v>30189939</v>
      </c>
      <c r="I2806" s="451">
        <v>10900</v>
      </c>
      <c r="J2806" s="452">
        <v>0.1</v>
      </c>
      <c r="K2806" s="1488"/>
      <c r="L2806" s="1490"/>
      <c r="M2806" s="1492"/>
      <c r="N2806" s="1446"/>
    </row>
    <row r="2807" spans="2:14" ht="16.5" customHeight="1">
      <c r="B2807" s="1452"/>
      <c r="C2807" s="1452"/>
      <c r="D2807" s="1482"/>
      <c r="E2807" s="449">
        <v>43166995</v>
      </c>
      <c r="F2807" s="179" t="s">
        <v>1804</v>
      </c>
      <c r="G2807" s="1485"/>
      <c r="H2807" s="450">
        <v>30167028</v>
      </c>
      <c r="I2807" s="451">
        <v>11900</v>
      </c>
      <c r="J2807" s="452">
        <v>0.1</v>
      </c>
      <c r="K2807" s="1488"/>
      <c r="L2807" s="1490"/>
      <c r="M2807" s="1492"/>
      <c r="N2807" s="1446"/>
    </row>
    <row r="2808" spans="2:14" ht="16.5" customHeight="1">
      <c r="B2808" s="1452"/>
      <c r="C2808" s="1453"/>
      <c r="D2808" s="1483"/>
      <c r="E2808" s="449">
        <v>69317971</v>
      </c>
      <c r="F2808" s="179" t="s">
        <v>1898</v>
      </c>
      <c r="G2808" s="1486"/>
      <c r="H2808" s="453">
        <v>30205056</v>
      </c>
      <c r="I2808" s="454">
        <v>9900</v>
      </c>
      <c r="J2808" s="455">
        <v>0.1</v>
      </c>
      <c r="K2808" s="1488"/>
      <c r="L2808" s="1490"/>
      <c r="M2808" s="1492"/>
      <c r="N2808" s="1446"/>
    </row>
    <row r="2809" spans="2:14" ht="16.5" customHeight="1">
      <c r="B2809" s="1452"/>
      <c r="C2809" s="1451">
        <v>3</v>
      </c>
      <c r="D2809" s="1505" t="s">
        <v>158</v>
      </c>
      <c r="E2809" s="456">
        <v>30206804</v>
      </c>
      <c r="F2809" s="457" t="s">
        <v>789</v>
      </c>
      <c r="G2809" s="1508" t="s">
        <v>789</v>
      </c>
      <c r="H2809" s="458">
        <v>30206804</v>
      </c>
      <c r="I2809" s="459">
        <v>12800</v>
      </c>
      <c r="J2809" s="460">
        <v>0.15</v>
      </c>
      <c r="K2809" s="1511">
        <v>5</v>
      </c>
      <c r="L2809" s="1466">
        <v>64000</v>
      </c>
      <c r="M2809" s="1467" t="s">
        <v>2941</v>
      </c>
      <c r="N2809" s="1461">
        <v>20250221380</v>
      </c>
    </row>
    <row r="2810" spans="2:14" ht="16.5" customHeight="1">
      <c r="B2810" s="1452"/>
      <c r="C2810" s="1452"/>
      <c r="D2810" s="1506"/>
      <c r="E2810" s="461">
        <v>30214762</v>
      </c>
      <c r="F2810" s="462" t="s">
        <v>791</v>
      </c>
      <c r="G2810" s="1509"/>
      <c r="H2810" s="463">
        <v>30214762</v>
      </c>
      <c r="I2810" s="464">
        <v>15800</v>
      </c>
      <c r="J2810" s="465">
        <v>0.15</v>
      </c>
      <c r="K2810" s="1511"/>
      <c r="L2810" s="1466"/>
      <c r="M2810" s="1467"/>
      <c r="N2810" s="1461"/>
    </row>
    <row r="2811" spans="2:14" ht="16.5" customHeight="1">
      <c r="B2811" s="1452"/>
      <c r="C2811" s="1452"/>
      <c r="D2811" s="1507"/>
      <c r="E2811" s="466">
        <v>30221154</v>
      </c>
      <c r="F2811" s="467" t="s">
        <v>2942</v>
      </c>
      <c r="G2811" s="1510"/>
      <c r="H2811" s="458">
        <v>30221154</v>
      </c>
      <c r="I2811" s="459">
        <v>15800</v>
      </c>
      <c r="J2811" s="460">
        <v>0.15</v>
      </c>
      <c r="K2811" s="1511"/>
      <c r="L2811" s="1466"/>
      <c r="M2811" s="1467"/>
      <c r="N2811" s="1461"/>
    </row>
    <row r="2812" spans="2:14" ht="16.5" customHeight="1">
      <c r="B2812" s="1448" t="s">
        <v>795</v>
      </c>
      <c r="C2812" s="29">
        <v>1</v>
      </c>
      <c r="D2812" s="139" t="s">
        <v>257</v>
      </c>
      <c r="E2812" s="138">
        <v>30191902</v>
      </c>
      <c r="F2812" s="139" t="s">
        <v>1765</v>
      </c>
      <c r="G2812" s="468" t="s">
        <v>2943</v>
      </c>
      <c r="H2812" s="182">
        <v>30192498</v>
      </c>
      <c r="I2812" s="161">
        <v>25900</v>
      </c>
      <c r="J2812" s="162">
        <v>0.15</v>
      </c>
      <c r="K2812" s="157">
        <v>10</v>
      </c>
      <c r="L2812" s="161">
        <v>259000</v>
      </c>
      <c r="M2812" s="157" t="s">
        <v>1767</v>
      </c>
      <c r="N2812" s="69">
        <v>20250221381</v>
      </c>
    </row>
    <row r="2813" spans="2:14" ht="16.5" customHeight="1">
      <c r="B2813" s="1448"/>
      <c r="C2813" s="1448">
        <v>2</v>
      </c>
      <c r="D2813" s="1468" t="s">
        <v>1220</v>
      </c>
      <c r="E2813" s="138">
        <v>77684851</v>
      </c>
      <c r="F2813" s="139" t="s">
        <v>2944</v>
      </c>
      <c r="G2813" s="1471" t="s">
        <v>2945</v>
      </c>
      <c r="H2813" s="182">
        <v>30220806</v>
      </c>
      <c r="I2813" s="161">
        <v>19900</v>
      </c>
      <c r="J2813" s="162">
        <v>0.1</v>
      </c>
      <c r="K2813" s="1443">
        <v>10</v>
      </c>
      <c r="L2813" s="1474">
        <v>184000</v>
      </c>
      <c r="M2813" s="1444" t="s">
        <v>2946</v>
      </c>
      <c r="N2813" s="1461">
        <v>20250221382</v>
      </c>
    </row>
    <row r="2814" spans="2:14" ht="16.5" customHeight="1">
      <c r="B2814" s="1448"/>
      <c r="C2814" s="1448"/>
      <c r="D2814" s="1469"/>
      <c r="E2814" s="143">
        <v>77684948</v>
      </c>
      <c r="F2814" s="144" t="s">
        <v>2947</v>
      </c>
      <c r="G2814" s="1472"/>
      <c r="H2814" s="182">
        <v>30220808</v>
      </c>
      <c r="I2814" s="161">
        <v>18400</v>
      </c>
      <c r="J2814" s="162">
        <v>0.1</v>
      </c>
      <c r="K2814" s="1443"/>
      <c r="L2814" s="1443"/>
      <c r="M2814" s="1444"/>
      <c r="N2814" s="1461"/>
    </row>
    <row r="2815" spans="2:14" ht="16.5" customHeight="1">
      <c r="B2815" s="1448"/>
      <c r="C2815" s="1448"/>
      <c r="D2815" s="1470"/>
      <c r="E2815" s="143">
        <v>77684853</v>
      </c>
      <c r="F2815" s="144" t="s">
        <v>2948</v>
      </c>
      <c r="G2815" s="1473"/>
      <c r="H2815" s="182">
        <v>30220807</v>
      </c>
      <c r="I2815" s="161">
        <v>18900</v>
      </c>
      <c r="J2815" s="162">
        <v>0.1</v>
      </c>
      <c r="K2815" s="1443"/>
      <c r="L2815" s="1443"/>
      <c r="M2815" s="1444"/>
      <c r="N2815" s="1461"/>
    </row>
    <row r="2816" spans="2:14">
      <c r="B2816" s="253"/>
      <c r="C2816" s="253"/>
      <c r="D2816" s="127"/>
      <c r="E2816" s="127"/>
      <c r="F2816" s="128"/>
      <c r="G2816" s="254"/>
      <c r="H2816" s="127"/>
      <c r="I2816" s="127"/>
      <c r="J2816" s="255"/>
      <c r="K2816" s="127"/>
      <c r="L2816" s="256"/>
      <c r="M2816" s="254"/>
      <c r="N2816" s="127"/>
    </row>
    <row r="2817" spans="2:15" ht="31.5">
      <c r="B2817" s="1441" t="s">
        <v>2949</v>
      </c>
      <c r="C2817" s="1442"/>
      <c r="D2817" s="1442"/>
      <c r="E2817" s="1442"/>
      <c r="F2817" s="1442"/>
      <c r="G2817" s="1442"/>
      <c r="H2817" s="1442"/>
      <c r="I2817" s="1442"/>
      <c r="J2817" s="1442"/>
      <c r="K2817" s="1442"/>
      <c r="L2817" s="1442"/>
      <c r="M2817" s="1442"/>
      <c r="N2817" s="1442"/>
    </row>
    <row r="2818" spans="2:15" ht="31.5">
      <c r="B2818" s="469" t="s">
        <v>2950</v>
      </c>
      <c r="C2818" s="469"/>
      <c r="D2818" s="469"/>
      <c r="E2818" s="469"/>
      <c r="F2818" s="469"/>
      <c r="G2818" s="469"/>
      <c r="H2818" s="469"/>
      <c r="I2818" s="469"/>
      <c r="J2818" s="469"/>
      <c r="K2818" s="469"/>
      <c r="L2818" s="469"/>
      <c r="M2818" s="469"/>
      <c r="N2818" s="469"/>
    </row>
    <row r="2819" spans="2:15" ht="16.5" customHeight="1">
      <c r="B2819" s="1448" t="s">
        <v>32</v>
      </c>
      <c r="C2819" s="1448">
        <v>0</v>
      </c>
      <c r="D2819" s="1448" t="s">
        <v>2951</v>
      </c>
      <c r="E2819" s="30"/>
      <c r="F2819" s="31" t="s">
        <v>2952</v>
      </c>
      <c r="G2819" s="1454" t="s">
        <v>2953</v>
      </c>
      <c r="H2819" s="30">
        <v>30222273</v>
      </c>
      <c r="I2819" s="30">
        <v>49000</v>
      </c>
      <c r="J2819" s="64">
        <v>0.1</v>
      </c>
      <c r="K2819" s="30">
        <v>1</v>
      </c>
      <c r="L2819" s="30"/>
      <c r="M2819" s="1454" t="s">
        <v>2953</v>
      </c>
      <c r="N2819" s="1461"/>
      <c r="O2819" s="4" t="s">
        <v>2954</v>
      </c>
    </row>
    <row r="2820" spans="2:15" ht="16.5" customHeight="1">
      <c r="B2820" s="1448"/>
      <c r="C2820" s="1448"/>
      <c r="D2820" s="1448"/>
      <c r="E2820" s="30"/>
      <c r="F2820" s="31" t="s">
        <v>2955</v>
      </c>
      <c r="G2820" s="1454"/>
      <c r="H2820" s="30">
        <v>30222311</v>
      </c>
      <c r="I2820" s="30">
        <v>42900</v>
      </c>
      <c r="J2820" s="64">
        <v>0.1</v>
      </c>
      <c r="K2820" s="30">
        <v>1</v>
      </c>
      <c r="L2820" s="30"/>
      <c r="M2820" s="1454"/>
      <c r="N2820" s="1461"/>
    </row>
    <row r="2821" spans="2:15" ht="16.5" customHeight="1">
      <c r="B2821" s="1448"/>
      <c r="C2821" s="1448"/>
      <c r="D2821" s="1448"/>
      <c r="E2821" s="30"/>
      <c r="F2821" s="31" t="s">
        <v>2956</v>
      </c>
      <c r="G2821" s="1454"/>
      <c r="H2821" s="30">
        <v>30222326</v>
      </c>
      <c r="I2821" s="35">
        <v>52900</v>
      </c>
      <c r="J2821" s="64">
        <v>0.1</v>
      </c>
      <c r="K2821" s="470">
        <v>1</v>
      </c>
      <c r="L2821" s="30"/>
      <c r="M2821" s="1454"/>
      <c r="N2821" s="1461"/>
    </row>
    <row r="2822" spans="2:15" ht="16.5" customHeight="1">
      <c r="B2822" s="1448"/>
      <c r="C2822" s="1448"/>
      <c r="D2822" s="1448"/>
      <c r="E2822" s="30"/>
      <c r="F2822" s="31" t="s">
        <v>2957</v>
      </c>
      <c r="G2822" s="1454"/>
      <c r="H2822" s="30">
        <v>30222335</v>
      </c>
      <c r="I2822" s="35">
        <v>45900</v>
      </c>
      <c r="J2822" s="64">
        <v>0.1</v>
      </c>
      <c r="K2822" s="30">
        <v>1</v>
      </c>
      <c r="L2822" s="30"/>
      <c r="M2822" s="1454"/>
      <c r="N2822" s="1461"/>
    </row>
    <row r="2823" spans="2:15" ht="16.5" customHeight="1">
      <c r="B2823" s="1448"/>
      <c r="C2823" s="1448"/>
      <c r="D2823" s="1448"/>
      <c r="E2823" s="30"/>
      <c r="F2823" s="31" t="s">
        <v>2958</v>
      </c>
      <c r="G2823" s="1454"/>
      <c r="H2823" s="30">
        <v>30222440</v>
      </c>
      <c r="I2823" s="35">
        <v>84900</v>
      </c>
      <c r="J2823" s="64">
        <v>0.1</v>
      </c>
      <c r="K2823" s="30">
        <v>1</v>
      </c>
      <c r="L2823" s="30"/>
      <c r="M2823" s="1454"/>
      <c r="N2823" s="1461"/>
    </row>
    <row r="2824" spans="2:15" ht="16.5" customHeight="1">
      <c r="B2824" s="1448"/>
      <c r="C2824" s="29">
        <v>1</v>
      </c>
      <c r="D2824" s="29" t="s">
        <v>2959</v>
      </c>
      <c r="E2824" s="30">
        <v>30222345</v>
      </c>
      <c r="F2824" s="31" t="s">
        <v>2960</v>
      </c>
      <c r="G2824" s="31" t="s">
        <v>2961</v>
      </c>
      <c r="H2824" s="30">
        <v>30222345</v>
      </c>
      <c r="I2824" s="30">
        <v>49000</v>
      </c>
      <c r="J2824" s="64">
        <v>7.0000000000000007E-2</v>
      </c>
      <c r="K2824" s="30">
        <v>1</v>
      </c>
      <c r="L2824" s="30"/>
      <c r="M2824" s="31" t="s">
        <v>2961</v>
      </c>
      <c r="N2824" s="69"/>
      <c r="O2824" s="4" t="s">
        <v>2962</v>
      </c>
    </row>
    <row r="2825" spans="2:15" ht="16.5" customHeight="1">
      <c r="B2825" s="1448"/>
      <c r="C2825" s="1448">
        <v>2</v>
      </c>
      <c r="D2825" s="1448" t="s">
        <v>2963</v>
      </c>
      <c r="E2825" s="30"/>
      <c r="F2825" s="31" t="s">
        <v>2964</v>
      </c>
      <c r="G2825" s="1448" t="s">
        <v>2965</v>
      </c>
      <c r="H2825" s="30">
        <v>30222227</v>
      </c>
      <c r="I2825" s="30">
        <v>9900</v>
      </c>
      <c r="J2825" s="64">
        <v>0.1</v>
      </c>
      <c r="K2825" s="30">
        <v>1</v>
      </c>
      <c r="L2825" s="30"/>
      <c r="M2825" s="1454" t="s">
        <v>2965</v>
      </c>
      <c r="N2825" s="1461"/>
      <c r="O2825" s="4" t="s">
        <v>2966</v>
      </c>
    </row>
    <row r="2826" spans="2:15" ht="16.5" customHeight="1">
      <c r="B2826" s="1448"/>
      <c r="C2826" s="1448"/>
      <c r="D2826" s="1448"/>
      <c r="E2826" s="30"/>
      <c r="F2826" s="31" t="s">
        <v>2967</v>
      </c>
      <c r="G2826" s="1448"/>
      <c r="H2826" s="30">
        <v>30222226</v>
      </c>
      <c r="I2826" s="30">
        <v>9900</v>
      </c>
      <c r="J2826" s="64">
        <v>0.1</v>
      </c>
      <c r="K2826" s="30">
        <v>1</v>
      </c>
      <c r="L2826" s="30"/>
      <c r="M2826" s="1454"/>
      <c r="N2826" s="1461"/>
    </row>
    <row r="2827" spans="2:15" ht="16.5" customHeight="1">
      <c r="B2827" s="1448"/>
      <c r="C2827" s="1448"/>
      <c r="D2827" s="1448"/>
      <c r="E2827" s="30"/>
      <c r="F2827" s="31" t="s">
        <v>2968</v>
      </c>
      <c r="G2827" s="1448"/>
      <c r="H2827" s="30">
        <v>30222229</v>
      </c>
      <c r="I2827" s="30">
        <v>19000</v>
      </c>
      <c r="J2827" s="64">
        <v>0.1</v>
      </c>
      <c r="K2827" s="30">
        <v>1</v>
      </c>
      <c r="L2827" s="30"/>
      <c r="M2827" s="1454"/>
      <c r="N2827" s="1461"/>
    </row>
    <row r="2828" spans="2:15" ht="16.5" customHeight="1">
      <c r="B2828" s="1448"/>
      <c r="C2828" s="1448"/>
      <c r="D2828" s="1448"/>
      <c r="E2828" s="30"/>
      <c r="F2828" s="31" t="s">
        <v>2969</v>
      </c>
      <c r="G2828" s="1448"/>
      <c r="H2828" s="30">
        <v>30222228</v>
      </c>
      <c r="I2828" s="30">
        <v>9900</v>
      </c>
      <c r="J2828" s="64">
        <v>0.1</v>
      </c>
      <c r="K2828" s="30">
        <v>1</v>
      </c>
      <c r="L2828" s="30"/>
      <c r="M2828" s="1454"/>
      <c r="N2828" s="1461"/>
    </row>
    <row r="2829" spans="2:15" ht="16.5" customHeight="1">
      <c r="B2829" s="1448"/>
      <c r="C2829" s="1448"/>
      <c r="D2829" s="1448"/>
      <c r="E2829" s="30"/>
      <c r="F2829" s="31" t="s">
        <v>2970</v>
      </c>
      <c r="G2829" s="1448"/>
      <c r="H2829" s="30">
        <v>30222223</v>
      </c>
      <c r="I2829" s="30">
        <v>99000</v>
      </c>
      <c r="J2829" s="64">
        <v>0.1</v>
      </c>
      <c r="K2829" s="30">
        <v>1</v>
      </c>
      <c r="L2829" s="30"/>
      <c r="M2829" s="1454"/>
      <c r="N2829" s="1461"/>
    </row>
    <row r="2830" spans="2:15" ht="16.5" customHeight="1">
      <c r="B2830" s="1448"/>
      <c r="C2830" s="1448">
        <v>3</v>
      </c>
      <c r="D2830" s="1462" t="s">
        <v>1754</v>
      </c>
      <c r="E2830" s="38"/>
      <c r="F2830" s="38" t="s">
        <v>2518</v>
      </c>
      <c r="G2830" s="1463" t="s">
        <v>2519</v>
      </c>
      <c r="H2830" s="173">
        <v>30220484</v>
      </c>
      <c r="I2830" s="419">
        <v>13900</v>
      </c>
      <c r="J2830" s="42">
        <v>7.0000000000000007E-2</v>
      </c>
      <c r="K2830" s="38">
        <v>1</v>
      </c>
      <c r="L2830" s="41"/>
      <c r="M2830" s="1465" t="s">
        <v>2520</v>
      </c>
      <c r="N2830" s="1461"/>
    </row>
    <row r="2831" spans="2:15" ht="16.5" customHeight="1">
      <c r="B2831" s="1448"/>
      <c r="C2831" s="1448"/>
      <c r="D2831" s="1462"/>
      <c r="E2831" s="38"/>
      <c r="F2831" s="38" t="s">
        <v>2522</v>
      </c>
      <c r="G2831" s="1464"/>
      <c r="H2831" s="173">
        <v>30220505</v>
      </c>
      <c r="I2831" s="419">
        <v>16900</v>
      </c>
      <c r="J2831" s="42">
        <v>7.0000000000000007E-2</v>
      </c>
      <c r="K2831" s="38">
        <v>1</v>
      </c>
      <c r="L2831" s="41"/>
      <c r="M2831" s="1465"/>
      <c r="N2831" s="1461"/>
    </row>
    <row r="2832" spans="2:15" ht="16.5" customHeight="1">
      <c r="B2832" s="1448"/>
      <c r="C2832" s="1448"/>
      <c r="D2832" s="1462"/>
      <c r="E2832" s="38"/>
      <c r="F2832" s="38" t="s">
        <v>2523</v>
      </c>
      <c r="G2832" s="1464"/>
      <c r="H2832" s="173">
        <v>30220506</v>
      </c>
      <c r="I2832" s="419">
        <v>9900</v>
      </c>
      <c r="J2832" s="42">
        <v>7.0000000000000007E-2</v>
      </c>
      <c r="K2832" s="38">
        <v>1</v>
      </c>
      <c r="L2832" s="41"/>
      <c r="M2832" s="1465"/>
      <c r="N2832" s="1461"/>
    </row>
    <row r="2833" spans="2:14" ht="16.5" customHeight="1">
      <c r="B2833" s="1448"/>
      <c r="C2833" s="1448"/>
      <c r="D2833" s="1462"/>
      <c r="E2833" s="38"/>
      <c r="F2833" s="38" t="s">
        <v>2524</v>
      </c>
      <c r="G2833" s="1464"/>
      <c r="H2833" s="173">
        <v>30220488</v>
      </c>
      <c r="I2833" s="419">
        <v>21900</v>
      </c>
      <c r="J2833" s="42">
        <v>7.0000000000000007E-2</v>
      </c>
      <c r="K2833" s="38">
        <v>1</v>
      </c>
      <c r="L2833" s="41"/>
      <c r="M2833" s="1465"/>
      <c r="N2833" s="1461"/>
    </row>
    <row r="2834" spans="2:14" ht="16.5" customHeight="1">
      <c r="B2834" s="1448"/>
      <c r="C2834" s="1448"/>
      <c r="D2834" s="1462"/>
      <c r="E2834" s="38"/>
      <c r="F2834" s="38" t="s">
        <v>2525</v>
      </c>
      <c r="G2834" s="1464"/>
      <c r="H2834" s="173">
        <v>30220489</v>
      </c>
      <c r="I2834" s="419">
        <v>21900</v>
      </c>
      <c r="J2834" s="42">
        <v>7.0000000000000007E-2</v>
      </c>
      <c r="K2834" s="38">
        <v>1</v>
      </c>
      <c r="L2834" s="41"/>
      <c r="M2834" s="1465"/>
      <c r="N2834" s="1461"/>
    </row>
    <row r="2835" spans="2:14" ht="16.5" customHeight="1">
      <c r="B2835" s="1448"/>
      <c r="C2835" s="1448"/>
      <c r="D2835" s="1462"/>
      <c r="E2835" s="38"/>
      <c r="F2835" s="38" t="s">
        <v>2526</v>
      </c>
      <c r="G2835" s="1464"/>
      <c r="H2835" s="173">
        <v>30220490</v>
      </c>
      <c r="I2835" s="419">
        <v>21900</v>
      </c>
      <c r="J2835" s="42">
        <v>7.0000000000000007E-2</v>
      </c>
      <c r="K2835" s="38">
        <v>1</v>
      </c>
      <c r="L2835" s="41"/>
      <c r="M2835" s="1465"/>
      <c r="N2835" s="1461"/>
    </row>
    <row r="2836" spans="2:14" ht="16.5" customHeight="1">
      <c r="B2836" s="1448"/>
      <c r="C2836" s="1448">
        <v>4</v>
      </c>
      <c r="D2836" s="1448" t="s">
        <v>33</v>
      </c>
      <c r="E2836" s="30"/>
      <c r="F2836" s="31" t="s">
        <v>34</v>
      </c>
      <c r="G2836" s="1454" t="s">
        <v>35</v>
      </c>
      <c r="H2836" s="30">
        <v>30212257</v>
      </c>
      <c r="I2836" s="30">
        <v>145000</v>
      </c>
      <c r="J2836" s="30">
        <v>7</v>
      </c>
      <c r="K2836" s="30">
        <v>1</v>
      </c>
      <c r="L2836" s="30"/>
      <c r="M2836" s="1454" t="s">
        <v>36</v>
      </c>
      <c r="N2836" s="1461"/>
    </row>
    <row r="2837" spans="2:14" ht="16.5" customHeight="1">
      <c r="B2837" s="1448"/>
      <c r="C2837" s="1448"/>
      <c r="D2837" s="1448"/>
      <c r="E2837" s="30"/>
      <c r="F2837" s="31" t="s">
        <v>37</v>
      </c>
      <c r="G2837" s="1454"/>
      <c r="H2837" s="30">
        <v>30212992</v>
      </c>
      <c r="I2837" s="35">
        <v>69900</v>
      </c>
      <c r="J2837" s="30">
        <v>7</v>
      </c>
      <c r="K2837" s="30">
        <v>1</v>
      </c>
      <c r="L2837" s="30"/>
      <c r="M2837" s="1454"/>
      <c r="N2837" s="1461"/>
    </row>
    <row r="2838" spans="2:14" ht="16.5" customHeight="1">
      <c r="B2838" s="1448"/>
      <c r="C2838" s="1448"/>
      <c r="D2838" s="1448"/>
      <c r="E2838" s="30"/>
      <c r="F2838" s="31" t="s">
        <v>37</v>
      </c>
      <c r="G2838" s="1454"/>
      <c r="H2838" s="30">
        <v>30213192</v>
      </c>
      <c r="I2838" s="35">
        <v>59900</v>
      </c>
      <c r="J2838" s="30">
        <v>7</v>
      </c>
      <c r="K2838" s="30">
        <v>1</v>
      </c>
      <c r="L2838" s="30"/>
      <c r="M2838" s="1454"/>
      <c r="N2838" s="1461"/>
    </row>
    <row r="2839" spans="2:14" ht="16.5" customHeight="1">
      <c r="B2839" s="1448"/>
      <c r="C2839" s="1448"/>
      <c r="D2839" s="1448"/>
      <c r="E2839" s="30"/>
      <c r="F2839" s="31" t="s">
        <v>38</v>
      </c>
      <c r="G2839" s="1454"/>
      <c r="H2839" s="30">
        <v>30212357</v>
      </c>
      <c r="I2839" s="30"/>
      <c r="J2839" s="30">
        <v>7</v>
      </c>
      <c r="K2839" s="30">
        <v>1</v>
      </c>
      <c r="L2839" s="30"/>
      <c r="M2839" s="1454"/>
      <c r="N2839" s="1461"/>
    </row>
    <row r="2840" spans="2:14" ht="16.5" customHeight="1">
      <c r="B2840" s="1448"/>
      <c r="C2840" s="1448"/>
      <c r="D2840" s="1448"/>
      <c r="E2840" s="30"/>
      <c r="F2840" s="31" t="s">
        <v>39</v>
      </c>
      <c r="G2840" s="1454"/>
      <c r="H2840" s="30">
        <v>30212329</v>
      </c>
      <c r="I2840" s="30"/>
      <c r="J2840" s="30">
        <v>7</v>
      </c>
      <c r="K2840" s="30">
        <v>1</v>
      </c>
      <c r="L2840" s="30"/>
      <c r="M2840" s="1454"/>
      <c r="N2840" s="1461"/>
    </row>
    <row r="2841" spans="2:14" ht="16.5" customHeight="1">
      <c r="B2841" s="1448"/>
      <c r="C2841" s="1448"/>
      <c r="D2841" s="1448"/>
      <c r="E2841" s="30"/>
      <c r="F2841" s="31" t="s">
        <v>40</v>
      </c>
      <c r="G2841" s="1454"/>
      <c r="H2841" s="30">
        <v>30212314</v>
      </c>
      <c r="I2841" s="30"/>
      <c r="J2841" s="30">
        <v>7</v>
      </c>
      <c r="K2841" s="30">
        <v>1</v>
      </c>
      <c r="L2841" s="30"/>
      <c r="M2841" s="1454"/>
      <c r="N2841" s="1461"/>
    </row>
    <row r="2842" spans="2:14" ht="16.5" customHeight="1">
      <c r="B2842" s="1448"/>
      <c r="C2842" s="1448"/>
      <c r="D2842" s="1448"/>
      <c r="E2842" s="30"/>
      <c r="F2842" s="31" t="s">
        <v>41</v>
      </c>
      <c r="G2842" s="1454"/>
      <c r="H2842" s="30">
        <v>30212166</v>
      </c>
      <c r="I2842" s="30"/>
      <c r="J2842" s="30">
        <v>7</v>
      </c>
      <c r="K2842" s="30">
        <v>1</v>
      </c>
      <c r="L2842" s="30"/>
      <c r="M2842" s="1454"/>
      <c r="N2842" s="1461"/>
    </row>
    <row r="2843" spans="2:14" ht="16.5" customHeight="1">
      <c r="B2843" s="1448"/>
      <c r="C2843" s="1448"/>
      <c r="D2843" s="1448"/>
      <c r="E2843" s="30"/>
      <c r="F2843" s="31" t="s">
        <v>42</v>
      </c>
      <c r="G2843" s="1454"/>
      <c r="H2843" s="30">
        <v>30212188</v>
      </c>
      <c r="I2843" s="30"/>
      <c r="J2843" s="30">
        <v>7</v>
      </c>
      <c r="K2843" s="30">
        <v>1</v>
      </c>
      <c r="L2843" s="30"/>
      <c r="M2843" s="1454"/>
      <c r="N2843" s="1461"/>
    </row>
    <row r="2844" spans="2:14" ht="16.5" customHeight="1">
      <c r="B2844" s="1448"/>
      <c r="C2844" s="1448"/>
      <c r="D2844" s="1448"/>
      <c r="E2844" s="30"/>
      <c r="F2844" s="31" t="s">
        <v>43</v>
      </c>
      <c r="G2844" s="1454"/>
      <c r="H2844" s="30">
        <v>30212302</v>
      </c>
      <c r="I2844" s="30"/>
      <c r="J2844" s="30">
        <v>7</v>
      </c>
      <c r="K2844" s="30">
        <v>1</v>
      </c>
      <c r="L2844" s="30"/>
      <c r="M2844" s="1454"/>
      <c r="N2844" s="1461"/>
    </row>
    <row r="2845" spans="2:14" ht="16.5" customHeight="1">
      <c r="B2845" s="1448"/>
      <c r="C2845" s="1448"/>
      <c r="D2845" s="1448"/>
      <c r="E2845" s="30"/>
      <c r="F2845" s="31" t="s">
        <v>44</v>
      </c>
      <c r="G2845" s="1454"/>
      <c r="H2845" s="30">
        <v>30212138</v>
      </c>
      <c r="I2845" s="30"/>
      <c r="J2845" s="30">
        <v>7</v>
      </c>
      <c r="K2845" s="30">
        <v>1</v>
      </c>
      <c r="L2845" s="30"/>
      <c r="M2845" s="1454"/>
      <c r="N2845" s="1461"/>
    </row>
    <row r="2846" spans="2:14" ht="16.5" customHeight="1">
      <c r="B2846" s="1448"/>
      <c r="C2846" s="1448"/>
      <c r="D2846" s="1448"/>
      <c r="E2846" s="30"/>
      <c r="F2846" s="31" t="s">
        <v>45</v>
      </c>
      <c r="G2846" s="1454"/>
      <c r="H2846" s="30">
        <v>30212206</v>
      </c>
      <c r="I2846" s="30"/>
      <c r="J2846" s="30">
        <v>7</v>
      </c>
      <c r="K2846" s="30">
        <v>1</v>
      </c>
      <c r="L2846" s="30"/>
      <c r="M2846" s="1454"/>
      <c r="N2846" s="1461"/>
    </row>
    <row r="2847" spans="2:14" ht="16.5" customHeight="1">
      <c r="B2847" s="1448"/>
      <c r="C2847" s="1448"/>
      <c r="D2847" s="1448"/>
      <c r="E2847" s="30"/>
      <c r="F2847" s="31" t="s">
        <v>46</v>
      </c>
      <c r="G2847" s="1454"/>
      <c r="H2847" s="30">
        <v>30212350</v>
      </c>
      <c r="I2847" s="30"/>
      <c r="J2847" s="30">
        <v>7</v>
      </c>
      <c r="K2847" s="30">
        <v>1</v>
      </c>
      <c r="L2847" s="30"/>
      <c r="M2847" s="1454"/>
      <c r="N2847" s="1461"/>
    </row>
    <row r="2848" spans="2:14" ht="16.5" customHeight="1">
      <c r="B2848" s="1448"/>
      <c r="C2848" s="1448"/>
      <c r="D2848" s="1448"/>
      <c r="E2848" s="30"/>
      <c r="F2848" s="31" t="s">
        <v>47</v>
      </c>
      <c r="G2848" s="1454"/>
      <c r="H2848" s="30">
        <v>30212198</v>
      </c>
      <c r="I2848" s="30"/>
      <c r="J2848" s="30">
        <v>7</v>
      </c>
      <c r="K2848" s="30">
        <v>1</v>
      </c>
      <c r="L2848" s="30"/>
      <c r="M2848" s="1454"/>
      <c r="N2848" s="1461"/>
    </row>
    <row r="2849" spans="2:14" ht="16.5" customHeight="1">
      <c r="B2849" s="1448"/>
      <c r="C2849" s="1448"/>
      <c r="D2849" s="1448"/>
      <c r="E2849" s="30"/>
      <c r="F2849" s="31" t="s">
        <v>48</v>
      </c>
      <c r="G2849" s="1454"/>
      <c r="H2849" s="30">
        <v>30212249</v>
      </c>
      <c r="I2849" s="30"/>
      <c r="J2849" s="30">
        <v>7</v>
      </c>
      <c r="K2849" s="30">
        <v>1</v>
      </c>
      <c r="L2849" s="30"/>
      <c r="M2849" s="1454"/>
      <c r="N2849" s="1461"/>
    </row>
    <row r="2850" spans="2:14" ht="16.5" customHeight="1">
      <c r="B2850" s="1448"/>
      <c r="C2850" s="1448"/>
      <c r="D2850" s="1448"/>
      <c r="E2850" s="30"/>
      <c r="F2850" s="31" t="s">
        <v>49</v>
      </c>
      <c r="G2850" s="1454"/>
      <c r="H2850" s="30">
        <v>30212181</v>
      </c>
      <c r="I2850" s="30"/>
      <c r="J2850" s="30">
        <v>7</v>
      </c>
      <c r="K2850" s="30">
        <v>1</v>
      </c>
      <c r="L2850" s="30"/>
      <c r="M2850" s="1454"/>
      <c r="N2850" s="1461"/>
    </row>
    <row r="2851" spans="2:14" ht="16.5" customHeight="1">
      <c r="B2851" s="1448"/>
      <c r="C2851" s="1448"/>
      <c r="D2851" s="1448"/>
      <c r="E2851" s="30"/>
      <c r="F2851" s="31" t="s">
        <v>50</v>
      </c>
      <c r="G2851" s="1454"/>
      <c r="H2851" s="30">
        <v>30212178</v>
      </c>
      <c r="I2851" s="30"/>
      <c r="J2851" s="30">
        <v>7</v>
      </c>
      <c r="K2851" s="30">
        <v>1</v>
      </c>
      <c r="L2851" s="30"/>
      <c r="M2851" s="1454"/>
      <c r="N2851" s="1461"/>
    </row>
    <row r="2852" spans="2:14" ht="16.5" customHeight="1">
      <c r="B2852" s="1448"/>
      <c r="C2852" s="1448"/>
      <c r="D2852" s="1448"/>
      <c r="E2852" s="30"/>
      <c r="F2852" s="31" t="s">
        <v>51</v>
      </c>
      <c r="G2852" s="1454"/>
      <c r="H2852" s="30">
        <v>30212346</v>
      </c>
      <c r="I2852" s="30"/>
      <c r="J2852" s="30">
        <v>7</v>
      </c>
      <c r="K2852" s="30">
        <v>1</v>
      </c>
      <c r="L2852" s="30"/>
      <c r="M2852" s="1454"/>
      <c r="N2852" s="1461"/>
    </row>
    <row r="2853" spans="2:14" ht="16.5" customHeight="1">
      <c r="B2853" s="1448"/>
      <c r="C2853" s="1448"/>
      <c r="D2853" s="1448"/>
      <c r="E2853" s="30"/>
      <c r="F2853" s="31" t="s">
        <v>52</v>
      </c>
      <c r="G2853" s="1454"/>
      <c r="H2853" s="30">
        <v>30212300</v>
      </c>
      <c r="I2853" s="30"/>
      <c r="J2853" s="30">
        <v>7</v>
      </c>
      <c r="K2853" s="30">
        <v>1</v>
      </c>
      <c r="L2853" s="30"/>
      <c r="M2853" s="1454"/>
      <c r="N2853" s="1461"/>
    </row>
    <row r="2854" spans="2:14" ht="16.5" customHeight="1">
      <c r="B2854" s="1448"/>
      <c r="C2854" s="1448"/>
      <c r="D2854" s="1448"/>
      <c r="E2854" s="30"/>
      <c r="F2854" s="31" t="s">
        <v>53</v>
      </c>
      <c r="G2854" s="1454"/>
      <c r="H2854" s="30">
        <v>30212191</v>
      </c>
      <c r="I2854" s="30"/>
      <c r="J2854" s="30">
        <v>7</v>
      </c>
      <c r="K2854" s="30">
        <v>1</v>
      </c>
      <c r="L2854" s="30"/>
      <c r="M2854" s="1454"/>
      <c r="N2854" s="1461"/>
    </row>
    <row r="2855" spans="2:14" ht="16.5" customHeight="1">
      <c r="B2855" s="1448"/>
      <c r="C2855" s="1448">
        <v>5</v>
      </c>
      <c r="D2855" s="1448" t="s">
        <v>54</v>
      </c>
      <c r="E2855" s="30"/>
      <c r="F2855" s="31" t="s">
        <v>1807</v>
      </c>
      <c r="G2855" s="1454" t="s">
        <v>56</v>
      </c>
      <c r="H2855" s="30">
        <v>30209572</v>
      </c>
      <c r="I2855" s="35">
        <v>10900</v>
      </c>
      <c r="J2855" s="30">
        <v>6</v>
      </c>
      <c r="K2855" s="30">
        <v>1</v>
      </c>
      <c r="L2855" s="30"/>
      <c r="M2855" s="1454" t="s">
        <v>57</v>
      </c>
      <c r="N2855" s="1461"/>
    </row>
    <row r="2856" spans="2:14" ht="16.5" customHeight="1">
      <c r="B2856" s="1448"/>
      <c r="C2856" s="1448"/>
      <c r="D2856" s="1448"/>
      <c r="E2856" s="30"/>
      <c r="F2856" s="31" t="s">
        <v>1808</v>
      </c>
      <c r="G2856" s="1454"/>
      <c r="H2856" s="30">
        <v>30209573</v>
      </c>
      <c r="I2856" s="35">
        <v>26900</v>
      </c>
      <c r="J2856" s="30">
        <v>6</v>
      </c>
      <c r="K2856" s="30">
        <v>1</v>
      </c>
      <c r="L2856" s="30"/>
      <c r="M2856" s="1454"/>
      <c r="N2856" s="1461"/>
    </row>
    <row r="2857" spans="2:14" ht="16.5" customHeight="1">
      <c r="B2857" s="1448"/>
      <c r="C2857" s="1448"/>
      <c r="D2857" s="1448"/>
      <c r="E2857" s="30"/>
      <c r="F2857" s="31" t="s">
        <v>1809</v>
      </c>
      <c r="G2857" s="1454"/>
      <c r="H2857" s="30">
        <v>30209570</v>
      </c>
      <c r="I2857" s="35">
        <v>29900</v>
      </c>
      <c r="J2857" s="30">
        <v>6</v>
      </c>
      <c r="K2857" s="30">
        <v>1</v>
      </c>
      <c r="L2857" s="30"/>
      <c r="M2857" s="1454"/>
      <c r="N2857" s="1461"/>
    </row>
    <row r="2858" spans="2:14" ht="16.5" customHeight="1">
      <c r="B2858" s="1448"/>
      <c r="C2858" s="1448"/>
      <c r="D2858" s="1448"/>
      <c r="E2858" s="30"/>
      <c r="F2858" s="31" t="s">
        <v>1810</v>
      </c>
      <c r="G2858" s="1454"/>
      <c r="H2858" s="30">
        <v>30209575</v>
      </c>
      <c r="I2858" s="35">
        <v>49900</v>
      </c>
      <c r="J2858" s="30">
        <v>6</v>
      </c>
      <c r="K2858" s="30">
        <v>1</v>
      </c>
      <c r="L2858" s="30"/>
      <c r="M2858" s="1454"/>
      <c r="N2858" s="1461"/>
    </row>
    <row r="2859" spans="2:14" ht="16.5" customHeight="1">
      <c r="B2859" s="1448"/>
      <c r="C2859" s="1448"/>
      <c r="D2859" s="1448"/>
      <c r="E2859" s="30"/>
      <c r="F2859" s="31" t="s">
        <v>1811</v>
      </c>
      <c r="G2859" s="1454"/>
      <c r="H2859" s="30">
        <v>30209571</v>
      </c>
      <c r="I2859" s="35">
        <v>49900</v>
      </c>
      <c r="J2859" s="30"/>
      <c r="K2859" s="30"/>
      <c r="L2859" s="30"/>
      <c r="M2859" s="1454"/>
      <c r="N2859" s="1461"/>
    </row>
    <row r="2860" spans="2:14" ht="16.5" customHeight="1">
      <c r="B2860" s="1448"/>
      <c r="C2860" s="1448"/>
      <c r="D2860" s="1448"/>
      <c r="E2860" s="30"/>
      <c r="F2860" s="31" t="s">
        <v>1812</v>
      </c>
      <c r="G2860" s="1454"/>
      <c r="H2860" s="30">
        <v>30217941</v>
      </c>
      <c r="I2860" s="35">
        <v>68900</v>
      </c>
      <c r="J2860" s="30"/>
      <c r="K2860" s="30"/>
      <c r="L2860" s="30"/>
      <c r="M2860" s="1454"/>
      <c r="N2860" s="1461"/>
    </row>
    <row r="2861" spans="2:14" ht="16.5" customHeight="1">
      <c r="B2861" s="1448"/>
      <c r="C2861" s="1448"/>
      <c r="D2861" s="1448"/>
      <c r="E2861" s="30"/>
      <c r="F2861" s="31" t="s">
        <v>1813</v>
      </c>
      <c r="G2861" s="1454"/>
      <c r="H2861" s="30">
        <v>30212529</v>
      </c>
      <c r="I2861" s="35">
        <v>99000</v>
      </c>
      <c r="J2861" s="30">
        <v>6</v>
      </c>
      <c r="K2861" s="30">
        <v>1</v>
      </c>
      <c r="L2861" s="30"/>
      <c r="M2861" s="1454"/>
      <c r="N2861" s="1461"/>
    </row>
    <row r="2862" spans="2:14" ht="16.5" customHeight="1">
      <c r="B2862" s="1448"/>
      <c r="C2862" s="1448"/>
      <c r="D2862" s="1448"/>
      <c r="E2862" s="30"/>
      <c r="F2862" s="31" t="s">
        <v>1814</v>
      </c>
      <c r="G2862" s="1454"/>
      <c r="H2862" s="30">
        <v>30209576</v>
      </c>
      <c r="I2862" s="35">
        <v>68900</v>
      </c>
      <c r="J2862" s="30">
        <v>6</v>
      </c>
      <c r="K2862" s="30">
        <v>1</v>
      </c>
      <c r="L2862" s="30"/>
      <c r="M2862" s="1454"/>
      <c r="N2862" s="1461"/>
    </row>
    <row r="2863" spans="2:14" ht="16.5" customHeight="1">
      <c r="B2863" s="1448"/>
      <c r="C2863" s="1448"/>
      <c r="D2863" s="1448"/>
      <c r="E2863" s="30"/>
      <c r="F2863" s="31" t="s">
        <v>1815</v>
      </c>
      <c r="G2863" s="1454"/>
      <c r="H2863" s="30">
        <v>30209578</v>
      </c>
      <c r="I2863" s="35">
        <v>109000</v>
      </c>
      <c r="J2863" s="30">
        <v>6</v>
      </c>
      <c r="K2863" s="30">
        <v>1</v>
      </c>
      <c r="L2863" s="30"/>
      <c r="M2863" s="1454"/>
      <c r="N2863" s="1461"/>
    </row>
    <row r="2864" spans="2:14" ht="16.5" customHeight="1">
      <c r="B2864" s="1448"/>
      <c r="C2864" s="1448"/>
      <c r="D2864" s="1448"/>
      <c r="E2864" s="30"/>
      <c r="F2864" s="31" t="s">
        <v>1816</v>
      </c>
      <c r="G2864" s="1454"/>
      <c r="H2864" s="30">
        <v>30209577</v>
      </c>
      <c r="I2864" s="35">
        <v>109000</v>
      </c>
      <c r="J2864" s="30">
        <v>6</v>
      </c>
      <c r="K2864" s="30">
        <v>1</v>
      </c>
      <c r="L2864" s="30"/>
      <c r="M2864" s="1454"/>
      <c r="N2864" s="1461"/>
    </row>
    <row r="2865" spans="2:14" ht="16.5" customHeight="1">
      <c r="B2865" s="1448"/>
      <c r="C2865" s="1448">
        <v>6</v>
      </c>
      <c r="D2865" s="1448" t="s">
        <v>65</v>
      </c>
      <c r="E2865" s="30"/>
      <c r="F2865" s="31" t="s">
        <v>1817</v>
      </c>
      <c r="G2865" s="1454" t="s">
        <v>67</v>
      </c>
      <c r="H2865" s="30">
        <v>30209602</v>
      </c>
      <c r="I2865" s="35">
        <v>9900</v>
      </c>
      <c r="J2865" s="30">
        <v>6</v>
      </c>
      <c r="K2865" s="30">
        <v>1</v>
      </c>
      <c r="L2865" s="30"/>
      <c r="M2865" s="1454" t="s">
        <v>68</v>
      </c>
      <c r="N2865" s="1461"/>
    </row>
    <row r="2866" spans="2:14" ht="16.5" customHeight="1">
      <c r="B2866" s="1448"/>
      <c r="C2866" s="1448"/>
      <c r="D2866" s="1448"/>
      <c r="E2866" s="30"/>
      <c r="F2866" s="31" t="s">
        <v>1818</v>
      </c>
      <c r="G2866" s="1454"/>
      <c r="H2866" s="30">
        <v>30209606</v>
      </c>
      <c r="I2866" s="35">
        <v>18900</v>
      </c>
      <c r="J2866" s="30">
        <v>6</v>
      </c>
      <c r="K2866" s="30">
        <v>1</v>
      </c>
      <c r="L2866" s="30"/>
      <c r="M2866" s="1454"/>
      <c r="N2866" s="1461"/>
    </row>
    <row r="2867" spans="2:14" ht="16.5" customHeight="1">
      <c r="B2867" s="1448"/>
      <c r="C2867" s="1448"/>
      <c r="D2867" s="1448"/>
      <c r="E2867" s="30"/>
      <c r="F2867" s="31" t="s">
        <v>1819</v>
      </c>
      <c r="G2867" s="1454"/>
      <c r="H2867" s="30">
        <v>30209608</v>
      </c>
      <c r="I2867" s="35">
        <v>20900</v>
      </c>
      <c r="J2867" s="30">
        <v>6</v>
      </c>
      <c r="K2867" s="30">
        <v>1</v>
      </c>
      <c r="L2867" s="30"/>
      <c r="M2867" s="1454"/>
      <c r="N2867" s="1461"/>
    </row>
    <row r="2868" spans="2:14" ht="16.5" customHeight="1">
      <c r="B2868" s="1448"/>
      <c r="C2868" s="1448"/>
      <c r="D2868" s="1448"/>
      <c r="E2868" s="30"/>
      <c r="F2868" s="31" t="s">
        <v>1820</v>
      </c>
      <c r="G2868" s="1454"/>
      <c r="H2868" s="30">
        <v>30209610</v>
      </c>
      <c r="I2868" s="35">
        <v>23900</v>
      </c>
      <c r="J2868" s="30">
        <v>6</v>
      </c>
      <c r="K2868" s="30">
        <v>1</v>
      </c>
      <c r="L2868" s="30"/>
      <c r="M2868" s="1454"/>
      <c r="N2868" s="1461"/>
    </row>
    <row r="2869" spans="2:14" ht="16.5" customHeight="1">
      <c r="B2869" s="1448"/>
      <c r="C2869" s="1448"/>
      <c r="D2869" s="1448"/>
      <c r="E2869" s="30"/>
      <c r="F2869" s="31" t="s">
        <v>1821</v>
      </c>
      <c r="G2869" s="1454"/>
      <c r="H2869" s="30">
        <v>30209613</v>
      </c>
      <c r="I2869" s="35">
        <v>28900</v>
      </c>
      <c r="J2869" s="30">
        <v>6</v>
      </c>
      <c r="K2869" s="30">
        <v>1</v>
      </c>
      <c r="L2869" s="30"/>
      <c r="M2869" s="1454"/>
      <c r="N2869" s="1461"/>
    </row>
    <row r="2870" spans="2:14" ht="16.5" customHeight="1">
      <c r="B2870" s="1448"/>
      <c r="C2870" s="1448"/>
      <c r="D2870" s="1448"/>
      <c r="E2870" s="30"/>
      <c r="F2870" s="31" t="s">
        <v>1822</v>
      </c>
      <c r="G2870" s="1454"/>
      <c r="H2870" s="30">
        <v>30212530</v>
      </c>
      <c r="I2870" s="35">
        <v>26900</v>
      </c>
      <c r="J2870" s="30">
        <v>6</v>
      </c>
      <c r="K2870" s="30">
        <v>1</v>
      </c>
      <c r="L2870" s="30"/>
      <c r="M2870" s="1454"/>
      <c r="N2870" s="1461"/>
    </row>
    <row r="2871" spans="2:14" ht="16.5" customHeight="1">
      <c r="B2871" s="1448"/>
      <c r="C2871" s="1448"/>
      <c r="D2871" s="1448"/>
      <c r="E2871" s="30"/>
      <c r="F2871" s="31" t="s">
        <v>1823</v>
      </c>
      <c r="G2871" s="1454"/>
      <c r="H2871" s="30">
        <v>30212533</v>
      </c>
      <c r="I2871" s="35">
        <v>33900</v>
      </c>
      <c r="J2871" s="30">
        <v>6</v>
      </c>
      <c r="K2871" s="30">
        <v>1</v>
      </c>
      <c r="L2871" s="30"/>
      <c r="M2871" s="1454"/>
      <c r="N2871" s="1461"/>
    </row>
    <row r="2872" spans="2:14" ht="16.5" customHeight="1">
      <c r="B2872" s="1448"/>
      <c r="C2872" s="1448"/>
      <c r="D2872" s="1448"/>
      <c r="E2872" s="30"/>
      <c r="F2872" s="31" t="s">
        <v>1824</v>
      </c>
      <c r="G2872" s="1454"/>
      <c r="H2872" s="30">
        <v>30209615</v>
      </c>
      <c r="I2872" s="35">
        <v>45900</v>
      </c>
      <c r="J2872" s="30">
        <v>6</v>
      </c>
      <c r="K2872" s="30">
        <v>1</v>
      </c>
      <c r="L2872" s="30"/>
      <c r="M2872" s="1454"/>
      <c r="N2872" s="1461"/>
    </row>
    <row r="2873" spans="2:14" ht="16.5" customHeight="1">
      <c r="B2873" s="1448"/>
      <c r="C2873" s="1448"/>
      <c r="D2873" s="1448"/>
      <c r="E2873" s="30"/>
      <c r="F2873" s="31" t="s">
        <v>1825</v>
      </c>
      <c r="G2873" s="1454"/>
      <c r="H2873" s="30">
        <v>30209614</v>
      </c>
      <c r="I2873" s="35">
        <v>45900</v>
      </c>
      <c r="J2873" s="30">
        <v>6</v>
      </c>
      <c r="K2873" s="30">
        <v>1</v>
      </c>
      <c r="L2873" s="30"/>
      <c r="M2873" s="1454"/>
      <c r="N2873" s="1461"/>
    </row>
    <row r="2874" spans="2:14" ht="16.5" customHeight="1">
      <c r="B2874" s="1448"/>
      <c r="C2874" s="1448">
        <v>7</v>
      </c>
      <c r="D2874" s="1448" t="s">
        <v>80</v>
      </c>
      <c r="E2874" s="30"/>
      <c r="F2874" s="31" t="s">
        <v>81</v>
      </c>
      <c r="G2874" s="1454" t="s">
        <v>82</v>
      </c>
      <c r="H2874" s="30">
        <v>30215955</v>
      </c>
      <c r="I2874" s="35"/>
      <c r="J2874" s="30">
        <v>6</v>
      </c>
      <c r="K2874" s="30">
        <v>1</v>
      </c>
      <c r="L2874" s="30"/>
      <c r="M2874" s="1454" t="s">
        <v>83</v>
      </c>
      <c r="N2874" s="1461"/>
    </row>
    <row r="2875" spans="2:14" ht="16.5" customHeight="1">
      <c r="B2875" s="1448"/>
      <c r="C2875" s="1448"/>
      <c r="D2875" s="1448"/>
      <c r="E2875" s="30"/>
      <c r="F2875" s="31" t="s">
        <v>1011</v>
      </c>
      <c r="G2875" s="1454"/>
      <c r="H2875" s="30">
        <v>30212029</v>
      </c>
      <c r="I2875" s="35"/>
      <c r="J2875" s="30">
        <v>6</v>
      </c>
      <c r="K2875" s="30">
        <v>1</v>
      </c>
      <c r="L2875" s="30"/>
      <c r="M2875" s="1454"/>
      <c r="N2875" s="1461"/>
    </row>
    <row r="2876" spans="2:14" ht="16.5" customHeight="1">
      <c r="B2876" s="1448"/>
      <c r="C2876" s="1448"/>
      <c r="D2876" s="1448"/>
      <c r="E2876" s="30"/>
      <c r="F2876" s="31" t="s">
        <v>85</v>
      </c>
      <c r="G2876" s="1454"/>
      <c r="H2876" s="30">
        <v>30212030</v>
      </c>
      <c r="I2876" s="35"/>
      <c r="J2876" s="30">
        <v>6</v>
      </c>
      <c r="K2876" s="30">
        <v>1</v>
      </c>
      <c r="L2876" s="30"/>
      <c r="M2876" s="1454"/>
      <c r="N2876" s="1461"/>
    </row>
    <row r="2877" spans="2:14" ht="16.5" customHeight="1">
      <c r="B2877" s="1448"/>
      <c r="C2877" s="1448"/>
      <c r="D2877" s="1448"/>
      <c r="E2877" s="30"/>
      <c r="F2877" s="31" t="s">
        <v>86</v>
      </c>
      <c r="G2877" s="1454"/>
      <c r="H2877" s="30">
        <v>30212031</v>
      </c>
      <c r="I2877" s="35"/>
      <c r="J2877" s="30">
        <v>6</v>
      </c>
      <c r="K2877" s="30">
        <v>1</v>
      </c>
      <c r="L2877" s="30"/>
      <c r="M2877" s="1454"/>
      <c r="N2877" s="1461"/>
    </row>
    <row r="2878" spans="2:14" ht="16.5" customHeight="1">
      <c r="B2878" s="1448"/>
      <c r="C2878" s="1448"/>
      <c r="D2878" s="1448"/>
      <c r="E2878" s="30"/>
      <c r="F2878" s="31" t="s">
        <v>87</v>
      </c>
      <c r="G2878" s="1454"/>
      <c r="H2878" s="30">
        <v>30212032</v>
      </c>
      <c r="I2878" s="35"/>
      <c r="J2878" s="30">
        <v>6</v>
      </c>
      <c r="K2878" s="30">
        <v>1</v>
      </c>
      <c r="L2878" s="30"/>
      <c r="M2878" s="1454"/>
      <c r="N2878" s="1461"/>
    </row>
    <row r="2879" spans="2:14" ht="16.5" customHeight="1">
      <c r="B2879" s="1448"/>
      <c r="C2879" s="1448"/>
      <c r="D2879" s="1448"/>
      <c r="E2879" s="30"/>
      <c r="F2879" s="31" t="s">
        <v>88</v>
      </c>
      <c r="G2879" s="1454"/>
      <c r="H2879" s="30">
        <v>30212033</v>
      </c>
      <c r="I2879" s="35"/>
      <c r="J2879" s="30">
        <v>6</v>
      </c>
      <c r="K2879" s="30">
        <v>1</v>
      </c>
      <c r="L2879" s="30"/>
      <c r="M2879" s="1454"/>
      <c r="N2879" s="1461"/>
    </row>
    <row r="2880" spans="2:14" ht="16.5" customHeight="1">
      <c r="B2880" s="1448"/>
      <c r="C2880" s="1448"/>
      <c r="D2880" s="1448"/>
      <c r="E2880" s="30"/>
      <c r="F2880" s="31" t="s">
        <v>1012</v>
      </c>
      <c r="G2880" s="1454"/>
      <c r="H2880" s="30">
        <v>30215961</v>
      </c>
      <c r="I2880" s="35"/>
      <c r="J2880" s="30">
        <v>6</v>
      </c>
      <c r="K2880" s="30">
        <v>1</v>
      </c>
      <c r="L2880" s="30"/>
      <c r="M2880" s="1454"/>
      <c r="N2880" s="1461"/>
    </row>
    <row r="2881" spans="2:14" ht="16.5" customHeight="1">
      <c r="B2881" s="1448"/>
      <c r="C2881" s="1448"/>
      <c r="D2881" s="1448"/>
      <c r="E2881" s="30"/>
      <c r="F2881" s="31" t="s">
        <v>1013</v>
      </c>
      <c r="G2881" s="1454"/>
      <c r="H2881" s="30">
        <v>30215960</v>
      </c>
      <c r="I2881" s="35"/>
      <c r="J2881" s="30">
        <v>6</v>
      </c>
      <c r="K2881" s="30">
        <v>1</v>
      </c>
      <c r="L2881" s="30"/>
      <c r="M2881" s="1454"/>
      <c r="N2881" s="1461"/>
    </row>
    <row r="2882" spans="2:14" ht="16.5" customHeight="1">
      <c r="B2882" s="1448"/>
      <c r="C2882" s="1448"/>
      <c r="D2882" s="1448"/>
      <c r="E2882" s="30"/>
      <c r="F2882" s="31" t="s">
        <v>91</v>
      </c>
      <c r="G2882" s="1454"/>
      <c r="H2882" s="30">
        <v>30212026</v>
      </c>
      <c r="I2882" s="35"/>
      <c r="J2882" s="30">
        <v>6</v>
      </c>
      <c r="K2882" s="30">
        <v>1</v>
      </c>
      <c r="L2882" s="30"/>
      <c r="M2882" s="1454"/>
      <c r="N2882" s="1461"/>
    </row>
    <row r="2883" spans="2:14" ht="16.5" customHeight="1">
      <c r="B2883" s="1448"/>
      <c r="C2883" s="1448"/>
      <c r="D2883" s="1448"/>
      <c r="E2883" s="30"/>
      <c r="F2883" s="31" t="s">
        <v>1014</v>
      </c>
      <c r="G2883" s="1454"/>
      <c r="H2883" s="30">
        <v>30215956</v>
      </c>
      <c r="I2883" s="35"/>
      <c r="J2883" s="30">
        <v>6</v>
      </c>
      <c r="K2883" s="30">
        <v>1</v>
      </c>
      <c r="L2883" s="30"/>
      <c r="M2883" s="1454"/>
      <c r="N2883" s="1461"/>
    </row>
    <row r="2884" spans="2:14" ht="16.5" customHeight="1">
      <c r="B2884" s="1448"/>
      <c r="C2884" s="1448"/>
      <c r="D2884" s="1448"/>
      <c r="E2884" s="30"/>
      <c r="F2884" s="31" t="s">
        <v>1015</v>
      </c>
      <c r="G2884" s="1454"/>
      <c r="H2884" s="30">
        <v>30215959</v>
      </c>
      <c r="I2884" s="35"/>
      <c r="J2884" s="30">
        <v>6</v>
      </c>
      <c r="K2884" s="30">
        <v>1</v>
      </c>
      <c r="L2884" s="30"/>
      <c r="M2884" s="1454"/>
      <c r="N2884" s="1461"/>
    </row>
    <row r="2885" spans="2:14" ht="16.5" customHeight="1">
      <c r="B2885" s="1448"/>
      <c r="C2885" s="1448"/>
      <c r="D2885" s="1448"/>
      <c r="E2885" s="30"/>
      <c r="F2885" s="31" t="s">
        <v>92</v>
      </c>
      <c r="G2885" s="1454"/>
      <c r="H2885" s="30">
        <v>30212027</v>
      </c>
      <c r="I2885" s="35"/>
      <c r="J2885" s="30">
        <v>6</v>
      </c>
      <c r="K2885" s="30">
        <v>1</v>
      </c>
      <c r="L2885" s="30"/>
      <c r="M2885" s="1454"/>
      <c r="N2885" s="1461"/>
    </row>
    <row r="2886" spans="2:14" ht="16.5" customHeight="1">
      <c r="B2886" s="1448"/>
      <c r="C2886" s="1448"/>
      <c r="D2886" s="1448"/>
      <c r="E2886" s="30"/>
      <c r="F2886" s="31" t="s">
        <v>1016</v>
      </c>
      <c r="G2886" s="1454"/>
      <c r="H2886" s="30">
        <v>30215957</v>
      </c>
      <c r="I2886" s="35"/>
      <c r="J2886" s="30">
        <v>6</v>
      </c>
      <c r="K2886" s="30">
        <v>1</v>
      </c>
      <c r="L2886" s="30"/>
      <c r="M2886" s="1454"/>
      <c r="N2886" s="1461"/>
    </row>
    <row r="2887" spans="2:14" ht="16.5" customHeight="1">
      <c r="B2887" s="1448"/>
      <c r="C2887" s="1448"/>
      <c r="D2887" s="1448"/>
      <c r="E2887" s="30"/>
      <c r="F2887" s="31" t="s">
        <v>90</v>
      </c>
      <c r="G2887" s="1454"/>
      <c r="H2887" s="30">
        <v>30212028</v>
      </c>
      <c r="I2887" s="35"/>
      <c r="J2887" s="30">
        <v>6</v>
      </c>
      <c r="K2887" s="30">
        <v>1</v>
      </c>
      <c r="L2887" s="30"/>
      <c r="M2887" s="1454"/>
      <c r="N2887" s="1461"/>
    </row>
    <row r="2888" spans="2:14" ht="16.5" customHeight="1">
      <c r="B2888" s="1448"/>
      <c r="C2888" s="1448"/>
      <c r="D2888" s="1448" t="s">
        <v>1017</v>
      </c>
      <c r="E2888" s="30"/>
      <c r="F2888" s="31" t="s">
        <v>1018</v>
      </c>
      <c r="G2888" s="1454" t="s">
        <v>1019</v>
      </c>
      <c r="H2888" s="30">
        <v>30215874</v>
      </c>
      <c r="I2888" s="35"/>
      <c r="J2888" s="30">
        <v>6</v>
      </c>
      <c r="K2888" s="30">
        <v>1</v>
      </c>
      <c r="L2888" s="30"/>
      <c r="M2888" s="1454" t="s">
        <v>1019</v>
      </c>
      <c r="N2888" s="1461"/>
    </row>
    <row r="2889" spans="2:14" ht="16.5" customHeight="1">
      <c r="B2889" s="1448"/>
      <c r="C2889" s="1448"/>
      <c r="D2889" s="1448"/>
      <c r="E2889" s="30"/>
      <c r="F2889" s="31" t="s">
        <v>1020</v>
      </c>
      <c r="G2889" s="1454"/>
      <c r="H2889" s="30">
        <v>30215875</v>
      </c>
      <c r="I2889" s="35"/>
      <c r="J2889" s="30">
        <v>6</v>
      </c>
      <c r="K2889" s="30">
        <v>1</v>
      </c>
      <c r="L2889" s="30"/>
      <c r="M2889" s="1454"/>
      <c r="N2889" s="1461"/>
    </row>
    <row r="2890" spans="2:14" ht="16.5" customHeight="1">
      <c r="B2890" s="1448"/>
      <c r="C2890" s="1448"/>
      <c r="D2890" s="1448"/>
      <c r="E2890" s="30"/>
      <c r="F2890" s="31" t="s">
        <v>1021</v>
      </c>
      <c r="G2890" s="1454"/>
      <c r="H2890" s="30">
        <v>30215863</v>
      </c>
      <c r="I2890" s="35"/>
      <c r="J2890" s="30">
        <v>6</v>
      </c>
      <c r="K2890" s="30">
        <v>1</v>
      </c>
      <c r="L2890" s="30"/>
      <c r="M2890" s="1454"/>
      <c r="N2890" s="1461"/>
    </row>
    <row r="2891" spans="2:14" ht="16.5" customHeight="1">
      <c r="B2891" s="1448"/>
      <c r="C2891" s="1448"/>
      <c r="D2891" s="1448"/>
      <c r="E2891" s="30"/>
      <c r="F2891" s="31" t="s">
        <v>1022</v>
      </c>
      <c r="G2891" s="1454"/>
      <c r="H2891" s="30">
        <v>30215864</v>
      </c>
      <c r="I2891" s="35"/>
      <c r="J2891" s="30">
        <v>6</v>
      </c>
      <c r="K2891" s="30">
        <v>1</v>
      </c>
      <c r="L2891" s="30"/>
      <c r="M2891" s="1454"/>
      <c r="N2891" s="1461"/>
    </row>
    <row r="2892" spans="2:14" ht="16.5" customHeight="1">
      <c r="B2892" s="1448"/>
      <c r="C2892" s="1448"/>
      <c r="D2892" s="1448"/>
      <c r="E2892" s="30"/>
      <c r="F2892" s="31" t="s">
        <v>1023</v>
      </c>
      <c r="G2892" s="1454"/>
      <c r="H2892" s="30">
        <v>30215865</v>
      </c>
      <c r="I2892" s="35"/>
      <c r="J2892" s="30">
        <v>6</v>
      </c>
      <c r="K2892" s="30">
        <v>1</v>
      </c>
      <c r="L2892" s="30"/>
      <c r="M2892" s="1454"/>
      <c r="N2892" s="1461"/>
    </row>
    <row r="2893" spans="2:14" ht="16.5" customHeight="1">
      <c r="B2893" s="1448"/>
      <c r="C2893" s="1448"/>
      <c r="D2893" s="1448"/>
      <c r="E2893" s="30"/>
      <c r="F2893" s="31" t="s">
        <v>1024</v>
      </c>
      <c r="G2893" s="1454"/>
      <c r="H2893" s="30">
        <v>30215866</v>
      </c>
      <c r="I2893" s="35"/>
      <c r="J2893" s="30">
        <v>6</v>
      </c>
      <c r="K2893" s="30">
        <v>1</v>
      </c>
      <c r="L2893" s="30"/>
      <c r="M2893" s="1454"/>
      <c r="N2893" s="1461"/>
    </row>
    <row r="2894" spans="2:14" ht="16.5" customHeight="1">
      <c r="B2894" s="1448"/>
      <c r="C2894" s="1448"/>
      <c r="D2894" s="1448"/>
      <c r="E2894" s="30"/>
      <c r="F2894" s="31" t="s">
        <v>1025</v>
      </c>
      <c r="G2894" s="1454"/>
      <c r="H2894" s="30">
        <v>30215868</v>
      </c>
      <c r="I2894" s="35"/>
      <c r="J2894" s="30">
        <v>6</v>
      </c>
      <c r="K2894" s="30">
        <v>1</v>
      </c>
      <c r="L2894" s="30"/>
      <c r="M2894" s="1454"/>
      <c r="N2894" s="1461"/>
    </row>
    <row r="2895" spans="2:14" ht="16.5" customHeight="1">
      <c r="B2895" s="1448"/>
      <c r="C2895" s="1448"/>
      <c r="D2895" s="1448"/>
      <c r="E2895" s="30"/>
      <c r="F2895" s="31" t="s">
        <v>1026</v>
      </c>
      <c r="G2895" s="1454"/>
      <c r="H2895" s="30">
        <v>30215869</v>
      </c>
      <c r="I2895" s="35"/>
      <c r="J2895" s="30">
        <v>6</v>
      </c>
      <c r="K2895" s="30">
        <v>1</v>
      </c>
      <c r="L2895" s="30"/>
      <c r="M2895" s="1454"/>
      <c r="N2895" s="1461"/>
    </row>
    <row r="2896" spans="2:14" ht="16.5" customHeight="1">
      <c r="B2896" s="1448"/>
      <c r="C2896" s="1448"/>
      <c r="D2896" s="1448"/>
      <c r="E2896" s="30"/>
      <c r="F2896" s="31" t="s">
        <v>1027</v>
      </c>
      <c r="G2896" s="1454"/>
      <c r="H2896" s="30">
        <v>30215870</v>
      </c>
      <c r="I2896" s="35"/>
      <c r="J2896" s="30">
        <v>6</v>
      </c>
      <c r="K2896" s="30">
        <v>1</v>
      </c>
      <c r="L2896" s="30"/>
      <c r="M2896" s="1454"/>
      <c r="N2896" s="1461"/>
    </row>
    <row r="2897" spans="2:14" ht="16.5" customHeight="1">
      <c r="B2897" s="1448"/>
      <c r="C2897" s="1448"/>
      <c r="D2897" s="1448"/>
      <c r="E2897" s="30"/>
      <c r="F2897" s="31" t="s">
        <v>1028</v>
      </c>
      <c r="G2897" s="1454"/>
      <c r="H2897" s="30">
        <v>30215871</v>
      </c>
      <c r="I2897" s="35"/>
      <c r="J2897" s="30">
        <v>6</v>
      </c>
      <c r="K2897" s="30">
        <v>1</v>
      </c>
      <c r="L2897" s="30"/>
      <c r="M2897" s="1454"/>
      <c r="N2897" s="1461"/>
    </row>
    <row r="2898" spans="2:14" ht="16.5" customHeight="1">
      <c r="B2898" s="1448"/>
      <c r="C2898" s="1448"/>
      <c r="D2898" s="1448"/>
      <c r="E2898" s="30"/>
      <c r="F2898" s="31" t="s">
        <v>1029</v>
      </c>
      <c r="G2898" s="1454"/>
      <c r="H2898" s="30">
        <v>30215872</v>
      </c>
      <c r="I2898" s="35"/>
      <c r="J2898" s="30">
        <v>6</v>
      </c>
      <c r="K2898" s="30">
        <v>1</v>
      </c>
      <c r="L2898" s="30"/>
      <c r="M2898" s="1454"/>
      <c r="N2898" s="1461"/>
    </row>
    <row r="2899" spans="2:14" ht="16.5" customHeight="1">
      <c r="B2899" s="1448"/>
      <c r="C2899" s="1448"/>
      <c r="D2899" s="1448"/>
      <c r="E2899" s="30"/>
      <c r="F2899" s="31" t="s">
        <v>1030</v>
      </c>
      <c r="G2899" s="1454"/>
      <c r="H2899" s="30">
        <v>30215873</v>
      </c>
      <c r="I2899" s="35"/>
      <c r="J2899" s="30">
        <v>6</v>
      </c>
      <c r="K2899" s="30">
        <v>1</v>
      </c>
      <c r="L2899" s="30"/>
      <c r="M2899" s="1454"/>
      <c r="N2899" s="1461"/>
    </row>
    <row r="2900" spans="2:14" ht="16.5" customHeight="1">
      <c r="B2900" s="1448"/>
      <c r="C2900" s="1448"/>
      <c r="D2900" s="1448" t="s">
        <v>1031</v>
      </c>
      <c r="E2900" s="30"/>
      <c r="F2900" s="31" t="s">
        <v>1032</v>
      </c>
      <c r="G2900" s="1454" t="s">
        <v>1033</v>
      </c>
      <c r="H2900" s="30">
        <v>30215876</v>
      </c>
      <c r="I2900" s="35"/>
      <c r="J2900" s="30">
        <v>6</v>
      </c>
      <c r="K2900" s="30">
        <v>1</v>
      </c>
      <c r="L2900" s="30"/>
      <c r="M2900" s="1454" t="s">
        <v>1033</v>
      </c>
      <c r="N2900" s="1461"/>
    </row>
    <row r="2901" spans="2:14" ht="16.5" customHeight="1">
      <c r="B2901" s="1448"/>
      <c r="C2901" s="1448"/>
      <c r="D2901" s="1448"/>
      <c r="E2901" s="30"/>
      <c r="F2901" s="31" t="s">
        <v>1034</v>
      </c>
      <c r="G2901" s="1454"/>
      <c r="H2901" s="30">
        <v>30215877</v>
      </c>
      <c r="I2901" s="35"/>
      <c r="J2901" s="30">
        <v>6</v>
      </c>
      <c r="K2901" s="30">
        <v>1</v>
      </c>
      <c r="L2901" s="30"/>
      <c r="M2901" s="1454"/>
      <c r="N2901" s="1461"/>
    </row>
    <row r="2902" spans="2:14" ht="16.5" customHeight="1">
      <c r="B2902" s="1448"/>
      <c r="C2902" s="1448"/>
      <c r="D2902" s="1448"/>
      <c r="E2902" s="30"/>
      <c r="F2902" s="31" t="s">
        <v>1035</v>
      </c>
      <c r="G2902" s="1454"/>
      <c r="H2902" s="30">
        <v>30215878</v>
      </c>
      <c r="I2902" s="35"/>
      <c r="J2902" s="30">
        <v>6</v>
      </c>
      <c r="K2902" s="30">
        <v>1</v>
      </c>
      <c r="L2902" s="30"/>
      <c r="M2902" s="1454"/>
      <c r="N2902" s="1461"/>
    </row>
    <row r="2903" spans="2:14" ht="16.5" customHeight="1">
      <c r="B2903" s="1448"/>
      <c r="C2903" s="1448"/>
      <c r="D2903" s="1448"/>
      <c r="E2903" s="30"/>
      <c r="F2903" s="31" t="s">
        <v>1036</v>
      </c>
      <c r="G2903" s="1454"/>
      <c r="H2903" s="30">
        <v>30215879</v>
      </c>
      <c r="I2903" s="35"/>
      <c r="J2903" s="30">
        <v>6</v>
      </c>
      <c r="K2903" s="30">
        <v>1</v>
      </c>
      <c r="L2903" s="30"/>
      <c r="M2903" s="1454"/>
      <c r="N2903" s="1461"/>
    </row>
    <row r="2904" spans="2:14" ht="16.5" customHeight="1">
      <c r="B2904" s="1448"/>
      <c r="C2904" s="1448"/>
      <c r="D2904" s="1448"/>
      <c r="E2904" s="30"/>
      <c r="F2904" s="31" t="s">
        <v>1037</v>
      </c>
      <c r="G2904" s="1454"/>
      <c r="H2904" s="30">
        <v>30215880</v>
      </c>
      <c r="I2904" s="35"/>
      <c r="J2904" s="30">
        <v>6</v>
      </c>
      <c r="K2904" s="30">
        <v>1</v>
      </c>
      <c r="L2904" s="30"/>
      <c r="M2904" s="1454"/>
      <c r="N2904" s="1461"/>
    </row>
    <row r="2905" spans="2:14" ht="16.5" customHeight="1">
      <c r="B2905" s="1448"/>
      <c r="C2905" s="1448"/>
      <c r="D2905" s="1448"/>
      <c r="E2905" s="30"/>
      <c r="F2905" s="31" t="s">
        <v>1038</v>
      </c>
      <c r="G2905" s="1454"/>
      <c r="H2905" s="30">
        <v>30216425</v>
      </c>
      <c r="I2905" s="35"/>
      <c r="J2905" s="30">
        <v>6</v>
      </c>
      <c r="K2905" s="30">
        <v>1</v>
      </c>
      <c r="L2905" s="30"/>
      <c r="M2905" s="1454"/>
      <c r="N2905" s="1461"/>
    </row>
    <row r="2906" spans="2:14" ht="16.5" customHeight="1">
      <c r="B2906" s="1448"/>
      <c r="C2906" s="1448"/>
      <c r="D2906" s="1448"/>
      <c r="E2906" s="30"/>
      <c r="F2906" s="31" t="s">
        <v>1039</v>
      </c>
      <c r="G2906" s="1454"/>
      <c r="H2906" s="30">
        <v>30215883</v>
      </c>
      <c r="I2906" s="35"/>
      <c r="J2906" s="30">
        <v>6</v>
      </c>
      <c r="K2906" s="30">
        <v>1</v>
      </c>
      <c r="L2906" s="30"/>
      <c r="M2906" s="1454"/>
      <c r="N2906" s="1461"/>
    </row>
    <row r="2907" spans="2:14" ht="16.5" customHeight="1">
      <c r="B2907" s="1448"/>
      <c r="C2907" s="1448"/>
      <c r="D2907" s="1448"/>
      <c r="E2907" s="30"/>
      <c r="F2907" s="31" t="s">
        <v>1040</v>
      </c>
      <c r="G2907" s="1454"/>
      <c r="H2907" s="30">
        <v>76301260</v>
      </c>
      <c r="I2907" s="35"/>
      <c r="J2907" s="30">
        <v>6</v>
      </c>
      <c r="K2907" s="30">
        <v>1</v>
      </c>
      <c r="L2907" s="30"/>
      <c r="M2907" s="1454"/>
      <c r="N2907" s="1461"/>
    </row>
    <row r="2908" spans="2:14" ht="16.5" customHeight="1">
      <c r="B2908" s="1448"/>
      <c r="C2908" s="1448"/>
      <c r="D2908" s="1448"/>
      <c r="E2908" s="30"/>
      <c r="F2908" s="31" t="s">
        <v>1041</v>
      </c>
      <c r="G2908" s="1454"/>
      <c r="H2908" s="30">
        <v>76301262</v>
      </c>
      <c r="I2908" s="35"/>
      <c r="J2908" s="30">
        <v>6</v>
      </c>
      <c r="K2908" s="30">
        <v>1</v>
      </c>
      <c r="L2908" s="30"/>
      <c r="M2908" s="1454"/>
      <c r="N2908" s="1461"/>
    </row>
    <row r="2909" spans="2:14" ht="16.5" customHeight="1">
      <c r="B2909" s="1448"/>
      <c r="C2909" s="1448"/>
      <c r="D2909" s="1448"/>
      <c r="E2909" s="30"/>
      <c r="F2909" s="31" t="s">
        <v>1042</v>
      </c>
      <c r="G2909" s="1454"/>
      <c r="H2909" s="30">
        <v>76301266</v>
      </c>
      <c r="I2909" s="35"/>
      <c r="J2909" s="30">
        <v>6</v>
      </c>
      <c r="K2909" s="30">
        <v>1</v>
      </c>
      <c r="L2909" s="30"/>
      <c r="M2909" s="1454"/>
      <c r="N2909" s="1461"/>
    </row>
    <row r="2910" spans="2:14" ht="16.5" customHeight="1">
      <c r="B2910" s="1448"/>
      <c r="C2910" s="1448">
        <v>8</v>
      </c>
      <c r="D2910" s="1448" t="s">
        <v>93</v>
      </c>
      <c r="E2910" s="30"/>
      <c r="F2910" s="31" t="s">
        <v>104</v>
      </c>
      <c r="G2910" s="1448" t="s">
        <v>95</v>
      </c>
      <c r="H2910" s="30">
        <v>73080054</v>
      </c>
      <c r="I2910" s="35"/>
      <c r="J2910" s="30">
        <v>6</v>
      </c>
      <c r="K2910" s="30">
        <v>1</v>
      </c>
      <c r="L2910" s="30"/>
      <c r="M2910" s="1454" t="s">
        <v>95</v>
      </c>
      <c r="N2910" s="1461"/>
    </row>
    <row r="2911" spans="2:14" ht="16.5" customHeight="1">
      <c r="B2911" s="1448"/>
      <c r="C2911" s="1448"/>
      <c r="D2911" s="1448"/>
      <c r="E2911" s="30"/>
      <c r="F2911" s="31" t="s">
        <v>103</v>
      </c>
      <c r="G2911" s="1448"/>
      <c r="H2911" s="30">
        <v>30215897</v>
      </c>
      <c r="I2911" s="35"/>
      <c r="J2911" s="30">
        <v>6</v>
      </c>
      <c r="K2911" s="30">
        <v>1</v>
      </c>
      <c r="L2911" s="30"/>
      <c r="M2911" s="1454"/>
      <c r="N2911" s="1461"/>
    </row>
    <row r="2912" spans="2:14" ht="16.5" customHeight="1">
      <c r="B2912" s="1448"/>
      <c r="C2912" s="1448"/>
      <c r="D2912" s="1448"/>
      <c r="E2912" s="30"/>
      <c r="F2912" s="31" t="s">
        <v>1043</v>
      </c>
      <c r="G2912" s="1448"/>
      <c r="H2912" s="30">
        <v>30215896</v>
      </c>
      <c r="I2912" s="35"/>
      <c r="J2912" s="30">
        <v>6</v>
      </c>
      <c r="K2912" s="30">
        <v>1</v>
      </c>
      <c r="L2912" s="30"/>
      <c r="M2912" s="1454"/>
      <c r="N2912" s="1461"/>
    </row>
    <row r="2913" spans="2:14" ht="16.5" customHeight="1">
      <c r="B2913" s="1448"/>
      <c r="C2913" s="1448"/>
      <c r="D2913" s="1448"/>
      <c r="E2913" s="30"/>
      <c r="F2913" s="31" t="s">
        <v>1044</v>
      </c>
      <c r="G2913" s="1448"/>
      <c r="H2913" s="30">
        <v>30215895</v>
      </c>
      <c r="I2913" s="35"/>
      <c r="J2913" s="30">
        <v>6</v>
      </c>
      <c r="K2913" s="30">
        <v>1</v>
      </c>
      <c r="L2913" s="30"/>
      <c r="M2913" s="1454"/>
      <c r="N2913" s="1461"/>
    </row>
    <row r="2914" spans="2:14" ht="16.5" customHeight="1">
      <c r="B2914" s="1448"/>
      <c r="C2914" s="1448"/>
      <c r="D2914" s="1448"/>
      <c r="E2914" s="30"/>
      <c r="F2914" s="31" t="s">
        <v>105</v>
      </c>
      <c r="G2914" s="1448"/>
      <c r="H2914" s="30">
        <v>30211994</v>
      </c>
      <c r="I2914" s="35"/>
      <c r="J2914" s="30">
        <v>6</v>
      </c>
      <c r="K2914" s="30">
        <v>1</v>
      </c>
      <c r="L2914" s="30"/>
      <c r="M2914" s="1454"/>
      <c r="N2914" s="1461"/>
    </row>
    <row r="2915" spans="2:14" ht="16.5" customHeight="1">
      <c r="B2915" s="1448"/>
      <c r="C2915" s="1448"/>
      <c r="D2915" s="1448"/>
      <c r="E2915" s="30"/>
      <c r="F2915" s="31" t="s">
        <v>99</v>
      </c>
      <c r="G2915" s="1448"/>
      <c r="H2915" s="30">
        <v>30211993</v>
      </c>
      <c r="I2915" s="35"/>
      <c r="J2915" s="30">
        <v>6</v>
      </c>
      <c r="K2915" s="30">
        <v>1</v>
      </c>
      <c r="L2915" s="30"/>
      <c r="M2915" s="1454"/>
      <c r="N2915" s="1461"/>
    </row>
    <row r="2916" spans="2:14" ht="16.5" customHeight="1">
      <c r="B2916" s="1448"/>
      <c r="C2916" s="1448"/>
      <c r="D2916" s="1448"/>
      <c r="E2916" s="30"/>
      <c r="F2916" s="31" t="s">
        <v>102</v>
      </c>
      <c r="G2916" s="1448"/>
      <c r="H2916" s="30">
        <v>30210471</v>
      </c>
      <c r="I2916" s="35"/>
      <c r="J2916" s="30">
        <v>6</v>
      </c>
      <c r="K2916" s="30">
        <v>1</v>
      </c>
      <c r="L2916" s="30"/>
      <c r="M2916" s="1454"/>
      <c r="N2916" s="1461"/>
    </row>
    <row r="2917" spans="2:14" ht="16.5" customHeight="1">
      <c r="B2917" s="1448"/>
      <c r="C2917" s="1448"/>
      <c r="D2917" s="1448"/>
      <c r="E2917" s="30"/>
      <c r="F2917" s="31" t="s">
        <v>100</v>
      </c>
      <c r="G2917" s="1448"/>
      <c r="H2917" s="30">
        <v>30207516</v>
      </c>
      <c r="I2917" s="35"/>
      <c r="J2917" s="30">
        <v>6</v>
      </c>
      <c r="K2917" s="30">
        <v>1</v>
      </c>
      <c r="L2917" s="30"/>
      <c r="M2917" s="1454"/>
      <c r="N2917" s="1461"/>
    </row>
    <row r="2918" spans="2:14" ht="16.5" customHeight="1">
      <c r="B2918" s="1448"/>
      <c r="C2918" s="1448"/>
      <c r="D2918" s="1448"/>
      <c r="E2918" s="30"/>
      <c r="F2918" s="31" t="s">
        <v>101</v>
      </c>
      <c r="G2918" s="1448"/>
      <c r="H2918" s="30">
        <v>30207515</v>
      </c>
      <c r="I2918" s="35"/>
      <c r="J2918" s="30">
        <v>6</v>
      </c>
      <c r="K2918" s="30">
        <v>1</v>
      </c>
      <c r="L2918" s="30"/>
      <c r="M2918" s="1454"/>
      <c r="N2918" s="1461"/>
    </row>
    <row r="2919" spans="2:14" ht="16.5" customHeight="1">
      <c r="B2919" s="1448"/>
      <c r="C2919" s="1448"/>
      <c r="D2919" s="1448"/>
      <c r="E2919" s="30"/>
      <c r="F2919" s="31" t="s">
        <v>1045</v>
      </c>
      <c r="G2919" s="1448"/>
      <c r="H2919" s="30">
        <v>30207514</v>
      </c>
      <c r="I2919" s="35"/>
      <c r="J2919" s="30">
        <v>6</v>
      </c>
      <c r="K2919" s="30">
        <v>1</v>
      </c>
      <c r="L2919" s="30"/>
      <c r="M2919" s="1454"/>
      <c r="N2919" s="1461"/>
    </row>
    <row r="2920" spans="2:14" ht="16.5" customHeight="1">
      <c r="B2920" s="1448"/>
      <c r="C2920" s="1448"/>
      <c r="D2920" s="1448"/>
      <c r="E2920" s="30"/>
      <c r="F2920" s="31" t="s">
        <v>1046</v>
      </c>
      <c r="G2920" s="1448"/>
      <c r="H2920" s="30">
        <v>30207513</v>
      </c>
      <c r="I2920" s="35"/>
      <c r="J2920" s="30">
        <v>6</v>
      </c>
      <c r="K2920" s="30">
        <v>1</v>
      </c>
      <c r="L2920" s="30"/>
      <c r="M2920" s="1454"/>
      <c r="N2920" s="1461"/>
    </row>
    <row r="2921" spans="2:14" ht="16.5" customHeight="1">
      <c r="B2921" s="1448"/>
      <c r="C2921" s="1448"/>
      <c r="D2921" s="1448"/>
      <c r="E2921" s="30"/>
      <c r="F2921" s="31" t="s">
        <v>96</v>
      </c>
      <c r="G2921" s="1448"/>
      <c r="H2921" s="30">
        <v>30207512</v>
      </c>
      <c r="I2921" s="35"/>
      <c r="J2921" s="30">
        <v>6</v>
      </c>
      <c r="K2921" s="30">
        <v>1</v>
      </c>
      <c r="L2921" s="30"/>
      <c r="M2921" s="1454"/>
      <c r="N2921" s="1461"/>
    </row>
    <row r="2922" spans="2:14" ht="16.5" customHeight="1">
      <c r="B2922" s="1448"/>
      <c r="C2922" s="1448"/>
      <c r="D2922" s="1448"/>
      <c r="E2922" s="30"/>
      <c r="F2922" s="31" t="s">
        <v>94</v>
      </c>
      <c r="G2922" s="1448"/>
      <c r="H2922" s="30">
        <v>30207511</v>
      </c>
      <c r="I2922" s="35"/>
      <c r="J2922" s="30">
        <v>6</v>
      </c>
      <c r="K2922" s="30">
        <v>1</v>
      </c>
      <c r="L2922" s="30"/>
      <c r="M2922" s="1454"/>
      <c r="N2922" s="1461"/>
    </row>
    <row r="2923" spans="2:14" ht="16.5" customHeight="1">
      <c r="B2923" s="1448"/>
      <c r="C2923" s="1448"/>
      <c r="D2923" s="1448"/>
      <c r="E2923" s="30"/>
      <c r="F2923" s="31" t="s">
        <v>97</v>
      </c>
      <c r="G2923" s="1448"/>
      <c r="H2923" s="30">
        <v>30207510</v>
      </c>
      <c r="I2923" s="35"/>
      <c r="J2923" s="30">
        <v>6</v>
      </c>
      <c r="K2923" s="30">
        <v>1</v>
      </c>
      <c r="L2923" s="30"/>
      <c r="M2923" s="1454"/>
      <c r="N2923" s="1461"/>
    </row>
    <row r="2924" spans="2:14" ht="16.5" customHeight="1">
      <c r="B2924" s="1448"/>
      <c r="C2924" s="1448"/>
      <c r="D2924" s="1448"/>
      <c r="E2924" s="30"/>
      <c r="F2924" s="31" t="s">
        <v>98</v>
      </c>
      <c r="G2924" s="1448"/>
      <c r="H2924" s="30">
        <v>30207509</v>
      </c>
      <c r="I2924" s="35"/>
      <c r="J2924" s="30">
        <v>6</v>
      </c>
      <c r="K2924" s="30">
        <v>1</v>
      </c>
      <c r="L2924" s="30"/>
      <c r="M2924" s="1454"/>
      <c r="N2924" s="1461"/>
    </row>
    <row r="2925" spans="2:14" ht="16.5" customHeight="1">
      <c r="B2925" s="1448"/>
      <c r="C2925" s="1448">
        <v>9</v>
      </c>
      <c r="D2925" s="1448" t="s">
        <v>106</v>
      </c>
      <c r="E2925" s="30"/>
      <c r="F2925" s="31" t="s">
        <v>107</v>
      </c>
      <c r="G2925" s="1454" t="s">
        <v>108</v>
      </c>
      <c r="H2925" s="30">
        <v>30212010</v>
      </c>
      <c r="I2925" s="35"/>
      <c r="J2925" s="30">
        <v>6</v>
      </c>
      <c r="K2925" s="30">
        <v>1</v>
      </c>
      <c r="L2925" s="30"/>
      <c r="M2925" s="1454" t="s">
        <v>108</v>
      </c>
      <c r="N2925" s="1461"/>
    </row>
    <row r="2926" spans="2:14" ht="16.5" customHeight="1">
      <c r="B2926" s="1448"/>
      <c r="C2926" s="1448"/>
      <c r="D2926" s="1448"/>
      <c r="E2926" s="30"/>
      <c r="F2926" s="31" t="s">
        <v>109</v>
      </c>
      <c r="G2926" s="1454"/>
      <c r="H2926" s="30">
        <v>30212011</v>
      </c>
      <c r="I2926" s="35"/>
      <c r="J2926" s="30">
        <v>6</v>
      </c>
      <c r="K2926" s="30">
        <v>1</v>
      </c>
      <c r="L2926" s="30"/>
      <c r="M2926" s="1454"/>
      <c r="N2926" s="1461"/>
    </row>
    <row r="2927" spans="2:14" ht="16.5" customHeight="1">
      <c r="B2927" s="1448"/>
      <c r="C2927" s="1448"/>
      <c r="D2927" s="1448"/>
      <c r="E2927" s="30"/>
      <c r="F2927" s="31" t="s">
        <v>110</v>
      </c>
      <c r="G2927" s="1454"/>
      <c r="H2927" s="30">
        <v>30207631</v>
      </c>
      <c r="I2927" s="35"/>
      <c r="J2927" s="30">
        <v>6</v>
      </c>
      <c r="K2927" s="30">
        <v>1</v>
      </c>
      <c r="L2927" s="30"/>
      <c r="M2927" s="1454"/>
      <c r="N2927" s="1461"/>
    </row>
    <row r="2928" spans="2:14" ht="16.5" customHeight="1">
      <c r="B2928" s="1448"/>
      <c r="C2928" s="1448"/>
      <c r="D2928" s="1448"/>
      <c r="E2928" s="30"/>
      <c r="F2928" s="31" t="s">
        <v>111</v>
      </c>
      <c r="G2928" s="1454"/>
      <c r="H2928" s="30">
        <v>30212014</v>
      </c>
      <c r="I2928" s="35"/>
      <c r="J2928" s="30">
        <v>6</v>
      </c>
      <c r="K2928" s="30">
        <v>1</v>
      </c>
      <c r="L2928" s="30"/>
      <c r="M2928" s="1454"/>
      <c r="N2928" s="1461"/>
    </row>
    <row r="2929" spans="2:14" ht="16.5" customHeight="1">
      <c r="B2929" s="1448"/>
      <c r="C2929" s="1448"/>
      <c r="D2929" s="1448"/>
      <c r="E2929" s="30"/>
      <c r="F2929" s="31" t="s">
        <v>1047</v>
      </c>
      <c r="G2929" s="1454"/>
      <c r="H2929" s="30">
        <v>30215952</v>
      </c>
      <c r="I2929" s="35"/>
      <c r="J2929" s="30">
        <v>6</v>
      </c>
      <c r="K2929" s="30">
        <v>1</v>
      </c>
      <c r="L2929" s="30"/>
      <c r="M2929" s="1454"/>
      <c r="N2929" s="1461"/>
    </row>
    <row r="2930" spans="2:14" ht="16.5" customHeight="1">
      <c r="B2930" s="1448"/>
      <c r="C2930" s="1448"/>
      <c r="D2930" s="1448"/>
      <c r="E2930" s="30"/>
      <c r="F2930" s="31" t="s">
        <v>112</v>
      </c>
      <c r="G2930" s="1454"/>
      <c r="H2930" s="30">
        <v>30212007</v>
      </c>
      <c r="I2930" s="35"/>
      <c r="J2930" s="30">
        <v>6</v>
      </c>
      <c r="K2930" s="30">
        <v>1</v>
      </c>
      <c r="L2930" s="30"/>
      <c r="M2930" s="1454"/>
      <c r="N2930" s="1461"/>
    </row>
    <row r="2931" spans="2:14" ht="16.5" customHeight="1">
      <c r="B2931" s="1448"/>
      <c r="C2931" s="1448"/>
      <c r="D2931" s="1448"/>
      <c r="E2931" s="30"/>
      <c r="F2931" s="31" t="s">
        <v>113</v>
      </c>
      <c r="G2931" s="1454"/>
      <c r="H2931" s="30">
        <v>30212006</v>
      </c>
      <c r="I2931" s="35"/>
      <c r="J2931" s="30">
        <v>6</v>
      </c>
      <c r="K2931" s="30">
        <v>1</v>
      </c>
      <c r="L2931" s="30"/>
      <c r="M2931" s="1454"/>
      <c r="N2931" s="1461"/>
    </row>
    <row r="2932" spans="2:14" ht="16.5" customHeight="1">
      <c r="B2932" s="1448"/>
      <c r="C2932" s="1448"/>
      <c r="D2932" s="1448"/>
      <c r="E2932" s="30"/>
      <c r="F2932" s="31" t="s">
        <v>114</v>
      </c>
      <c r="G2932" s="1454"/>
      <c r="H2932" s="30">
        <v>30212012</v>
      </c>
      <c r="I2932" s="35"/>
      <c r="J2932" s="30">
        <v>6</v>
      </c>
      <c r="K2932" s="30">
        <v>1</v>
      </c>
      <c r="L2932" s="30"/>
      <c r="M2932" s="1454"/>
      <c r="N2932" s="1461"/>
    </row>
    <row r="2933" spans="2:14" ht="16.5" customHeight="1">
      <c r="B2933" s="1448"/>
      <c r="C2933" s="1448"/>
      <c r="D2933" s="1448"/>
      <c r="E2933" s="30"/>
      <c r="F2933" s="31" t="s">
        <v>115</v>
      </c>
      <c r="G2933" s="1454"/>
      <c r="H2933" s="30">
        <v>30212013</v>
      </c>
      <c r="I2933" s="35"/>
      <c r="J2933" s="30">
        <v>6</v>
      </c>
      <c r="K2933" s="30">
        <v>1</v>
      </c>
      <c r="L2933" s="30"/>
      <c r="M2933" s="1454"/>
      <c r="N2933" s="1461"/>
    </row>
    <row r="2934" spans="2:14" ht="16.5" customHeight="1">
      <c r="B2934" s="1448"/>
      <c r="C2934" s="1448"/>
      <c r="D2934" s="1448"/>
      <c r="E2934" s="30"/>
      <c r="F2934" s="31" t="s">
        <v>116</v>
      </c>
      <c r="G2934" s="1454"/>
      <c r="H2934" s="30">
        <v>30212008</v>
      </c>
      <c r="I2934" s="35"/>
      <c r="J2934" s="30">
        <v>6</v>
      </c>
      <c r="K2934" s="30">
        <v>1</v>
      </c>
      <c r="L2934" s="30"/>
      <c r="M2934" s="1454"/>
      <c r="N2934" s="1461"/>
    </row>
    <row r="2935" spans="2:14" ht="16.5" customHeight="1">
      <c r="B2935" s="1448"/>
      <c r="C2935" s="1448"/>
      <c r="D2935" s="1448"/>
      <c r="E2935" s="30"/>
      <c r="F2935" s="31" t="s">
        <v>117</v>
      </c>
      <c r="G2935" s="1454"/>
      <c r="H2935" s="30">
        <v>30212009</v>
      </c>
      <c r="I2935" s="35"/>
      <c r="J2935" s="30">
        <v>6</v>
      </c>
      <c r="K2935" s="30">
        <v>1</v>
      </c>
      <c r="L2935" s="30"/>
      <c r="M2935" s="1454"/>
      <c r="N2935" s="1461"/>
    </row>
    <row r="2936" spans="2:14" ht="16.5" customHeight="1">
      <c r="B2936" s="1448"/>
      <c r="C2936" s="1448"/>
      <c r="D2936" s="1448"/>
      <c r="E2936" s="30"/>
      <c r="F2936" s="31" t="s">
        <v>1048</v>
      </c>
      <c r="G2936" s="1454"/>
      <c r="H2936" s="30">
        <v>30215953</v>
      </c>
      <c r="I2936" s="35"/>
      <c r="J2936" s="30">
        <v>6</v>
      </c>
      <c r="K2936" s="30">
        <v>1</v>
      </c>
      <c r="L2936" s="30"/>
      <c r="M2936" s="1454"/>
      <c r="N2936" s="1461"/>
    </row>
    <row r="2937" spans="2:14" ht="16.5" customHeight="1">
      <c r="B2937" s="1448"/>
      <c r="C2937" s="1448"/>
      <c r="D2937" s="1448"/>
      <c r="E2937" s="30"/>
      <c r="F2937" s="31" t="s">
        <v>1049</v>
      </c>
      <c r="G2937" s="1454"/>
      <c r="H2937" s="30">
        <v>30215949</v>
      </c>
      <c r="I2937" s="35"/>
      <c r="J2937" s="30">
        <v>6</v>
      </c>
      <c r="K2937" s="30">
        <v>1</v>
      </c>
      <c r="L2937" s="30"/>
      <c r="M2937" s="1454"/>
      <c r="N2937" s="1461"/>
    </row>
    <row r="2938" spans="2:14" ht="16.5" customHeight="1">
      <c r="B2938" s="1448"/>
      <c r="C2938" s="1448"/>
      <c r="D2938" s="1448"/>
      <c r="E2938" s="30"/>
      <c r="F2938" s="31" t="s">
        <v>1050</v>
      </c>
      <c r="G2938" s="1454"/>
      <c r="H2938" s="30">
        <v>30215950</v>
      </c>
      <c r="I2938" s="35"/>
      <c r="J2938" s="30">
        <v>6</v>
      </c>
      <c r="K2938" s="30">
        <v>1</v>
      </c>
      <c r="L2938" s="30"/>
      <c r="M2938" s="1454"/>
      <c r="N2938" s="1461"/>
    </row>
    <row r="2939" spans="2:14" ht="16.5" customHeight="1">
      <c r="B2939" s="1448"/>
      <c r="C2939" s="1448"/>
      <c r="D2939" s="1448"/>
      <c r="E2939" s="30"/>
      <c r="F2939" s="31" t="s">
        <v>1051</v>
      </c>
      <c r="G2939" s="1454"/>
      <c r="H2939" s="30">
        <v>30215951</v>
      </c>
      <c r="I2939" s="35"/>
      <c r="J2939" s="30">
        <v>6</v>
      </c>
      <c r="K2939" s="30">
        <v>1</v>
      </c>
      <c r="L2939" s="30"/>
      <c r="M2939" s="1454"/>
      <c r="N2939" s="1461"/>
    </row>
    <row r="2940" spans="2:14" ht="16.5" customHeight="1">
      <c r="B2940" s="1448"/>
      <c r="C2940" s="1448">
        <v>10</v>
      </c>
      <c r="D2940" s="1448" t="s">
        <v>118</v>
      </c>
      <c r="E2940" s="30"/>
      <c r="F2940" s="31" t="s">
        <v>119</v>
      </c>
      <c r="G2940" s="1454" t="s">
        <v>120</v>
      </c>
      <c r="H2940" s="30">
        <v>30211488</v>
      </c>
      <c r="I2940" s="35">
        <v>17900</v>
      </c>
      <c r="J2940" s="30">
        <v>6</v>
      </c>
      <c r="K2940" s="30">
        <v>1</v>
      </c>
      <c r="L2940" s="30"/>
      <c r="M2940" s="1454" t="s">
        <v>120</v>
      </c>
      <c r="N2940" s="1461"/>
    </row>
    <row r="2941" spans="2:14" ht="16.5" customHeight="1">
      <c r="B2941" s="1448"/>
      <c r="C2941" s="1448"/>
      <c r="D2941" s="1448"/>
      <c r="E2941" s="30"/>
      <c r="F2941" s="31" t="s">
        <v>121</v>
      </c>
      <c r="G2941" s="1454"/>
      <c r="H2941" s="30">
        <v>30211489</v>
      </c>
      <c r="I2941" s="35">
        <v>17900</v>
      </c>
      <c r="J2941" s="30">
        <v>6</v>
      </c>
      <c r="K2941" s="30">
        <v>1</v>
      </c>
      <c r="L2941" s="30"/>
      <c r="M2941" s="1454"/>
      <c r="N2941" s="1461"/>
    </row>
    <row r="2942" spans="2:14" ht="16.5" customHeight="1">
      <c r="B2942" s="1448"/>
      <c r="C2942" s="1448"/>
      <c r="D2942" s="1448"/>
      <c r="E2942" s="30"/>
      <c r="F2942" s="31" t="s">
        <v>122</v>
      </c>
      <c r="G2942" s="1454"/>
      <c r="H2942" s="30">
        <v>30211490</v>
      </c>
      <c r="I2942" s="35">
        <v>20900</v>
      </c>
      <c r="J2942" s="30">
        <v>6</v>
      </c>
      <c r="K2942" s="30">
        <v>1</v>
      </c>
      <c r="L2942" s="30"/>
      <c r="M2942" s="1454"/>
      <c r="N2942" s="1461"/>
    </row>
    <row r="2943" spans="2:14" ht="16.5" customHeight="1">
      <c r="B2943" s="1448"/>
      <c r="C2943" s="1448">
        <v>11</v>
      </c>
      <c r="D2943" s="1448" t="s">
        <v>123</v>
      </c>
      <c r="E2943" s="30"/>
      <c r="F2943" s="31" t="s">
        <v>124</v>
      </c>
      <c r="G2943" s="1454" t="s">
        <v>125</v>
      </c>
      <c r="H2943" s="30">
        <v>30211492</v>
      </c>
      <c r="I2943" s="35">
        <v>39900</v>
      </c>
      <c r="J2943" s="30">
        <v>6</v>
      </c>
      <c r="K2943" s="30">
        <v>1</v>
      </c>
      <c r="L2943" s="30"/>
      <c r="M2943" s="1454" t="s">
        <v>125</v>
      </c>
      <c r="N2943" s="1461"/>
    </row>
    <row r="2944" spans="2:14" ht="16.5" customHeight="1">
      <c r="B2944" s="1448"/>
      <c r="C2944" s="1448"/>
      <c r="D2944" s="1448"/>
      <c r="E2944" s="30"/>
      <c r="F2944" s="31" t="s">
        <v>126</v>
      </c>
      <c r="G2944" s="1454"/>
      <c r="H2944" s="30">
        <v>30211493</v>
      </c>
      <c r="I2944" s="35">
        <v>39900</v>
      </c>
      <c r="J2944" s="30">
        <v>6</v>
      </c>
      <c r="K2944" s="30">
        <v>1</v>
      </c>
      <c r="L2944" s="30"/>
      <c r="M2944" s="1454"/>
      <c r="N2944" s="1461"/>
    </row>
    <row r="2945" spans="2:14" ht="16.5" customHeight="1">
      <c r="B2945" s="1448"/>
      <c r="C2945" s="1448">
        <v>12</v>
      </c>
      <c r="D2945" s="1448" t="s">
        <v>127</v>
      </c>
      <c r="E2945" s="30"/>
      <c r="F2945" s="31" t="s">
        <v>135</v>
      </c>
      <c r="G2945" s="1454" t="s">
        <v>129</v>
      </c>
      <c r="H2945" s="30">
        <v>30211502</v>
      </c>
      <c r="I2945" s="35">
        <v>8900</v>
      </c>
      <c r="J2945" s="30">
        <v>6</v>
      </c>
      <c r="K2945" s="30">
        <v>1</v>
      </c>
      <c r="L2945" s="30"/>
      <c r="M2945" s="1454" t="s">
        <v>129</v>
      </c>
      <c r="N2945" s="1461"/>
    </row>
    <row r="2946" spans="2:14" ht="16.5" customHeight="1">
      <c r="B2946" s="1448"/>
      <c r="C2946" s="1448"/>
      <c r="D2946" s="1448"/>
      <c r="E2946" s="30"/>
      <c r="F2946" s="31" t="s">
        <v>136</v>
      </c>
      <c r="G2946" s="1454"/>
      <c r="H2946" s="30">
        <v>30211503</v>
      </c>
      <c r="I2946" s="35">
        <v>12900</v>
      </c>
      <c r="J2946" s="30">
        <v>6</v>
      </c>
      <c r="K2946" s="30">
        <v>1</v>
      </c>
      <c r="L2946" s="30"/>
      <c r="M2946" s="1454"/>
      <c r="N2946" s="1461"/>
    </row>
    <row r="2947" spans="2:14" ht="16.5" customHeight="1">
      <c r="B2947" s="1448"/>
      <c r="C2947" s="1448"/>
      <c r="D2947" s="1448"/>
      <c r="E2947" s="30"/>
      <c r="F2947" s="31" t="s">
        <v>132</v>
      </c>
      <c r="G2947" s="1454"/>
      <c r="H2947" s="30">
        <v>30211498</v>
      </c>
      <c r="I2947" s="35">
        <v>16900</v>
      </c>
      <c r="J2947" s="30">
        <v>6</v>
      </c>
      <c r="K2947" s="30">
        <v>1</v>
      </c>
      <c r="L2947" s="30"/>
      <c r="M2947" s="1454"/>
      <c r="N2947" s="1461"/>
    </row>
    <row r="2948" spans="2:14" ht="16.5" customHeight="1">
      <c r="B2948" s="1448"/>
      <c r="C2948" s="1448"/>
      <c r="D2948" s="1448"/>
      <c r="E2948" s="30"/>
      <c r="F2948" s="31" t="s">
        <v>133</v>
      </c>
      <c r="G2948" s="1454"/>
      <c r="H2948" s="30">
        <v>30211499</v>
      </c>
      <c r="I2948" s="35">
        <v>21900</v>
      </c>
      <c r="J2948" s="30">
        <v>6</v>
      </c>
      <c r="K2948" s="30">
        <v>1</v>
      </c>
      <c r="L2948" s="30"/>
      <c r="M2948" s="1454"/>
      <c r="N2948" s="1461"/>
    </row>
    <row r="2949" spans="2:14" ht="16.5" customHeight="1">
      <c r="B2949" s="1448"/>
      <c r="C2949" s="1448"/>
      <c r="D2949" s="1448"/>
      <c r="E2949" s="30"/>
      <c r="F2949" s="31" t="s">
        <v>131</v>
      </c>
      <c r="G2949" s="1454"/>
      <c r="H2949" s="30">
        <v>30211497</v>
      </c>
      <c r="I2949" s="35">
        <v>21500</v>
      </c>
      <c r="J2949" s="30">
        <v>6</v>
      </c>
      <c r="K2949" s="30">
        <v>1</v>
      </c>
      <c r="L2949" s="30"/>
      <c r="M2949" s="1454"/>
      <c r="N2949" s="1461"/>
    </row>
    <row r="2950" spans="2:14" ht="16.5" customHeight="1">
      <c r="B2950" s="1448"/>
      <c r="C2950" s="1448"/>
      <c r="D2950" s="1448"/>
      <c r="E2950" s="30"/>
      <c r="F2950" s="31" t="s">
        <v>134</v>
      </c>
      <c r="G2950" s="1454"/>
      <c r="H2950" s="30">
        <v>30211501</v>
      </c>
      <c r="I2950" s="35">
        <v>23900</v>
      </c>
      <c r="J2950" s="30">
        <v>6</v>
      </c>
      <c r="K2950" s="30">
        <v>1</v>
      </c>
      <c r="L2950" s="30"/>
      <c r="M2950" s="1454"/>
      <c r="N2950" s="1461"/>
    </row>
    <row r="2951" spans="2:14" ht="16.5" customHeight="1">
      <c r="B2951" s="1448"/>
      <c r="C2951" s="1448"/>
      <c r="D2951" s="1448"/>
      <c r="E2951" s="30"/>
      <c r="F2951" s="31" t="s">
        <v>130</v>
      </c>
      <c r="G2951" s="1454"/>
      <c r="H2951" s="30">
        <v>30211495</v>
      </c>
      <c r="I2951" s="35">
        <v>23900</v>
      </c>
      <c r="J2951" s="30">
        <v>6</v>
      </c>
      <c r="K2951" s="30">
        <v>1</v>
      </c>
      <c r="L2951" s="30"/>
      <c r="M2951" s="1454"/>
      <c r="N2951" s="1461"/>
    </row>
    <row r="2952" spans="2:14" ht="16.5" customHeight="1">
      <c r="B2952" s="1448"/>
      <c r="C2952" s="1448"/>
      <c r="D2952" s="1448"/>
      <c r="E2952" s="30"/>
      <c r="F2952" s="31" t="s">
        <v>128</v>
      </c>
      <c r="G2952" s="1454"/>
      <c r="H2952" s="30">
        <v>30211626</v>
      </c>
      <c r="I2952" s="35">
        <v>16500</v>
      </c>
      <c r="J2952" s="30">
        <v>6</v>
      </c>
      <c r="K2952" s="30">
        <v>1</v>
      </c>
      <c r="L2952" s="30"/>
      <c r="M2952" s="1454"/>
      <c r="N2952" s="1461"/>
    </row>
    <row r="2953" spans="2:14" ht="16.5" customHeight="1">
      <c r="B2953" s="1448" t="s">
        <v>221</v>
      </c>
      <c r="C2953" s="1448">
        <v>1</v>
      </c>
      <c r="D2953" s="1448" t="s">
        <v>2971</v>
      </c>
      <c r="E2953" s="471">
        <v>78024902</v>
      </c>
      <c r="F2953" s="472" t="s">
        <v>2972</v>
      </c>
      <c r="G2953" s="1448" t="s">
        <v>2973</v>
      </c>
      <c r="H2953" s="30"/>
      <c r="I2953" s="30">
        <v>23900</v>
      </c>
      <c r="J2953" s="30"/>
      <c r="K2953" s="30">
        <v>5</v>
      </c>
      <c r="L2953" s="30"/>
      <c r="M2953" s="1460" t="s">
        <v>2974</v>
      </c>
      <c r="N2953" s="1445"/>
    </row>
    <row r="2954" spans="2:14" ht="16.5" customHeight="1">
      <c r="B2954" s="1448"/>
      <c r="C2954" s="1448"/>
      <c r="D2954" s="1448"/>
      <c r="E2954" s="471">
        <v>45184762</v>
      </c>
      <c r="F2954" s="472" t="s">
        <v>2259</v>
      </c>
      <c r="G2954" s="1448"/>
      <c r="H2954" s="30"/>
      <c r="I2954" s="30">
        <v>11450</v>
      </c>
      <c r="J2954" s="30">
        <v>10</v>
      </c>
      <c r="K2954" s="30">
        <v>5</v>
      </c>
      <c r="L2954" s="30"/>
      <c r="M2954" s="1460"/>
      <c r="N2954" s="1446"/>
    </row>
    <row r="2955" spans="2:14" ht="16.5" customHeight="1">
      <c r="B2955" s="1448"/>
      <c r="C2955" s="1448"/>
      <c r="D2955" s="1448"/>
      <c r="E2955" s="471">
        <v>78024542</v>
      </c>
      <c r="F2955" s="472" t="s">
        <v>2975</v>
      </c>
      <c r="G2955" s="1448"/>
      <c r="H2955" s="30"/>
      <c r="I2955" s="30">
        <v>12950</v>
      </c>
      <c r="J2955" s="30">
        <v>10</v>
      </c>
      <c r="K2955" s="30">
        <v>5</v>
      </c>
      <c r="L2955" s="30"/>
      <c r="M2955" s="1460"/>
      <c r="N2955" s="1446"/>
    </row>
    <row r="2956" spans="2:14" ht="16.5" customHeight="1">
      <c r="B2956" s="1448"/>
      <c r="C2956" s="1448"/>
      <c r="D2956" s="1448"/>
      <c r="E2956" s="471">
        <v>78024540</v>
      </c>
      <c r="F2956" s="472" t="s">
        <v>2976</v>
      </c>
      <c r="G2956" s="1448"/>
      <c r="H2956" s="30"/>
      <c r="I2956" s="30">
        <v>12950</v>
      </c>
      <c r="J2956" s="30">
        <v>10</v>
      </c>
      <c r="K2956" s="30">
        <v>5</v>
      </c>
      <c r="L2956" s="30"/>
      <c r="M2956" s="1460"/>
      <c r="N2956" s="1446"/>
    </row>
    <row r="2957" spans="2:14" ht="16.5" customHeight="1">
      <c r="B2957" s="1448"/>
      <c r="C2957" s="1448"/>
      <c r="D2957" s="1448"/>
      <c r="E2957" s="471">
        <v>78024539</v>
      </c>
      <c r="F2957" s="472" t="s">
        <v>2977</v>
      </c>
      <c r="G2957" s="1448"/>
      <c r="H2957" s="30"/>
      <c r="I2957" s="30">
        <v>12950</v>
      </c>
      <c r="J2957" s="30">
        <v>10</v>
      </c>
      <c r="K2957" s="30">
        <v>5</v>
      </c>
      <c r="L2957" s="30"/>
      <c r="M2957" s="1460"/>
      <c r="N2957" s="1446"/>
    </row>
    <row r="2958" spans="2:14" ht="16.5" customHeight="1">
      <c r="B2958" s="1448"/>
      <c r="C2958" s="1448"/>
      <c r="D2958" s="1448"/>
      <c r="E2958" s="471">
        <v>78023535</v>
      </c>
      <c r="F2958" s="472" t="s">
        <v>2978</v>
      </c>
      <c r="G2958" s="1448"/>
      <c r="H2958" s="30"/>
      <c r="I2958" s="30">
        <v>16900</v>
      </c>
      <c r="J2958" s="30">
        <v>10</v>
      </c>
      <c r="K2958" s="30">
        <v>5</v>
      </c>
      <c r="L2958" s="30"/>
      <c r="M2958" s="1460"/>
      <c r="N2958" s="1446"/>
    </row>
    <row r="2959" spans="2:14" ht="16.5" customHeight="1">
      <c r="B2959" s="1448"/>
      <c r="C2959" s="1448"/>
      <c r="D2959" s="1448"/>
      <c r="E2959" s="471">
        <v>78023728</v>
      </c>
      <c r="F2959" s="472" t="s">
        <v>2979</v>
      </c>
      <c r="G2959" s="1448"/>
      <c r="H2959" s="30"/>
      <c r="I2959" s="30">
        <v>18900</v>
      </c>
      <c r="J2959" s="30">
        <v>10</v>
      </c>
      <c r="K2959" s="30">
        <v>5</v>
      </c>
      <c r="L2959" s="30"/>
      <c r="M2959" s="1460"/>
      <c r="N2959" s="1446"/>
    </row>
    <row r="2960" spans="2:14" ht="16.5" customHeight="1">
      <c r="B2960" s="1448"/>
      <c r="C2960" s="1448"/>
      <c r="D2960" s="1448"/>
      <c r="E2960" s="471">
        <v>52460607</v>
      </c>
      <c r="F2960" s="472" t="s">
        <v>2980</v>
      </c>
      <c r="G2960" s="1448"/>
      <c r="H2960" s="30"/>
      <c r="I2960" s="30">
        <v>21900</v>
      </c>
      <c r="J2960" s="30">
        <v>10</v>
      </c>
      <c r="K2960" s="30">
        <v>5</v>
      </c>
      <c r="L2960" s="30"/>
      <c r="M2960" s="1460"/>
      <c r="N2960" s="1446"/>
    </row>
    <row r="2961" spans="2:15" ht="16.5" customHeight="1">
      <c r="B2961" s="1448"/>
      <c r="C2961" s="1448"/>
      <c r="D2961" s="1448"/>
      <c r="E2961" s="471">
        <v>52460606</v>
      </c>
      <c r="F2961" s="472" t="s">
        <v>2981</v>
      </c>
      <c r="G2961" s="1448"/>
      <c r="H2961" s="30"/>
      <c r="I2961" s="30">
        <v>21900</v>
      </c>
      <c r="J2961" s="30">
        <v>10</v>
      </c>
      <c r="K2961" s="30">
        <v>5</v>
      </c>
      <c r="L2961" s="30"/>
      <c r="M2961" s="1460"/>
      <c r="N2961" s="1447"/>
    </row>
    <row r="2962" spans="2:15" ht="16.5" customHeight="1">
      <c r="B2962" s="1448"/>
      <c r="C2962" s="1448"/>
      <c r="D2962" s="1448"/>
      <c r="E2962" s="30">
        <v>52460604</v>
      </c>
      <c r="F2962" s="31" t="s">
        <v>2982</v>
      </c>
      <c r="G2962" s="30"/>
      <c r="H2962" s="30"/>
      <c r="I2962" s="30">
        <v>21900</v>
      </c>
      <c r="J2962" s="30">
        <v>10</v>
      </c>
      <c r="K2962" s="30">
        <v>5</v>
      </c>
      <c r="L2962" s="30"/>
      <c r="M2962" s="31"/>
      <c r="N2962" s="69"/>
    </row>
    <row r="2963" spans="2:15" ht="16.5" customHeight="1">
      <c r="B2963" s="1448"/>
      <c r="C2963" s="29">
        <v>2</v>
      </c>
      <c r="D2963" s="29" t="s">
        <v>2983</v>
      </c>
      <c r="E2963" s="30">
        <v>30184206</v>
      </c>
      <c r="F2963" s="31" t="s">
        <v>2984</v>
      </c>
      <c r="G2963" s="30" t="s">
        <v>2985</v>
      </c>
      <c r="H2963" s="30"/>
      <c r="I2963" s="30">
        <v>35900</v>
      </c>
      <c r="J2963" s="30">
        <v>10</v>
      </c>
      <c r="K2963" s="30">
        <v>5</v>
      </c>
      <c r="L2963" s="30">
        <f t="shared" ref="L2963:L2968" si="12">I2963*K2963</f>
        <v>179500</v>
      </c>
      <c r="M2963" s="31" t="s">
        <v>2986</v>
      </c>
      <c r="N2963" s="69"/>
    </row>
    <row r="2964" spans="2:15" ht="16.5" customHeight="1">
      <c r="B2964" s="1448"/>
      <c r="C2964" s="29">
        <v>3</v>
      </c>
      <c r="D2964" s="29" t="s">
        <v>2987</v>
      </c>
      <c r="E2964" s="471">
        <v>30123786</v>
      </c>
      <c r="F2964" s="473" t="s">
        <v>2988</v>
      </c>
      <c r="G2964" s="474" t="s">
        <v>2989</v>
      </c>
      <c r="H2964" s="30"/>
      <c r="I2964" s="30">
        <v>14900</v>
      </c>
      <c r="J2964" s="30">
        <v>10</v>
      </c>
      <c r="K2964" s="30">
        <v>5</v>
      </c>
      <c r="L2964" s="30">
        <f t="shared" si="12"/>
        <v>74500</v>
      </c>
      <c r="M2964" s="475" t="s">
        <v>2990</v>
      </c>
      <c r="N2964" s="69"/>
    </row>
    <row r="2965" spans="2:15" ht="16.5" customHeight="1">
      <c r="B2965" s="1448"/>
      <c r="C2965" s="1448">
        <v>4</v>
      </c>
      <c r="D2965" s="1448" t="s">
        <v>2991</v>
      </c>
      <c r="E2965" s="471">
        <v>11111576</v>
      </c>
      <c r="F2965" s="472" t="s">
        <v>2992</v>
      </c>
      <c r="G2965" s="1448" t="s">
        <v>2992</v>
      </c>
      <c r="H2965" s="30"/>
      <c r="I2965" s="30">
        <v>18900</v>
      </c>
      <c r="J2965" s="30">
        <v>10</v>
      </c>
      <c r="K2965" s="30">
        <v>5</v>
      </c>
      <c r="L2965" s="30">
        <f t="shared" si="12"/>
        <v>94500</v>
      </c>
      <c r="M2965" s="1460" t="s">
        <v>2993</v>
      </c>
      <c r="N2965" s="1445"/>
    </row>
    <row r="2966" spans="2:15" ht="16.5" customHeight="1">
      <c r="B2966" s="1448"/>
      <c r="C2966" s="1448"/>
      <c r="D2966" s="1448"/>
      <c r="E2966" s="471">
        <v>11111614</v>
      </c>
      <c r="F2966" s="472" t="s">
        <v>2994</v>
      </c>
      <c r="G2966" s="1448"/>
      <c r="H2966" s="30"/>
      <c r="I2966" s="30">
        <v>18900</v>
      </c>
      <c r="J2966" s="30">
        <v>10</v>
      </c>
      <c r="K2966" s="30">
        <v>5</v>
      </c>
      <c r="L2966" s="30">
        <f t="shared" si="12"/>
        <v>94500</v>
      </c>
      <c r="M2966" s="1460"/>
      <c r="N2966" s="1446"/>
    </row>
    <row r="2967" spans="2:15" ht="16.5" customHeight="1">
      <c r="B2967" s="1448"/>
      <c r="C2967" s="1448"/>
      <c r="D2967" s="1448"/>
      <c r="E2967" s="471">
        <v>30211798</v>
      </c>
      <c r="F2967" s="472" t="s">
        <v>2995</v>
      </c>
      <c r="G2967" s="1448"/>
      <c r="H2967" s="30"/>
      <c r="I2967" s="30">
        <v>13900</v>
      </c>
      <c r="J2967" s="30">
        <v>10</v>
      </c>
      <c r="K2967" s="30">
        <v>5</v>
      </c>
      <c r="L2967" s="30">
        <f t="shared" si="12"/>
        <v>69500</v>
      </c>
      <c r="M2967" s="1460"/>
      <c r="N2967" s="1447"/>
    </row>
    <row r="2968" spans="2:15" ht="16.5" customHeight="1">
      <c r="B2968" s="1448" t="s">
        <v>1109</v>
      </c>
      <c r="C2968" s="1448">
        <v>1</v>
      </c>
      <c r="D2968" s="1448" t="s">
        <v>2996</v>
      </c>
      <c r="E2968" s="30">
        <v>30092500</v>
      </c>
      <c r="F2968" s="31" t="s">
        <v>2997</v>
      </c>
      <c r="G2968" s="1448" t="s">
        <v>2998</v>
      </c>
      <c r="H2968" s="30">
        <v>30192022</v>
      </c>
      <c r="I2968" s="35">
        <v>4900</v>
      </c>
      <c r="J2968" s="64">
        <v>0.09</v>
      </c>
      <c r="K2968" s="1448">
        <v>5</v>
      </c>
      <c r="L2968" s="1448">
        <f t="shared" si="12"/>
        <v>24500</v>
      </c>
      <c r="M2968" s="1454"/>
      <c r="N2968" s="1445"/>
    </row>
    <row r="2969" spans="2:15" ht="16.5" customHeight="1">
      <c r="B2969" s="1448"/>
      <c r="C2969" s="1448"/>
      <c r="D2969" s="1448"/>
      <c r="E2969" s="30">
        <v>30092511</v>
      </c>
      <c r="F2969" s="31" t="s">
        <v>2999</v>
      </c>
      <c r="G2969" s="1448"/>
      <c r="H2969" s="30">
        <v>30191994</v>
      </c>
      <c r="I2969" s="35">
        <v>4900</v>
      </c>
      <c r="J2969" s="64">
        <v>0.09</v>
      </c>
      <c r="K2969" s="1448"/>
      <c r="L2969" s="1448"/>
      <c r="M2969" s="1454"/>
      <c r="N2969" s="1446"/>
    </row>
    <row r="2970" spans="2:15" ht="16.5" customHeight="1">
      <c r="B2970" s="1448"/>
      <c r="C2970" s="1448"/>
      <c r="D2970" s="1448"/>
      <c r="E2970" s="30">
        <v>30092519</v>
      </c>
      <c r="F2970" s="31" t="s">
        <v>3000</v>
      </c>
      <c r="G2970" s="1448"/>
      <c r="H2970" s="30">
        <v>30222724</v>
      </c>
      <c r="I2970" s="35">
        <v>4900</v>
      </c>
      <c r="J2970" s="64">
        <v>0.09</v>
      </c>
      <c r="K2970" s="1448"/>
      <c r="L2970" s="1448"/>
      <c r="M2970" s="1454"/>
      <c r="N2970" s="1446"/>
    </row>
    <row r="2971" spans="2:15" ht="16.5" customHeight="1">
      <c r="B2971" s="1448"/>
      <c r="C2971" s="1448"/>
      <c r="D2971" s="1448"/>
      <c r="E2971" s="30">
        <v>30221993</v>
      </c>
      <c r="F2971" s="31" t="s">
        <v>3001</v>
      </c>
      <c r="G2971" s="1448"/>
      <c r="H2971" s="30">
        <v>30222730</v>
      </c>
      <c r="I2971" s="35">
        <v>5900</v>
      </c>
      <c r="J2971" s="64">
        <v>0.09</v>
      </c>
      <c r="K2971" s="1448"/>
      <c r="L2971" s="1448"/>
      <c r="M2971" s="1454"/>
      <c r="N2971" s="1447"/>
    </row>
    <row r="2972" spans="2:15" ht="16.5" customHeight="1">
      <c r="B2972" s="1448"/>
      <c r="C2972" s="1448">
        <v>2</v>
      </c>
      <c r="D2972" s="1448" t="s">
        <v>1255</v>
      </c>
      <c r="E2972" s="30">
        <v>30199755</v>
      </c>
      <c r="F2972" s="31" t="s">
        <v>1117</v>
      </c>
      <c r="G2972" s="1448" t="s">
        <v>3002</v>
      </c>
      <c r="H2972" s="129">
        <v>30210592</v>
      </c>
      <c r="I2972" s="35">
        <v>9520</v>
      </c>
      <c r="J2972" s="64">
        <v>0.1</v>
      </c>
      <c r="K2972" s="1448">
        <v>5</v>
      </c>
      <c r="L2972" s="1448">
        <f>I2972*5</f>
        <v>47600</v>
      </c>
      <c r="M2972" s="1454"/>
      <c r="N2972" s="1445"/>
      <c r="O2972" s="4" t="s">
        <v>19</v>
      </c>
    </row>
    <row r="2973" spans="2:15" ht="16.5" customHeight="1">
      <c r="B2973" s="1448"/>
      <c r="C2973" s="1448"/>
      <c r="D2973" s="1448"/>
      <c r="E2973" s="30">
        <v>30207341</v>
      </c>
      <c r="F2973" s="31" t="s">
        <v>1118</v>
      </c>
      <c r="G2973" s="1448"/>
      <c r="H2973" s="30">
        <v>30215508</v>
      </c>
      <c r="I2973" s="35">
        <v>9025</v>
      </c>
      <c r="J2973" s="64">
        <v>0.1</v>
      </c>
      <c r="K2973" s="1448"/>
      <c r="L2973" s="1448"/>
      <c r="M2973" s="1454"/>
      <c r="N2973" s="1446"/>
    </row>
    <row r="2974" spans="2:15" ht="16.5" customHeight="1">
      <c r="B2974" s="1448"/>
      <c r="C2974" s="1448"/>
      <c r="D2974" s="1448"/>
      <c r="E2974" s="30">
        <v>30201334</v>
      </c>
      <c r="F2974" s="31" t="s">
        <v>1119</v>
      </c>
      <c r="G2974" s="1448"/>
      <c r="H2974" s="30">
        <v>30210594</v>
      </c>
      <c r="I2974" s="35">
        <v>9410</v>
      </c>
      <c r="J2974" s="64">
        <v>0.1</v>
      </c>
      <c r="K2974" s="1448"/>
      <c r="L2974" s="1448"/>
      <c r="M2974" s="1454"/>
      <c r="N2974" s="1446"/>
    </row>
    <row r="2975" spans="2:15" ht="16.5" customHeight="1">
      <c r="B2975" s="1448"/>
      <c r="C2975" s="1448"/>
      <c r="D2975" s="1448"/>
      <c r="E2975" s="30">
        <v>30221723</v>
      </c>
      <c r="F2975" s="31" t="s">
        <v>3003</v>
      </c>
      <c r="G2975" s="1448"/>
      <c r="H2975" s="30">
        <v>30222745</v>
      </c>
      <c r="I2975" s="35">
        <v>25390</v>
      </c>
      <c r="J2975" s="64">
        <v>0.1</v>
      </c>
      <c r="K2975" s="1448"/>
      <c r="L2975" s="1448"/>
      <c r="M2975" s="1454"/>
      <c r="N2975" s="1446"/>
    </row>
    <row r="2976" spans="2:15" ht="16.5" customHeight="1">
      <c r="B2976" s="1448"/>
      <c r="C2976" s="1448"/>
      <c r="D2976" s="1448"/>
      <c r="E2976" s="30">
        <v>30221455</v>
      </c>
      <c r="F2976" s="31" t="s">
        <v>3004</v>
      </c>
      <c r="G2976" s="1448"/>
      <c r="H2976" s="30">
        <v>30222749</v>
      </c>
      <c r="I2976" s="35">
        <v>9300</v>
      </c>
      <c r="J2976" s="64">
        <v>0.1</v>
      </c>
      <c r="K2976" s="1448"/>
      <c r="L2976" s="1448"/>
      <c r="M2976" s="1454"/>
      <c r="N2976" s="1446"/>
    </row>
    <row r="2977" spans="2:15" ht="16.5" customHeight="1">
      <c r="B2977" s="1448"/>
      <c r="C2977" s="1448"/>
      <c r="D2977" s="1448"/>
      <c r="E2977" s="30">
        <v>30221453</v>
      </c>
      <c r="F2977" s="31" t="s">
        <v>3005</v>
      </c>
      <c r="G2977" s="1448"/>
      <c r="H2977" s="30">
        <v>30222751</v>
      </c>
      <c r="I2977" s="35">
        <v>10520</v>
      </c>
      <c r="J2977" s="64">
        <v>0.1</v>
      </c>
      <c r="K2977" s="1448"/>
      <c r="L2977" s="1448"/>
      <c r="M2977" s="1454"/>
      <c r="N2977" s="1447"/>
    </row>
    <row r="2978" spans="2:15" ht="16.5" customHeight="1">
      <c r="B2978" s="1448" t="s">
        <v>165</v>
      </c>
      <c r="C2978" s="1448">
        <v>1</v>
      </c>
      <c r="D2978" s="1448" t="s">
        <v>1541</v>
      </c>
      <c r="E2978" s="30">
        <v>61703703</v>
      </c>
      <c r="F2978" s="31" t="s">
        <v>174</v>
      </c>
      <c r="G2978" s="1448" t="s">
        <v>176</v>
      </c>
      <c r="H2978" s="30">
        <v>30177528</v>
      </c>
      <c r="I2978" s="30">
        <v>12900</v>
      </c>
      <c r="J2978" s="64">
        <v>0.13</v>
      </c>
      <c r="K2978" s="1448">
        <v>5</v>
      </c>
      <c r="L2978" s="1448">
        <f>I2978*5</f>
        <v>64500</v>
      </c>
      <c r="M2978" s="1454" t="s">
        <v>3006</v>
      </c>
      <c r="N2978" s="1445"/>
      <c r="O2978" s="4" t="s">
        <v>19</v>
      </c>
    </row>
    <row r="2979" spans="2:15" ht="16.5" customHeight="1">
      <c r="B2979" s="1448"/>
      <c r="C2979" s="1448"/>
      <c r="D2979" s="1448"/>
      <c r="E2979" s="30">
        <v>61703694</v>
      </c>
      <c r="F2979" s="31" t="s">
        <v>177</v>
      </c>
      <c r="G2979" s="1448"/>
      <c r="H2979" s="30">
        <v>30177530</v>
      </c>
      <c r="I2979" s="30">
        <v>14900</v>
      </c>
      <c r="J2979" s="64">
        <v>0.13</v>
      </c>
      <c r="K2979" s="1448"/>
      <c r="L2979" s="1448"/>
      <c r="M2979" s="1454"/>
      <c r="N2979" s="1446"/>
    </row>
    <row r="2980" spans="2:15" ht="16.5" customHeight="1">
      <c r="B2980" s="1448"/>
      <c r="C2980" s="1448"/>
      <c r="D2980" s="1448"/>
      <c r="E2980" s="30">
        <v>61703689</v>
      </c>
      <c r="F2980" s="31" t="s">
        <v>178</v>
      </c>
      <c r="G2980" s="1448"/>
      <c r="H2980" s="30">
        <v>30214024</v>
      </c>
      <c r="I2980" s="30">
        <v>22900</v>
      </c>
      <c r="J2980" s="64">
        <v>0.13</v>
      </c>
      <c r="K2980" s="1448"/>
      <c r="L2980" s="1448"/>
      <c r="M2980" s="1454"/>
      <c r="N2980" s="1446"/>
    </row>
    <row r="2981" spans="2:15" ht="16.5" customHeight="1">
      <c r="B2981" s="1448"/>
      <c r="C2981" s="1448"/>
      <c r="D2981" s="1448"/>
      <c r="E2981" s="30">
        <v>61703682</v>
      </c>
      <c r="F2981" s="31" t="s">
        <v>179</v>
      </c>
      <c r="G2981" s="1448"/>
      <c r="H2981" s="30">
        <v>30214025</v>
      </c>
      <c r="I2981" s="30">
        <v>25900</v>
      </c>
      <c r="J2981" s="64">
        <v>0.13</v>
      </c>
      <c r="K2981" s="1448"/>
      <c r="L2981" s="1448"/>
      <c r="M2981" s="1454"/>
      <c r="N2981" s="1447"/>
    </row>
    <row r="2982" spans="2:15" ht="16.5" customHeight="1">
      <c r="B2982" s="1448"/>
      <c r="C2982" s="1448">
        <v>2</v>
      </c>
      <c r="D2982" s="1448" t="s">
        <v>1546</v>
      </c>
      <c r="E2982" s="30">
        <v>73298477</v>
      </c>
      <c r="F2982" s="31" t="s">
        <v>2128</v>
      </c>
      <c r="G2982" s="1448" t="s">
        <v>3007</v>
      </c>
      <c r="H2982" s="30">
        <v>30213028</v>
      </c>
      <c r="I2982" s="30">
        <v>19900</v>
      </c>
      <c r="J2982" s="64">
        <v>0.13</v>
      </c>
      <c r="K2982" s="1448">
        <v>5</v>
      </c>
      <c r="L2982" s="1448">
        <f>I2982*5</f>
        <v>99500</v>
      </c>
      <c r="M2982" s="1454" t="s">
        <v>3008</v>
      </c>
      <c r="N2982" s="1445"/>
    </row>
    <row r="2983" spans="2:15" ht="16.5" customHeight="1">
      <c r="B2983" s="1448"/>
      <c r="C2983" s="1448"/>
      <c r="D2983" s="1448"/>
      <c r="E2983" s="30">
        <v>73298476</v>
      </c>
      <c r="F2983" s="31" t="s">
        <v>2131</v>
      </c>
      <c r="G2983" s="1448"/>
      <c r="H2983" s="30">
        <v>30213029</v>
      </c>
      <c r="I2983" s="30">
        <v>24900</v>
      </c>
      <c r="J2983" s="64">
        <v>0.13</v>
      </c>
      <c r="K2983" s="1448"/>
      <c r="L2983" s="1448"/>
      <c r="M2983" s="1454"/>
      <c r="N2983" s="1446"/>
    </row>
    <row r="2984" spans="2:15" ht="16.5" customHeight="1">
      <c r="B2984" s="1448"/>
      <c r="C2984" s="1448"/>
      <c r="D2984" s="1448"/>
      <c r="E2984" s="30">
        <v>73298475</v>
      </c>
      <c r="F2984" s="31" t="s">
        <v>2132</v>
      </c>
      <c r="G2984" s="1448"/>
      <c r="H2984" s="30">
        <v>30213030</v>
      </c>
      <c r="I2984" s="30">
        <v>29900</v>
      </c>
      <c r="J2984" s="64">
        <v>0.13</v>
      </c>
      <c r="K2984" s="1448"/>
      <c r="L2984" s="1448"/>
      <c r="M2984" s="1454"/>
      <c r="N2984" s="1446"/>
    </row>
    <row r="2985" spans="2:15" ht="16.5" customHeight="1">
      <c r="B2985" s="1448"/>
      <c r="C2985" s="1448"/>
      <c r="D2985" s="1448"/>
      <c r="E2985" s="30">
        <v>73298473</v>
      </c>
      <c r="F2985" s="31" t="s">
        <v>2133</v>
      </c>
      <c r="G2985" s="1448"/>
      <c r="H2985" s="30">
        <v>30213031</v>
      </c>
      <c r="I2985" s="30">
        <v>34900</v>
      </c>
      <c r="J2985" s="64">
        <v>0.13</v>
      </c>
      <c r="K2985" s="1448"/>
      <c r="L2985" s="1448"/>
      <c r="M2985" s="1454"/>
      <c r="N2985" s="1447"/>
    </row>
    <row r="2986" spans="2:15" ht="16.5" customHeight="1">
      <c r="B2986" s="1448"/>
      <c r="C2986" s="29">
        <v>3</v>
      </c>
      <c r="D2986" s="29" t="s">
        <v>1255</v>
      </c>
      <c r="E2986" s="30">
        <v>30217690</v>
      </c>
      <c r="F2986" s="31" t="s">
        <v>2119</v>
      </c>
      <c r="G2986" s="29" t="s">
        <v>3009</v>
      </c>
      <c r="H2986" s="30">
        <v>30218368</v>
      </c>
      <c r="I2986" s="35">
        <v>10400</v>
      </c>
      <c r="J2986" s="64">
        <v>0.1</v>
      </c>
      <c r="K2986" s="29">
        <v>5</v>
      </c>
      <c r="L2986" s="29">
        <f>I2986*5</f>
        <v>52000</v>
      </c>
      <c r="M2986" s="33" t="s">
        <v>3010</v>
      </c>
      <c r="N2986" s="36"/>
    </row>
    <row r="2987" spans="2:15" ht="16.5" customHeight="1">
      <c r="B2987" s="1448"/>
      <c r="C2987" s="1448">
        <v>4</v>
      </c>
      <c r="D2987" s="1448" t="s">
        <v>622</v>
      </c>
      <c r="E2987" s="30">
        <v>55115021</v>
      </c>
      <c r="F2987" s="31" t="s">
        <v>2533</v>
      </c>
      <c r="G2987" s="1448" t="s">
        <v>3011</v>
      </c>
      <c r="H2987" s="30">
        <v>30219474</v>
      </c>
      <c r="I2987" s="35">
        <v>21200</v>
      </c>
      <c r="J2987" s="64">
        <v>0.13</v>
      </c>
      <c r="K2987" s="1448">
        <v>5</v>
      </c>
      <c r="L2987" s="1454">
        <f>I2987*5</f>
        <v>106000</v>
      </c>
      <c r="M2987" s="1454" t="s">
        <v>3012</v>
      </c>
      <c r="N2987" s="1445"/>
    </row>
    <row r="2988" spans="2:15" ht="16.5" customHeight="1">
      <c r="B2988" s="1448"/>
      <c r="C2988" s="1448"/>
      <c r="D2988" s="1448"/>
      <c r="E2988" s="30">
        <v>55115022</v>
      </c>
      <c r="F2988" s="31" t="s">
        <v>2534</v>
      </c>
      <c r="G2988" s="1448"/>
      <c r="H2988" s="30">
        <v>30219478</v>
      </c>
      <c r="I2988" s="35">
        <v>22900</v>
      </c>
      <c r="J2988" s="64">
        <v>0.13</v>
      </c>
      <c r="K2988" s="1448"/>
      <c r="L2988" s="1454"/>
      <c r="M2988" s="1454"/>
      <c r="N2988" s="1446"/>
    </row>
    <row r="2989" spans="2:15" ht="16.5" customHeight="1">
      <c r="B2989" s="1448"/>
      <c r="C2989" s="1448"/>
      <c r="D2989" s="1448"/>
      <c r="E2989" s="30">
        <v>44649590</v>
      </c>
      <c r="F2989" s="31" t="s">
        <v>2535</v>
      </c>
      <c r="G2989" s="1448"/>
      <c r="H2989" s="30">
        <v>30203831</v>
      </c>
      <c r="I2989" s="35">
        <v>21800</v>
      </c>
      <c r="J2989" s="64">
        <v>0.13</v>
      </c>
      <c r="K2989" s="1448"/>
      <c r="L2989" s="1454"/>
      <c r="M2989" s="1454"/>
      <c r="N2989" s="1446"/>
    </row>
    <row r="2990" spans="2:15" ht="16.5" customHeight="1">
      <c r="B2990" s="1448"/>
      <c r="C2990" s="1448"/>
      <c r="D2990" s="1448"/>
      <c r="E2990" s="30">
        <v>44649598</v>
      </c>
      <c r="F2990" s="31" t="s">
        <v>3013</v>
      </c>
      <c r="G2990" s="1448"/>
      <c r="H2990" s="30">
        <v>30203835</v>
      </c>
      <c r="I2990" s="35">
        <v>26400</v>
      </c>
      <c r="J2990" s="64">
        <v>0.13</v>
      </c>
      <c r="K2990" s="1448"/>
      <c r="L2990" s="1454"/>
      <c r="M2990" s="1454"/>
      <c r="N2990" s="1446"/>
    </row>
    <row r="2991" spans="2:15" ht="16.5" customHeight="1">
      <c r="B2991" s="1448"/>
      <c r="C2991" s="1448"/>
      <c r="D2991" s="1448"/>
      <c r="E2991" s="30">
        <v>48867652</v>
      </c>
      <c r="F2991" s="31" t="s">
        <v>1147</v>
      </c>
      <c r="G2991" s="1448"/>
      <c r="H2991" s="30">
        <v>30216938</v>
      </c>
      <c r="I2991" s="35">
        <v>19500</v>
      </c>
      <c r="J2991" s="64">
        <v>0.13</v>
      </c>
      <c r="K2991" s="1448"/>
      <c r="L2991" s="1454"/>
      <c r="M2991" s="1454"/>
      <c r="N2991" s="1446"/>
    </row>
    <row r="2992" spans="2:15" ht="16.5" customHeight="1">
      <c r="B2992" s="1448"/>
      <c r="C2992" s="1448"/>
      <c r="D2992" s="1448"/>
      <c r="E2992" s="30">
        <v>48867651</v>
      </c>
      <c r="F2992" s="31" t="s">
        <v>1148</v>
      </c>
      <c r="G2992" s="1448"/>
      <c r="H2992" s="30">
        <v>30216939</v>
      </c>
      <c r="I2992" s="35">
        <v>24100</v>
      </c>
      <c r="J2992" s="64">
        <v>0.13</v>
      </c>
      <c r="K2992" s="1448"/>
      <c r="L2992" s="1454"/>
      <c r="M2992" s="1454"/>
      <c r="N2992" s="1446"/>
    </row>
    <row r="2993" spans="2:14" ht="16.5" customHeight="1">
      <c r="B2993" s="1448"/>
      <c r="C2993" s="1448"/>
      <c r="D2993" s="1448"/>
      <c r="E2993" s="30">
        <v>73546886</v>
      </c>
      <c r="F2993" s="31" t="s">
        <v>2537</v>
      </c>
      <c r="G2993" s="1448"/>
      <c r="H2993" s="30">
        <v>30216940</v>
      </c>
      <c r="I2993" s="35">
        <v>36700</v>
      </c>
      <c r="J2993" s="64">
        <v>0.13</v>
      </c>
      <c r="K2993" s="1448"/>
      <c r="L2993" s="1454"/>
      <c r="M2993" s="1454"/>
      <c r="N2993" s="1446"/>
    </row>
    <row r="2994" spans="2:14" ht="16.5" customHeight="1">
      <c r="B2994" s="1448"/>
      <c r="C2994" s="1448"/>
      <c r="D2994" s="1448"/>
      <c r="E2994" s="30">
        <v>73546885</v>
      </c>
      <c r="F2994" s="31" t="s">
        <v>2851</v>
      </c>
      <c r="G2994" s="1448"/>
      <c r="H2994" s="30">
        <v>30216942</v>
      </c>
      <c r="I2994" s="35">
        <v>42500</v>
      </c>
      <c r="J2994" s="64">
        <v>0.13</v>
      </c>
      <c r="K2994" s="1448"/>
      <c r="L2994" s="1454"/>
      <c r="M2994" s="1454"/>
      <c r="N2994" s="1446"/>
    </row>
    <row r="2995" spans="2:14" ht="16.5" customHeight="1">
      <c r="B2995" s="1448"/>
      <c r="C2995" s="1448"/>
      <c r="D2995" s="1448"/>
      <c r="E2995" s="30">
        <v>73546887</v>
      </c>
      <c r="F2995" s="31" t="s">
        <v>2852</v>
      </c>
      <c r="G2995" s="1448"/>
      <c r="H2995" s="30">
        <v>30216947</v>
      </c>
      <c r="I2995" s="35">
        <v>43600</v>
      </c>
      <c r="J2995" s="64">
        <v>0.13</v>
      </c>
      <c r="K2995" s="1448"/>
      <c r="L2995" s="1454"/>
      <c r="M2995" s="1454"/>
      <c r="N2995" s="1446"/>
    </row>
    <row r="2996" spans="2:14" ht="16.5" customHeight="1">
      <c r="B2996" s="1448"/>
      <c r="C2996" s="1448"/>
      <c r="D2996" s="1448"/>
      <c r="E2996" s="30">
        <v>73546906</v>
      </c>
      <c r="F2996" s="31" t="s">
        <v>2853</v>
      </c>
      <c r="G2996" s="1448"/>
      <c r="H2996" s="30">
        <v>30216954</v>
      </c>
      <c r="I2996" s="35">
        <v>56300</v>
      </c>
      <c r="J2996" s="64">
        <v>0.13</v>
      </c>
      <c r="K2996" s="1448"/>
      <c r="L2996" s="1454"/>
      <c r="M2996" s="1454"/>
      <c r="N2996" s="1446"/>
    </row>
    <row r="2997" spans="2:14" ht="16.5" customHeight="1">
      <c r="B2997" s="1448"/>
      <c r="C2997" s="1448"/>
      <c r="D2997" s="1448"/>
      <c r="E2997" s="30">
        <v>73547014</v>
      </c>
      <c r="F2997" s="31" t="s">
        <v>2854</v>
      </c>
      <c r="G2997" s="1448"/>
      <c r="H2997" s="30">
        <v>30216956</v>
      </c>
      <c r="I2997" s="35">
        <v>65500</v>
      </c>
      <c r="J2997" s="64">
        <v>0.13</v>
      </c>
      <c r="K2997" s="1448"/>
      <c r="L2997" s="1454"/>
      <c r="M2997" s="1454"/>
      <c r="N2997" s="1446"/>
    </row>
    <row r="2998" spans="2:14" ht="16.5" customHeight="1">
      <c r="B2998" s="1448"/>
      <c r="C2998" s="1448"/>
      <c r="D2998" s="1448"/>
      <c r="E2998" s="30">
        <v>73547094</v>
      </c>
      <c r="F2998" s="31" t="s">
        <v>2855</v>
      </c>
      <c r="G2998" s="1448"/>
      <c r="H2998" s="30">
        <v>30216960</v>
      </c>
      <c r="I2998" s="35">
        <v>81600</v>
      </c>
      <c r="J2998" s="64">
        <v>0.13</v>
      </c>
      <c r="K2998" s="1448"/>
      <c r="L2998" s="1454"/>
      <c r="M2998" s="1454"/>
      <c r="N2998" s="1446"/>
    </row>
    <row r="2999" spans="2:14" ht="16.5" customHeight="1">
      <c r="B2999" s="1448"/>
      <c r="C2999" s="1448"/>
      <c r="D2999" s="1448"/>
      <c r="E2999" s="30">
        <v>70053538</v>
      </c>
      <c r="F2999" s="31" t="s">
        <v>637</v>
      </c>
      <c r="G2999" s="1448"/>
      <c r="H2999" s="30">
        <v>30206361</v>
      </c>
      <c r="I2999" s="35">
        <v>81600</v>
      </c>
      <c r="J2999" s="64">
        <v>0.13</v>
      </c>
      <c r="K2999" s="1448"/>
      <c r="L2999" s="1454"/>
      <c r="M2999" s="1454"/>
      <c r="N2999" s="1446"/>
    </row>
    <row r="3000" spans="2:14" ht="16.5" customHeight="1">
      <c r="B3000" s="1448"/>
      <c r="C3000" s="1448"/>
      <c r="D3000" s="1448"/>
      <c r="E3000" s="30">
        <v>70053474</v>
      </c>
      <c r="F3000" s="31" t="s">
        <v>638</v>
      </c>
      <c r="G3000" s="1448"/>
      <c r="H3000" s="30">
        <v>30205987</v>
      </c>
      <c r="I3000" s="35">
        <v>100000</v>
      </c>
      <c r="J3000" s="64">
        <v>0.13</v>
      </c>
      <c r="K3000" s="1448"/>
      <c r="L3000" s="1454"/>
      <c r="M3000" s="1454"/>
      <c r="N3000" s="1446"/>
    </row>
    <row r="3001" spans="2:14" ht="16.5" customHeight="1">
      <c r="B3001" s="1448"/>
      <c r="C3001" s="1448"/>
      <c r="D3001" s="1448"/>
      <c r="E3001" s="30">
        <v>70053589</v>
      </c>
      <c r="F3001" s="31" t="s">
        <v>639</v>
      </c>
      <c r="G3001" s="1448"/>
      <c r="H3001" s="30">
        <v>30205988</v>
      </c>
      <c r="I3001" s="35">
        <v>94200</v>
      </c>
      <c r="J3001" s="64">
        <v>0.13</v>
      </c>
      <c r="K3001" s="1448"/>
      <c r="L3001" s="1454"/>
      <c r="M3001" s="1454"/>
      <c r="N3001" s="1446"/>
    </row>
    <row r="3002" spans="2:14" ht="16.5" customHeight="1">
      <c r="B3002" s="1448"/>
      <c r="C3002" s="1448"/>
      <c r="D3002" s="1448"/>
      <c r="E3002" s="30">
        <v>70053629</v>
      </c>
      <c r="F3002" s="31" t="s">
        <v>640</v>
      </c>
      <c r="G3002" s="1448"/>
      <c r="H3002" s="30">
        <v>30205989</v>
      </c>
      <c r="I3002" s="35">
        <v>125200</v>
      </c>
      <c r="J3002" s="64">
        <v>0.13</v>
      </c>
      <c r="K3002" s="1448"/>
      <c r="L3002" s="1454"/>
      <c r="M3002" s="1454"/>
      <c r="N3002" s="1446"/>
    </row>
    <row r="3003" spans="2:14" ht="16.5" customHeight="1">
      <c r="B3003" s="1448"/>
      <c r="C3003" s="1448"/>
      <c r="D3003" s="1448"/>
      <c r="E3003" s="30">
        <v>70053551</v>
      </c>
      <c r="F3003" s="31" t="s">
        <v>641</v>
      </c>
      <c r="G3003" s="1448"/>
      <c r="H3003" s="30">
        <v>30205990</v>
      </c>
      <c r="I3003" s="35">
        <v>64300</v>
      </c>
      <c r="J3003" s="64">
        <v>0.13</v>
      </c>
      <c r="K3003" s="1448"/>
      <c r="L3003" s="1454"/>
      <c r="M3003" s="1454"/>
      <c r="N3003" s="1446"/>
    </row>
    <row r="3004" spans="2:14" ht="16.5" customHeight="1">
      <c r="B3004" s="1448"/>
      <c r="C3004" s="1448"/>
      <c r="D3004" s="1448"/>
      <c r="E3004" s="30">
        <v>70053466</v>
      </c>
      <c r="F3004" s="31" t="s">
        <v>642</v>
      </c>
      <c r="G3004" s="1448"/>
      <c r="H3004" s="30">
        <v>30205992</v>
      </c>
      <c r="I3004" s="35">
        <v>81600</v>
      </c>
      <c r="J3004" s="64">
        <v>0.13</v>
      </c>
      <c r="K3004" s="1448"/>
      <c r="L3004" s="1454"/>
      <c r="M3004" s="1454"/>
      <c r="N3004" s="1446"/>
    </row>
    <row r="3005" spans="2:14" ht="16.5" customHeight="1">
      <c r="B3005" s="1448"/>
      <c r="C3005" s="1448"/>
      <c r="D3005" s="1448"/>
      <c r="E3005" s="30">
        <v>70053584</v>
      </c>
      <c r="F3005" s="31" t="s">
        <v>643</v>
      </c>
      <c r="G3005" s="1448"/>
      <c r="H3005" s="30">
        <v>30205994</v>
      </c>
      <c r="I3005" s="35">
        <v>78100</v>
      </c>
      <c r="J3005" s="64">
        <v>0.13</v>
      </c>
      <c r="K3005" s="1448"/>
      <c r="L3005" s="1454"/>
      <c r="M3005" s="1454"/>
      <c r="N3005" s="1446"/>
    </row>
    <row r="3006" spans="2:14" ht="16.5" customHeight="1">
      <c r="B3006" s="1448"/>
      <c r="C3006" s="1448"/>
      <c r="D3006" s="1448"/>
      <c r="E3006" s="30">
        <v>70053630</v>
      </c>
      <c r="F3006" s="31" t="s">
        <v>644</v>
      </c>
      <c r="G3006" s="1448"/>
      <c r="H3006" s="30">
        <v>30205999</v>
      </c>
      <c r="I3006" s="35">
        <v>109100</v>
      </c>
      <c r="J3006" s="64">
        <v>0.13</v>
      </c>
      <c r="K3006" s="1448"/>
      <c r="L3006" s="1454"/>
      <c r="M3006" s="1454"/>
      <c r="N3006" s="1446"/>
    </row>
    <row r="3007" spans="2:14" ht="16.5" customHeight="1">
      <c r="B3007" s="1448"/>
      <c r="C3007" s="1448"/>
      <c r="D3007" s="1448"/>
      <c r="E3007" s="30">
        <v>70053554</v>
      </c>
      <c r="F3007" s="31" t="s">
        <v>645</v>
      </c>
      <c r="G3007" s="1448"/>
      <c r="H3007" s="30">
        <v>30206009</v>
      </c>
      <c r="I3007" s="35">
        <v>64300</v>
      </c>
      <c r="J3007" s="64">
        <v>0.13</v>
      </c>
      <c r="K3007" s="1448"/>
      <c r="L3007" s="1454"/>
      <c r="M3007" s="1454"/>
      <c r="N3007" s="1446"/>
    </row>
    <row r="3008" spans="2:14" ht="16.5" customHeight="1">
      <c r="B3008" s="1448"/>
      <c r="C3008" s="1448"/>
      <c r="D3008" s="1448"/>
      <c r="E3008" s="30">
        <v>70053483</v>
      </c>
      <c r="F3008" s="31" t="s">
        <v>646</v>
      </c>
      <c r="G3008" s="1448"/>
      <c r="H3008" s="30">
        <v>30206013</v>
      </c>
      <c r="I3008" s="35">
        <v>81600</v>
      </c>
      <c r="J3008" s="64">
        <v>0.13</v>
      </c>
      <c r="K3008" s="1448"/>
      <c r="L3008" s="1454"/>
      <c r="M3008" s="1454"/>
      <c r="N3008" s="1446"/>
    </row>
    <row r="3009" spans="2:14" ht="16.5" customHeight="1">
      <c r="B3009" s="1448"/>
      <c r="C3009" s="1448"/>
      <c r="D3009" s="1448"/>
      <c r="E3009" s="30">
        <v>70053587</v>
      </c>
      <c r="F3009" s="31" t="s">
        <v>647</v>
      </c>
      <c r="G3009" s="1448"/>
      <c r="H3009" s="30">
        <v>30206014</v>
      </c>
      <c r="I3009" s="35">
        <v>75800</v>
      </c>
      <c r="J3009" s="64">
        <v>0.13</v>
      </c>
      <c r="K3009" s="1448"/>
      <c r="L3009" s="1454"/>
      <c r="M3009" s="1454"/>
      <c r="N3009" s="1446"/>
    </row>
    <row r="3010" spans="2:14" ht="16.5" customHeight="1">
      <c r="B3010" s="1448"/>
      <c r="C3010" s="1448"/>
      <c r="D3010" s="1448"/>
      <c r="E3010" s="30">
        <v>70053631</v>
      </c>
      <c r="F3010" s="31" t="s">
        <v>648</v>
      </c>
      <c r="G3010" s="1448"/>
      <c r="H3010" s="30">
        <v>30206015</v>
      </c>
      <c r="I3010" s="35">
        <v>104500</v>
      </c>
      <c r="J3010" s="64">
        <v>0.13</v>
      </c>
      <c r="K3010" s="1448"/>
      <c r="L3010" s="1454"/>
      <c r="M3010" s="1454"/>
      <c r="N3010" s="1446"/>
    </row>
    <row r="3011" spans="2:14" ht="16.5" customHeight="1">
      <c r="B3011" s="1448"/>
      <c r="C3011" s="1448"/>
      <c r="D3011" s="1448"/>
      <c r="E3011" s="30">
        <v>61948914</v>
      </c>
      <c r="F3011" s="31" t="s">
        <v>2543</v>
      </c>
      <c r="G3011" s="1448"/>
      <c r="H3011" s="30">
        <v>30219577</v>
      </c>
      <c r="I3011" s="35">
        <v>77000</v>
      </c>
      <c r="J3011" s="64">
        <v>0.13</v>
      </c>
      <c r="K3011" s="1448"/>
      <c r="L3011" s="1454"/>
      <c r="M3011" s="1454"/>
      <c r="N3011" s="1446"/>
    </row>
    <row r="3012" spans="2:14" ht="16.5" customHeight="1">
      <c r="B3012" s="1448"/>
      <c r="C3012" s="1448"/>
      <c r="D3012" s="1448"/>
      <c r="E3012" s="30">
        <v>61948916</v>
      </c>
      <c r="F3012" s="31" t="s">
        <v>2544</v>
      </c>
      <c r="G3012" s="1448"/>
      <c r="H3012" s="30">
        <v>30219578</v>
      </c>
      <c r="I3012" s="35">
        <v>92500</v>
      </c>
      <c r="J3012" s="64">
        <v>0.13</v>
      </c>
      <c r="K3012" s="1448"/>
      <c r="L3012" s="1454"/>
      <c r="M3012" s="1454"/>
      <c r="N3012" s="1446"/>
    </row>
    <row r="3013" spans="2:14" ht="16.5" customHeight="1">
      <c r="B3013" s="1448"/>
      <c r="C3013" s="1448"/>
      <c r="D3013" s="1448"/>
      <c r="E3013" s="30">
        <v>61948918</v>
      </c>
      <c r="F3013" s="31" t="s">
        <v>2545</v>
      </c>
      <c r="G3013" s="1448"/>
      <c r="H3013" s="30">
        <v>30219579</v>
      </c>
      <c r="I3013" s="35">
        <v>90800</v>
      </c>
      <c r="J3013" s="64">
        <v>0.13</v>
      </c>
      <c r="K3013" s="1448"/>
      <c r="L3013" s="1454"/>
      <c r="M3013" s="1454"/>
      <c r="N3013" s="1446"/>
    </row>
    <row r="3014" spans="2:14" ht="16.5" customHeight="1">
      <c r="B3014" s="1448"/>
      <c r="C3014" s="1448"/>
      <c r="D3014" s="1448"/>
      <c r="E3014" s="30">
        <v>61948917</v>
      </c>
      <c r="F3014" s="31" t="s">
        <v>2546</v>
      </c>
      <c r="G3014" s="1448"/>
      <c r="H3014" s="30">
        <v>30219580</v>
      </c>
      <c r="I3014" s="35">
        <v>118300</v>
      </c>
      <c r="J3014" s="64">
        <v>0.13</v>
      </c>
      <c r="K3014" s="1448"/>
      <c r="L3014" s="1454"/>
      <c r="M3014" s="1454"/>
      <c r="N3014" s="1446"/>
    </row>
    <row r="3015" spans="2:14" ht="16.5" customHeight="1">
      <c r="B3015" s="1448"/>
      <c r="C3015" s="1448"/>
      <c r="D3015" s="1448"/>
      <c r="E3015" s="30">
        <v>59261592</v>
      </c>
      <c r="F3015" s="31" t="s">
        <v>2856</v>
      </c>
      <c r="G3015" s="1448"/>
      <c r="H3015" s="30">
        <v>30216966</v>
      </c>
      <c r="I3015" s="35">
        <v>29800</v>
      </c>
      <c r="J3015" s="64">
        <v>0.13</v>
      </c>
      <c r="K3015" s="1448"/>
      <c r="L3015" s="1454"/>
      <c r="M3015" s="1454"/>
      <c r="N3015" s="1446"/>
    </row>
    <row r="3016" spans="2:14" ht="16.5" customHeight="1">
      <c r="B3016" s="1448"/>
      <c r="C3016" s="1448"/>
      <c r="D3016" s="1448"/>
      <c r="E3016" s="30">
        <v>59261607</v>
      </c>
      <c r="F3016" s="31" t="s">
        <v>2857</v>
      </c>
      <c r="G3016" s="1448"/>
      <c r="H3016" s="30">
        <v>30216969</v>
      </c>
      <c r="I3016" s="35">
        <v>33300</v>
      </c>
      <c r="J3016" s="64">
        <v>0.13</v>
      </c>
      <c r="K3016" s="1448"/>
      <c r="L3016" s="1454"/>
      <c r="M3016" s="1454"/>
      <c r="N3016" s="1446"/>
    </row>
    <row r="3017" spans="2:14" ht="16.5" customHeight="1">
      <c r="B3017" s="1448"/>
      <c r="C3017" s="1448"/>
      <c r="D3017" s="1448"/>
      <c r="E3017" s="30">
        <v>60559967</v>
      </c>
      <c r="F3017" s="31" t="s">
        <v>1539</v>
      </c>
      <c r="G3017" s="1448"/>
      <c r="H3017" s="30">
        <v>30205983</v>
      </c>
      <c r="I3017" s="35">
        <v>24700</v>
      </c>
      <c r="J3017" s="64">
        <v>0.13</v>
      </c>
      <c r="K3017" s="1448"/>
      <c r="L3017" s="1454"/>
      <c r="M3017" s="1454"/>
      <c r="N3017" s="1446"/>
    </row>
    <row r="3018" spans="2:14" ht="16.5" customHeight="1">
      <c r="B3018" s="1448"/>
      <c r="C3018" s="1448"/>
      <c r="D3018" s="1448"/>
      <c r="E3018" s="30">
        <v>60560036</v>
      </c>
      <c r="F3018" s="31" t="s">
        <v>1540</v>
      </c>
      <c r="G3018" s="1448"/>
      <c r="H3018" s="30">
        <v>30203842</v>
      </c>
      <c r="I3018" s="35">
        <v>28700</v>
      </c>
      <c r="J3018" s="64">
        <v>0.13</v>
      </c>
      <c r="K3018" s="1448"/>
      <c r="L3018" s="1454"/>
      <c r="M3018" s="1454"/>
      <c r="N3018" s="1447"/>
    </row>
    <row r="3019" spans="2:14" ht="16.5" customHeight="1">
      <c r="B3019" s="1448"/>
      <c r="C3019" s="1448">
        <v>5</v>
      </c>
      <c r="D3019" s="1448" t="s">
        <v>166</v>
      </c>
      <c r="E3019" s="30">
        <v>30173887</v>
      </c>
      <c r="F3019" s="31" t="s">
        <v>167</v>
      </c>
      <c r="G3019" s="1448" t="s">
        <v>168</v>
      </c>
      <c r="H3019" s="30">
        <v>30205919</v>
      </c>
      <c r="I3019" s="35">
        <v>49900</v>
      </c>
      <c r="J3019" s="64">
        <v>0.05</v>
      </c>
      <c r="K3019" s="1448">
        <v>5</v>
      </c>
      <c r="L3019" s="1459">
        <v>299500</v>
      </c>
      <c r="M3019" s="1454" t="s">
        <v>169</v>
      </c>
      <c r="N3019" s="1445"/>
    </row>
    <row r="3020" spans="2:14" ht="16.5" customHeight="1">
      <c r="B3020" s="1448"/>
      <c r="C3020" s="1448"/>
      <c r="D3020" s="1448"/>
      <c r="E3020" s="30">
        <v>30173890</v>
      </c>
      <c r="F3020" s="31" t="s">
        <v>171</v>
      </c>
      <c r="G3020" s="1448"/>
      <c r="H3020" s="30">
        <v>30205924</v>
      </c>
      <c r="I3020" s="35">
        <v>39900</v>
      </c>
      <c r="J3020" s="64">
        <v>0.05</v>
      </c>
      <c r="K3020" s="1448"/>
      <c r="L3020" s="1459"/>
      <c r="M3020" s="1454"/>
      <c r="N3020" s="1447"/>
    </row>
    <row r="3021" spans="2:14" ht="16.5" customHeight="1">
      <c r="B3021" s="1448" t="s">
        <v>477</v>
      </c>
      <c r="C3021" s="1448">
        <v>1</v>
      </c>
      <c r="D3021" s="29" t="s">
        <v>495</v>
      </c>
      <c r="E3021" s="70">
        <v>77829519</v>
      </c>
      <c r="F3021" s="31" t="s">
        <v>3014</v>
      </c>
      <c r="G3021" s="1454" t="s">
        <v>3014</v>
      </c>
      <c r="H3021" s="30">
        <v>30222555</v>
      </c>
      <c r="I3021" s="316">
        <v>37900</v>
      </c>
      <c r="J3021" s="64">
        <v>9.9999999999999978E-2</v>
      </c>
      <c r="K3021" s="30">
        <v>10</v>
      </c>
      <c r="L3021" s="316">
        <f t="shared" ref="L3021:L3084" si="13">I3021*10</f>
        <v>379000</v>
      </c>
      <c r="M3021" s="1454" t="s">
        <v>3015</v>
      </c>
      <c r="N3021" s="1445"/>
    </row>
    <row r="3022" spans="2:14" ht="16.5" customHeight="1">
      <c r="B3022" s="1448"/>
      <c r="C3022" s="1448"/>
      <c r="D3022" s="29" t="s">
        <v>495</v>
      </c>
      <c r="E3022" s="70">
        <v>77829517</v>
      </c>
      <c r="F3022" s="31" t="s">
        <v>3016</v>
      </c>
      <c r="G3022" s="1454"/>
      <c r="H3022" s="30">
        <v>30222554</v>
      </c>
      <c r="I3022" s="316">
        <v>43900</v>
      </c>
      <c r="J3022" s="64">
        <v>9.9999999999999978E-2</v>
      </c>
      <c r="K3022" s="30">
        <v>10</v>
      </c>
      <c r="L3022" s="316">
        <f t="shared" si="13"/>
        <v>439000</v>
      </c>
      <c r="M3022" s="1454"/>
      <c r="N3022" s="1447"/>
    </row>
    <row r="3023" spans="2:14" ht="16.5" customHeight="1">
      <c r="B3023" s="1448"/>
      <c r="C3023" s="1448">
        <v>2</v>
      </c>
      <c r="D3023" s="1448" t="s">
        <v>3017</v>
      </c>
      <c r="E3023" s="70" t="s">
        <v>3018</v>
      </c>
      <c r="F3023" s="31" t="s">
        <v>3019</v>
      </c>
      <c r="G3023" s="1448" t="s">
        <v>3019</v>
      </c>
      <c r="H3023" s="30">
        <v>30222755</v>
      </c>
      <c r="I3023" s="316">
        <v>9900</v>
      </c>
      <c r="J3023" s="64">
        <v>7.999999999999996E-2</v>
      </c>
      <c r="K3023" s="30">
        <v>10</v>
      </c>
      <c r="L3023" s="316">
        <f t="shared" si="13"/>
        <v>99000</v>
      </c>
      <c r="M3023" s="1454" t="s">
        <v>3020</v>
      </c>
      <c r="N3023" s="1445"/>
    </row>
    <row r="3024" spans="2:14" ht="16.5" customHeight="1">
      <c r="B3024" s="1448"/>
      <c r="C3024" s="1448"/>
      <c r="D3024" s="1448"/>
      <c r="E3024" s="70" t="s">
        <v>3021</v>
      </c>
      <c r="F3024" s="31" t="s">
        <v>3022</v>
      </c>
      <c r="G3024" s="1448"/>
      <c r="H3024" s="30">
        <v>30222754</v>
      </c>
      <c r="I3024" s="316">
        <v>14900</v>
      </c>
      <c r="J3024" s="64">
        <v>7.999999999999996E-2</v>
      </c>
      <c r="K3024" s="30">
        <v>10</v>
      </c>
      <c r="L3024" s="316">
        <f t="shared" si="13"/>
        <v>149000</v>
      </c>
      <c r="M3024" s="1454"/>
      <c r="N3024" s="1447"/>
    </row>
    <row r="3025" spans="2:14" ht="16.5" customHeight="1">
      <c r="B3025" s="1448"/>
      <c r="C3025" s="1448">
        <v>3</v>
      </c>
      <c r="D3025" s="1448" t="s">
        <v>501</v>
      </c>
      <c r="E3025" s="70">
        <v>30218054</v>
      </c>
      <c r="F3025" s="31" t="s">
        <v>3023</v>
      </c>
      <c r="G3025" s="1448" t="s">
        <v>3024</v>
      </c>
      <c r="H3025" s="30">
        <v>30222753</v>
      </c>
      <c r="I3025" s="316">
        <v>12900</v>
      </c>
      <c r="J3025" s="64">
        <v>9.9999999999999978E-2</v>
      </c>
      <c r="K3025" s="30">
        <v>10</v>
      </c>
      <c r="L3025" s="316">
        <f t="shared" si="13"/>
        <v>129000</v>
      </c>
      <c r="M3025" s="1454" t="s">
        <v>3025</v>
      </c>
      <c r="N3025" s="1445"/>
    </row>
    <row r="3026" spans="2:14" ht="16.5" customHeight="1">
      <c r="B3026" s="1448"/>
      <c r="C3026" s="1448"/>
      <c r="D3026" s="1448"/>
      <c r="E3026" s="70">
        <v>30218055</v>
      </c>
      <c r="F3026" s="31" t="s">
        <v>3026</v>
      </c>
      <c r="G3026" s="1448"/>
      <c r="H3026" s="30">
        <v>30222752</v>
      </c>
      <c r="I3026" s="316">
        <v>20900</v>
      </c>
      <c r="J3026" s="64">
        <v>9.9999999999999978E-2</v>
      </c>
      <c r="K3026" s="30">
        <v>10</v>
      </c>
      <c r="L3026" s="316">
        <f t="shared" si="13"/>
        <v>209000</v>
      </c>
      <c r="M3026" s="1454"/>
      <c r="N3026" s="1447"/>
    </row>
    <row r="3027" spans="2:14" ht="16.5" customHeight="1">
      <c r="B3027" s="1448"/>
      <c r="C3027" s="1448">
        <v>4</v>
      </c>
      <c r="D3027" s="1448" t="s">
        <v>3027</v>
      </c>
      <c r="E3027" s="70">
        <v>30220634</v>
      </c>
      <c r="F3027" s="31" t="s">
        <v>3028</v>
      </c>
      <c r="G3027" s="1448" t="s">
        <v>3029</v>
      </c>
      <c r="H3027" s="30">
        <v>30222748</v>
      </c>
      <c r="I3027" s="316">
        <v>15900</v>
      </c>
      <c r="J3027" s="64">
        <v>6.1320754716981174E-2</v>
      </c>
      <c r="K3027" s="30">
        <v>10</v>
      </c>
      <c r="L3027" s="316">
        <f t="shared" si="13"/>
        <v>159000</v>
      </c>
      <c r="M3027" s="1458" t="s">
        <v>3030</v>
      </c>
      <c r="N3027" s="1445"/>
    </row>
    <row r="3028" spans="2:14" ht="16.5" customHeight="1">
      <c r="B3028" s="1448"/>
      <c r="C3028" s="1448"/>
      <c r="D3028" s="1448"/>
      <c r="E3028" s="70">
        <v>30220639</v>
      </c>
      <c r="F3028" s="31" t="s">
        <v>3031</v>
      </c>
      <c r="G3028" s="1448"/>
      <c r="H3028" s="30">
        <v>30222747</v>
      </c>
      <c r="I3028" s="316">
        <v>25900</v>
      </c>
      <c r="J3028" s="64">
        <v>4.7297297297297258E-2</v>
      </c>
      <c r="K3028" s="30">
        <v>10</v>
      </c>
      <c r="L3028" s="316">
        <f t="shared" si="13"/>
        <v>259000</v>
      </c>
      <c r="M3028" s="1454"/>
      <c r="N3028" s="1446"/>
    </row>
    <row r="3029" spans="2:14" ht="16.5" customHeight="1">
      <c r="B3029" s="1448"/>
      <c r="C3029" s="1448"/>
      <c r="D3029" s="1448"/>
      <c r="E3029" s="70">
        <v>30220644</v>
      </c>
      <c r="F3029" s="31" t="s">
        <v>3032</v>
      </c>
      <c r="G3029" s="1448"/>
      <c r="H3029" s="30">
        <v>30222746</v>
      </c>
      <c r="I3029" s="316">
        <v>33900</v>
      </c>
      <c r="J3029" s="64">
        <v>7.3008849557522071E-2</v>
      </c>
      <c r="K3029" s="30">
        <v>10</v>
      </c>
      <c r="L3029" s="316">
        <f t="shared" si="13"/>
        <v>339000</v>
      </c>
      <c r="M3029" s="1454"/>
      <c r="N3029" s="1446"/>
    </row>
    <row r="3030" spans="2:14" ht="16.5" customHeight="1">
      <c r="B3030" s="1448"/>
      <c r="C3030" s="1448"/>
      <c r="D3030" s="1448"/>
      <c r="E3030" s="70">
        <v>30220649</v>
      </c>
      <c r="F3030" s="31" t="s">
        <v>3033</v>
      </c>
      <c r="G3030" s="1448"/>
      <c r="H3030" s="30">
        <v>30222746</v>
      </c>
      <c r="I3030" s="316">
        <v>39900</v>
      </c>
      <c r="J3030" s="64">
        <v>6.203007518796988E-2</v>
      </c>
      <c r="K3030" s="30">
        <v>10</v>
      </c>
      <c r="L3030" s="316">
        <f t="shared" si="13"/>
        <v>399000</v>
      </c>
      <c r="M3030" s="1454"/>
      <c r="N3030" s="1447"/>
    </row>
    <row r="3031" spans="2:14" ht="16.5" customHeight="1">
      <c r="B3031" s="1448"/>
      <c r="C3031" s="1448">
        <v>5</v>
      </c>
      <c r="D3031" s="1448" t="s">
        <v>495</v>
      </c>
      <c r="E3031" s="70" t="s">
        <v>3034</v>
      </c>
      <c r="F3031" s="31" t="s">
        <v>3035</v>
      </c>
      <c r="G3031" s="1448" t="s">
        <v>3035</v>
      </c>
      <c r="H3031" s="30">
        <v>30188857</v>
      </c>
      <c r="I3031" s="316">
        <v>9900</v>
      </c>
      <c r="J3031" s="64">
        <v>9.9999999999999978E-2</v>
      </c>
      <c r="K3031" s="30">
        <v>10</v>
      </c>
      <c r="L3031" s="316">
        <f t="shared" si="13"/>
        <v>99000</v>
      </c>
      <c r="M3031" s="1454" t="s">
        <v>3036</v>
      </c>
      <c r="N3031" s="1445"/>
    </row>
    <row r="3032" spans="2:14" ht="16.5" customHeight="1">
      <c r="B3032" s="1448"/>
      <c r="C3032" s="1448"/>
      <c r="D3032" s="1448"/>
      <c r="E3032" s="70" t="s">
        <v>3037</v>
      </c>
      <c r="F3032" s="31" t="s">
        <v>3038</v>
      </c>
      <c r="G3032" s="1448"/>
      <c r="H3032" s="30">
        <v>30188856</v>
      </c>
      <c r="I3032" s="316">
        <v>9900</v>
      </c>
      <c r="J3032" s="64">
        <v>9.9999999999999978E-2</v>
      </c>
      <c r="K3032" s="30">
        <v>10</v>
      </c>
      <c r="L3032" s="316">
        <f t="shared" si="13"/>
        <v>99000</v>
      </c>
      <c r="M3032" s="1454"/>
      <c r="N3032" s="1446"/>
    </row>
    <row r="3033" spans="2:14" ht="16.5" customHeight="1">
      <c r="B3033" s="1448"/>
      <c r="C3033" s="1448"/>
      <c r="D3033" s="1448"/>
      <c r="E3033" s="70" t="s">
        <v>3039</v>
      </c>
      <c r="F3033" s="31" t="s">
        <v>3040</v>
      </c>
      <c r="G3033" s="1448"/>
      <c r="H3033" s="30">
        <v>30197703</v>
      </c>
      <c r="I3033" s="316">
        <v>9900</v>
      </c>
      <c r="J3033" s="64">
        <v>9.9999999999999978E-2</v>
      </c>
      <c r="K3033" s="30">
        <v>10</v>
      </c>
      <c r="L3033" s="316">
        <f t="shared" si="13"/>
        <v>99000</v>
      </c>
      <c r="M3033" s="1454"/>
      <c r="N3033" s="1446"/>
    </row>
    <row r="3034" spans="2:14" ht="16.5" customHeight="1">
      <c r="B3034" s="1448"/>
      <c r="C3034" s="1448"/>
      <c r="D3034" s="1448"/>
      <c r="E3034" s="70" t="s">
        <v>3041</v>
      </c>
      <c r="F3034" s="31" t="s">
        <v>3042</v>
      </c>
      <c r="G3034" s="1448"/>
      <c r="H3034" s="30">
        <v>30209113</v>
      </c>
      <c r="I3034" s="316">
        <v>12900</v>
      </c>
      <c r="J3034" s="64">
        <v>9.9999999999999978E-2</v>
      </c>
      <c r="K3034" s="30">
        <v>10</v>
      </c>
      <c r="L3034" s="316">
        <f t="shared" si="13"/>
        <v>129000</v>
      </c>
      <c r="M3034" s="1454"/>
      <c r="N3034" s="1446"/>
    </row>
    <row r="3035" spans="2:14" ht="16.5" customHeight="1">
      <c r="B3035" s="1448"/>
      <c r="C3035" s="1448"/>
      <c r="D3035" s="1448"/>
      <c r="E3035" s="70" t="s">
        <v>3043</v>
      </c>
      <c r="F3035" s="31" t="s">
        <v>3044</v>
      </c>
      <c r="G3035" s="1448"/>
      <c r="H3035" s="30">
        <v>30209116</v>
      </c>
      <c r="I3035" s="316">
        <v>12900</v>
      </c>
      <c r="J3035" s="64">
        <v>9.9999999999999978E-2</v>
      </c>
      <c r="K3035" s="30">
        <v>10</v>
      </c>
      <c r="L3035" s="316">
        <f t="shared" si="13"/>
        <v>129000</v>
      </c>
      <c r="M3035" s="1454"/>
      <c r="N3035" s="1446"/>
    </row>
    <row r="3036" spans="2:14" ht="16.5" customHeight="1">
      <c r="B3036" s="1448"/>
      <c r="C3036" s="1448"/>
      <c r="D3036" s="1448"/>
      <c r="E3036" s="70" t="s">
        <v>3045</v>
      </c>
      <c r="F3036" s="31" t="s">
        <v>3046</v>
      </c>
      <c r="G3036" s="1448"/>
      <c r="H3036" s="30">
        <v>30209122</v>
      </c>
      <c r="I3036" s="316">
        <v>13500</v>
      </c>
      <c r="J3036" s="64">
        <v>9.9999999999999978E-2</v>
      </c>
      <c r="K3036" s="30">
        <v>10</v>
      </c>
      <c r="L3036" s="316">
        <f t="shared" si="13"/>
        <v>135000</v>
      </c>
      <c r="M3036" s="1454"/>
      <c r="N3036" s="1447"/>
    </row>
    <row r="3037" spans="2:14" ht="16.5" customHeight="1">
      <c r="B3037" s="1448"/>
      <c r="C3037" s="1448">
        <v>6</v>
      </c>
      <c r="D3037" s="1448" t="s">
        <v>2910</v>
      </c>
      <c r="E3037" s="70" t="s">
        <v>3047</v>
      </c>
      <c r="F3037" s="31" t="s">
        <v>3048</v>
      </c>
      <c r="G3037" s="1448" t="s">
        <v>3048</v>
      </c>
      <c r="H3037" s="30">
        <v>30222741</v>
      </c>
      <c r="I3037" s="316">
        <v>5900</v>
      </c>
      <c r="J3037" s="64">
        <v>9.9999999999999978E-2</v>
      </c>
      <c r="K3037" s="30">
        <v>10</v>
      </c>
      <c r="L3037" s="316">
        <f t="shared" si="13"/>
        <v>59000</v>
      </c>
      <c r="M3037" s="1454" t="s">
        <v>3049</v>
      </c>
      <c r="N3037" s="1445"/>
    </row>
    <row r="3038" spans="2:14" ht="16.5" customHeight="1">
      <c r="B3038" s="1448"/>
      <c r="C3038" s="1448"/>
      <c r="D3038" s="1448"/>
      <c r="E3038" s="70" t="s">
        <v>3050</v>
      </c>
      <c r="F3038" s="31" t="s">
        <v>3051</v>
      </c>
      <c r="G3038" s="1448"/>
      <c r="H3038" s="30">
        <v>30222740</v>
      </c>
      <c r="I3038" s="316">
        <v>10500</v>
      </c>
      <c r="J3038" s="64">
        <v>9.9999999999999978E-2</v>
      </c>
      <c r="K3038" s="30">
        <v>10</v>
      </c>
      <c r="L3038" s="316">
        <f t="shared" si="13"/>
        <v>105000</v>
      </c>
      <c r="M3038" s="1454"/>
      <c r="N3038" s="1446"/>
    </row>
    <row r="3039" spans="2:14" ht="16.5" customHeight="1">
      <c r="B3039" s="1448"/>
      <c r="C3039" s="1448"/>
      <c r="D3039" s="1448"/>
      <c r="E3039" s="70" t="s">
        <v>3052</v>
      </c>
      <c r="F3039" s="31" t="s">
        <v>3053</v>
      </c>
      <c r="G3039" s="1448"/>
      <c r="H3039" s="30">
        <v>30222739</v>
      </c>
      <c r="I3039" s="316">
        <v>14000</v>
      </c>
      <c r="J3039" s="64">
        <v>9.9999999999999978E-2</v>
      </c>
      <c r="K3039" s="30">
        <v>10</v>
      </c>
      <c r="L3039" s="316">
        <f t="shared" si="13"/>
        <v>140000</v>
      </c>
      <c r="M3039" s="1454"/>
      <c r="N3039" s="1446"/>
    </row>
    <row r="3040" spans="2:14" ht="16.5" customHeight="1">
      <c r="B3040" s="1448"/>
      <c r="C3040" s="1448"/>
      <c r="D3040" s="1448"/>
      <c r="E3040" s="70" t="s">
        <v>3054</v>
      </c>
      <c r="F3040" s="31" t="s">
        <v>3055</v>
      </c>
      <c r="G3040" s="1448"/>
      <c r="H3040" s="30">
        <v>30222738</v>
      </c>
      <c r="I3040" s="316">
        <v>12500</v>
      </c>
      <c r="J3040" s="64">
        <v>9.9999999999999978E-2</v>
      </c>
      <c r="K3040" s="30">
        <v>10</v>
      </c>
      <c r="L3040" s="316">
        <f t="shared" si="13"/>
        <v>125000</v>
      </c>
      <c r="M3040" s="1454"/>
      <c r="N3040" s="1446"/>
    </row>
    <row r="3041" spans="2:14" ht="16.5" customHeight="1">
      <c r="B3041" s="1448"/>
      <c r="C3041" s="1448"/>
      <c r="D3041" s="1448"/>
      <c r="E3041" s="70" t="s">
        <v>3056</v>
      </c>
      <c r="F3041" s="31" t="s">
        <v>3057</v>
      </c>
      <c r="G3041" s="1448"/>
      <c r="H3041" s="30">
        <v>30222737</v>
      </c>
      <c r="I3041" s="316">
        <v>15500</v>
      </c>
      <c r="J3041" s="64">
        <v>9.9999999999999978E-2</v>
      </c>
      <c r="K3041" s="30">
        <v>10</v>
      </c>
      <c r="L3041" s="316">
        <f t="shared" si="13"/>
        <v>155000</v>
      </c>
      <c r="M3041" s="1454"/>
      <c r="N3041" s="1447"/>
    </row>
    <row r="3042" spans="2:14" ht="16.5" customHeight="1">
      <c r="B3042" s="1448"/>
      <c r="C3042" s="1448">
        <v>7</v>
      </c>
      <c r="D3042" s="1448" t="s">
        <v>478</v>
      </c>
      <c r="E3042" s="70">
        <v>77908143</v>
      </c>
      <c r="F3042" s="31" t="s">
        <v>3058</v>
      </c>
      <c r="G3042" s="1448" t="s">
        <v>3058</v>
      </c>
      <c r="H3042" s="30">
        <v>30222736</v>
      </c>
      <c r="I3042" s="316">
        <v>15200</v>
      </c>
      <c r="J3042" s="64">
        <v>9.9999999999999978E-2</v>
      </c>
      <c r="K3042" s="30">
        <v>10</v>
      </c>
      <c r="L3042" s="316">
        <f t="shared" si="13"/>
        <v>152000</v>
      </c>
      <c r="M3042" s="1454" t="s">
        <v>3059</v>
      </c>
      <c r="N3042" s="1445"/>
    </row>
    <row r="3043" spans="2:14" ht="16.5" customHeight="1">
      <c r="B3043" s="1448"/>
      <c r="C3043" s="1448"/>
      <c r="D3043" s="1448"/>
      <c r="E3043" s="70">
        <v>77908142</v>
      </c>
      <c r="F3043" s="31" t="s">
        <v>3060</v>
      </c>
      <c r="G3043" s="1448"/>
      <c r="H3043" s="30">
        <v>30222735</v>
      </c>
      <c r="I3043" s="316">
        <v>19900</v>
      </c>
      <c r="J3043" s="64">
        <v>9.9999999999999978E-2</v>
      </c>
      <c r="K3043" s="30">
        <v>10</v>
      </c>
      <c r="L3043" s="316">
        <f t="shared" si="13"/>
        <v>199000</v>
      </c>
      <c r="M3043" s="1454"/>
      <c r="N3043" s="1446"/>
    </row>
    <row r="3044" spans="2:14" ht="16.5" customHeight="1">
      <c r="B3044" s="1448"/>
      <c r="C3044" s="1448"/>
      <c r="D3044" s="1448"/>
      <c r="E3044" s="70">
        <v>77926416</v>
      </c>
      <c r="F3044" s="31" t="s">
        <v>3061</v>
      </c>
      <c r="G3044" s="1448"/>
      <c r="H3044" s="30">
        <v>30222734</v>
      </c>
      <c r="I3044" s="316">
        <v>14500</v>
      </c>
      <c r="J3044" s="64">
        <v>9.9999999999999978E-2</v>
      </c>
      <c r="K3044" s="30">
        <v>10</v>
      </c>
      <c r="L3044" s="316">
        <f t="shared" si="13"/>
        <v>145000</v>
      </c>
      <c r="M3044" s="1454"/>
      <c r="N3044" s="1446"/>
    </row>
    <row r="3045" spans="2:14" ht="16.5" customHeight="1">
      <c r="B3045" s="1448"/>
      <c r="C3045" s="1448"/>
      <c r="D3045" s="1448"/>
      <c r="E3045" s="70">
        <v>77926410</v>
      </c>
      <c r="F3045" s="31" t="s">
        <v>3062</v>
      </c>
      <c r="G3045" s="1448"/>
      <c r="H3045" s="30">
        <v>30222733</v>
      </c>
      <c r="I3045" s="316">
        <v>17500</v>
      </c>
      <c r="J3045" s="64">
        <v>9.9999999999999978E-2</v>
      </c>
      <c r="K3045" s="30">
        <v>10</v>
      </c>
      <c r="L3045" s="316">
        <f t="shared" si="13"/>
        <v>175000</v>
      </c>
      <c r="M3045" s="1454"/>
      <c r="N3045" s="1447"/>
    </row>
    <row r="3046" spans="2:14" ht="16.5" customHeight="1">
      <c r="B3046" s="1448"/>
      <c r="C3046" s="1448">
        <v>8</v>
      </c>
      <c r="D3046" s="1448" t="s">
        <v>3063</v>
      </c>
      <c r="E3046" s="70">
        <v>10965891</v>
      </c>
      <c r="F3046" s="31" t="s">
        <v>3064</v>
      </c>
      <c r="G3046" s="1448" t="s">
        <v>3064</v>
      </c>
      <c r="H3046" s="30">
        <v>30215742</v>
      </c>
      <c r="I3046" s="316">
        <v>9700</v>
      </c>
      <c r="J3046" s="64">
        <v>9.9999999999999978E-2</v>
      </c>
      <c r="K3046" s="30">
        <v>10</v>
      </c>
      <c r="L3046" s="316">
        <f t="shared" si="13"/>
        <v>97000</v>
      </c>
      <c r="M3046" s="1454" t="s">
        <v>3065</v>
      </c>
      <c r="N3046" s="1445"/>
    </row>
    <row r="3047" spans="2:14" ht="16.5" customHeight="1">
      <c r="B3047" s="1448"/>
      <c r="C3047" s="1448"/>
      <c r="D3047" s="1448"/>
      <c r="E3047" s="70">
        <v>10965893</v>
      </c>
      <c r="F3047" s="31" t="s">
        <v>1307</v>
      </c>
      <c r="G3047" s="1448"/>
      <c r="H3047" s="30">
        <v>30216217</v>
      </c>
      <c r="I3047" s="316">
        <v>14500</v>
      </c>
      <c r="J3047" s="64">
        <v>9.9999999999999978E-2</v>
      </c>
      <c r="K3047" s="30">
        <v>10</v>
      </c>
      <c r="L3047" s="316">
        <f t="shared" si="13"/>
        <v>145000</v>
      </c>
      <c r="M3047" s="1454"/>
      <c r="N3047" s="1446"/>
    </row>
    <row r="3048" spans="2:14" ht="16.5" customHeight="1">
      <c r="B3048" s="1448"/>
      <c r="C3048" s="1448"/>
      <c r="D3048" s="1448"/>
      <c r="E3048" s="70">
        <v>46475172</v>
      </c>
      <c r="F3048" s="31" t="s">
        <v>1311</v>
      </c>
      <c r="G3048" s="1448"/>
      <c r="H3048" s="30">
        <v>30215744</v>
      </c>
      <c r="I3048" s="316">
        <v>25900</v>
      </c>
      <c r="J3048" s="64">
        <v>9.9999999999999978E-2</v>
      </c>
      <c r="K3048" s="30">
        <v>10</v>
      </c>
      <c r="L3048" s="316">
        <f t="shared" si="13"/>
        <v>259000</v>
      </c>
      <c r="M3048" s="1454"/>
      <c r="N3048" s="1446"/>
    </row>
    <row r="3049" spans="2:14" ht="16.5" customHeight="1">
      <c r="B3049" s="1448"/>
      <c r="C3049" s="1448"/>
      <c r="D3049" s="1448"/>
      <c r="E3049" s="70">
        <v>10965889</v>
      </c>
      <c r="F3049" s="31" t="s">
        <v>3066</v>
      </c>
      <c r="G3049" s="1448"/>
      <c r="H3049" s="30">
        <v>30154149</v>
      </c>
      <c r="I3049" s="316">
        <v>10500</v>
      </c>
      <c r="J3049" s="64">
        <v>9.9999999999999978E-2</v>
      </c>
      <c r="K3049" s="30">
        <v>10</v>
      </c>
      <c r="L3049" s="316">
        <f t="shared" si="13"/>
        <v>105000</v>
      </c>
      <c r="M3049" s="1454"/>
      <c r="N3049" s="1446"/>
    </row>
    <row r="3050" spans="2:14" ht="16.5" customHeight="1">
      <c r="B3050" s="1448"/>
      <c r="C3050" s="1448"/>
      <c r="D3050" s="1448"/>
      <c r="E3050" s="70">
        <v>10965890</v>
      </c>
      <c r="F3050" s="31" t="s">
        <v>1310</v>
      </c>
      <c r="G3050" s="1448"/>
      <c r="H3050" s="30">
        <v>30162376</v>
      </c>
      <c r="I3050" s="316">
        <v>15000</v>
      </c>
      <c r="J3050" s="64">
        <v>9.9999999999999978E-2</v>
      </c>
      <c r="K3050" s="30">
        <v>10</v>
      </c>
      <c r="L3050" s="316">
        <f t="shared" si="13"/>
        <v>150000</v>
      </c>
      <c r="M3050" s="1454"/>
      <c r="N3050" s="1446"/>
    </row>
    <row r="3051" spans="2:14" ht="16.5" customHeight="1">
      <c r="B3051" s="1448"/>
      <c r="C3051" s="1448"/>
      <c r="D3051" s="1448"/>
      <c r="E3051" s="70">
        <v>46475171</v>
      </c>
      <c r="F3051" s="31" t="s">
        <v>1312</v>
      </c>
      <c r="G3051" s="1448"/>
      <c r="H3051" s="30">
        <v>30215743</v>
      </c>
      <c r="I3051" s="316">
        <v>27500</v>
      </c>
      <c r="J3051" s="64">
        <v>9.9999999999999978E-2</v>
      </c>
      <c r="K3051" s="30">
        <v>10</v>
      </c>
      <c r="L3051" s="316">
        <f t="shared" si="13"/>
        <v>275000</v>
      </c>
      <c r="M3051" s="1454"/>
      <c r="N3051" s="1447"/>
    </row>
    <row r="3052" spans="2:14" ht="16.5" customHeight="1">
      <c r="B3052" s="1448"/>
      <c r="C3052" s="1448">
        <v>9</v>
      </c>
      <c r="D3052" s="1448" t="s">
        <v>3063</v>
      </c>
      <c r="E3052" s="70">
        <v>72472601</v>
      </c>
      <c r="F3052" s="31" t="s">
        <v>3067</v>
      </c>
      <c r="G3052" s="1448" t="s">
        <v>3067</v>
      </c>
      <c r="H3052" s="30">
        <v>30212219</v>
      </c>
      <c r="I3052" s="316">
        <v>12900</v>
      </c>
      <c r="J3052" s="64">
        <v>9.9999999999999978E-2</v>
      </c>
      <c r="K3052" s="30">
        <v>10</v>
      </c>
      <c r="L3052" s="316">
        <f t="shared" si="13"/>
        <v>129000</v>
      </c>
      <c r="M3052" s="1454" t="s">
        <v>3068</v>
      </c>
      <c r="N3052" s="1445"/>
    </row>
    <row r="3053" spans="2:14" ht="16.5" customHeight="1">
      <c r="B3053" s="1448"/>
      <c r="C3053" s="1448"/>
      <c r="D3053" s="1448"/>
      <c r="E3053" s="70">
        <v>49344202</v>
      </c>
      <c r="F3053" s="31" t="s">
        <v>3069</v>
      </c>
      <c r="G3053" s="1448"/>
      <c r="H3053" s="30">
        <v>30212222</v>
      </c>
      <c r="I3053" s="316">
        <v>10900</v>
      </c>
      <c r="J3053" s="64">
        <v>9.9999999999999978E-2</v>
      </c>
      <c r="K3053" s="30">
        <v>10</v>
      </c>
      <c r="L3053" s="316">
        <f t="shared" si="13"/>
        <v>109000</v>
      </c>
      <c r="M3053" s="1454"/>
      <c r="N3053" s="1446"/>
    </row>
    <row r="3054" spans="2:14" ht="16.5" customHeight="1">
      <c r="B3054" s="1448"/>
      <c r="C3054" s="1448"/>
      <c r="D3054" s="1448"/>
      <c r="E3054" s="70">
        <v>61127299</v>
      </c>
      <c r="F3054" s="31" t="s">
        <v>3070</v>
      </c>
      <c r="G3054" s="1448"/>
      <c r="H3054" s="30">
        <v>30212223</v>
      </c>
      <c r="I3054" s="316">
        <v>13500</v>
      </c>
      <c r="J3054" s="64">
        <v>9.9999999999999978E-2</v>
      </c>
      <c r="K3054" s="30">
        <v>10</v>
      </c>
      <c r="L3054" s="316">
        <f t="shared" si="13"/>
        <v>135000</v>
      </c>
      <c r="M3054" s="1454"/>
      <c r="N3054" s="1446"/>
    </row>
    <row r="3055" spans="2:14" ht="16.5" customHeight="1">
      <c r="B3055" s="1448"/>
      <c r="C3055" s="1448"/>
      <c r="D3055" s="1448"/>
      <c r="E3055" s="70">
        <v>76559448</v>
      </c>
      <c r="F3055" s="31" t="s">
        <v>3071</v>
      </c>
      <c r="G3055" s="1448"/>
      <c r="H3055" s="30">
        <v>30218187</v>
      </c>
      <c r="I3055" s="316">
        <v>13500</v>
      </c>
      <c r="J3055" s="64">
        <v>9.9999999999999978E-2</v>
      </c>
      <c r="K3055" s="30">
        <v>10</v>
      </c>
      <c r="L3055" s="316">
        <f t="shared" si="13"/>
        <v>135000</v>
      </c>
      <c r="M3055" s="1454"/>
      <c r="N3055" s="1446"/>
    </row>
    <row r="3056" spans="2:14" ht="16.5" customHeight="1">
      <c r="B3056" s="1448"/>
      <c r="C3056" s="1448"/>
      <c r="D3056" s="1448"/>
      <c r="E3056" s="70">
        <v>49344198</v>
      </c>
      <c r="F3056" s="31" t="s">
        <v>3072</v>
      </c>
      <c r="G3056" s="1448"/>
      <c r="H3056" s="30">
        <v>30212220</v>
      </c>
      <c r="I3056" s="316">
        <v>13900</v>
      </c>
      <c r="J3056" s="64">
        <v>9.9999999999999978E-2</v>
      </c>
      <c r="K3056" s="30">
        <v>10</v>
      </c>
      <c r="L3056" s="316">
        <f t="shared" si="13"/>
        <v>139000</v>
      </c>
      <c r="M3056" s="1454"/>
      <c r="N3056" s="1447"/>
    </row>
    <row r="3057" spans="2:14" ht="16.5" customHeight="1">
      <c r="B3057" s="1448"/>
      <c r="C3057" s="1448">
        <v>10</v>
      </c>
      <c r="D3057" s="1448" t="s">
        <v>3063</v>
      </c>
      <c r="E3057" s="70">
        <v>65551073</v>
      </c>
      <c r="F3057" s="31" t="s">
        <v>833</v>
      </c>
      <c r="G3057" s="1448" t="s">
        <v>833</v>
      </c>
      <c r="H3057" s="30">
        <v>30215062</v>
      </c>
      <c r="I3057" s="316">
        <v>16200</v>
      </c>
      <c r="J3057" s="64">
        <v>9.9999999999999978E-2</v>
      </c>
      <c r="K3057" s="30">
        <v>10</v>
      </c>
      <c r="L3057" s="316">
        <f t="shared" si="13"/>
        <v>162000</v>
      </c>
      <c r="M3057" s="1454" t="s">
        <v>3073</v>
      </c>
      <c r="N3057" s="1445"/>
    </row>
    <row r="3058" spans="2:14" ht="16.5" customHeight="1">
      <c r="B3058" s="1448"/>
      <c r="C3058" s="1448"/>
      <c r="D3058" s="1448"/>
      <c r="E3058" s="70">
        <v>62286977</v>
      </c>
      <c r="F3058" s="31" t="s">
        <v>3074</v>
      </c>
      <c r="G3058" s="1448"/>
      <c r="H3058" s="30">
        <v>30201573</v>
      </c>
      <c r="I3058" s="316">
        <v>18500</v>
      </c>
      <c r="J3058" s="64">
        <v>9.9999999999999978E-2</v>
      </c>
      <c r="K3058" s="30">
        <v>10</v>
      </c>
      <c r="L3058" s="316">
        <f t="shared" si="13"/>
        <v>185000</v>
      </c>
      <c r="M3058" s="1454"/>
      <c r="N3058" s="1446"/>
    </row>
    <row r="3059" spans="2:14" ht="16.5" customHeight="1">
      <c r="B3059" s="1448"/>
      <c r="C3059" s="1448"/>
      <c r="D3059" s="1448"/>
      <c r="E3059" s="70">
        <v>62286984</v>
      </c>
      <c r="F3059" s="31" t="s">
        <v>3075</v>
      </c>
      <c r="G3059" s="1448"/>
      <c r="H3059" s="30">
        <v>30222731</v>
      </c>
      <c r="I3059" s="316">
        <v>17900</v>
      </c>
      <c r="J3059" s="64">
        <v>9.9999999999999978E-2</v>
      </c>
      <c r="K3059" s="30">
        <v>10</v>
      </c>
      <c r="L3059" s="316">
        <f t="shared" si="13"/>
        <v>179000</v>
      </c>
      <c r="M3059" s="1454"/>
      <c r="N3059" s="1446"/>
    </row>
    <row r="3060" spans="2:14" ht="16.5" customHeight="1">
      <c r="B3060" s="1448"/>
      <c r="C3060" s="1448"/>
      <c r="D3060" s="1448"/>
      <c r="E3060" s="70">
        <v>10225829</v>
      </c>
      <c r="F3060" s="31" t="s">
        <v>832</v>
      </c>
      <c r="G3060" s="1448"/>
      <c r="H3060" s="30">
        <v>30210813</v>
      </c>
      <c r="I3060" s="316">
        <v>12900</v>
      </c>
      <c r="J3060" s="64">
        <v>9.9999999999999978E-2</v>
      </c>
      <c r="K3060" s="30">
        <v>10</v>
      </c>
      <c r="L3060" s="316">
        <f t="shared" si="13"/>
        <v>129000</v>
      </c>
      <c r="M3060" s="1454"/>
      <c r="N3060" s="1447"/>
    </row>
    <row r="3061" spans="2:14" ht="16.5" customHeight="1">
      <c r="B3061" s="1448"/>
      <c r="C3061" s="1448">
        <v>11</v>
      </c>
      <c r="D3061" s="1448" t="s">
        <v>3063</v>
      </c>
      <c r="E3061" s="70">
        <v>46863389</v>
      </c>
      <c r="F3061" s="31" t="s">
        <v>3076</v>
      </c>
      <c r="G3061" s="1448" t="s">
        <v>3076</v>
      </c>
      <c r="H3061" s="30">
        <v>30169183</v>
      </c>
      <c r="I3061" s="316">
        <v>7300</v>
      </c>
      <c r="J3061" s="64">
        <v>9.9999999999999978E-2</v>
      </c>
      <c r="K3061" s="30">
        <v>10</v>
      </c>
      <c r="L3061" s="316">
        <f t="shared" si="13"/>
        <v>73000</v>
      </c>
      <c r="M3061" s="1454" t="s">
        <v>3077</v>
      </c>
      <c r="N3061" s="1445"/>
    </row>
    <row r="3062" spans="2:14" ht="16.5" customHeight="1">
      <c r="B3062" s="1448"/>
      <c r="C3062" s="1448"/>
      <c r="D3062" s="1448"/>
      <c r="E3062" s="70">
        <v>46863390</v>
      </c>
      <c r="F3062" s="31" t="s">
        <v>1434</v>
      </c>
      <c r="G3062" s="1448"/>
      <c r="H3062" s="30">
        <v>30169182</v>
      </c>
      <c r="I3062" s="316">
        <v>10900</v>
      </c>
      <c r="J3062" s="64">
        <v>9.9999999999999978E-2</v>
      </c>
      <c r="K3062" s="30">
        <v>10</v>
      </c>
      <c r="L3062" s="316">
        <f t="shared" si="13"/>
        <v>109000</v>
      </c>
      <c r="M3062" s="1454"/>
      <c r="N3062" s="1446"/>
    </row>
    <row r="3063" spans="2:14" ht="16.5" customHeight="1">
      <c r="B3063" s="1448"/>
      <c r="C3063" s="1448"/>
      <c r="D3063" s="1448"/>
      <c r="E3063" s="70">
        <v>65273777</v>
      </c>
      <c r="F3063" s="31" t="s">
        <v>3078</v>
      </c>
      <c r="G3063" s="1448"/>
      <c r="H3063" s="30">
        <v>30186554</v>
      </c>
      <c r="I3063" s="316">
        <v>12500</v>
      </c>
      <c r="J3063" s="64">
        <v>9.9999999999999978E-2</v>
      </c>
      <c r="K3063" s="30">
        <v>10</v>
      </c>
      <c r="L3063" s="316">
        <f t="shared" si="13"/>
        <v>125000</v>
      </c>
      <c r="M3063" s="1454"/>
      <c r="N3063" s="1446"/>
    </row>
    <row r="3064" spans="2:14" ht="16.5" customHeight="1">
      <c r="B3064" s="1448"/>
      <c r="C3064" s="1448"/>
      <c r="D3064" s="1448"/>
      <c r="E3064" s="70">
        <v>46863363</v>
      </c>
      <c r="F3064" s="31" t="s">
        <v>1435</v>
      </c>
      <c r="G3064" s="1448"/>
      <c r="H3064" s="30">
        <v>30164153</v>
      </c>
      <c r="I3064" s="316">
        <v>20900</v>
      </c>
      <c r="J3064" s="64">
        <v>9.9999999999999978E-2</v>
      </c>
      <c r="K3064" s="30">
        <v>10</v>
      </c>
      <c r="L3064" s="316">
        <f t="shared" si="13"/>
        <v>209000</v>
      </c>
      <c r="M3064" s="1454"/>
      <c r="N3064" s="1446"/>
    </row>
    <row r="3065" spans="2:14" ht="16.5" customHeight="1">
      <c r="B3065" s="1448"/>
      <c r="C3065" s="1448"/>
      <c r="D3065" s="1448"/>
      <c r="E3065" s="70">
        <v>46863282</v>
      </c>
      <c r="F3065" s="31" t="s">
        <v>3079</v>
      </c>
      <c r="G3065" s="1448"/>
      <c r="H3065" s="30">
        <v>30204101</v>
      </c>
      <c r="I3065" s="316">
        <v>15900</v>
      </c>
      <c r="J3065" s="64">
        <v>9.9999999999999978E-2</v>
      </c>
      <c r="K3065" s="30">
        <v>10</v>
      </c>
      <c r="L3065" s="316">
        <f t="shared" si="13"/>
        <v>159000</v>
      </c>
      <c r="M3065" s="1454"/>
      <c r="N3065" s="1447"/>
    </row>
    <row r="3066" spans="2:14" ht="16.5" customHeight="1">
      <c r="B3066" s="1448" t="s">
        <v>417</v>
      </c>
      <c r="C3066" s="1448">
        <v>1</v>
      </c>
      <c r="D3066" s="1448" t="s">
        <v>432</v>
      </c>
      <c r="E3066" s="30">
        <v>46970725</v>
      </c>
      <c r="F3066" s="31" t="s">
        <v>1681</v>
      </c>
      <c r="G3066" s="1451" t="s">
        <v>1681</v>
      </c>
      <c r="H3066" s="30">
        <v>30196662</v>
      </c>
      <c r="I3066" s="316">
        <v>17300</v>
      </c>
      <c r="J3066" s="64">
        <v>0.1</v>
      </c>
      <c r="K3066" s="30">
        <v>10</v>
      </c>
      <c r="L3066" s="316">
        <f t="shared" si="13"/>
        <v>173000</v>
      </c>
      <c r="M3066" s="1454" t="s">
        <v>1682</v>
      </c>
      <c r="N3066" s="1445"/>
    </row>
    <row r="3067" spans="2:14" ht="16.5" customHeight="1">
      <c r="B3067" s="1448"/>
      <c r="C3067" s="1448"/>
      <c r="D3067" s="1448"/>
      <c r="E3067" s="30">
        <v>46572941</v>
      </c>
      <c r="F3067" s="31" t="s">
        <v>1686</v>
      </c>
      <c r="G3067" s="1452"/>
      <c r="H3067" s="30">
        <v>30187654</v>
      </c>
      <c r="I3067" s="316">
        <v>11700</v>
      </c>
      <c r="J3067" s="64">
        <v>0.1</v>
      </c>
      <c r="K3067" s="30">
        <v>10</v>
      </c>
      <c r="L3067" s="316">
        <f t="shared" si="13"/>
        <v>117000</v>
      </c>
      <c r="M3067" s="1454"/>
      <c r="N3067" s="1446"/>
    </row>
    <row r="3068" spans="2:14" ht="16.5" customHeight="1">
      <c r="B3068" s="1448"/>
      <c r="C3068" s="1448"/>
      <c r="D3068" s="1448"/>
      <c r="E3068" s="30">
        <v>46572933</v>
      </c>
      <c r="F3068" s="31" t="s">
        <v>1685</v>
      </c>
      <c r="G3068" s="1452"/>
      <c r="H3068" s="30">
        <v>30189141</v>
      </c>
      <c r="I3068" s="316">
        <v>13100</v>
      </c>
      <c r="J3068" s="64">
        <v>0.1</v>
      </c>
      <c r="K3068" s="30">
        <v>10</v>
      </c>
      <c r="L3068" s="316">
        <f t="shared" si="13"/>
        <v>131000</v>
      </c>
      <c r="M3068" s="1454"/>
      <c r="N3068" s="1446"/>
    </row>
    <row r="3069" spans="2:14" ht="16.5" customHeight="1">
      <c r="B3069" s="1448"/>
      <c r="C3069" s="1448"/>
      <c r="D3069" s="1448"/>
      <c r="E3069" s="30">
        <v>48829913</v>
      </c>
      <c r="F3069" s="31" t="s">
        <v>3080</v>
      </c>
      <c r="G3069" s="1452"/>
      <c r="H3069" s="30">
        <v>30133477</v>
      </c>
      <c r="I3069" s="316">
        <v>14500</v>
      </c>
      <c r="J3069" s="64">
        <v>0.1</v>
      </c>
      <c r="K3069" s="30">
        <v>10</v>
      </c>
      <c r="L3069" s="316">
        <f t="shared" si="13"/>
        <v>145000</v>
      </c>
      <c r="M3069" s="1454"/>
      <c r="N3069" s="1446"/>
    </row>
    <row r="3070" spans="2:14" ht="16.5" customHeight="1">
      <c r="B3070" s="1448"/>
      <c r="C3070" s="1448"/>
      <c r="D3070" s="1448"/>
      <c r="E3070" s="30">
        <v>46970759</v>
      </c>
      <c r="F3070" s="31" t="s">
        <v>3081</v>
      </c>
      <c r="G3070" s="1453"/>
      <c r="H3070" s="30">
        <v>30185692</v>
      </c>
      <c r="I3070" s="316">
        <v>28900</v>
      </c>
      <c r="J3070" s="64">
        <v>0.1</v>
      </c>
      <c r="K3070" s="30">
        <v>10</v>
      </c>
      <c r="L3070" s="316">
        <f t="shared" si="13"/>
        <v>289000</v>
      </c>
      <c r="M3070" s="1454"/>
      <c r="N3070" s="1447"/>
    </row>
    <row r="3071" spans="2:14" ht="16.5" customHeight="1">
      <c r="B3071" s="1448"/>
      <c r="C3071" s="29">
        <v>2</v>
      </c>
      <c r="D3071" s="29" t="s">
        <v>3082</v>
      </c>
      <c r="E3071" s="30">
        <v>30022096</v>
      </c>
      <c r="F3071" s="31" t="s">
        <v>3083</v>
      </c>
      <c r="G3071" s="31" t="s">
        <v>3083</v>
      </c>
      <c r="H3071" s="30">
        <v>30222677</v>
      </c>
      <c r="I3071" s="316">
        <v>27900</v>
      </c>
      <c r="J3071" s="64">
        <v>0.1</v>
      </c>
      <c r="K3071" s="30">
        <v>10</v>
      </c>
      <c r="L3071" s="316">
        <f t="shared" si="13"/>
        <v>279000</v>
      </c>
      <c r="M3071" s="31" t="s">
        <v>3084</v>
      </c>
      <c r="N3071" s="69"/>
    </row>
    <row r="3072" spans="2:14" ht="16.5" customHeight="1">
      <c r="B3072" s="1448"/>
      <c r="C3072" s="1448">
        <v>3</v>
      </c>
      <c r="D3072" s="1448" t="s">
        <v>1241</v>
      </c>
      <c r="E3072" s="30">
        <v>48346629</v>
      </c>
      <c r="F3072" s="31" t="s">
        <v>3085</v>
      </c>
      <c r="G3072" s="1451" t="s">
        <v>3085</v>
      </c>
      <c r="H3072" s="30">
        <v>30222689</v>
      </c>
      <c r="I3072" s="316">
        <v>13900</v>
      </c>
      <c r="J3072" s="64">
        <v>0.1</v>
      </c>
      <c r="K3072" s="30">
        <v>10</v>
      </c>
      <c r="L3072" s="316">
        <f t="shared" si="13"/>
        <v>139000</v>
      </c>
      <c r="M3072" s="1454" t="s">
        <v>3086</v>
      </c>
      <c r="N3072" s="1445"/>
    </row>
    <row r="3073" spans="2:14" ht="16.5" customHeight="1">
      <c r="B3073" s="1448"/>
      <c r="C3073" s="1448"/>
      <c r="D3073" s="1448"/>
      <c r="E3073" s="30">
        <v>48346630</v>
      </c>
      <c r="F3073" s="31" t="s">
        <v>3087</v>
      </c>
      <c r="G3073" s="1452"/>
      <c r="H3073" s="30">
        <v>30222688</v>
      </c>
      <c r="I3073" s="316">
        <v>23700</v>
      </c>
      <c r="J3073" s="64">
        <v>0.1</v>
      </c>
      <c r="K3073" s="30">
        <v>10</v>
      </c>
      <c r="L3073" s="316">
        <f t="shared" si="13"/>
        <v>237000</v>
      </c>
      <c r="M3073" s="1454"/>
      <c r="N3073" s="1446"/>
    </row>
    <row r="3074" spans="2:14" ht="16.5" customHeight="1">
      <c r="B3074" s="1448"/>
      <c r="C3074" s="1448"/>
      <c r="D3074" s="1448"/>
      <c r="E3074" s="30">
        <v>77918916</v>
      </c>
      <c r="F3074" s="31" t="s">
        <v>3088</v>
      </c>
      <c r="G3074" s="1453"/>
      <c r="H3074" s="30">
        <v>30222687</v>
      </c>
      <c r="I3074" s="316">
        <v>43700</v>
      </c>
      <c r="J3074" s="64">
        <v>0.1</v>
      </c>
      <c r="K3074" s="30">
        <v>10</v>
      </c>
      <c r="L3074" s="316">
        <f t="shared" si="13"/>
        <v>437000</v>
      </c>
      <c r="M3074" s="1454"/>
      <c r="N3074" s="1447"/>
    </row>
    <row r="3075" spans="2:14" ht="16.5" customHeight="1">
      <c r="B3075" s="1448"/>
      <c r="C3075" s="1448">
        <v>4</v>
      </c>
      <c r="D3075" s="1448" t="s">
        <v>426</v>
      </c>
      <c r="E3075" s="30">
        <v>11011539</v>
      </c>
      <c r="F3075" s="31" t="s">
        <v>1971</v>
      </c>
      <c r="G3075" s="1451" t="s">
        <v>1971</v>
      </c>
      <c r="H3075" s="30">
        <v>30163599</v>
      </c>
      <c r="I3075" s="316">
        <v>12900</v>
      </c>
      <c r="J3075" s="64">
        <v>0.1</v>
      </c>
      <c r="K3075" s="30">
        <v>10</v>
      </c>
      <c r="L3075" s="316">
        <f t="shared" si="13"/>
        <v>129000</v>
      </c>
      <c r="M3075" s="1454" t="s">
        <v>3089</v>
      </c>
      <c r="N3075" s="1455"/>
    </row>
    <row r="3076" spans="2:14" ht="16.5" customHeight="1">
      <c r="B3076" s="1448"/>
      <c r="C3076" s="1448"/>
      <c r="D3076" s="1448"/>
      <c r="E3076" s="30">
        <v>40173140</v>
      </c>
      <c r="F3076" s="31" t="s">
        <v>1975</v>
      </c>
      <c r="G3076" s="1452"/>
      <c r="H3076" s="30">
        <v>30163598</v>
      </c>
      <c r="I3076" s="316">
        <v>21900</v>
      </c>
      <c r="J3076" s="64">
        <v>0.1</v>
      </c>
      <c r="K3076" s="30">
        <v>10</v>
      </c>
      <c r="L3076" s="316">
        <f t="shared" si="13"/>
        <v>219000</v>
      </c>
      <c r="M3076" s="1454"/>
      <c r="N3076" s="1456"/>
    </row>
    <row r="3077" spans="2:14" ht="16.5" customHeight="1">
      <c r="B3077" s="1448"/>
      <c r="C3077" s="1448"/>
      <c r="D3077" s="1448"/>
      <c r="E3077" s="30">
        <v>42006807</v>
      </c>
      <c r="F3077" s="31" t="s">
        <v>1694</v>
      </c>
      <c r="G3077" s="1452"/>
      <c r="H3077" s="30">
        <v>30217068</v>
      </c>
      <c r="I3077" s="316">
        <v>15900</v>
      </c>
      <c r="J3077" s="64">
        <v>0.1</v>
      </c>
      <c r="K3077" s="30">
        <v>10</v>
      </c>
      <c r="L3077" s="316">
        <f t="shared" si="13"/>
        <v>159000</v>
      </c>
      <c r="M3077" s="1454"/>
      <c r="N3077" s="1456"/>
    </row>
    <row r="3078" spans="2:14" ht="16.5" customHeight="1">
      <c r="B3078" s="1448"/>
      <c r="C3078" s="1448"/>
      <c r="D3078" s="1448"/>
      <c r="E3078" s="30">
        <v>41925663</v>
      </c>
      <c r="F3078" s="31" t="s">
        <v>1696</v>
      </c>
      <c r="G3078" s="1453"/>
      <c r="H3078" s="30">
        <v>30217066</v>
      </c>
      <c r="I3078" s="316">
        <v>15900</v>
      </c>
      <c r="J3078" s="64">
        <v>0.1</v>
      </c>
      <c r="K3078" s="30">
        <v>10</v>
      </c>
      <c r="L3078" s="316">
        <f t="shared" si="13"/>
        <v>159000</v>
      </c>
      <c r="M3078" s="1454"/>
      <c r="N3078" s="1457"/>
    </row>
    <row r="3079" spans="2:14" ht="16.5" customHeight="1">
      <c r="B3079" s="1448"/>
      <c r="C3079" s="1448">
        <v>5</v>
      </c>
      <c r="D3079" s="1448" t="s">
        <v>439</v>
      </c>
      <c r="E3079" s="30">
        <v>72927058</v>
      </c>
      <c r="F3079" s="31" t="s">
        <v>3090</v>
      </c>
      <c r="G3079" s="1451" t="s">
        <v>3090</v>
      </c>
      <c r="H3079" s="30">
        <v>30212098</v>
      </c>
      <c r="I3079" s="316">
        <v>8900</v>
      </c>
      <c r="J3079" s="64">
        <v>0.1</v>
      </c>
      <c r="K3079" s="30">
        <v>10</v>
      </c>
      <c r="L3079" s="316">
        <f t="shared" si="13"/>
        <v>89000</v>
      </c>
      <c r="M3079" s="1454" t="s">
        <v>3091</v>
      </c>
      <c r="N3079" s="1445"/>
    </row>
    <row r="3080" spans="2:14" ht="16.5" customHeight="1">
      <c r="B3080" s="1448"/>
      <c r="C3080" s="1448"/>
      <c r="D3080" s="1448"/>
      <c r="E3080" s="30">
        <v>72926973</v>
      </c>
      <c r="F3080" s="31" t="s">
        <v>3092</v>
      </c>
      <c r="G3080" s="1452"/>
      <c r="H3080" s="30">
        <v>30212097</v>
      </c>
      <c r="I3080" s="316">
        <v>8900</v>
      </c>
      <c r="J3080" s="64">
        <v>0.1</v>
      </c>
      <c r="K3080" s="30">
        <v>10</v>
      </c>
      <c r="L3080" s="316">
        <f t="shared" si="13"/>
        <v>89000</v>
      </c>
      <c r="M3080" s="1454"/>
      <c r="N3080" s="1446"/>
    </row>
    <row r="3081" spans="2:14" ht="16.5" customHeight="1">
      <c r="B3081" s="1448"/>
      <c r="C3081" s="1448"/>
      <c r="D3081" s="1448"/>
      <c r="E3081" s="30">
        <v>70042384</v>
      </c>
      <c r="F3081" s="31" t="s">
        <v>3093</v>
      </c>
      <c r="G3081" s="1452"/>
      <c r="H3081" s="30">
        <v>30212096</v>
      </c>
      <c r="I3081" s="316">
        <v>8900</v>
      </c>
      <c r="J3081" s="64">
        <v>0.1</v>
      </c>
      <c r="K3081" s="30">
        <v>10</v>
      </c>
      <c r="L3081" s="316">
        <f t="shared" si="13"/>
        <v>89000</v>
      </c>
      <c r="M3081" s="1454"/>
      <c r="N3081" s="1446"/>
    </row>
    <row r="3082" spans="2:14" ht="16.5" customHeight="1">
      <c r="B3082" s="1448"/>
      <c r="C3082" s="1448"/>
      <c r="D3082" s="1448"/>
      <c r="E3082" s="30">
        <v>72926820</v>
      </c>
      <c r="F3082" s="31" t="s">
        <v>3094</v>
      </c>
      <c r="G3082" s="1452"/>
      <c r="H3082" s="30">
        <v>30212095</v>
      </c>
      <c r="I3082" s="316">
        <v>8900</v>
      </c>
      <c r="J3082" s="64">
        <v>0.1</v>
      </c>
      <c r="K3082" s="30">
        <v>10</v>
      </c>
      <c r="L3082" s="316">
        <f t="shared" si="13"/>
        <v>89000</v>
      </c>
      <c r="M3082" s="1454"/>
      <c r="N3082" s="1446"/>
    </row>
    <row r="3083" spans="2:14" ht="16.5" customHeight="1">
      <c r="B3083" s="1448"/>
      <c r="C3083" s="1448"/>
      <c r="D3083" s="1448"/>
      <c r="E3083" s="30">
        <v>72926477</v>
      </c>
      <c r="F3083" s="31" t="s">
        <v>3095</v>
      </c>
      <c r="G3083" s="1452"/>
      <c r="H3083" s="30">
        <v>30212094</v>
      </c>
      <c r="I3083" s="316">
        <v>9900</v>
      </c>
      <c r="J3083" s="64">
        <v>0.1</v>
      </c>
      <c r="K3083" s="30">
        <v>10</v>
      </c>
      <c r="L3083" s="316">
        <f t="shared" si="13"/>
        <v>99000</v>
      </c>
      <c r="M3083" s="1454"/>
      <c r="N3083" s="1446"/>
    </row>
    <row r="3084" spans="2:14" ht="16.5" customHeight="1">
      <c r="B3084" s="1448"/>
      <c r="C3084" s="1448"/>
      <c r="D3084" s="1448"/>
      <c r="E3084" s="30">
        <v>72680288</v>
      </c>
      <c r="F3084" s="31" t="s">
        <v>3096</v>
      </c>
      <c r="G3084" s="1453"/>
      <c r="H3084" s="30">
        <v>30212092</v>
      </c>
      <c r="I3084" s="316">
        <v>12900</v>
      </c>
      <c r="J3084" s="64">
        <v>0.1</v>
      </c>
      <c r="K3084" s="30">
        <v>10</v>
      </c>
      <c r="L3084" s="316">
        <f t="shared" si="13"/>
        <v>129000</v>
      </c>
      <c r="M3084" s="1454"/>
      <c r="N3084" s="1447"/>
    </row>
    <row r="3085" spans="2:14" ht="16.5" customHeight="1">
      <c r="B3085" s="1448"/>
      <c r="C3085" s="1448">
        <v>6</v>
      </c>
      <c r="D3085" s="1448" t="s">
        <v>426</v>
      </c>
      <c r="E3085" s="30">
        <v>45047165</v>
      </c>
      <c r="F3085" s="31" t="s">
        <v>3097</v>
      </c>
      <c r="G3085" s="1451" t="s">
        <v>3097</v>
      </c>
      <c r="H3085" s="30">
        <v>30222685</v>
      </c>
      <c r="I3085" s="316">
        <v>28900</v>
      </c>
      <c r="J3085" s="64">
        <v>0.1</v>
      </c>
      <c r="K3085" s="30">
        <v>10</v>
      </c>
      <c r="L3085" s="316">
        <f t="shared" ref="L3085:L3098" si="14">I3085*10</f>
        <v>289000</v>
      </c>
      <c r="M3085" s="1454" t="s">
        <v>3098</v>
      </c>
      <c r="N3085" s="1445"/>
    </row>
    <row r="3086" spans="2:14" ht="16.5" customHeight="1">
      <c r="B3086" s="1448"/>
      <c r="C3086" s="1448"/>
      <c r="D3086" s="1448"/>
      <c r="E3086" s="30">
        <v>45047164</v>
      </c>
      <c r="F3086" s="31" t="s">
        <v>3099</v>
      </c>
      <c r="G3086" s="1452"/>
      <c r="H3086" s="30">
        <v>30222684</v>
      </c>
      <c r="I3086" s="316">
        <v>37400</v>
      </c>
      <c r="J3086" s="64">
        <v>0.1</v>
      </c>
      <c r="K3086" s="30">
        <v>10</v>
      </c>
      <c r="L3086" s="316">
        <f t="shared" si="14"/>
        <v>374000</v>
      </c>
      <c r="M3086" s="1454"/>
      <c r="N3086" s="1446"/>
    </row>
    <row r="3087" spans="2:14" ht="16.5" customHeight="1">
      <c r="B3087" s="1448"/>
      <c r="C3087" s="1448"/>
      <c r="D3087" s="1448"/>
      <c r="E3087" s="30">
        <v>40561687</v>
      </c>
      <c r="F3087" s="31" t="s">
        <v>3100</v>
      </c>
      <c r="G3087" s="1452"/>
      <c r="H3087" s="30">
        <v>30222683</v>
      </c>
      <c r="I3087" s="316">
        <v>29900</v>
      </c>
      <c r="J3087" s="64">
        <v>0.1</v>
      </c>
      <c r="K3087" s="30">
        <v>10</v>
      </c>
      <c r="L3087" s="316">
        <f t="shared" si="14"/>
        <v>299000</v>
      </c>
      <c r="M3087" s="1454"/>
      <c r="N3087" s="1446"/>
    </row>
    <row r="3088" spans="2:14" ht="16.5" customHeight="1">
      <c r="B3088" s="1448"/>
      <c r="C3088" s="1448"/>
      <c r="D3088" s="1448"/>
      <c r="E3088" s="30">
        <v>45093377</v>
      </c>
      <c r="F3088" s="31" t="s">
        <v>3101</v>
      </c>
      <c r="G3088" s="1453"/>
      <c r="H3088" s="30">
        <v>30187043</v>
      </c>
      <c r="I3088" s="316">
        <v>24900</v>
      </c>
      <c r="J3088" s="64">
        <v>0.1</v>
      </c>
      <c r="K3088" s="30">
        <v>10</v>
      </c>
      <c r="L3088" s="316">
        <f t="shared" si="14"/>
        <v>249000</v>
      </c>
      <c r="M3088" s="1454"/>
      <c r="N3088" s="1447"/>
    </row>
    <row r="3089" spans="2:14" ht="16.5" customHeight="1">
      <c r="B3089" s="1448"/>
      <c r="C3089" s="1448">
        <v>7</v>
      </c>
      <c r="D3089" s="1448" t="s">
        <v>1255</v>
      </c>
      <c r="E3089" s="30">
        <v>30199011</v>
      </c>
      <c r="F3089" s="31" t="s">
        <v>3102</v>
      </c>
      <c r="G3089" s="1451" t="s">
        <v>3102</v>
      </c>
      <c r="H3089" s="30">
        <v>30217083</v>
      </c>
      <c r="I3089" s="316">
        <v>10500</v>
      </c>
      <c r="J3089" s="64">
        <v>0.1</v>
      </c>
      <c r="K3089" s="30">
        <v>10</v>
      </c>
      <c r="L3089" s="316">
        <f t="shared" si="14"/>
        <v>105000</v>
      </c>
      <c r="M3089" s="1454" t="s">
        <v>3103</v>
      </c>
      <c r="N3089" s="1445"/>
    </row>
    <row r="3090" spans="2:14" ht="16.5" customHeight="1">
      <c r="B3090" s="1448"/>
      <c r="C3090" s="1448"/>
      <c r="D3090" s="1448"/>
      <c r="E3090" s="30">
        <v>30199038</v>
      </c>
      <c r="F3090" s="31" t="s">
        <v>3104</v>
      </c>
      <c r="G3090" s="1452"/>
      <c r="H3090" s="30">
        <v>30217081</v>
      </c>
      <c r="I3090" s="316">
        <v>11900</v>
      </c>
      <c r="J3090" s="64">
        <v>0.1</v>
      </c>
      <c r="K3090" s="30">
        <v>10</v>
      </c>
      <c r="L3090" s="316">
        <f t="shared" si="14"/>
        <v>119000</v>
      </c>
      <c r="M3090" s="1454"/>
      <c r="N3090" s="1446"/>
    </row>
    <row r="3091" spans="2:14" ht="16.5" customHeight="1">
      <c r="B3091" s="1448"/>
      <c r="C3091" s="1448"/>
      <c r="D3091" s="1448"/>
      <c r="E3091" s="30">
        <v>30199033</v>
      </c>
      <c r="F3091" s="31" t="s">
        <v>3105</v>
      </c>
      <c r="G3091" s="1452"/>
      <c r="H3091" s="30">
        <v>30217079</v>
      </c>
      <c r="I3091" s="316">
        <v>11900</v>
      </c>
      <c r="J3091" s="64">
        <v>0.1</v>
      </c>
      <c r="K3091" s="30">
        <v>10</v>
      </c>
      <c r="L3091" s="316">
        <f t="shared" si="14"/>
        <v>119000</v>
      </c>
      <c r="M3091" s="1454"/>
      <c r="N3091" s="1446"/>
    </row>
    <row r="3092" spans="2:14" ht="16.5" customHeight="1">
      <c r="B3092" s="1448"/>
      <c r="C3092" s="1448"/>
      <c r="D3092" s="1448"/>
      <c r="E3092" s="30">
        <v>30199251</v>
      </c>
      <c r="F3092" s="31" t="s">
        <v>3106</v>
      </c>
      <c r="G3092" s="1452"/>
      <c r="H3092" s="30">
        <v>30217078</v>
      </c>
      <c r="I3092" s="316">
        <v>11900</v>
      </c>
      <c r="J3092" s="64">
        <v>0.1</v>
      </c>
      <c r="K3092" s="30">
        <v>10</v>
      </c>
      <c r="L3092" s="316">
        <f t="shared" si="14"/>
        <v>119000</v>
      </c>
      <c r="M3092" s="1454"/>
      <c r="N3092" s="1446"/>
    </row>
    <row r="3093" spans="2:14" ht="16.5" customHeight="1">
      <c r="B3093" s="1448"/>
      <c r="C3093" s="1448"/>
      <c r="D3093" s="1448"/>
      <c r="E3093" s="30">
        <v>30199250</v>
      </c>
      <c r="F3093" s="31" t="s">
        <v>2651</v>
      </c>
      <c r="G3093" s="1453"/>
      <c r="H3093" s="30">
        <v>30217077</v>
      </c>
      <c r="I3093" s="316">
        <v>25500</v>
      </c>
      <c r="J3093" s="64">
        <v>0.1</v>
      </c>
      <c r="K3093" s="30">
        <v>10</v>
      </c>
      <c r="L3093" s="316">
        <f t="shared" si="14"/>
        <v>255000</v>
      </c>
      <c r="M3093" s="1454"/>
      <c r="N3093" s="1447"/>
    </row>
    <row r="3094" spans="2:14" ht="16.5" customHeight="1">
      <c r="B3094" s="1448"/>
      <c r="C3094" s="1448">
        <v>8</v>
      </c>
      <c r="D3094" s="1448" t="s">
        <v>418</v>
      </c>
      <c r="E3094" s="30">
        <v>77920547</v>
      </c>
      <c r="F3094" s="31" t="s">
        <v>3107</v>
      </c>
      <c r="G3094" s="1451" t="s">
        <v>3107</v>
      </c>
      <c r="H3094" s="30">
        <v>30222682</v>
      </c>
      <c r="I3094" s="316">
        <v>10500</v>
      </c>
      <c r="J3094" s="64">
        <v>0.1</v>
      </c>
      <c r="K3094" s="30">
        <v>10</v>
      </c>
      <c r="L3094" s="316">
        <f t="shared" si="14"/>
        <v>105000</v>
      </c>
      <c r="M3094" s="1454" t="s">
        <v>3108</v>
      </c>
      <c r="N3094" s="1445"/>
    </row>
    <row r="3095" spans="2:14" ht="16.5" customHeight="1">
      <c r="B3095" s="1448"/>
      <c r="C3095" s="1448"/>
      <c r="D3095" s="1448"/>
      <c r="E3095" s="30">
        <v>77920538</v>
      </c>
      <c r="F3095" s="31" t="s">
        <v>3109</v>
      </c>
      <c r="G3095" s="1452"/>
      <c r="H3095" s="30">
        <v>30222681</v>
      </c>
      <c r="I3095" s="316">
        <v>17300</v>
      </c>
      <c r="J3095" s="64">
        <v>0.1</v>
      </c>
      <c r="K3095" s="30">
        <v>10</v>
      </c>
      <c r="L3095" s="316">
        <f t="shared" si="14"/>
        <v>173000</v>
      </c>
      <c r="M3095" s="1454"/>
      <c r="N3095" s="1446"/>
    </row>
    <row r="3096" spans="2:14" ht="16.5" customHeight="1">
      <c r="B3096" s="1448"/>
      <c r="C3096" s="1448"/>
      <c r="D3096" s="1448"/>
      <c r="E3096" s="30">
        <v>78019345</v>
      </c>
      <c r="F3096" s="31" t="s">
        <v>3110</v>
      </c>
      <c r="G3096" s="1452"/>
      <c r="H3096" s="30">
        <v>30222680</v>
      </c>
      <c r="I3096" s="316">
        <v>26900</v>
      </c>
      <c r="J3096" s="64">
        <v>0.1</v>
      </c>
      <c r="K3096" s="30">
        <v>10</v>
      </c>
      <c r="L3096" s="316">
        <f t="shared" si="14"/>
        <v>269000</v>
      </c>
      <c r="M3096" s="1454"/>
      <c r="N3096" s="1446"/>
    </row>
    <row r="3097" spans="2:14" ht="16.5" customHeight="1">
      <c r="B3097" s="1448"/>
      <c r="C3097" s="1448"/>
      <c r="D3097" s="1448"/>
      <c r="E3097" s="30">
        <v>78019329</v>
      </c>
      <c r="F3097" s="31" t="s">
        <v>3111</v>
      </c>
      <c r="G3097" s="1452"/>
      <c r="H3097" s="30">
        <v>30222679</v>
      </c>
      <c r="I3097" s="316">
        <v>19500</v>
      </c>
      <c r="J3097" s="64">
        <v>0.1</v>
      </c>
      <c r="K3097" s="30">
        <v>10</v>
      </c>
      <c r="L3097" s="316">
        <f t="shared" si="14"/>
        <v>195000</v>
      </c>
      <c r="M3097" s="1454"/>
      <c r="N3097" s="1446"/>
    </row>
    <row r="3098" spans="2:14" ht="16.5" customHeight="1">
      <c r="B3098" s="1448"/>
      <c r="C3098" s="1448"/>
      <c r="D3098" s="1448"/>
      <c r="E3098" s="30">
        <v>78019334</v>
      </c>
      <c r="F3098" s="31" t="s">
        <v>3112</v>
      </c>
      <c r="G3098" s="1453"/>
      <c r="H3098" s="30">
        <v>30222678</v>
      </c>
      <c r="I3098" s="316">
        <v>17500</v>
      </c>
      <c r="J3098" s="64">
        <v>0.1</v>
      </c>
      <c r="K3098" s="30">
        <v>10</v>
      </c>
      <c r="L3098" s="316">
        <f t="shared" si="14"/>
        <v>175000</v>
      </c>
      <c r="M3098" s="1454"/>
      <c r="N3098" s="1447"/>
    </row>
    <row r="3099" spans="2:14" ht="16.5" customHeight="1">
      <c r="B3099" s="1448"/>
      <c r="C3099" s="29">
        <v>9</v>
      </c>
      <c r="D3099" s="29" t="s">
        <v>3113</v>
      </c>
      <c r="E3099" s="30">
        <v>30222538</v>
      </c>
      <c r="F3099" s="31" t="s">
        <v>3114</v>
      </c>
      <c r="G3099" s="31" t="s">
        <v>3114</v>
      </c>
      <c r="H3099" s="30">
        <v>30222700</v>
      </c>
      <c r="I3099" s="316">
        <v>29900</v>
      </c>
      <c r="J3099" s="64">
        <v>0.15</v>
      </c>
      <c r="K3099" s="30">
        <v>10</v>
      </c>
      <c r="L3099" s="316">
        <f>I3099*10</f>
        <v>299000</v>
      </c>
      <c r="M3099" s="33" t="s">
        <v>3115</v>
      </c>
      <c r="N3099" s="69"/>
    </row>
    <row r="3100" spans="2:14" ht="16.5" customHeight="1">
      <c r="B3100" s="1448" t="s">
        <v>185</v>
      </c>
      <c r="C3100" s="29">
        <v>1</v>
      </c>
      <c r="D3100" s="29" t="s">
        <v>186</v>
      </c>
      <c r="E3100" s="40">
        <v>30202894</v>
      </c>
      <c r="F3100" s="92" t="s">
        <v>1160</v>
      </c>
      <c r="G3100" s="306" t="s">
        <v>1160</v>
      </c>
      <c r="H3100" s="30"/>
      <c r="I3100" s="316">
        <v>19900</v>
      </c>
      <c r="J3100" s="304">
        <v>0.15</v>
      </c>
      <c r="K3100" s="29">
        <v>5</v>
      </c>
      <c r="L3100" s="67">
        <f>I3100*K3100</f>
        <v>99500</v>
      </c>
      <c r="M3100" s="67" t="s">
        <v>3116</v>
      </c>
      <c r="N3100" s="69"/>
    </row>
    <row r="3101" spans="2:14" ht="16.5" customHeight="1">
      <c r="B3101" s="1448"/>
      <c r="C3101" s="1448">
        <v>2</v>
      </c>
      <c r="D3101" s="1448" t="s">
        <v>189</v>
      </c>
      <c r="E3101" s="40">
        <v>30185680</v>
      </c>
      <c r="F3101" s="92" t="s">
        <v>3117</v>
      </c>
      <c r="G3101" s="1449" t="s">
        <v>3117</v>
      </c>
      <c r="H3101" s="30"/>
      <c r="I3101" s="316">
        <v>19900</v>
      </c>
      <c r="J3101" s="304">
        <v>0.13</v>
      </c>
      <c r="K3101" s="1448">
        <v>5</v>
      </c>
      <c r="L3101" s="1450">
        <f>I3101*K3101</f>
        <v>99500</v>
      </c>
      <c r="M3101" s="1450" t="s">
        <v>3118</v>
      </c>
      <c r="N3101" s="1445"/>
    </row>
    <row r="3102" spans="2:14" ht="16.5" customHeight="1">
      <c r="B3102" s="1448"/>
      <c r="C3102" s="1448"/>
      <c r="D3102" s="1448"/>
      <c r="E3102" s="40">
        <v>30185683</v>
      </c>
      <c r="F3102" s="92" t="s">
        <v>3119</v>
      </c>
      <c r="G3102" s="1449"/>
      <c r="H3102" s="30"/>
      <c r="I3102" s="316">
        <v>38900</v>
      </c>
      <c r="J3102" s="304">
        <v>0.13</v>
      </c>
      <c r="K3102" s="1448"/>
      <c r="L3102" s="1450"/>
      <c r="M3102" s="1450"/>
      <c r="N3102" s="1447"/>
    </row>
    <row r="3103" spans="2:14" ht="16.5" customHeight="1">
      <c r="B3103" s="1448"/>
      <c r="C3103" s="1448">
        <v>3</v>
      </c>
      <c r="D3103" s="1448" t="s">
        <v>194</v>
      </c>
      <c r="E3103" s="40">
        <v>64405892</v>
      </c>
      <c r="F3103" s="92" t="s">
        <v>732</v>
      </c>
      <c r="G3103" s="1449" t="s">
        <v>732</v>
      </c>
      <c r="H3103" s="30"/>
      <c r="I3103" s="316">
        <v>10500</v>
      </c>
      <c r="J3103" s="304">
        <v>0.13</v>
      </c>
      <c r="K3103" s="1448">
        <v>5</v>
      </c>
      <c r="L3103" s="1450">
        <f>I3103*K3103</f>
        <v>52500</v>
      </c>
      <c r="M3103" s="1450" t="s">
        <v>3120</v>
      </c>
      <c r="N3103" s="1445"/>
    </row>
    <row r="3104" spans="2:14" ht="16.5" customHeight="1">
      <c r="B3104" s="1448"/>
      <c r="C3104" s="1448"/>
      <c r="D3104" s="1448"/>
      <c r="E3104" s="40">
        <v>64405898</v>
      </c>
      <c r="F3104" s="92" t="s">
        <v>733</v>
      </c>
      <c r="G3104" s="1449"/>
      <c r="H3104" s="30"/>
      <c r="I3104" s="316">
        <v>10500</v>
      </c>
      <c r="J3104" s="304">
        <v>0.13</v>
      </c>
      <c r="K3104" s="1448"/>
      <c r="L3104" s="1450"/>
      <c r="M3104" s="1450"/>
      <c r="N3104" s="1446"/>
    </row>
    <row r="3105" spans="2:14" ht="16.5" customHeight="1">
      <c r="B3105" s="1448"/>
      <c r="C3105" s="1448"/>
      <c r="D3105" s="1448"/>
      <c r="E3105" s="40">
        <v>64405895</v>
      </c>
      <c r="F3105" s="92" t="s">
        <v>734</v>
      </c>
      <c r="G3105" s="1449"/>
      <c r="H3105" s="30"/>
      <c r="I3105" s="316">
        <v>10500</v>
      </c>
      <c r="J3105" s="304">
        <v>0.13</v>
      </c>
      <c r="K3105" s="1448"/>
      <c r="L3105" s="1450"/>
      <c r="M3105" s="1450"/>
      <c r="N3105" s="1446"/>
    </row>
    <row r="3106" spans="2:14" ht="16.5" customHeight="1">
      <c r="B3106" s="1448"/>
      <c r="C3106" s="1448"/>
      <c r="D3106" s="1448"/>
      <c r="E3106" s="40">
        <v>64405889</v>
      </c>
      <c r="F3106" s="92" t="s">
        <v>735</v>
      </c>
      <c r="G3106" s="1449"/>
      <c r="H3106" s="30"/>
      <c r="I3106" s="316">
        <v>10500</v>
      </c>
      <c r="J3106" s="304">
        <v>0.13</v>
      </c>
      <c r="K3106" s="1448"/>
      <c r="L3106" s="1450"/>
      <c r="M3106" s="1450"/>
      <c r="N3106" s="1446"/>
    </row>
    <row r="3107" spans="2:14" ht="16.5" customHeight="1">
      <c r="B3107" s="1448"/>
      <c r="C3107" s="1448"/>
      <c r="D3107" s="1448"/>
      <c r="E3107" s="40">
        <v>71507012</v>
      </c>
      <c r="F3107" s="92" t="s">
        <v>198</v>
      </c>
      <c r="G3107" s="1449"/>
      <c r="H3107" s="30"/>
      <c r="I3107" s="316">
        <v>8900</v>
      </c>
      <c r="J3107" s="304">
        <v>0.13</v>
      </c>
      <c r="K3107" s="1448"/>
      <c r="L3107" s="1450"/>
      <c r="M3107" s="1450"/>
      <c r="N3107" s="1446"/>
    </row>
    <row r="3108" spans="2:14" ht="16.5" customHeight="1">
      <c r="B3108" s="1448"/>
      <c r="C3108" s="1448"/>
      <c r="D3108" s="1448"/>
      <c r="E3108" s="40">
        <v>71045026</v>
      </c>
      <c r="F3108" s="92" t="s">
        <v>3121</v>
      </c>
      <c r="G3108" s="1449"/>
      <c r="H3108" s="30"/>
      <c r="I3108" s="316">
        <v>13900</v>
      </c>
      <c r="J3108" s="304">
        <v>0.13</v>
      </c>
      <c r="K3108" s="1448"/>
      <c r="L3108" s="1450"/>
      <c r="M3108" s="1450"/>
      <c r="N3108" s="1446"/>
    </row>
    <row r="3109" spans="2:14" ht="16.5" customHeight="1">
      <c r="B3109" s="1448"/>
      <c r="C3109" s="1448"/>
      <c r="D3109" s="1448"/>
      <c r="E3109" s="40">
        <v>72056495</v>
      </c>
      <c r="F3109" s="92" t="s">
        <v>3122</v>
      </c>
      <c r="G3109" s="1449"/>
      <c r="H3109" s="30"/>
      <c r="I3109" s="316">
        <v>13900</v>
      </c>
      <c r="J3109" s="304">
        <v>0.13</v>
      </c>
      <c r="K3109" s="1448"/>
      <c r="L3109" s="1450"/>
      <c r="M3109" s="1450"/>
      <c r="N3109" s="1447"/>
    </row>
    <row r="3110" spans="2:14" ht="16.5" customHeight="1">
      <c r="B3110" s="1448"/>
      <c r="C3110" s="29">
        <v>4</v>
      </c>
      <c r="D3110" s="29" t="s">
        <v>722</v>
      </c>
      <c r="E3110" s="40">
        <v>30172361</v>
      </c>
      <c r="F3110" s="92" t="s">
        <v>3123</v>
      </c>
      <c r="G3110" s="306" t="s">
        <v>3123</v>
      </c>
      <c r="H3110" s="30"/>
      <c r="I3110" s="316">
        <v>19500</v>
      </c>
      <c r="J3110" s="304">
        <v>0.1</v>
      </c>
      <c r="K3110" s="29">
        <v>5</v>
      </c>
      <c r="L3110" s="67">
        <f>I3110*K3110</f>
        <v>97500</v>
      </c>
      <c r="M3110" s="67" t="s">
        <v>3124</v>
      </c>
      <c r="N3110" s="69"/>
    </row>
    <row r="3111" spans="2:14" ht="16.5" customHeight="1">
      <c r="B3111" s="1448"/>
      <c r="C3111" s="29">
        <v>5</v>
      </c>
      <c r="D3111" s="29" t="s">
        <v>722</v>
      </c>
      <c r="E3111" s="40">
        <v>30183804</v>
      </c>
      <c r="F3111" s="92" t="s">
        <v>1162</v>
      </c>
      <c r="G3111" s="306" t="s">
        <v>1162</v>
      </c>
      <c r="H3111" s="30"/>
      <c r="I3111" s="316">
        <v>7900</v>
      </c>
      <c r="J3111" s="304">
        <v>0.1</v>
      </c>
      <c r="K3111" s="29">
        <v>5</v>
      </c>
      <c r="L3111" s="67">
        <f>I3111*K3111</f>
        <v>39500</v>
      </c>
      <c r="M3111" s="67" t="s">
        <v>3125</v>
      </c>
      <c r="N3111" s="69"/>
    </row>
    <row r="3112" spans="2:14" ht="16.5" customHeight="1">
      <c r="B3112" s="1448" t="s">
        <v>221</v>
      </c>
      <c r="C3112" s="1448">
        <v>1</v>
      </c>
      <c r="D3112" s="1448" t="s">
        <v>222</v>
      </c>
      <c r="E3112" s="40">
        <v>30201727</v>
      </c>
      <c r="F3112" s="92" t="s">
        <v>3126</v>
      </c>
      <c r="G3112" s="1449" t="s">
        <v>3126</v>
      </c>
      <c r="H3112" s="30"/>
      <c r="I3112" s="316">
        <v>8900</v>
      </c>
      <c r="J3112" s="304">
        <v>0.15</v>
      </c>
      <c r="K3112" s="1448">
        <v>5</v>
      </c>
      <c r="L3112" s="1450">
        <f>I3112*K3112</f>
        <v>44500</v>
      </c>
      <c r="M3112" s="1450" t="s">
        <v>3127</v>
      </c>
      <c r="N3112" s="1445"/>
    </row>
    <row r="3113" spans="2:14" ht="16.5" customHeight="1">
      <c r="B3113" s="1448"/>
      <c r="C3113" s="1448"/>
      <c r="D3113" s="1448"/>
      <c r="E3113" s="40">
        <v>30175108</v>
      </c>
      <c r="F3113" s="92" t="s">
        <v>223</v>
      </c>
      <c r="G3113" s="1449"/>
      <c r="H3113" s="30"/>
      <c r="I3113" s="316">
        <v>22900</v>
      </c>
      <c r="J3113" s="304">
        <v>0.15</v>
      </c>
      <c r="K3113" s="1448"/>
      <c r="L3113" s="1450"/>
      <c r="M3113" s="1450"/>
      <c r="N3113" s="1446"/>
    </row>
    <row r="3114" spans="2:14" ht="16.5" customHeight="1">
      <c r="B3114" s="1448"/>
      <c r="C3114" s="1448"/>
      <c r="D3114" s="1448"/>
      <c r="E3114" s="40">
        <v>30175115</v>
      </c>
      <c r="F3114" s="92" t="s">
        <v>225</v>
      </c>
      <c r="G3114" s="1449"/>
      <c r="H3114" s="30"/>
      <c r="I3114" s="316">
        <v>37900</v>
      </c>
      <c r="J3114" s="304">
        <v>0.15</v>
      </c>
      <c r="K3114" s="1448"/>
      <c r="L3114" s="1450"/>
      <c r="M3114" s="1450"/>
      <c r="N3114" s="1447"/>
    </row>
    <row r="3115" spans="2:14" ht="16.5" customHeight="1">
      <c r="B3115" s="1448"/>
      <c r="C3115" s="1448">
        <v>2</v>
      </c>
      <c r="D3115" s="1448" t="s">
        <v>231</v>
      </c>
      <c r="E3115" s="40">
        <v>57480461</v>
      </c>
      <c r="F3115" s="92" t="s">
        <v>3128</v>
      </c>
      <c r="G3115" s="1449" t="s">
        <v>3128</v>
      </c>
      <c r="H3115" s="30"/>
      <c r="I3115" s="316">
        <v>13900</v>
      </c>
      <c r="J3115" s="304">
        <v>0.17</v>
      </c>
      <c r="K3115" s="1448">
        <v>5</v>
      </c>
      <c r="L3115" s="1450">
        <f>I3115*K3115</f>
        <v>69500</v>
      </c>
      <c r="M3115" s="1450" t="s">
        <v>3129</v>
      </c>
      <c r="N3115" s="1445"/>
    </row>
    <row r="3116" spans="2:14" ht="16.5" customHeight="1">
      <c r="B3116" s="1448"/>
      <c r="C3116" s="1448"/>
      <c r="D3116" s="1448"/>
      <c r="E3116" s="40">
        <v>57480458</v>
      </c>
      <c r="F3116" s="92" t="s">
        <v>3130</v>
      </c>
      <c r="G3116" s="1449"/>
      <c r="H3116" s="30"/>
      <c r="I3116" s="316">
        <v>25900</v>
      </c>
      <c r="J3116" s="304">
        <v>0.17</v>
      </c>
      <c r="K3116" s="1448"/>
      <c r="L3116" s="1450"/>
      <c r="M3116" s="1450"/>
      <c r="N3116" s="1447"/>
    </row>
    <row r="3117" spans="2:14" ht="16.5" customHeight="1">
      <c r="B3117" s="1448"/>
      <c r="C3117" s="1448">
        <v>3</v>
      </c>
      <c r="D3117" s="1448" t="s">
        <v>234</v>
      </c>
      <c r="E3117" s="40">
        <v>30173688</v>
      </c>
      <c r="F3117" s="92" t="s">
        <v>3131</v>
      </c>
      <c r="G3117" s="1449" t="s">
        <v>3131</v>
      </c>
      <c r="H3117" s="30"/>
      <c r="I3117" s="316">
        <v>10500</v>
      </c>
      <c r="J3117" s="304">
        <v>0.17</v>
      </c>
      <c r="K3117" s="1448">
        <v>5</v>
      </c>
      <c r="L3117" s="1450">
        <f>I3117*K3117</f>
        <v>52500</v>
      </c>
      <c r="M3117" s="1450" t="s">
        <v>3132</v>
      </c>
      <c r="N3117" s="1445"/>
    </row>
    <row r="3118" spans="2:14" ht="16.5" customHeight="1">
      <c r="B3118" s="1448"/>
      <c r="C3118" s="1448"/>
      <c r="D3118" s="1448"/>
      <c r="E3118" s="40">
        <v>30161743</v>
      </c>
      <c r="F3118" s="92" t="s">
        <v>3133</v>
      </c>
      <c r="G3118" s="1449"/>
      <c r="H3118" s="30"/>
      <c r="I3118" s="316">
        <v>24900</v>
      </c>
      <c r="J3118" s="304">
        <v>0.17</v>
      </c>
      <c r="K3118" s="1448"/>
      <c r="L3118" s="1450"/>
      <c r="M3118" s="1450"/>
      <c r="N3118" s="1446"/>
    </row>
    <row r="3119" spans="2:14" ht="16.5" customHeight="1">
      <c r="B3119" s="1448"/>
      <c r="C3119" s="1448"/>
      <c r="D3119" s="1448"/>
      <c r="E3119" s="40">
        <v>46938850</v>
      </c>
      <c r="F3119" s="92" t="s">
        <v>3134</v>
      </c>
      <c r="G3119" s="1449"/>
      <c r="H3119" s="30"/>
      <c r="I3119" s="316">
        <v>38900</v>
      </c>
      <c r="J3119" s="304">
        <v>0.17</v>
      </c>
      <c r="K3119" s="1448"/>
      <c r="L3119" s="1450"/>
      <c r="M3119" s="1450"/>
      <c r="N3119" s="1447"/>
    </row>
    <row r="3120" spans="2:14" ht="16.5" customHeight="1">
      <c r="B3120" s="1448"/>
      <c r="C3120" s="1448">
        <v>4</v>
      </c>
      <c r="D3120" s="1448" t="s">
        <v>239</v>
      </c>
      <c r="E3120" s="40">
        <v>55017642</v>
      </c>
      <c r="F3120" s="92" t="s">
        <v>751</v>
      </c>
      <c r="G3120" s="1449" t="s">
        <v>751</v>
      </c>
      <c r="H3120" s="30"/>
      <c r="I3120" s="316">
        <v>25900</v>
      </c>
      <c r="J3120" s="304">
        <v>0.15</v>
      </c>
      <c r="K3120" s="1448">
        <v>5</v>
      </c>
      <c r="L3120" s="1450">
        <f>I3120*K3120</f>
        <v>129500</v>
      </c>
      <c r="M3120" s="1450" t="s">
        <v>3135</v>
      </c>
      <c r="N3120" s="1445"/>
    </row>
    <row r="3121" spans="2:14" ht="16.5" customHeight="1">
      <c r="B3121" s="1448"/>
      <c r="C3121" s="1448"/>
      <c r="D3121" s="1448"/>
      <c r="E3121" s="40">
        <v>55017546</v>
      </c>
      <c r="F3121" s="92" t="s">
        <v>3136</v>
      </c>
      <c r="G3121" s="1449"/>
      <c r="H3121" s="30"/>
      <c r="I3121" s="316">
        <v>16900</v>
      </c>
      <c r="J3121" s="304">
        <v>0.15</v>
      </c>
      <c r="K3121" s="1448"/>
      <c r="L3121" s="1450"/>
      <c r="M3121" s="1450"/>
      <c r="N3121" s="1446"/>
    </row>
    <row r="3122" spans="2:14" ht="16.5" customHeight="1">
      <c r="B3122" s="1448"/>
      <c r="C3122" s="1448"/>
      <c r="D3122" s="1448"/>
      <c r="E3122" s="40">
        <v>55017461</v>
      </c>
      <c r="F3122" s="92" t="s">
        <v>2216</v>
      </c>
      <c r="G3122" s="1449"/>
      <c r="H3122" s="30"/>
      <c r="I3122" s="316">
        <v>22900</v>
      </c>
      <c r="J3122" s="304">
        <v>0.15</v>
      </c>
      <c r="K3122" s="1448"/>
      <c r="L3122" s="1450"/>
      <c r="M3122" s="1450"/>
      <c r="N3122" s="1447"/>
    </row>
    <row r="3123" spans="2:14" ht="16.5" customHeight="1">
      <c r="B3123" s="1448"/>
      <c r="C3123" s="1448">
        <v>5</v>
      </c>
      <c r="D3123" s="1448" t="s">
        <v>239</v>
      </c>
      <c r="E3123" s="40">
        <v>70752326</v>
      </c>
      <c r="F3123" s="92" t="s">
        <v>1618</v>
      </c>
      <c r="G3123" s="1449" t="s">
        <v>1618</v>
      </c>
      <c r="H3123" s="30"/>
      <c r="I3123" s="316">
        <v>24900</v>
      </c>
      <c r="J3123" s="304">
        <v>0.15</v>
      </c>
      <c r="K3123" s="1448">
        <v>5</v>
      </c>
      <c r="L3123" s="1450">
        <f>I3123*K3123</f>
        <v>124500</v>
      </c>
      <c r="M3123" s="1450" t="s">
        <v>3137</v>
      </c>
      <c r="N3123" s="1445"/>
    </row>
    <row r="3124" spans="2:14" ht="16.5" customHeight="1">
      <c r="B3124" s="1448"/>
      <c r="C3124" s="1448"/>
      <c r="D3124" s="1448"/>
      <c r="E3124" s="40">
        <v>57667113</v>
      </c>
      <c r="F3124" s="92" t="s">
        <v>752</v>
      </c>
      <c r="G3124" s="1449"/>
      <c r="H3124" s="30"/>
      <c r="I3124" s="316">
        <v>17900</v>
      </c>
      <c r="J3124" s="304">
        <v>0.15</v>
      </c>
      <c r="K3124" s="1448"/>
      <c r="L3124" s="1450"/>
      <c r="M3124" s="1450"/>
      <c r="N3124" s="1446"/>
    </row>
    <row r="3125" spans="2:14" ht="16.5" customHeight="1">
      <c r="B3125" s="1448"/>
      <c r="C3125" s="1448"/>
      <c r="D3125" s="1448"/>
      <c r="E3125" s="40">
        <v>67616313</v>
      </c>
      <c r="F3125" s="92" t="s">
        <v>1622</v>
      </c>
      <c r="G3125" s="1449"/>
      <c r="H3125" s="30"/>
      <c r="I3125" s="316">
        <v>25900</v>
      </c>
      <c r="J3125" s="304">
        <v>0.15</v>
      </c>
      <c r="K3125" s="1448"/>
      <c r="L3125" s="1450"/>
      <c r="M3125" s="1450"/>
      <c r="N3125" s="1447"/>
    </row>
    <row r="3126" spans="2:14" ht="16.5" customHeight="1">
      <c r="B3126" s="1448"/>
      <c r="C3126" s="29">
        <v>6</v>
      </c>
      <c r="D3126" s="29" t="s">
        <v>248</v>
      </c>
      <c r="E3126" s="40">
        <v>30205938</v>
      </c>
      <c r="F3126" s="92" t="s">
        <v>765</v>
      </c>
      <c r="G3126" s="306" t="s">
        <v>765</v>
      </c>
      <c r="H3126" s="30"/>
      <c r="I3126" s="316">
        <v>3900</v>
      </c>
      <c r="J3126" s="304">
        <v>0.15</v>
      </c>
      <c r="K3126" s="29">
        <v>5</v>
      </c>
      <c r="L3126" s="67">
        <f>I3126*K3126</f>
        <v>19500</v>
      </c>
      <c r="M3126" s="67" t="s">
        <v>766</v>
      </c>
      <c r="N3126" s="69"/>
    </row>
    <row r="3127" spans="2:14" ht="16.5" customHeight="1">
      <c r="B3127" s="1448"/>
      <c r="C3127" s="1448">
        <v>7</v>
      </c>
      <c r="D3127" s="1448" t="s">
        <v>257</v>
      </c>
      <c r="E3127" s="40">
        <v>30171699</v>
      </c>
      <c r="F3127" s="92" t="s">
        <v>258</v>
      </c>
      <c r="G3127" s="1449" t="s">
        <v>258</v>
      </c>
      <c r="H3127" s="30"/>
      <c r="I3127" s="316">
        <v>12900</v>
      </c>
      <c r="J3127" s="304">
        <v>0.15</v>
      </c>
      <c r="K3127" s="1448">
        <v>5</v>
      </c>
      <c r="L3127" s="1450">
        <f>I3127*K3127</f>
        <v>64500</v>
      </c>
      <c r="M3127" s="1450" t="s">
        <v>1943</v>
      </c>
      <c r="N3127" s="1445"/>
    </row>
    <row r="3128" spans="2:14" ht="16.5" customHeight="1">
      <c r="B3128" s="1448"/>
      <c r="C3128" s="1448"/>
      <c r="D3128" s="1448"/>
      <c r="E3128" s="40">
        <v>30171703</v>
      </c>
      <c r="F3128" s="92" t="s">
        <v>260</v>
      </c>
      <c r="G3128" s="1449"/>
      <c r="H3128" s="30"/>
      <c r="I3128" s="316">
        <v>12900</v>
      </c>
      <c r="J3128" s="304">
        <v>0.15</v>
      </c>
      <c r="K3128" s="1448"/>
      <c r="L3128" s="1450"/>
      <c r="M3128" s="1450" t="s">
        <v>252</v>
      </c>
      <c r="N3128" s="1446"/>
    </row>
    <row r="3129" spans="2:14" ht="16.5" customHeight="1">
      <c r="B3129" s="1448"/>
      <c r="C3129" s="1448"/>
      <c r="D3129" s="1448"/>
      <c r="E3129" s="40">
        <v>30171694</v>
      </c>
      <c r="F3129" s="92" t="s">
        <v>261</v>
      </c>
      <c r="G3129" s="1449"/>
      <c r="H3129" s="30"/>
      <c r="I3129" s="316">
        <v>13500</v>
      </c>
      <c r="J3129" s="304">
        <v>0.15</v>
      </c>
      <c r="K3129" s="1448"/>
      <c r="L3129" s="1450"/>
      <c r="M3129" s="1450" t="s">
        <v>252</v>
      </c>
      <c r="N3129" s="1446"/>
    </row>
    <row r="3130" spans="2:14" ht="16.5" customHeight="1">
      <c r="B3130" s="1448"/>
      <c r="C3130" s="1448"/>
      <c r="D3130" s="1448"/>
      <c r="E3130" s="40">
        <v>30171697</v>
      </c>
      <c r="F3130" s="92" t="s">
        <v>262</v>
      </c>
      <c r="G3130" s="1449"/>
      <c r="H3130" s="30"/>
      <c r="I3130" s="316">
        <v>16900</v>
      </c>
      <c r="J3130" s="304">
        <v>0.15</v>
      </c>
      <c r="K3130" s="1448"/>
      <c r="L3130" s="1450"/>
      <c r="M3130" s="1450" t="s">
        <v>252</v>
      </c>
      <c r="N3130" s="1446"/>
    </row>
    <row r="3131" spans="2:14" ht="16.5" customHeight="1">
      <c r="B3131" s="1448"/>
      <c r="C3131" s="1448"/>
      <c r="D3131" s="1448"/>
      <c r="E3131" s="40">
        <v>30175703</v>
      </c>
      <c r="F3131" s="92" t="s">
        <v>263</v>
      </c>
      <c r="G3131" s="1449"/>
      <c r="H3131" s="30"/>
      <c r="I3131" s="316">
        <v>17900</v>
      </c>
      <c r="J3131" s="304">
        <v>0.15</v>
      </c>
      <c r="K3131" s="1448"/>
      <c r="L3131" s="1450"/>
      <c r="M3131" s="1450" t="s">
        <v>252</v>
      </c>
      <c r="N3131" s="1447"/>
    </row>
    <row r="3132" spans="2:14" ht="16.5" customHeight="1">
      <c r="B3132" s="1448"/>
      <c r="C3132" s="1448">
        <v>8</v>
      </c>
      <c r="D3132" s="1448" t="s">
        <v>226</v>
      </c>
      <c r="E3132" s="40">
        <v>66762802</v>
      </c>
      <c r="F3132" s="92" t="s">
        <v>757</v>
      </c>
      <c r="G3132" s="1449" t="s">
        <v>757</v>
      </c>
      <c r="H3132" s="30"/>
      <c r="I3132" s="316">
        <v>16900</v>
      </c>
      <c r="J3132" s="304">
        <v>0.15</v>
      </c>
      <c r="K3132" s="1448">
        <v>5</v>
      </c>
      <c r="L3132" s="1450">
        <f>I3132*K3132</f>
        <v>84500</v>
      </c>
      <c r="M3132" s="1450" t="s">
        <v>3138</v>
      </c>
      <c r="N3132" s="1445"/>
    </row>
    <row r="3133" spans="2:14" ht="16.5" customHeight="1">
      <c r="B3133" s="1448"/>
      <c r="C3133" s="1448"/>
      <c r="D3133" s="1448"/>
      <c r="E3133" s="40">
        <v>66762800</v>
      </c>
      <c r="F3133" s="92" t="s">
        <v>3139</v>
      </c>
      <c r="G3133" s="1449"/>
      <c r="H3133" s="30"/>
      <c r="I3133" s="316">
        <v>22900</v>
      </c>
      <c r="J3133" s="304">
        <v>0.15</v>
      </c>
      <c r="K3133" s="1448"/>
      <c r="L3133" s="1450"/>
      <c r="M3133" s="1450"/>
      <c r="N3133" s="1446"/>
    </row>
    <row r="3134" spans="2:14" ht="16.5" customHeight="1">
      <c r="B3134" s="1448"/>
      <c r="C3134" s="1448"/>
      <c r="D3134" s="1448"/>
      <c r="E3134" s="40">
        <v>66762799</v>
      </c>
      <c r="F3134" s="92" t="s">
        <v>3140</v>
      </c>
      <c r="G3134" s="1449"/>
      <c r="H3134" s="30"/>
      <c r="I3134" s="316">
        <v>39900</v>
      </c>
      <c r="J3134" s="304">
        <v>0.15</v>
      </c>
      <c r="K3134" s="1448"/>
      <c r="L3134" s="1450"/>
      <c r="M3134" s="1450"/>
      <c r="N3134" s="1447"/>
    </row>
    <row r="3135" spans="2:14" ht="16.5" customHeight="1">
      <c r="B3135" s="1448"/>
      <c r="C3135" s="1448">
        <v>9</v>
      </c>
      <c r="D3135" s="1448" t="s">
        <v>248</v>
      </c>
      <c r="E3135" s="40">
        <v>30189618</v>
      </c>
      <c r="F3135" s="92" t="s">
        <v>1935</v>
      </c>
      <c r="G3135" s="1449" t="s">
        <v>1935</v>
      </c>
      <c r="H3135" s="30"/>
      <c r="I3135" s="316">
        <v>22900</v>
      </c>
      <c r="J3135" s="304">
        <v>0.15</v>
      </c>
      <c r="K3135" s="1448">
        <v>5</v>
      </c>
      <c r="L3135" s="1450">
        <f>I3135*K3135</f>
        <v>114500</v>
      </c>
      <c r="M3135" s="1450" t="s">
        <v>1936</v>
      </c>
      <c r="N3135" s="1445"/>
    </row>
    <row r="3136" spans="2:14" ht="16.5" customHeight="1">
      <c r="B3136" s="1448"/>
      <c r="C3136" s="1448"/>
      <c r="D3136" s="1448"/>
      <c r="E3136" s="40">
        <v>30208898</v>
      </c>
      <c r="F3136" s="92" t="s">
        <v>1937</v>
      </c>
      <c r="G3136" s="1449"/>
      <c r="H3136" s="30"/>
      <c r="I3136" s="316">
        <v>34900</v>
      </c>
      <c r="J3136" s="304">
        <v>0.15</v>
      </c>
      <c r="K3136" s="1448"/>
      <c r="L3136" s="1450"/>
      <c r="M3136" s="1450" t="s">
        <v>252</v>
      </c>
      <c r="N3136" s="1446"/>
    </row>
    <row r="3137" spans="2:14" ht="16.5" customHeight="1">
      <c r="B3137" s="1448"/>
      <c r="C3137" s="1448"/>
      <c r="D3137" s="1448"/>
      <c r="E3137" s="40">
        <v>30206298</v>
      </c>
      <c r="F3137" s="92" t="s">
        <v>1938</v>
      </c>
      <c r="G3137" s="1449"/>
      <c r="H3137" s="30"/>
      <c r="I3137" s="316">
        <v>28900</v>
      </c>
      <c r="J3137" s="304">
        <v>0.15</v>
      </c>
      <c r="K3137" s="1448"/>
      <c r="L3137" s="1450"/>
      <c r="M3137" s="1450" t="s">
        <v>252</v>
      </c>
      <c r="N3137" s="1446"/>
    </row>
    <row r="3138" spans="2:14" ht="16.5" customHeight="1">
      <c r="B3138" s="1448"/>
      <c r="C3138" s="1448"/>
      <c r="D3138" s="1448"/>
      <c r="E3138" s="40">
        <v>30213231</v>
      </c>
      <c r="F3138" s="92" t="s">
        <v>1939</v>
      </c>
      <c r="G3138" s="1449"/>
      <c r="H3138" s="30"/>
      <c r="I3138" s="316">
        <v>28900</v>
      </c>
      <c r="J3138" s="304">
        <v>0.15</v>
      </c>
      <c r="K3138" s="1448"/>
      <c r="L3138" s="1450"/>
      <c r="M3138" s="1450" t="s">
        <v>252</v>
      </c>
      <c r="N3138" s="1446"/>
    </row>
    <row r="3139" spans="2:14" ht="16.5" customHeight="1">
      <c r="B3139" s="1448"/>
      <c r="C3139" s="1448"/>
      <c r="D3139" s="1448"/>
      <c r="E3139" s="40">
        <v>30203592</v>
      </c>
      <c r="F3139" s="92" t="s">
        <v>1940</v>
      </c>
      <c r="G3139" s="1449"/>
      <c r="H3139" s="30"/>
      <c r="I3139" s="316">
        <v>26900</v>
      </c>
      <c r="J3139" s="304">
        <v>0.15</v>
      </c>
      <c r="K3139" s="1448"/>
      <c r="L3139" s="1450"/>
      <c r="M3139" s="1450" t="s">
        <v>252</v>
      </c>
      <c r="N3139" s="1446"/>
    </row>
    <row r="3140" spans="2:14" ht="16.5" customHeight="1">
      <c r="B3140" s="1448"/>
      <c r="C3140" s="1448"/>
      <c r="D3140" s="1448"/>
      <c r="E3140" s="40">
        <v>30199228</v>
      </c>
      <c r="F3140" s="92" t="s">
        <v>1941</v>
      </c>
      <c r="G3140" s="1449"/>
      <c r="H3140" s="30"/>
      <c r="I3140" s="316">
        <v>35900</v>
      </c>
      <c r="J3140" s="304">
        <v>0.15</v>
      </c>
      <c r="K3140" s="1448"/>
      <c r="L3140" s="1450"/>
      <c r="M3140" s="1450" t="s">
        <v>252</v>
      </c>
      <c r="N3140" s="1446"/>
    </row>
    <row r="3141" spans="2:14" ht="16.5" customHeight="1">
      <c r="B3141" s="1448"/>
      <c r="C3141" s="1448"/>
      <c r="D3141" s="1448"/>
      <c r="E3141" s="40">
        <v>30174585</v>
      </c>
      <c r="F3141" s="92" t="s">
        <v>1942</v>
      </c>
      <c r="G3141" s="1449"/>
      <c r="H3141" s="30"/>
      <c r="I3141" s="316">
        <v>32900</v>
      </c>
      <c r="J3141" s="304">
        <v>0.15</v>
      </c>
      <c r="K3141" s="1448"/>
      <c r="L3141" s="1450"/>
      <c r="M3141" s="1450" t="s">
        <v>252</v>
      </c>
      <c r="N3141" s="1447"/>
    </row>
    <row r="3142" spans="2:14" ht="16.5" customHeight="1">
      <c r="B3142" s="1448" t="s">
        <v>910</v>
      </c>
      <c r="C3142" s="1448">
        <v>1</v>
      </c>
      <c r="D3142" s="1448" t="s">
        <v>3141</v>
      </c>
      <c r="E3142" s="30">
        <v>30218037</v>
      </c>
      <c r="F3142" s="31" t="s">
        <v>3142</v>
      </c>
      <c r="G3142" s="1448"/>
      <c r="H3142" s="30"/>
      <c r="I3142" s="30">
        <v>17900</v>
      </c>
      <c r="J3142" s="64">
        <v>0.1</v>
      </c>
      <c r="K3142" s="30">
        <v>5</v>
      </c>
      <c r="L3142" s="30">
        <f>I3142*K3142</f>
        <v>89500</v>
      </c>
      <c r="M3142" s="31"/>
      <c r="N3142" s="69"/>
    </row>
    <row r="3143" spans="2:14" ht="16.5" customHeight="1">
      <c r="B3143" s="1448"/>
      <c r="C3143" s="1448"/>
      <c r="D3143" s="1448"/>
      <c r="E3143" s="30">
        <v>30218042</v>
      </c>
      <c r="F3143" s="31" t="s">
        <v>3143</v>
      </c>
      <c r="G3143" s="1448"/>
      <c r="H3143" s="30"/>
      <c r="I3143" s="30">
        <v>17900</v>
      </c>
      <c r="J3143" s="64">
        <v>0.1</v>
      </c>
      <c r="K3143" s="30"/>
      <c r="L3143" s="30"/>
      <c r="M3143" s="31"/>
      <c r="N3143" s="69"/>
    </row>
    <row r="3144" spans="2:14" ht="16.5" customHeight="1">
      <c r="B3144" s="1448"/>
      <c r="C3144" s="1448"/>
      <c r="D3144" s="1448"/>
      <c r="E3144" s="30">
        <v>30218040</v>
      </c>
      <c r="F3144" s="31" t="s">
        <v>3144</v>
      </c>
      <c r="G3144" s="1448"/>
      <c r="H3144" s="30"/>
      <c r="I3144" s="30">
        <v>17900</v>
      </c>
      <c r="J3144" s="64">
        <v>0.1</v>
      </c>
      <c r="K3144" s="30"/>
      <c r="L3144" s="30"/>
      <c r="M3144" s="31"/>
      <c r="N3144" s="69"/>
    </row>
    <row r="3145" spans="2:14" ht="16.5" customHeight="1">
      <c r="B3145" s="1448"/>
      <c r="C3145" s="1448">
        <v>2</v>
      </c>
      <c r="D3145" s="1448" t="s">
        <v>915</v>
      </c>
      <c r="E3145" s="30">
        <v>30215834</v>
      </c>
      <c r="F3145" s="31" t="s">
        <v>1844</v>
      </c>
      <c r="G3145" s="1448"/>
      <c r="H3145" s="30"/>
      <c r="I3145" s="30">
        <v>15500</v>
      </c>
      <c r="J3145" s="64">
        <v>0.1</v>
      </c>
      <c r="K3145" s="30">
        <v>5</v>
      </c>
      <c r="L3145" s="30">
        <f>I3145*K3145</f>
        <v>77500</v>
      </c>
      <c r="M3145" s="31"/>
      <c r="N3145" s="69"/>
    </row>
    <row r="3146" spans="2:14" ht="16.5" customHeight="1">
      <c r="B3146" s="1448"/>
      <c r="C3146" s="1448"/>
      <c r="D3146" s="1448"/>
      <c r="E3146" s="30">
        <v>30176504</v>
      </c>
      <c r="F3146" s="31" t="s">
        <v>3145</v>
      </c>
      <c r="G3146" s="1448"/>
      <c r="H3146" s="30"/>
      <c r="I3146" s="30">
        <v>16500</v>
      </c>
      <c r="J3146" s="64">
        <v>0.1</v>
      </c>
      <c r="K3146" s="30"/>
      <c r="L3146" s="30"/>
      <c r="M3146" s="31"/>
      <c r="N3146" s="69"/>
    </row>
    <row r="3147" spans="2:14" ht="16.5" customHeight="1">
      <c r="B3147" s="1448"/>
      <c r="C3147" s="1448"/>
      <c r="D3147" s="1448"/>
      <c r="E3147" s="30">
        <v>10169673</v>
      </c>
      <c r="F3147" s="31" t="s">
        <v>1848</v>
      </c>
      <c r="G3147" s="1448"/>
      <c r="H3147" s="30"/>
      <c r="I3147" s="30">
        <v>28900</v>
      </c>
      <c r="J3147" s="64">
        <v>0.1</v>
      </c>
      <c r="K3147" s="30"/>
      <c r="L3147" s="30"/>
      <c r="M3147" s="31"/>
      <c r="N3147" s="69"/>
    </row>
    <row r="3148" spans="2:14" ht="16.5" customHeight="1">
      <c r="B3148" s="1448"/>
      <c r="C3148" s="1448">
        <v>3</v>
      </c>
      <c r="D3148" s="1448" t="s">
        <v>3146</v>
      </c>
      <c r="E3148" s="30">
        <v>30144808</v>
      </c>
      <c r="F3148" s="31" t="s">
        <v>3147</v>
      </c>
      <c r="G3148" s="1448"/>
      <c r="H3148" s="30">
        <v>30152276</v>
      </c>
      <c r="I3148" s="35">
        <v>9400</v>
      </c>
      <c r="J3148" s="64">
        <v>0.13</v>
      </c>
      <c r="K3148" s="30">
        <v>5</v>
      </c>
      <c r="L3148" s="30">
        <f>I3148*K3148</f>
        <v>47000</v>
      </c>
      <c r="M3148" s="31"/>
      <c r="N3148" s="69"/>
    </row>
    <row r="3149" spans="2:14" ht="16.5" customHeight="1">
      <c r="B3149" s="1448"/>
      <c r="C3149" s="1448"/>
      <c r="D3149" s="1448"/>
      <c r="E3149" s="30">
        <v>30144809</v>
      </c>
      <c r="F3149" s="31" t="s">
        <v>3148</v>
      </c>
      <c r="G3149" s="1448"/>
      <c r="H3149" s="30">
        <v>30152277</v>
      </c>
      <c r="I3149" s="35">
        <v>15900</v>
      </c>
      <c r="J3149" s="64">
        <v>0.13</v>
      </c>
      <c r="K3149" s="30"/>
      <c r="L3149" s="30"/>
      <c r="M3149" s="31"/>
      <c r="N3149" s="69"/>
    </row>
    <row r="3150" spans="2:14" ht="16.5" customHeight="1">
      <c r="B3150" s="1448"/>
      <c r="C3150" s="1448"/>
      <c r="D3150" s="1448"/>
      <c r="E3150" s="30">
        <v>30170960</v>
      </c>
      <c r="F3150" s="31" t="s">
        <v>3149</v>
      </c>
      <c r="G3150" s="1448"/>
      <c r="H3150" s="30">
        <v>30173038</v>
      </c>
      <c r="I3150" s="35">
        <v>21900</v>
      </c>
      <c r="J3150" s="64">
        <v>0.13</v>
      </c>
      <c r="K3150" s="30"/>
      <c r="L3150" s="30"/>
      <c r="M3150" s="31"/>
      <c r="N3150" s="69"/>
    </row>
    <row r="3151" spans="2:14" ht="16.5" customHeight="1">
      <c r="B3151" s="1448"/>
      <c r="C3151" s="1448"/>
      <c r="D3151" s="1448"/>
      <c r="E3151" s="30">
        <v>30144811</v>
      </c>
      <c r="F3151" s="31" t="s">
        <v>3150</v>
      </c>
      <c r="G3151" s="1448"/>
      <c r="H3151" s="30">
        <v>30152278</v>
      </c>
      <c r="I3151" s="35">
        <v>38900</v>
      </c>
      <c r="J3151" s="64">
        <v>0.13</v>
      </c>
      <c r="K3151" s="30"/>
      <c r="L3151" s="30"/>
      <c r="M3151" s="31"/>
      <c r="N3151" s="69"/>
    </row>
    <row r="3152" spans="2:14" ht="16.5" customHeight="1">
      <c r="B3152" s="1448"/>
      <c r="C3152" s="1448"/>
      <c r="D3152" s="1448"/>
      <c r="E3152" s="30">
        <v>30157169</v>
      </c>
      <c r="F3152" s="31" t="s">
        <v>3151</v>
      </c>
      <c r="G3152" s="1448"/>
      <c r="H3152" s="30">
        <v>30158742</v>
      </c>
      <c r="I3152" s="35">
        <v>49900</v>
      </c>
      <c r="J3152" s="64">
        <v>0.13</v>
      </c>
      <c r="K3152" s="30"/>
      <c r="L3152" s="30"/>
      <c r="M3152" s="31"/>
      <c r="N3152" s="69"/>
    </row>
    <row r="3153" spans="2:14" ht="16.5" customHeight="1">
      <c r="B3153" s="1444" t="s">
        <v>264</v>
      </c>
      <c r="C3153" s="1444">
        <v>1</v>
      </c>
      <c r="D3153" s="1444" t="s">
        <v>658</v>
      </c>
      <c r="E3153" s="157">
        <v>77637964</v>
      </c>
      <c r="F3153" s="157" t="s">
        <v>3152</v>
      </c>
      <c r="G3153" s="1444" t="s">
        <v>3153</v>
      </c>
      <c r="H3153" s="38">
        <v>30222706</v>
      </c>
      <c r="I3153" s="161">
        <v>12900</v>
      </c>
      <c r="J3153" s="162">
        <v>0.1</v>
      </c>
      <c r="K3153" s="157">
        <v>5</v>
      </c>
      <c r="L3153" s="161">
        <v>64500</v>
      </c>
      <c r="M3153" s="1444" t="s">
        <v>3154</v>
      </c>
      <c r="N3153" s="1445"/>
    </row>
    <row r="3154" spans="2:14" ht="16.5" customHeight="1">
      <c r="B3154" s="1444"/>
      <c r="C3154" s="1444"/>
      <c r="D3154" s="1444"/>
      <c r="E3154" s="157">
        <v>77637960</v>
      </c>
      <c r="F3154" s="157" t="s">
        <v>3155</v>
      </c>
      <c r="G3154" s="1444"/>
      <c r="H3154" s="38">
        <v>30222709</v>
      </c>
      <c r="I3154" s="161">
        <v>12900</v>
      </c>
      <c r="J3154" s="162">
        <v>0.1</v>
      </c>
      <c r="K3154" s="157">
        <v>5</v>
      </c>
      <c r="L3154" s="161">
        <v>64500</v>
      </c>
      <c r="M3154" s="1444"/>
      <c r="N3154" s="1446"/>
    </row>
    <row r="3155" spans="2:14" ht="16.5" customHeight="1">
      <c r="B3155" s="1444"/>
      <c r="C3155" s="1444"/>
      <c r="D3155" s="1444"/>
      <c r="E3155" s="157">
        <v>77637770</v>
      </c>
      <c r="F3155" s="157" t="s">
        <v>3156</v>
      </c>
      <c r="G3155" s="1444"/>
      <c r="H3155" s="38">
        <v>30222710</v>
      </c>
      <c r="I3155" s="161">
        <v>12900</v>
      </c>
      <c r="J3155" s="162">
        <v>0.1</v>
      </c>
      <c r="K3155" s="157">
        <v>5</v>
      </c>
      <c r="L3155" s="161">
        <v>64500</v>
      </c>
      <c r="M3155" s="1444"/>
      <c r="N3155" s="1446"/>
    </row>
    <row r="3156" spans="2:14" ht="16.5" customHeight="1">
      <c r="B3156" s="1444"/>
      <c r="C3156" s="1444"/>
      <c r="D3156" s="1444"/>
      <c r="E3156" s="157">
        <v>77264825</v>
      </c>
      <c r="F3156" s="157" t="s">
        <v>3157</v>
      </c>
      <c r="G3156" s="1444"/>
      <c r="H3156" s="38">
        <v>30222712</v>
      </c>
      <c r="I3156" s="161">
        <v>28900</v>
      </c>
      <c r="J3156" s="162">
        <v>0.1</v>
      </c>
      <c r="K3156" s="157">
        <v>5</v>
      </c>
      <c r="L3156" s="161">
        <v>144500</v>
      </c>
      <c r="M3156" s="1444"/>
      <c r="N3156" s="1447"/>
    </row>
    <row r="3157" spans="2:14" ht="16.5" customHeight="1">
      <c r="B3157" s="1444"/>
      <c r="C3157" s="1443">
        <v>2</v>
      </c>
      <c r="D3157" s="1444" t="s">
        <v>307</v>
      </c>
      <c r="E3157" s="157">
        <v>77595043</v>
      </c>
      <c r="F3157" s="157" t="s">
        <v>3158</v>
      </c>
      <c r="G3157" s="1444" t="s">
        <v>3159</v>
      </c>
      <c r="H3157" s="38">
        <v>30222714</v>
      </c>
      <c r="I3157" s="161">
        <v>11900</v>
      </c>
      <c r="J3157" s="162">
        <v>0.08</v>
      </c>
      <c r="K3157" s="157">
        <v>5</v>
      </c>
      <c r="L3157" s="161">
        <v>59500</v>
      </c>
      <c r="M3157" s="1444" t="s">
        <v>3160</v>
      </c>
      <c r="N3157" s="1445"/>
    </row>
    <row r="3158" spans="2:14" ht="16.5" customHeight="1">
      <c r="B3158" s="1444"/>
      <c r="C3158" s="1443"/>
      <c r="D3158" s="1444"/>
      <c r="E3158" s="157">
        <v>77594932</v>
      </c>
      <c r="F3158" s="157" t="s">
        <v>3161</v>
      </c>
      <c r="G3158" s="1444"/>
      <c r="H3158" s="38">
        <v>30222715</v>
      </c>
      <c r="I3158" s="161">
        <v>11900</v>
      </c>
      <c r="J3158" s="162">
        <v>0.08</v>
      </c>
      <c r="K3158" s="157">
        <v>5</v>
      </c>
      <c r="L3158" s="161">
        <v>59500</v>
      </c>
      <c r="M3158" s="1444"/>
      <c r="N3158" s="1446"/>
    </row>
    <row r="3159" spans="2:14" ht="16.5" customHeight="1">
      <c r="B3159" s="1444"/>
      <c r="C3159" s="1443"/>
      <c r="D3159" s="1444"/>
      <c r="E3159" s="157">
        <v>77595000</v>
      </c>
      <c r="F3159" s="157" t="s">
        <v>3162</v>
      </c>
      <c r="G3159" s="1444"/>
      <c r="H3159" s="38">
        <v>30222716</v>
      </c>
      <c r="I3159" s="161">
        <v>13900</v>
      </c>
      <c r="J3159" s="162">
        <v>0.08</v>
      </c>
      <c r="K3159" s="157">
        <v>5</v>
      </c>
      <c r="L3159" s="161">
        <v>69500</v>
      </c>
      <c r="M3159" s="1444"/>
      <c r="N3159" s="1446"/>
    </row>
    <row r="3160" spans="2:14" ht="16.5" customHeight="1">
      <c r="B3160" s="1444"/>
      <c r="C3160" s="1443"/>
      <c r="D3160" s="1444"/>
      <c r="E3160" s="157">
        <v>77595127</v>
      </c>
      <c r="F3160" s="157" t="s">
        <v>3163</v>
      </c>
      <c r="G3160" s="1444"/>
      <c r="H3160" s="38">
        <v>30222717</v>
      </c>
      <c r="I3160" s="161">
        <v>15900</v>
      </c>
      <c r="J3160" s="162">
        <v>0.08</v>
      </c>
      <c r="K3160" s="157">
        <v>5</v>
      </c>
      <c r="L3160" s="161">
        <v>79500</v>
      </c>
      <c r="M3160" s="1444"/>
      <c r="N3160" s="1446"/>
    </row>
    <row r="3161" spans="2:14" ht="16.5" customHeight="1">
      <c r="B3161" s="1444"/>
      <c r="C3161" s="1443"/>
      <c r="D3161" s="1444"/>
      <c r="E3161" s="157">
        <v>77595106</v>
      </c>
      <c r="F3161" s="157" t="s">
        <v>3164</v>
      </c>
      <c r="G3161" s="1444"/>
      <c r="H3161" s="38">
        <v>30222718</v>
      </c>
      <c r="I3161" s="161">
        <v>10900</v>
      </c>
      <c r="J3161" s="162">
        <v>0.08</v>
      </c>
      <c r="K3161" s="157">
        <v>5</v>
      </c>
      <c r="L3161" s="161">
        <v>54500</v>
      </c>
      <c r="M3161" s="1444"/>
      <c r="N3161" s="1447"/>
    </row>
    <row r="3162" spans="2:14" ht="16.5" customHeight="1">
      <c r="B3162" s="1444"/>
      <c r="C3162" s="1443">
        <v>3</v>
      </c>
      <c r="D3162" s="1444" t="s">
        <v>299</v>
      </c>
      <c r="E3162" s="157">
        <v>77385476</v>
      </c>
      <c r="F3162" s="157" t="s">
        <v>3165</v>
      </c>
      <c r="G3162" s="1444" t="s">
        <v>3166</v>
      </c>
      <c r="H3162" s="38">
        <v>30222719</v>
      </c>
      <c r="I3162" s="161">
        <v>19800</v>
      </c>
      <c r="J3162" s="162">
        <v>0.08</v>
      </c>
      <c r="K3162" s="157">
        <v>5</v>
      </c>
      <c r="L3162" s="161">
        <v>99000</v>
      </c>
      <c r="M3162" s="1444" t="s">
        <v>3167</v>
      </c>
      <c r="N3162" s="1445"/>
    </row>
    <row r="3163" spans="2:14" ht="16.5" customHeight="1">
      <c r="B3163" s="1444"/>
      <c r="C3163" s="1443"/>
      <c r="D3163" s="1444"/>
      <c r="E3163" s="157">
        <v>77385465</v>
      </c>
      <c r="F3163" s="157" t="s">
        <v>3168</v>
      </c>
      <c r="G3163" s="1444"/>
      <c r="H3163" s="38">
        <v>30222720</v>
      </c>
      <c r="I3163" s="161">
        <v>19800</v>
      </c>
      <c r="J3163" s="162">
        <v>0.08</v>
      </c>
      <c r="K3163" s="157">
        <v>5</v>
      </c>
      <c r="L3163" s="161">
        <v>99000</v>
      </c>
      <c r="M3163" s="1444"/>
      <c r="N3163" s="1446"/>
    </row>
    <row r="3164" spans="2:14" ht="16.5" customHeight="1">
      <c r="B3164" s="1444"/>
      <c r="C3164" s="1443"/>
      <c r="D3164" s="1444"/>
      <c r="E3164" s="157">
        <v>77385411</v>
      </c>
      <c r="F3164" s="157" t="s">
        <v>3169</v>
      </c>
      <c r="G3164" s="1444"/>
      <c r="H3164" s="38">
        <v>30222721</v>
      </c>
      <c r="I3164" s="161">
        <v>19800</v>
      </c>
      <c r="J3164" s="162">
        <v>0.08</v>
      </c>
      <c r="K3164" s="157">
        <v>5</v>
      </c>
      <c r="L3164" s="161">
        <v>99000</v>
      </c>
      <c r="M3164" s="1444"/>
      <c r="N3164" s="1446"/>
    </row>
    <row r="3165" spans="2:14" ht="16.5" customHeight="1">
      <c r="B3165" s="1444"/>
      <c r="C3165" s="1443"/>
      <c r="D3165" s="1444"/>
      <c r="E3165" s="157">
        <v>77385357</v>
      </c>
      <c r="F3165" s="157" t="s">
        <v>3170</v>
      </c>
      <c r="G3165" s="1444"/>
      <c r="H3165" s="38">
        <v>30222722</v>
      </c>
      <c r="I3165" s="161">
        <v>19800</v>
      </c>
      <c r="J3165" s="162">
        <v>0.08</v>
      </c>
      <c r="K3165" s="157">
        <v>5</v>
      </c>
      <c r="L3165" s="161">
        <v>99000</v>
      </c>
      <c r="M3165" s="1444"/>
      <c r="N3165" s="1446"/>
    </row>
    <row r="3166" spans="2:14" ht="16.5" customHeight="1">
      <c r="B3166" s="1444"/>
      <c r="C3166" s="1443"/>
      <c r="D3166" s="1444"/>
      <c r="E3166" s="157">
        <v>77385356</v>
      </c>
      <c r="F3166" s="157" t="s">
        <v>3171</v>
      </c>
      <c r="G3166" s="1444"/>
      <c r="H3166" s="38">
        <v>30222725</v>
      </c>
      <c r="I3166" s="161">
        <v>19800</v>
      </c>
      <c r="J3166" s="162">
        <v>0.08</v>
      </c>
      <c r="K3166" s="157">
        <v>5</v>
      </c>
      <c r="L3166" s="161">
        <v>99000</v>
      </c>
      <c r="M3166" s="1444"/>
      <c r="N3166" s="1447"/>
    </row>
    <row r="3167" spans="2:14" ht="16.5" customHeight="1">
      <c r="B3167" s="1444"/>
      <c r="C3167" s="1443">
        <v>4</v>
      </c>
      <c r="D3167" s="1444" t="s">
        <v>315</v>
      </c>
      <c r="E3167" s="157">
        <v>77757229</v>
      </c>
      <c r="F3167" s="157" t="s">
        <v>3172</v>
      </c>
      <c r="G3167" s="1444" t="s">
        <v>3173</v>
      </c>
      <c r="H3167" s="38">
        <v>30222726</v>
      </c>
      <c r="I3167" s="161">
        <v>11900</v>
      </c>
      <c r="J3167" s="162">
        <v>0.08</v>
      </c>
      <c r="K3167" s="157">
        <v>5</v>
      </c>
      <c r="L3167" s="161">
        <v>59500</v>
      </c>
      <c r="M3167" s="1444" t="s">
        <v>3174</v>
      </c>
      <c r="N3167" s="1445"/>
    </row>
    <row r="3168" spans="2:14" ht="16.5" customHeight="1">
      <c r="B3168" s="1444"/>
      <c r="C3168" s="1443"/>
      <c r="D3168" s="1444"/>
      <c r="E3168" s="157">
        <v>77757220</v>
      </c>
      <c r="F3168" s="157" t="s">
        <v>3175</v>
      </c>
      <c r="G3168" s="1444"/>
      <c r="H3168" s="38">
        <v>30222727</v>
      </c>
      <c r="I3168" s="161">
        <v>11900</v>
      </c>
      <c r="J3168" s="162">
        <v>0.08</v>
      </c>
      <c r="K3168" s="157">
        <v>5</v>
      </c>
      <c r="L3168" s="161">
        <v>59500</v>
      </c>
      <c r="M3168" s="1444"/>
      <c r="N3168" s="1446"/>
    </row>
    <row r="3169" spans="2:14" ht="16.5" customHeight="1">
      <c r="B3169" s="1444"/>
      <c r="C3169" s="1443"/>
      <c r="D3169" s="1444"/>
      <c r="E3169" s="157">
        <v>77757224</v>
      </c>
      <c r="F3169" s="157" t="s">
        <v>3176</v>
      </c>
      <c r="G3169" s="1444"/>
      <c r="H3169" s="38">
        <v>30222728</v>
      </c>
      <c r="I3169" s="161">
        <v>13900</v>
      </c>
      <c r="J3169" s="162">
        <v>0.08</v>
      </c>
      <c r="K3169" s="157">
        <v>5</v>
      </c>
      <c r="L3169" s="161">
        <v>69500</v>
      </c>
      <c r="M3169" s="1444"/>
      <c r="N3169" s="1446"/>
    </row>
    <row r="3170" spans="2:14" ht="16.5" customHeight="1">
      <c r="B3170" s="1444"/>
      <c r="C3170" s="1443"/>
      <c r="D3170" s="1444"/>
      <c r="E3170" s="157">
        <v>77757212</v>
      </c>
      <c r="F3170" s="157" t="s">
        <v>3177</v>
      </c>
      <c r="G3170" s="1444"/>
      <c r="H3170" s="38">
        <v>30222729</v>
      </c>
      <c r="I3170" s="161">
        <v>16800</v>
      </c>
      <c r="J3170" s="162">
        <v>0.08</v>
      </c>
      <c r="K3170" s="157">
        <v>5</v>
      </c>
      <c r="L3170" s="161">
        <v>84000</v>
      </c>
      <c r="M3170" s="1444"/>
      <c r="N3170" s="1446"/>
    </row>
    <row r="3171" spans="2:14" ht="16.5" customHeight="1">
      <c r="B3171" s="1444"/>
      <c r="C3171" s="1443"/>
      <c r="D3171" s="1444"/>
      <c r="E3171" s="157">
        <v>77757109</v>
      </c>
      <c r="F3171" s="157" t="s">
        <v>3178</v>
      </c>
      <c r="G3171" s="1444"/>
      <c r="H3171" s="38">
        <v>30222732</v>
      </c>
      <c r="I3171" s="161">
        <v>17800</v>
      </c>
      <c r="J3171" s="162">
        <v>0.08</v>
      </c>
      <c r="K3171" s="157">
        <v>5</v>
      </c>
      <c r="L3171" s="161">
        <v>89000</v>
      </c>
      <c r="M3171" s="1444"/>
      <c r="N3171" s="1447"/>
    </row>
    <row r="3172" spans="2:14">
      <c r="B3172" s="1444"/>
      <c r="C3172" s="1443">
        <v>5</v>
      </c>
      <c r="D3172" s="1443" t="s">
        <v>2478</v>
      </c>
      <c r="E3172" s="157">
        <v>77969990</v>
      </c>
      <c r="F3172" s="157" t="s">
        <v>3179</v>
      </c>
      <c r="G3172" s="1444" t="s">
        <v>3180</v>
      </c>
      <c r="H3172" s="38">
        <v>30222760</v>
      </c>
      <c r="I3172" s="161">
        <v>13900</v>
      </c>
      <c r="J3172" s="162">
        <v>0.1</v>
      </c>
      <c r="K3172" s="157">
        <v>5</v>
      </c>
      <c r="L3172" s="161">
        <v>69500</v>
      </c>
      <c r="M3172" s="1444" t="s">
        <v>3181</v>
      </c>
      <c r="N3172" s="1445"/>
    </row>
    <row r="3173" spans="2:14">
      <c r="B3173" s="1444"/>
      <c r="C3173" s="1443"/>
      <c r="D3173" s="1443"/>
      <c r="E3173" s="157">
        <v>77969988</v>
      </c>
      <c r="F3173" s="157" t="s">
        <v>3182</v>
      </c>
      <c r="G3173" s="1444"/>
      <c r="H3173" s="38">
        <v>30222762</v>
      </c>
      <c r="I3173" s="161">
        <v>13900</v>
      </c>
      <c r="J3173" s="162">
        <v>0.1</v>
      </c>
      <c r="K3173" s="157">
        <v>5</v>
      </c>
      <c r="L3173" s="161">
        <v>69500</v>
      </c>
      <c r="M3173" s="1444"/>
      <c r="N3173" s="1446"/>
    </row>
    <row r="3174" spans="2:14">
      <c r="B3174" s="1444"/>
      <c r="C3174" s="1443"/>
      <c r="D3174" s="1443"/>
      <c r="E3174" s="157">
        <v>77969807</v>
      </c>
      <c r="F3174" s="157" t="s">
        <v>3183</v>
      </c>
      <c r="G3174" s="1444"/>
      <c r="H3174" s="38">
        <v>30222763</v>
      </c>
      <c r="I3174" s="161">
        <v>17900</v>
      </c>
      <c r="J3174" s="162">
        <v>0.1</v>
      </c>
      <c r="K3174" s="157">
        <v>5</v>
      </c>
      <c r="L3174" s="161">
        <v>89500</v>
      </c>
      <c r="M3174" s="1444"/>
      <c r="N3174" s="1446"/>
    </row>
    <row r="3175" spans="2:14">
      <c r="B3175" s="1444"/>
      <c r="C3175" s="1443"/>
      <c r="D3175" s="1443"/>
      <c r="E3175" s="157">
        <v>77969961</v>
      </c>
      <c r="F3175" s="157" t="s">
        <v>3184</v>
      </c>
      <c r="G3175" s="1444"/>
      <c r="H3175" s="38">
        <v>30222764</v>
      </c>
      <c r="I3175" s="161">
        <v>30900</v>
      </c>
      <c r="J3175" s="162">
        <v>0.1</v>
      </c>
      <c r="K3175" s="157">
        <v>5</v>
      </c>
      <c r="L3175" s="161">
        <v>154500</v>
      </c>
      <c r="M3175" s="1444"/>
      <c r="N3175" s="1446"/>
    </row>
    <row r="3176" spans="2:14">
      <c r="B3176" s="1444"/>
      <c r="C3176" s="1443"/>
      <c r="D3176" s="1443"/>
      <c r="E3176" s="157">
        <v>77969949</v>
      </c>
      <c r="F3176" s="157" t="s">
        <v>3185</v>
      </c>
      <c r="G3176" s="1444"/>
      <c r="H3176" s="38">
        <v>30222765</v>
      </c>
      <c r="I3176" s="161">
        <v>30900</v>
      </c>
      <c r="J3176" s="162">
        <v>0.1</v>
      </c>
      <c r="K3176" s="157">
        <v>5</v>
      </c>
      <c r="L3176" s="161">
        <v>154500</v>
      </c>
      <c r="M3176" s="1444"/>
      <c r="N3176" s="1447"/>
    </row>
    <row r="3177" spans="2:14" ht="16.5" customHeight="1">
      <c r="B3177" s="1444"/>
      <c r="C3177" s="1443">
        <v>6</v>
      </c>
      <c r="D3177" s="1443" t="s">
        <v>3186</v>
      </c>
      <c r="E3177" s="476">
        <v>72592544</v>
      </c>
      <c r="F3177" s="477" t="s">
        <v>1399</v>
      </c>
      <c r="G3177" s="1444" t="s">
        <v>2746</v>
      </c>
      <c r="H3177" s="38">
        <v>30222767</v>
      </c>
      <c r="I3177" s="478">
        <v>19900</v>
      </c>
      <c r="J3177" s="162">
        <v>0.08</v>
      </c>
      <c r="K3177" s="157">
        <v>5</v>
      </c>
      <c r="L3177" s="161">
        <v>99500</v>
      </c>
      <c r="M3177" s="1444" t="s">
        <v>252</v>
      </c>
      <c r="N3177" s="1445"/>
    </row>
    <row r="3178" spans="2:14" ht="16.5" customHeight="1">
      <c r="B3178" s="1444"/>
      <c r="C3178" s="1443"/>
      <c r="D3178" s="1443"/>
      <c r="E3178" s="476">
        <v>70260782</v>
      </c>
      <c r="F3178" s="476" t="s">
        <v>2079</v>
      </c>
      <c r="G3178" s="1444"/>
      <c r="H3178" s="46">
        <v>30222768</v>
      </c>
      <c r="I3178" s="478">
        <v>9900</v>
      </c>
      <c r="J3178" s="162">
        <v>0.08</v>
      </c>
      <c r="K3178" s="157">
        <v>5</v>
      </c>
      <c r="L3178" s="161">
        <v>49500</v>
      </c>
      <c r="M3178" s="1444"/>
      <c r="N3178" s="1446"/>
    </row>
    <row r="3179" spans="2:14" ht="16.5" customHeight="1">
      <c r="B3179" s="1444"/>
      <c r="C3179" s="1443"/>
      <c r="D3179" s="1443"/>
      <c r="E3179" s="476">
        <v>55755584</v>
      </c>
      <c r="F3179" s="476" t="s">
        <v>2081</v>
      </c>
      <c r="G3179" s="1444"/>
      <c r="H3179" s="46">
        <v>30222785</v>
      </c>
      <c r="I3179" s="478">
        <v>9900</v>
      </c>
      <c r="J3179" s="162">
        <v>0.08</v>
      </c>
      <c r="K3179" s="157">
        <v>5</v>
      </c>
      <c r="L3179" s="161">
        <v>49500</v>
      </c>
      <c r="M3179" s="1444"/>
      <c r="N3179" s="1446"/>
    </row>
    <row r="3180" spans="2:14" ht="16.5" customHeight="1">
      <c r="B3180" s="1444"/>
      <c r="C3180" s="1443"/>
      <c r="D3180" s="1443"/>
      <c r="E3180" s="477">
        <v>77273000</v>
      </c>
      <c r="F3180" s="477" t="s">
        <v>2745</v>
      </c>
      <c r="G3180" s="1444"/>
      <c r="H3180" s="46">
        <v>30222787</v>
      </c>
      <c r="I3180" s="479">
        <v>29600</v>
      </c>
      <c r="J3180" s="162">
        <v>0.08</v>
      </c>
      <c r="K3180" s="157">
        <v>5</v>
      </c>
      <c r="L3180" s="161">
        <v>148000</v>
      </c>
      <c r="M3180" s="1444"/>
      <c r="N3180" s="1446"/>
    </row>
    <row r="3181" spans="2:14" ht="16.5" customHeight="1">
      <c r="B3181" s="1444"/>
      <c r="C3181" s="1443"/>
      <c r="D3181" s="1443"/>
      <c r="E3181" s="480">
        <v>77384097</v>
      </c>
      <c r="F3181" s="477" t="s">
        <v>2748</v>
      </c>
      <c r="G3181" s="1444"/>
      <c r="H3181" s="46">
        <v>30222788</v>
      </c>
      <c r="I3181" s="478">
        <v>14900</v>
      </c>
      <c r="J3181" s="162">
        <v>0.08</v>
      </c>
      <c r="K3181" s="157">
        <v>5</v>
      </c>
      <c r="L3181" s="161">
        <v>74500</v>
      </c>
      <c r="M3181" s="1444"/>
      <c r="N3181" s="1447"/>
    </row>
    <row r="3182" spans="2:14" ht="16.5" customHeight="1">
      <c r="B3182" s="1443" t="s">
        <v>331</v>
      </c>
      <c r="C3182" s="157">
        <v>1</v>
      </c>
      <c r="D3182" s="157" t="s">
        <v>360</v>
      </c>
      <c r="E3182" s="157">
        <v>47972361</v>
      </c>
      <c r="F3182" s="157" t="s">
        <v>703</v>
      </c>
      <c r="G3182" s="157" t="s">
        <v>703</v>
      </c>
      <c r="H3182" s="38">
        <v>30215154</v>
      </c>
      <c r="I3182" s="161">
        <v>21900</v>
      </c>
      <c r="J3182" s="162">
        <v>0.15</v>
      </c>
      <c r="K3182" s="157">
        <v>5</v>
      </c>
      <c r="L3182" s="161">
        <v>109500</v>
      </c>
      <c r="M3182" s="154" t="s">
        <v>704</v>
      </c>
      <c r="N3182" s="69"/>
    </row>
    <row r="3183" spans="2:14" ht="16.5" customHeight="1">
      <c r="B3183" s="1443"/>
      <c r="C3183" s="1443">
        <v>2</v>
      </c>
      <c r="D3183" s="1443" t="s">
        <v>352</v>
      </c>
      <c r="E3183" s="157">
        <v>57446907</v>
      </c>
      <c r="F3183" s="417" t="s">
        <v>1495</v>
      </c>
      <c r="G3183" s="1444" t="s">
        <v>1496</v>
      </c>
      <c r="H3183" s="38">
        <v>30217294</v>
      </c>
      <c r="I3183" s="161">
        <v>18800</v>
      </c>
      <c r="J3183" s="162">
        <v>0.1</v>
      </c>
      <c r="K3183" s="157">
        <v>5</v>
      </c>
      <c r="L3183" s="161">
        <v>94000</v>
      </c>
      <c r="M3183" s="1444" t="s">
        <v>3187</v>
      </c>
      <c r="N3183" s="1445"/>
    </row>
    <row r="3184" spans="2:14" ht="16.5" customHeight="1">
      <c r="B3184" s="1443"/>
      <c r="C3184" s="1443"/>
      <c r="D3184" s="1443"/>
      <c r="E3184" s="157">
        <v>57446903</v>
      </c>
      <c r="F3184" s="417" t="s">
        <v>1498</v>
      </c>
      <c r="G3184" s="1444"/>
      <c r="H3184" s="38">
        <v>30222790</v>
      </c>
      <c r="I3184" s="161">
        <v>18800</v>
      </c>
      <c r="J3184" s="162">
        <v>0.1</v>
      </c>
      <c r="K3184" s="157">
        <v>5</v>
      </c>
      <c r="L3184" s="161">
        <v>94000</v>
      </c>
      <c r="M3184" s="1444"/>
      <c r="N3184" s="1446"/>
    </row>
    <row r="3185" spans="2:14" ht="16.5" customHeight="1">
      <c r="B3185" s="1443"/>
      <c r="C3185" s="1443"/>
      <c r="D3185" s="1443"/>
      <c r="E3185" s="157">
        <v>71765877</v>
      </c>
      <c r="F3185" s="417" t="s">
        <v>1500</v>
      </c>
      <c r="G3185" s="1444"/>
      <c r="H3185" s="38">
        <v>30206720</v>
      </c>
      <c r="I3185" s="161">
        <v>16800</v>
      </c>
      <c r="J3185" s="162">
        <v>0.1</v>
      </c>
      <c r="K3185" s="157">
        <v>5</v>
      </c>
      <c r="L3185" s="161">
        <v>84000</v>
      </c>
      <c r="M3185" s="1444"/>
      <c r="N3185" s="1446"/>
    </row>
    <row r="3186" spans="2:14" ht="16.5" customHeight="1">
      <c r="B3186" s="1443"/>
      <c r="C3186" s="1443"/>
      <c r="D3186" s="1443"/>
      <c r="E3186" s="157">
        <v>71765873</v>
      </c>
      <c r="F3186" s="417" t="s">
        <v>1499</v>
      </c>
      <c r="G3186" s="1444"/>
      <c r="H3186" s="38">
        <v>30206722</v>
      </c>
      <c r="I3186" s="161">
        <v>16800</v>
      </c>
      <c r="J3186" s="162">
        <v>0.1</v>
      </c>
      <c r="K3186" s="157">
        <v>5</v>
      </c>
      <c r="L3186" s="161">
        <v>84000</v>
      </c>
      <c r="M3186" s="1444"/>
      <c r="N3186" s="1446"/>
    </row>
    <row r="3187" spans="2:14" ht="16.5" customHeight="1">
      <c r="B3187" s="1443"/>
      <c r="C3187" s="1443"/>
      <c r="D3187" s="1443"/>
      <c r="E3187" s="157">
        <v>57365684</v>
      </c>
      <c r="F3187" s="417" t="s">
        <v>1501</v>
      </c>
      <c r="G3187" s="1444"/>
      <c r="H3187" s="38">
        <v>30206784</v>
      </c>
      <c r="I3187" s="161">
        <v>15800</v>
      </c>
      <c r="J3187" s="162">
        <v>0.1</v>
      </c>
      <c r="K3187" s="157">
        <v>5</v>
      </c>
      <c r="L3187" s="161">
        <v>79000</v>
      </c>
      <c r="M3187" s="1444"/>
      <c r="N3187" s="1447"/>
    </row>
    <row r="3188" spans="2:14" ht="16.5" customHeight="1">
      <c r="B3188" s="1443"/>
      <c r="C3188" s="1443">
        <v>3</v>
      </c>
      <c r="D3188" s="1443" t="s">
        <v>332</v>
      </c>
      <c r="E3188" s="157">
        <v>76858649</v>
      </c>
      <c r="F3188" s="157" t="s">
        <v>3188</v>
      </c>
      <c r="G3188" s="1443" t="s">
        <v>336</v>
      </c>
      <c r="H3188" s="38">
        <v>30222791</v>
      </c>
      <c r="I3188" s="161">
        <v>8900</v>
      </c>
      <c r="J3188" s="162">
        <v>0.1</v>
      </c>
      <c r="K3188" s="157">
        <v>5</v>
      </c>
      <c r="L3188" s="161">
        <v>44500</v>
      </c>
      <c r="M3188" s="1443" t="s">
        <v>336</v>
      </c>
      <c r="N3188" s="1445"/>
    </row>
    <row r="3189" spans="2:14" ht="16.5" customHeight="1">
      <c r="B3189" s="1443"/>
      <c r="C3189" s="1443"/>
      <c r="D3189" s="1443"/>
      <c r="E3189" s="157">
        <v>72844486</v>
      </c>
      <c r="F3189" s="157" t="s">
        <v>336</v>
      </c>
      <c r="G3189" s="1443"/>
      <c r="H3189" s="38">
        <v>30218381</v>
      </c>
      <c r="I3189" s="161">
        <v>8900</v>
      </c>
      <c r="J3189" s="162">
        <v>0.1</v>
      </c>
      <c r="K3189" s="157">
        <v>5</v>
      </c>
      <c r="L3189" s="161">
        <v>44500</v>
      </c>
      <c r="M3189" s="1443"/>
      <c r="N3189" s="1447"/>
    </row>
    <row r="3190" spans="2:14" ht="16.5" customHeight="1">
      <c r="B3190" s="1443"/>
      <c r="C3190" s="1443">
        <v>4</v>
      </c>
      <c r="D3190" s="1443" t="s">
        <v>332</v>
      </c>
      <c r="E3190" s="157">
        <v>11080268</v>
      </c>
      <c r="F3190" s="157" t="s">
        <v>3189</v>
      </c>
      <c r="G3190" s="1444" t="s">
        <v>3189</v>
      </c>
      <c r="H3190" s="38">
        <v>30222794</v>
      </c>
      <c r="I3190" s="161">
        <v>8900</v>
      </c>
      <c r="J3190" s="162">
        <v>0.1</v>
      </c>
      <c r="K3190" s="157">
        <v>5</v>
      </c>
      <c r="L3190" s="161">
        <v>44500</v>
      </c>
      <c r="M3190" s="1444" t="s">
        <v>3189</v>
      </c>
      <c r="N3190" s="1445"/>
    </row>
    <row r="3191" spans="2:14" ht="16.5" customHeight="1">
      <c r="B3191" s="1443"/>
      <c r="C3191" s="1443"/>
      <c r="D3191" s="1443"/>
      <c r="E3191" s="157">
        <v>68158067</v>
      </c>
      <c r="F3191" s="157" t="s">
        <v>3190</v>
      </c>
      <c r="G3191" s="1444"/>
      <c r="H3191" s="38">
        <v>30222795</v>
      </c>
      <c r="I3191" s="161">
        <v>9900</v>
      </c>
      <c r="J3191" s="162">
        <v>0.1</v>
      </c>
      <c r="K3191" s="157">
        <v>5</v>
      </c>
      <c r="L3191" s="161">
        <v>49500</v>
      </c>
      <c r="M3191" s="1444"/>
      <c r="N3191" s="1447"/>
    </row>
    <row r="3192" spans="2:14" ht="16.5" customHeight="1">
      <c r="B3192" s="1443"/>
      <c r="C3192" s="1443">
        <v>5</v>
      </c>
      <c r="D3192" s="1443" t="s">
        <v>332</v>
      </c>
      <c r="E3192" s="157">
        <v>68077376</v>
      </c>
      <c r="F3192" s="157" t="s">
        <v>3191</v>
      </c>
      <c r="G3192" s="1444" t="s">
        <v>3191</v>
      </c>
      <c r="H3192" s="38">
        <v>30222796</v>
      </c>
      <c r="I3192" s="161">
        <v>8900</v>
      </c>
      <c r="J3192" s="162">
        <v>0.1</v>
      </c>
      <c r="K3192" s="157">
        <v>5</v>
      </c>
      <c r="L3192" s="161">
        <v>44500</v>
      </c>
      <c r="M3192" s="1444" t="s">
        <v>3191</v>
      </c>
      <c r="N3192" s="1445"/>
    </row>
    <row r="3193" spans="2:14" ht="16.5" customHeight="1">
      <c r="B3193" s="1443"/>
      <c r="C3193" s="1443"/>
      <c r="D3193" s="1443"/>
      <c r="E3193" s="157">
        <v>70988938</v>
      </c>
      <c r="F3193" s="157" t="s">
        <v>3192</v>
      </c>
      <c r="G3193" s="1444"/>
      <c r="H3193" s="38">
        <v>30222797</v>
      </c>
      <c r="I3193" s="161">
        <v>9900</v>
      </c>
      <c r="J3193" s="162">
        <v>0.1</v>
      </c>
      <c r="K3193" s="157">
        <v>5</v>
      </c>
      <c r="L3193" s="161">
        <v>49500</v>
      </c>
      <c r="M3193" s="1444"/>
      <c r="N3193" s="1447"/>
    </row>
    <row r="3194" spans="2:14" ht="16.5" customHeight="1">
      <c r="B3194" s="1443"/>
      <c r="C3194" s="1443">
        <v>6</v>
      </c>
      <c r="D3194" s="1444" t="s">
        <v>2094</v>
      </c>
      <c r="E3194" s="157">
        <v>30198914</v>
      </c>
      <c r="F3194" s="157" t="s">
        <v>3193</v>
      </c>
      <c r="G3194" s="1444" t="s">
        <v>3194</v>
      </c>
      <c r="H3194" s="38">
        <v>30222798</v>
      </c>
      <c r="I3194" s="161">
        <v>7900</v>
      </c>
      <c r="J3194" s="162">
        <v>0.15</v>
      </c>
      <c r="K3194" s="157">
        <v>5</v>
      </c>
      <c r="L3194" s="161">
        <v>39500</v>
      </c>
      <c r="M3194" s="1444" t="s">
        <v>3195</v>
      </c>
      <c r="N3194" s="1445"/>
    </row>
    <row r="3195" spans="2:14" ht="16.5" customHeight="1">
      <c r="B3195" s="1443"/>
      <c r="C3195" s="1443"/>
      <c r="D3195" s="1444"/>
      <c r="E3195" s="157">
        <v>30198525</v>
      </c>
      <c r="F3195" s="157" t="s">
        <v>3196</v>
      </c>
      <c r="G3195" s="1444"/>
      <c r="H3195" s="38">
        <v>30222804</v>
      </c>
      <c r="I3195" s="161">
        <v>7900</v>
      </c>
      <c r="J3195" s="162">
        <v>0.15</v>
      </c>
      <c r="K3195" s="157">
        <v>5</v>
      </c>
      <c r="L3195" s="161">
        <v>39500</v>
      </c>
      <c r="M3195" s="1444"/>
      <c r="N3195" s="1447"/>
    </row>
    <row r="3196" spans="2:14" ht="16.5" customHeight="1">
      <c r="B3196" s="1443"/>
      <c r="C3196" s="1443">
        <v>7</v>
      </c>
      <c r="D3196" s="1444" t="s">
        <v>2094</v>
      </c>
      <c r="E3196" s="157">
        <v>30199780</v>
      </c>
      <c r="F3196" s="157" t="s">
        <v>3197</v>
      </c>
      <c r="G3196" s="1444" t="s">
        <v>3198</v>
      </c>
      <c r="H3196" s="38">
        <v>30222805</v>
      </c>
      <c r="I3196" s="161">
        <v>10900</v>
      </c>
      <c r="J3196" s="162">
        <v>0.15</v>
      </c>
      <c r="K3196" s="157">
        <v>5</v>
      </c>
      <c r="L3196" s="161">
        <v>54500</v>
      </c>
      <c r="M3196" s="1444" t="s">
        <v>3199</v>
      </c>
      <c r="N3196" s="1445"/>
    </row>
    <row r="3197" spans="2:14" ht="16.5" customHeight="1">
      <c r="B3197" s="1443"/>
      <c r="C3197" s="1443"/>
      <c r="D3197" s="1444"/>
      <c r="E3197" s="157">
        <v>30199786</v>
      </c>
      <c r="F3197" s="157" t="s">
        <v>3200</v>
      </c>
      <c r="G3197" s="1444"/>
      <c r="H3197" s="38">
        <v>30222806</v>
      </c>
      <c r="I3197" s="161">
        <v>11900</v>
      </c>
      <c r="J3197" s="162">
        <v>0.15</v>
      </c>
      <c r="K3197" s="157">
        <v>5</v>
      </c>
      <c r="L3197" s="161">
        <v>59500</v>
      </c>
      <c r="M3197" s="1444"/>
      <c r="N3197" s="1446"/>
    </row>
    <row r="3198" spans="2:14" ht="16.5" customHeight="1">
      <c r="B3198" s="1443"/>
      <c r="C3198" s="1443"/>
      <c r="D3198" s="1444"/>
      <c r="E3198" s="157">
        <v>30199779</v>
      </c>
      <c r="F3198" s="157" t="s">
        <v>3201</v>
      </c>
      <c r="G3198" s="1444"/>
      <c r="H3198" s="38">
        <v>30222808</v>
      </c>
      <c r="I3198" s="161">
        <v>12900</v>
      </c>
      <c r="J3198" s="162">
        <v>0.15</v>
      </c>
      <c r="K3198" s="157">
        <v>5</v>
      </c>
      <c r="L3198" s="161">
        <v>64500</v>
      </c>
      <c r="M3198" s="1444"/>
      <c r="N3198" s="1446"/>
    </row>
    <row r="3199" spans="2:14" ht="16.5" customHeight="1">
      <c r="B3199" s="1443"/>
      <c r="C3199" s="1443"/>
      <c r="D3199" s="1444"/>
      <c r="E3199" s="157">
        <v>30199778</v>
      </c>
      <c r="F3199" s="157" t="s">
        <v>3202</v>
      </c>
      <c r="G3199" s="1444"/>
      <c r="H3199" s="38">
        <v>30222810</v>
      </c>
      <c r="I3199" s="161">
        <v>12900</v>
      </c>
      <c r="J3199" s="162">
        <v>0.15</v>
      </c>
      <c r="K3199" s="157">
        <v>5</v>
      </c>
      <c r="L3199" s="161">
        <v>64500</v>
      </c>
      <c r="M3199" s="1444"/>
      <c r="N3199" s="1447"/>
    </row>
    <row r="3200" spans="2:14" ht="16.5" customHeight="1">
      <c r="B3200" s="1443"/>
      <c r="C3200" s="1443">
        <v>8</v>
      </c>
      <c r="D3200" s="1444" t="s">
        <v>2094</v>
      </c>
      <c r="E3200" s="157">
        <v>30199784</v>
      </c>
      <c r="F3200" s="157" t="s">
        <v>2302</v>
      </c>
      <c r="G3200" s="1444" t="s">
        <v>3203</v>
      </c>
      <c r="H3200" s="38">
        <v>30219140</v>
      </c>
      <c r="I3200" s="161">
        <v>9900</v>
      </c>
      <c r="J3200" s="162">
        <v>0.15</v>
      </c>
      <c r="K3200" s="157">
        <v>5</v>
      </c>
      <c r="L3200" s="161">
        <v>49500</v>
      </c>
      <c r="M3200" s="1444" t="s">
        <v>3204</v>
      </c>
      <c r="N3200" s="1445"/>
    </row>
    <row r="3201" spans="2:14" ht="16.5" customHeight="1">
      <c r="B3201" s="1443"/>
      <c r="C3201" s="1443"/>
      <c r="D3201" s="1444"/>
      <c r="E3201" s="157">
        <v>30218292</v>
      </c>
      <c r="F3201" s="157" t="s">
        <v>2299</v>
      </c>
      <c r="G3201" s="1444"/>
      <c r="H3201" s="38">
        <v>30219135</v>
      </c>
      <c r="I3201" s="161">
        <v>10900</v>
      </c>
      <c r="J3201" s="162">
        <v>0.15</v>
      </c>
      <c r="K3201" s="157">
        <v>5</v>
      </c>
      <c r="L3201" s="161">
        <v>54500</v>
      </c>
      <c r="M3201" s="1444"/>
      <c r="N3201" s="1446"/>
    </row>
    <row r="3202" spans="2:14" ht="16.5" customHeight="1">
      <c r="B3202" s="1443"/>
      <c r="C3202" s="1443"/>
      <c r="D3202" s="1444"/>
      <c r="E3202" s="157">
        <v>30199769</v>
      </c>
      <c r="F3202" s="157" t="s">
        <v>2300</v>
      </c>
      <c r="G3202" s="1444"/>
      <c r="H3202" s="38">
        <v>30219136</v>
      </c>
      <c r="I3202" s="161">
        <v>11900</v>
      </c>
      <c r="J3202" s="162">
        <v>0.15</v>
      </c>
      <c r="K3202" s="157">
        <v>5</v>
      </c>
      <c r="L3202" s="161">
        <v>59500</v>
      </c>
      <c r="M3202" s="1444"/>
      <c r="N3202" s="1446"/>
    </row>
    <row r="3203" spans="2:14" ht="16.5" customHeight="1">
      <c r="B3203" s="1443"/>
      <c r="C3203" s="1443"/>
      <c r="D3203" s="1444"/>
      <c r="E3203" s="157">
        <v>30199809</v>
      </c>
      <c r="F3203" s="157" t="s">
        <v>2301</v>
      </c>
      <c r="G3203" s="1444"/>
      <c r="H3203" s="38">
        <v>30219138</v>
      </c>
      <c r="I3203" s="161">
        <v>12900</v>
      </c>
      <c r="J3203" s="162">
        <v>0.15</v>
      </c>
      <c r="K3203" s="157">
        <v>5</v>
      </c>
      <c r="L3203" s="161">
        <v>64500</v>
      </c>
      <c r="M3203" s="1444"/>
      <c r="N3203" s="1447"/>
    </row>
    <row r="3204" spans="2:14" ht="16.5" customHeight="1">
      <c r="B3204" s="1443"/>
      <c r="C3204" s="1443">
        <v>9</v>
      </c>
      <c r="D3204" s="1443" t="s">
        <v>1096</v>
      </c>
      <c r="E3204" s="157">
        <v>30008222</v>
      </c>
      <c r="F3204" s="157" t="s">
        <v>3205</v>
      </c>
      <c r="G3204" s="1444" t="s">
        <v>3206</v>
      </c>
      <c r="H3204" s="38">
        <v>30222811</v>
      </c>
      <c r="I3204" s="161">
        <v>11900</v>
      </c>
      <c r="J3204" s="162">
        <v>0.15</v>
      </c>
      <c r="K3204" s="157">
        <v>5</v>
      </c>
      <c r="L3204" s="161">
        <v>59500</v>
      </c>
      <c r="M3204" s="1444" t="s">
        <v>3207</v>
      </c>
      <c r="N3204" s="1445"/>
    </row>
    <row r="3205" spans="2:14" ht="16.5" customHeight="1">
      <c r="B3205" s="1443"/>
      <c r="C3205" s="1443"/>
      <c r="D3205" s="1443"/>
      <c r="E3205" s="157">
        <v>30221228</v>
      </c>
      <c r="F3205" s="157" t="s">
        <v>3208</v>
      </c>
      <c r="G3205" s="1444"/>
      <c r="H3205" s="38">
        <v>30222813</v>
      </c>
      <c r="I3205" s="161">
        <v>18900</v>
      </c>
      <c r="J3205" s="162">
        <v>0.15</v>
      </c>
      <c r="K3205" s="157">
        <v>5</v>
      </c>
      <c r="L3205" s="161">
        <v>94500</v>
      </c>
      <c r="M3205" s="1444"/>
      <c r="N3205" s="1446"/>
    </row>
    <row r="3206" spans="2:14" ht="16.5" customHeight="1">
      <c r="B3206" s="1443"/>
      <c r="C3206" s="1443"/>
      <c r="D3206" s="1443"/>
      <c r="E3206" s="157">
        <v>30118650</v>
      </c>
      <c r="F3206" s="157" t="s">
        <v>3209</v>
      </c>
      <c r="G3206" s="1444"/>
      <c r="H3206" s="38">
        <v>30222815</v>
      </c>
      <c r="I3206" s="161">
        <v>19900</v>
      </c>
      <c r="J3206" s="162">
        <v>0.15</v>
      </c>
      <c r="K3206" s="157">
        <v>5</v>
      </c>
      <c r="L3206" s="161">
        <v>99500</v>
      </c>
      <c r="M3206" s="1444"/>
      <c r="N3206" s="1446"/>
    </row>
    <row r="3207" spans="2:14" ht="16.5" customHeight="1">
      <c r="B3207" s="1443"/>
      <c r="C3207" s="1443"/>
      <c r="D3207" s="1443"/>
      <c r="E3207" s="157">
        <v>30152223</v>
      </c>
      <c r="F3207" s="157" t="s">
        <v>3210</v>
      </c>
      <c r="G3207" s="1444"/>
      <c r="H3207" s="38">
        <v>30222816</v>
      </c>
      <c r="I3207" s="161">
        <v>19900</v>
      </c>
      <c r="J3207" s="162">
        <v>0.15</v>
      </c>
      <c r="K3207" s="157">
        <v>5</v>
      </c>
      <c r="L3207" s="161">
        <v>99500</v>
      </c>
      <c r="M3207" s="1444"/>
      <c r="N3207" s="1446"/>
    </row>
    <row r="3208" spans="2:14" ht="16.5" customHeight="1">
      <c r="B3208" s="1443"/>
      <c r="C3208" s="1443"/>
      <c r="D3208" s="1443"/>
      <c r="E3208" s="157">
        <v>30221231</v>
      </c>
      <c r="F3208" s="157" t="s">
        <v>3211</v>
      </c>
      <c r="G3208" s="1444"/>
      <c r="H3208" s="38">
        <v>30222818</v>
      </c>
      <c r="I3208" s="161">
        <v>35900</v>
      </c>
      <c r="J3208" s="162">
        <v>0.15</v>
      </c>
      <c r="K3208" s="157">
        <v>5</v>
      </c>
      <c r="L3208" s="161">
        <v>179500</v>
      </c>
      <c r="M3208" s="1444"/>
      <c r="N3208" s="1447"/>
    </row>
    <row r="3209" spans="2:14">
      <c r="B3209" s="253"/>
      <c r="C3209" s="253"/>
      <c r="D3209" s="127"/>
      <c r="E3209" s="127"/>
      <c r="F3209" s="128"/>
      <c r="G3209" s="254"/>
      <c r="H3209" s="127"/>
      <c r="I3209" s="127"/>
      <c r="J3209" s="255"/>
      <c r="K3209" s="127"/>
      <c r="L3209" s="256"/>
      <c r="M3209" s="254"/>
      <c r="N3209" s="127"/>
    </row>
    <row r="3210" spans="2:14" ht="31.5">
      <c r="B3210" s="1441" t="s">
        <v>3212</v>
      </c>
      <c r="C3210" s="1442"/>
      <c r="D3210" s="1442"/>
      <c r="E3210" s="1442"/>
      <c r="F3210" s="1442"/>
      <c r="G3210" s="1442"/>
      <c r="H3210" s="1442"/>
      <c r="I3210" s="1442"/>
      <c r="J3210" s="1442"/>
      <c r="K3210" s="1442"/>
      <c r="L3210" s="1442"/>
      <c r="M3210" s="1442"/>
      <c r="N3210" s="1442"/>
    </row>
    <row r="3211" spans="2:14" ht="31.5">
      <c r="B3211" s="15" t="s">
        <v>3213</v>
      </c>
      <c r="C3211" s="15"/>
      <c r="D3211" s="15"/>
      <c r="E3211" s="15"/>
      <c r="F3211" s="15"/>
      <c r="G3211" s="15"/>
      <c r="H3211" s="15"/>
      <c r="I3211" s="15"/>
      <c r="J3211" s="15"/>
      <c r="K3211" s="15"/>
      <c r="L3211" s="15"/>
      <c r="M3211" s="15"/>
      <c r="N3211" s="15"/>
    </row>
  </sheetData>
  <mergeCells count="3341">
    <mergeCell ref="G28:G35"/>
    <mergeCell ref="M28:M35"/>
    <mergeCell ref="N28:N35"/>
    <mergeCell ref="C36:C47"/>
    <mergeCell ref="D36:D47"/>
    <mergeCell ref="G36:G47"/>
    <mergeCell ref="M36:M47"/>
    <mergeCell ref="N36:N47"/>
    <mergeCell ref="B5:N5"/>
    <mergeCell ref="K7:L7"/>
    <mergeCell ref="B9:B91"/>
    <mergeCell ref="C9:C27"/>
    <mergeCell ref="D9:D27"/>
    <mergeCell ref="G9:G27"/>
    <mergeCell ref="M9:M27"/>
    <mergeCell ref="N9:N27"/>
    <mergeCell ref="C28:C35"/>
    <mergeCell ref="D28:D35"/>
    <mergeCell ref="C69:C78"/>
    <mergeCell ref="D69:D78"/>
    <mergeCell ref="G69:G78"/>
    <mergeCell ref="M69:M78"/>
    <mergeCell ref="N69:N78"/>
    <mergeCell ref="C79:C81"/>
    <mergeCell ref="D79:D81"/>
    <mergeCell ref="G79:G81"/>
    <mergeCell ref="M79:M81"/>
    <mergeCell ref="N79:N81"/>
    <mergeCell ref="C48:C57"/>
    <mergeCell ref="D48:D57"/>
    <mergeCell ref="G48:G57"/>
    <mergeCell ref="M48:M57"/>
    <mergeCell ref="N48:N57"/>
    <mergeCell ref="C58:C68"/>
    <mergeCell ref="D58:D68"/>
    <mergeCell ref="G58:G68"/>
    <mergeCell ref="M58:M68"/>
    <mergeCell ref="N58:N68"/>
    <mergeCell ref="B92:B109"/>
    <mergeCell ref="C92:C97"/>
    <mergeCell ref="D92:D97"/>
    <mergeCell ref="G92:G97"/>
    <mergeCell ref="K92:K97"/>
    <mergeCell ref="L92:L97"/>
    <mergeCell ref="C103:C104"/>
    <mergeCell ref="D103:D104"/>
    <mergeCell ref="G103:G104"/>
    <mergeCell ref="K103:K104"/>
    <mergeCell ref="C82:C83"/>
    <mergeCell ref="D82:D83"/>
    <mergeCell ref="G82:G83"/>
    <mergeCell ref="M82:M83"/>
    <mergeCell ref="N82:N83"/>
    <mergeCell ref="C84:C91"/>
    <mergeCell ref="D84:D91"/>
    <mergeCell ref="G84:G91"/>
    <mergeCell ref="M84:M91"/>
    <mergeCell ref="N84:N91"/>
    <mergeCell ref="L103:L104"/>
    <mergeCell ref="M103:M104"/>
    <mergeCell ref="N103:N104"/>
    <mergeCell ref="C105:C109"/>
    <mergeCell ref="D105:D109"/>
    <mergeCell ref="G105:G109"/>
    <mergeCell ref="M105:M109"/>
    <mergeCell ref="N105:N109"/>
    <mergeCell ref="M92:M97"/>
    <mergeCell ref="N92:N97"/>
    <mergeCell ref="C98:C102"/>
    <mergeCell ref="D98:D102"/>
    <mergeCell ref="G98:G102"/>
    <mergeCell ref="K98:K102"/>
    <mergeCell ref="L98:L102"/>
    <mergeCell ref="M98:M102"/>
    <mergeCell ref="N98:N102"/>
    <mergeCell ref="N118:N120"/>
    <mergeCell ref="B121:B144"/>
    <mergeCell ref="C122:C124"/>
    <mergeCell ref="D122:D124"/>
    <mergeCell ref="G122:G124"/>
    <mergeCell ref="K122:K124"/>
    <mergeCell ref="L122:L124"/>
    <mergeCell ref="M122:M124"/>
    <mergeCell ref="N122:N124"/>
    <mergeCell ref="C125:C135"/>
    <mergeCell ref="N110:N113"/>
    <mergeCell ref="C114:C117"/>
    <mergeCell ref="D114:D120"/>
    <mergeCell ref="G114:G117"/>
    <mergeCell ref="K114:K117"/>
    <mergeCell ref="L114:L117"/>
    <mergeCell ref="M114:M117"/>
    <mergeCell ref="N114:N117"/>
    <mergeCell ref="C118:C120"/>
    <mergeCell ref="G118:G120"/>
    <mergeCell ref="B110:B120"/>
    <mergeCell ref="C110:C113"/>
    <mergeCell ref="D110:D113"/>
    <mergeCell ref="G110:G113"/>
    <mergeCell ref="K110:K113"/>
    <mergeCell ref="M110:M113"/>
    <mergeCell ref="K118:K120"/>
    <mergeCell ref="L118:L120"/>
    <mergeCell ref="M118:M120"/>
    <mergeCell ref="N138:N144"/>
    <mergeCell ref="B145:B170"/>
    <mergeCell ref="C145:C146"/>
    <mergeCell ref="D145:D146"/>
    <mergeCell ref="G145:G146"/>
    <mergeCell ref="K145:K146"/>
    <mergeCell ref="L145:L146"/>
    <mergeCell ref="M145:M146"/>
    <mergeCell ref="N145:N146"/>
    <mergeCell ref="C147:C149"/>
    <mergeCell ref="C138:C144"/>
    <mergeCell ref="D138:D144"/>
    <mergeCell ref="G138:G144"/>
    <mergeCell ref="K138:K144"/>
    <mergeCell ref="L138:L144"/>
    <mergeCell ref="M138:M144"/>
    <mergeCell ref="D125:D135"/>
    <mergeCell ref="G125:G135"/>
    <mergeCell ref="K125:K135"/>
    <mergeCell ref="L125:L135"/>
    <mergeCell ref="M125:M135"/>
    <mergeCell ref="N125:N135"/>
    <mergeCell ref="N151:N153"/>
    <mergeCell ref="C154:C156"/>
    <mergeCell ref="D154:D156"/>
    <mergeCell ref="G154:G156"/>
    <mergeCell ref="K154:K156"/>
    <mergeCell ref="L154:L156"/>
    <mergeCell ref="M154:M156"/>
    <mergeCell ref="N154:N156"/>
    <mergeCell ref="C151:C153"/>
    <mergeCell ref="D151:D153"/>
    <mergeCell ref="G151:G153"/>
    <mergeCell ref="K151:K153"/>
    <mergeCell ref="L151:L153"/>
    <mergeCell ref="M151:M153"/>
    <mergeCell ref="D147:D149"/>
    <mergeCell ref="G147:G149"/>
    <mergeCell ref="K147:K149"/>
    <mergeCell ref="L147:L149"/>
    <mergeCell ref="M147:M149"/>
    <mergeCell ref="N147:N149"/>
    <mergeCell ref="N166:N170"/>
    <mergeCell ref="B171:B211"/>
    <mergeCell ref="C171:C175"/>
    <mergeCell ref="D171:D175"/>
    <mergeCell ref="G171:G175"/>
    <mergeCell ref="M171:M175"/>
    <mergeCell ref="N171:N175"/>
    <mergeCell ref="C176:C180"/>
    <mergeCell ref="D176:D180"/>
    <mergeCell ref="G176:G180"/>
    <mergeCell ref="C166:C170"/>
    <mergeCell ref="D166:D170"/>
    <mergeCell ref="G166:G170"/>
    <mergeCell ref="K166:K170"/>
    <mergeCell ref="L166:L170"/>
    <mergeCell ref="M166:M170"/>
    <mergeCell ref="N157:N159"/>
    <mergeCell ref="C160:C165"/>
    <mergeCell ref="D160:D165"/>
    <mergeCell ref="G160:G165"/>
    <mergeCell ref="K160:K165"/>
    <mergeCell ref="L160:L165"/>
    <mergeCell ref="M160:M165"/>
    <mergeCell ref="N160:N165"/>
    <mergeCell ref="C157:C159"/>
    <mergeCell ref="D157:D159"/>
    <mergeCell ref="G157:G159"/>
    <mergeCell ref="K157:K159"/>
    <mergeCell ref="L157:L159"/>
    <mergeCell ref="M157:M159"/>
    <mergeCell ref="C183:C192"/>
    <mergeCell ref="D183:D192"/>
    <mergeCell ref="G183:G192"/>
    <mergeCell ref="M183:M192"/>
    <mergeCell ref="N183:N192"/>
    <mergeCell ref="C193:C197"/>
    <mergeCell ref="D193:D197"/>
    <mergeCell ref="G193:G197"/>
    <mergeCell ref="M193:M197"/>
    <mergeCell ref="N193:N197"/>
    <mergeCell ref="M176:M180"/>
    <mergeCell ref="N176:N180"/>
    <mergeCell ref="C181:C182"/>
    <mergeCell ref="D181:D182"/>
    <mergeCell ref="G181:G182"/>
    <mergeCell ref="M181:M182"/>
    <mergeCell ref="N181:N182"/>
    <mergeCell ref="C208:C209"/>
    <mergeCell ref="D208:D209"/>
    <mergeCell ref="G208:G209"/>
    <mergeCell ref="M208:M209"/>
    <mergeCell ref="N208:N209"/>
    <mergeCell ref="C210:C211"/>
    <mergeCell ref="D210:D211"/>
    <mergeCell ref="G210:G211"/>
    <mergeCell ref="M210:M211"/>
    <mergeCell ref="N210:N211"/>
    <mergeCell ref="C198:C202"/>
    <mergeCell ref="D198:D202"/>
    <mergeCell ref="G198:G202"/>
    <mergeCell ref="M198:M202"/>
    <mergeCell ref="N198:N202"/>
    <mergeCell ref="C203:C207"/>
    <mergeCell ref="D203:D207"/>
    <mergeCell ref="G203:G207"/>
    <mergeCell ref="M203:M207"/>
    <mergeCell ref="N203:N207"/>
    <mergeCell ref="C221:C223"/>
    <mergeCell ref="D221:D223"/>
    <mergeCell ref="G221:G223"/>
    <mergeCell ref="M221:M223"/>
    <mergeCell ref="N221:N223"/>
    <mergeCell ref="C224:C228"/>
    <mergeCell ref="D224:D228"/>
    <mergeCell ref="G224:G228"/>
    <mergeCell ref="M224:M228"/>
    <mergeCell ref="N224:N228"/>
    <mergeCell ref="N214:N215"/>
    <mergeCell ref="C216:C220"/>
    <mergeCell ref="D216:D220"/>
    <mergeCell ref="G216:G220"/>
    <mergeCell ref="M216:M220"/>
    <mergeCell ref="N216:N220"/>
    <mergeCell ref="B212:B230"/>
    <mergeCell ref="C212:C213"/>
    <mergeCell ref="D212:D213"/>
    <mergeCell ref="G212:G213"/>
    <mergeCell ref="M212:M213"/>
    <mergeCell ref="N212:N213"/>
    <mergeCell ref="C214:C215"/>
    <mergeCell ref="D214:D215"/>
    <mergeCell ref="G214:G215"/>
    <mergeCell ref="M214:M215"/>
    <mergeCell ref="M231:M232"/>
    <mergeCell ref="N231:N232"/>
    <mergeCell ref="C233:C236"/>
    <mergeCell ref="D233:D236"/>
    <mergeCell ref="G233:G236"/>
    <mergeCell ref="J233:J236"/>
    <mergeCell ref="K233:K236"/>
    <mergeCell ref="M233:M236"/>
    <mergeCell ref="N233:N236"/>
    <mergeCell ref="B231:B246"/>
    <mergeCell ref="C231:C232"/>
    <mergeCell ref="D231:D232"/>
    <mergeCell ref="G231:G232"/>
    <mergeCell ref="J231:J232"/>
    <mergeCell ref="K231:K232"/>
    <mergeCell ref="C237:C240"/>
    <mergeCell ref="D237:D240"/>
    <mergeCell ref="G237:G240"/>
    <mergeCell ref="J237:J240"/>
    <mergeCell ref="N245:N246"/>
    <mergeCell ref="B247:B251"/>
    <mergeCell ref="C248:C251"/>
    <mergeCell ref="D248:D251"/>
    <mergeCell ref="G248:G251"/>
    <mergeCell ref="M248:M251"/>
    <mergeCell ref="N248:N251"/>
    <mergeCell ref="C245:C246"/>
    <mergeCell ref="D245:D246"/>
    <mergeCell ref="G245:G246"/>
    <mergeCell ref="J245:J246"/>
    <mergeCell ref="K245:K246"/>
    <mergeCell ref="M245:M246"/>
    <mergeCell ref="K237:K240"/>
    <mergeCell ref="M237:M240"/>
    <mergeCell ref="N237:N240"/>
    <mergeCell ref="C241:C244"/>
    <mergeCell ref="D241:D244"/>
    <mergeCell ref="G241:G244"/>
    <mergeCell ref="J241:J244"/>
    <mergeCell ref="K241:K244"/>
    <mergeCell ref="M241:M244"/>
    <mergeCell ref="N241:N244"/>
    <mergeCell ref="M261:M264"/>
    <mergeCell ref="N261:N264"/>
    <mergeCell ref="C265:C269"/>
    <mergeCell ref="D265:D269"/>
    <mergeCell ref="G265:G269"/>
    <mergeCell ref="M265:M269"/>
    <mergeCell ref="N265:N269"/>
    <mergeCell ref="N252:N254"/>
    <mergeCell ref="B255:B297"/>
    <mergeCell ref="C255:C260"/>
    <mergeCell ref="D255:D260"/>
    <mergeCell ref="G255:G260"/>
    <mergeCell ref="M255:M260"/>
    <mergeCell ref="N255:N260"/>
    <mergeCell ref="C261:C264"/>
    <mergeCell ref="D261:D264"/>
    <mergeCell ref="G261:G264"/>
    <mergeCell ref="B252:B254"/>
    <mergeCell ref="C252:C254"/>
    <mergeCell ref="D252:D254"/>
    <mergeCell ref="G252:G254"/>
    <mergeCell ref="J252:J254"/>
    <mergeCell ref="M252:M254"/>
    <mergeCell ref="C282:C287"/>
    <mergeCell ref="D282:D287"/>
    <mergeCell ref="G282:G287"/>
    <mergeCell ref="M282:M287"/>
    <mergeCell ref="N282:N287"/>
    <mergeCell ref="C288:C292"/>
    <mergeCell ref="D288:D292"/>
    <mergeCell ref="G288:G292"/>
    <mergeCell ref="M288:M292"/>
    <mergeCell ref="N288:N292"/>
    <mergeCell ref="C270:C274"/>
    <mergeCell ref="D270:D274"/>
    <mergeCell ref="G270:G274"/>
    <mergeCell ref="M270:M274"/>
    <mergeCell ref="N270:N274"/>
    <mergeCell ref="C275:C281"/>
    <mergeCell ref="D275:D281"/>
    <mergeCell ref="G275:G281"/>
    <mergeCell ref="M275:M281"/>
    <mergeCell ref="N275:N281"/>
    <mergeCell ref="C304:C307"/>
    <mergeCell ref="D304:D307"/>
    <mergeCell ref="G304:G307"/>
    <mergeCell ref="M304:M307"/>
    <mergeCell ref="N304:N307"/>
    <mergeCell ref="C308:C309"/>
    <mergeCell ref="D308:D309"/>
    <mergeCell ref="G308:G309"/>
    <mergeCell ref="M308:M309"/>
    <mergeCell ref="N308:N309"/>
    <mergeCell ref="N298:N301"/>
    <mergeCell ref="C302:C303"/>
    <mergeCell ref="D302:D303"/>
    <mergeCell ref="G302:G303"/>
    <mergeCell ref="M302:M303"/>
    <mergeCell ref="N302:N303"/>
    <mergeCell ref="C293:C297"/>
    <mergeCell ref="D293:D297"/>
    <mergeCell ref="G293:G297"/>
    <mergeCell ref="M293:M297"/>
    <mergeCell ref="N293:N297"/>
    <mergeCell ref="C298:C301"/>
    <mergeCell ref="D298:D301"/>
    <mergeCell ref="G298:G301"/>
    <mergeCell ref="M298:M301"/>
    <mergeCell ref="C314:C316"/>
    <mergeCell ref="D314:D316"/>
    <mergeCell ref="G314:G316"/>
    <mergeCell ref="M314:M316"/>
    <mergeCell ref="N314:N316"/>
    <mergeCell ref="C317:C318"/>
    <mergeCell ref="D317:D318"/>
    <mergeCell ref="G317:G318"/>
    <mergeCell ref="M317:M318"/>
    <mergeCell ref="N317:N318"/>
    <mergeCell ref="C310:C311"/>
    <mergeCell ref="D310:D311"/>
    <mergeCell ref="G310:G311"/>
    <mergeCell ref="M310:M311"/>
    <mergeCell ref="N310:N311"/>
    <mergeCell ref="C312:C313"/>
    <mergeCell ref="D312:D313"/>
    <mergeCell ref="G312:G313"/>
    <mergeCell ref="M312:M313"/>
    <mergeCell ref="N312:N313"/>
    <mergeCell ref="B326:N326"/>
    <mergeCell ref="K328:L328"/>
    <mergeCell ref="B330:B393"/>
    <mergeCell ref="C330:C351"/>
    <mergeCell ref="D330:D351"/>
    <mergeCell ref="G330:G351"/>
    <mergeCell ref="M330:M351"/>
    <mergeCell ref="N330:N351"/>
    <mergeCell ref="C352:C357"/>
    <mergeCell ref="D352:D357"/>
    <mergeCell ref="C319:C322"/>
    <mergeCell ref="D319:D322"/>
    <mergeCell ref="G319:G322"/>
    <mergeCell ref="M319:M322"/>
    <mergeCell ref="N319:N322"/>
    <mergeCell ref="C323:C324"/>
    <mergeCell ref="D323:D324"/>
    <mergeCell ref="G323:G324"/>
    <mergeCell ref="M323:M324"/>
    <mergeCell ref="N323:N324"/>
    <mergeCell ref="B298:B324"/>
    <mergeCell ref="C362:C366"/>
    <mergeCell ref="D362:D366"/>
    <mergeCell ref="G362:G366"/>
    <mergeCell ref="M362:M366"/>
    <mergeCell ref="N362:N366"/>
    <mergeCell ref="C367:C378"/>
    <mergeCell ref="D367:D378"/>
    <mergeCell ref="G367:G378"/>
    <mergeCell ref="M367:M378"/>
    <mergeCell ref="N367:N378"/>
    <mergeCell ref="G352:G357"/>
    <mergeCell ref="M352:M357"/>
    <mergeCell ref="N352:N357"/>
    <mergeCell ref="C358:C360"/>
    <mergeCell ref="D358:D360"/>
    <mergeCell ref="G358:G360"/>
    <mergeCell ref="M358:M360"/>
    <mergeCell ref="N358:N360"/>
    <mergeCell ref="L395:L403"/>
    <mergeCell ref="M395:M403"/>
    <mergeCell ref="N395:N403"/>
    <mergeCell ref="C404:C427"/>
    <mergeCell ref="D404:D427"/>
    <mergeCell ref="G404:G427"/>
    <mergeCell ref="K404:K427"/>
    <mergeCell ref="L404:L427"/>
    <mergeCell ref="M404:M427"/>
    <mergeCell ref="N404:N427"/>
    <mergeCell ref="C379:C393"/>
    <mergeCell ref="D379:D393"/>
    <mergeCell ref="G379:G393"/>
    <mergeCell ref="M379:M393"/>
    <mergeCell ref="N379:N393"/>
    <mergeCell ref="B394:B431"/>
    <mergeCell ref="D394:D403"/>
    <mergeCell ref="C395:C403"/>
    <mergeCell ref="G395:G403"/>
    <mergeCell ref="K395:K403"/>
    <mergeCell ref="C448:C452"/>
    <mergeCell ref="D448:D452"/>
    <mergeCell ref="G448:G452"/>
    <mergeCell ref="M448:M452"/>
    <mergeCell ref="N448:N452"/>
    <mergeCell ref="C453:C457"/>
    <mergeCell ref="D453:D457"/>
    <mergeCell ref="G453:G457"/>
    <mergeCell ref="M453:M457"/>
    <mergeCell ref="N453:N457"/>
    <mergeCell ref="N432:N436"/>
    <mergeCell ref="C437:C445"/>
    <mergeCell ref="D437:D445"/>
    <mergeCell ref="G437:G445"/>
    <mergeCell ref="M437:M445"/>
    <mergeCell ref="N437:N445"/>
    <mergeCell ref="C428:C431"/>
    <mergeCell ref="D428:D431"/>
    <mergeCell ref="G428:G431"/>
    <mergeCell ref="M428:M431"/>
    <mergeCell ref="N428:N431"/>
    <mergeCell ref="C432:C436"/>
    <mergeCell ref="D432:D436"/>
    <mergeCell ref="G432:G436"/>
    <mergeCell ref="M432:M436"/>
    <mergeCell ref="N472:N473"/>
    <mergeCell ref="C475:C476"/>
    <mergeCell ref="D475:D476"/>
    <mergeCell ref="G475:G476"/>
    <mergeCell ref="M475:M476"/>
    <mergeCell ref="N475:N476"/>
    <mergeCell ref="B467:B483"/>
    <mergeCell ref="C467:C471"/>
    <mergeCell ref="D467:D471"/>
    <mergeCell ref="G467:G471"/>
    <mergeCell ref="M467:M471"/>
    <mergeCell ref="N467:N471"/>
    <mergeCell ref="C472:C473"/>
    <mergeCell ref="D472:D473"/>
    <mergeCell ref="G472:G473"/>
    <mergeCell ref="M472:M473"/>
    <mergeCell ref="C458:C462"/>
    <mergeCell ref="D458:D462"/>
    <mergeCell ref="G458:G462"/>
    <mergeCell ref="M458:M462"/>
    <mergeCell ref="N458:N462"/>
    <mergeCell ref="C463:C466"/>
    <mergeCell ref="D463:D466"/>
    <mergeCell ref="G463:G466"/>
    <mergeCell ref="M463:M466"/>
    <mergeCell ref="N463:N466"/>
    <mergeCell ref="B432:B466"/>
    <mergeCell ref="B484:B498"/>
    <mergeCell ref="C485:C486"/>
    <mergeCell ref="D485:D486"/>
    <mergeCell ref="G485:G486"/>
    <mergeCell ref="K485:K486"/>
    <mergeCell ref="L485:L486"/>
    <mergeCell ref="C496:C498"/>
    <mergeCell ref="D496:D498"/>
    <mergeCell ref="G496:G498"/>
    <mergeCell ref="K496:K498"/>
    <mergeCell ref="C477:C478"/>
    <mergeCell ref="D477:D478"/>
    <mergeCell ref="G477:G478"/>
    <mergeCell ref="M477:M478"/>
    <mergeCell ref="N477:N478"/>
    <mergeCell ref="C479:C483"/>
    <mergeCell ref="D479:D483"/>
    <mergeCell ref="G479:G483"/>
    <mergeCell ref="M479:M483"/>
    <mergeCell ref="N479:N483"/>
    <mergeCell ref="L496:L498"/>
    <mergeCell ref="M496:M498"/>
    <mergeCell ref="N496:N498"/>
    <mergeCell ref="C499:C501"/>
    <mergeCell ref="D499:D501"/>
    <mergeCell ref="G499:G501"/>
    <mergeCell ref="K499:K501"/>
    <mergeCell ref="L499:L501"/>
    <mergeCell ref="M499:M501"/>
    <mergeCell ref="N499:N501"/>
    <mergeCell ref="M485:M486"/>
    <mergeCell ref="N485:N486"/>
    <mergeCell ref="C489:C495"/>
    <mergeCell ref="D489:D495"/>
    <mergeCell ref="G489:G495"/>
    <mergeCell ref="K489:K495"/>
    <mergeCell ref="L489:L495"/>
    <mergeCell ref="M489:M495"/>
    <mergeCell ref="N489:N495"/>
    <mergeCell ref="M503:M505"/>
    <mergeCell ref="N503:N505"/>
    <mergeCell ref="C506:C508"/>
    <mergeCell ref="D506:D508"/>
    <mergeCell ref="G506:G508"/>
    <mergeCell ref="K506:K508"/>
    <mergeCell ref="L506:L508"/>
    <mergeCell ref="M506:M508"/>
    <mergeCell ref="N506:N508"/>
    <mergeCell ref="B500:B520"/>
    <mergeCell ref="C503:C505"/>
    <mergeCell ref="D503:D505"/>
    <mergeCell ref="G503:G505"/>
    <mergeCell ref="K503:K505"/>
    <mergeCell ref="L503:L505"/>
    <mergeCell ref="C509:C511"/>
    <mergeCell ref="D509:D511"/>
    <mergeCell ref="F509:F511"/>
    <mergeCell ref="G509:G511"/>
    <mergeCell ref="N512:N514"/>
    <mergeCell ref="C516:C520"/>
    <mergeCell ref="D516:D520"/>
    <mergeCell ref="G516:G520"/>
    <mergeCell ref="K516:K520"/>
    <mergeCell ref="L516:L520"/>
    <mergeCell ref="M516:M520"/>
    <mergeCell ref="N516:N520"/>
    <mergeCell ref="K509:K511"/>
    <mergeCell ref="L509:L511"/>
    <mergeCell ref="M509:M511"/>
    <mergeCell ref="N509:N511"/>
    <mergeCell ref="C512:C514"/>
    <mergeCell ref="D512:D514"/>
    <mergeCell ref="G512:G514"/>
    <mergeCell ref="K512:K514"/>
    <mergeCell ref="L512:L514"/>
    <mergeCell ref="M512:M514"/>
    <mergeCell ref="M521:M526"/>
    <mergeCell ref="N521:N526"/>
    <mergeCell ref="C527:C531"/>
    <mergeCell ref="D527:D531"/>
    <mergeCell ref="G527:G531"/>
    <mergeCell ref="K527:K531"/>
    <mergeCell ref="L527:L531"/>
    <mergeCell ref="M527:M531"/>
    <mergeCell ref="N527:N531"/>
    <mergeCell ref="B521:B536"/>
    <mergeCell ref="C521:C526"/>
    <mergeCell ref="D521:D526"/>
    <mergeCell ref="G521:G526"/>
    <mergeCell ref="K521:K526"/>
    <mergeCell ref="L521:L526"/>
    <mergeCell ref="C532:C536"/>
    <mergeCell ref="D532:D536"/>
    <mergeCell ref="G532:G536"/>
    <mergeCell ref="K532:K536"/>
    <mergeCell ref="N537:N542"/>
    <mergeCell ref="B543:B580"/>
    <mergeCell ref="C543:C544"/>
    <mergeCell ref="D543:D544"/>
    <mergeCell ref="G543:G544"/>
    <mergeCell ref="M543:M544"/>
    <mergeCell ref="N543:N544"/>
    <mergeCell ref="C545:C547"/>
    <mergeCell ref="D545:D547"/>
    <mergeCell ref="G545:G547"/>
    <mergeCell ref="L532:L536"/>
    <mergeCell ref="M532:M536"/>
    <mergeCell ref="N532:N536"/>
    <mergeCell ref="B537:B542"/>
    <mergeCell ref="C537:C542"/>
    <mergeCell ref="D537:D542"/>
    <mergeCell ref="G537:G542"/>
    <mergeCell ref="K537:K542"/>
    <mergeCell ref="L537:L542"/>
    <mergeCell ref="M537:M542"/>
    <mergeCell ref="C553:C557"/>
    <mergeCell ref="D553:D557"/>
    <mergeCell ref="G553:G557"/>
    <mergeCell ref="M553:M557"/>
    <mergeCell ref="N553:N557"/>
    <mergeCell ref="C558:C560"/>
    <mergeCell ref="D558:D560"/>
    <mergeCell ref="G558:G562"/>
    <mergeCell ref="M558:M562"/>
    <mergeCell ref="N558:N562"/>
    <mergeCell ref="M545:M547"/>
    <mergeCell ref="N545:N547"/>
    <mergeCell ref="C548:C552"/>
    <mergeCell ref="D548:D552"/>
    <mergeCell ref="G548:G552"/>
    <mergeCell ref="M548:M552"/>
    <mergeCell ref="N548:N552"/>
    <mergeCell ref="C571:C575"/>
    <mergeCell ref="D571:D575"/>
    <mergeCell ref="G571:G575"/>
    <mergeCell ref="M571:M575"/>
    <mergeCell ref="N571:N575"/>
    <mergeCell ref="C576:C580"/>
    <mergeCell ref="D576:D580"/>
    <mergeCell ref="G576:G580"/>
    <mergeCell ref="M576:M580"/>
    <mergeCell ref="N576:N580"/>
    <mergeCell ref="N563:N567"/>
    <mergeCell ref="C568:C570"/>
    <mergeCell ref="D568:D570"/>
    <mergeCell ref="G568:G570"/>
    <mergeCell ref="M568:M570"/>
    <mergeCell ref="N568:N570"/>
    <mergeCell ref="C561:C562"/>
    <mergeCell ref="D561:D562"/>
    <mergeCell ref="C563:C567"/>
    <mergeCell ref="D563:D567"/>
    <mergeCell ref="G563:G567"/>
    <mergeCell ref="M563:M567"/>
    <mergeCell ref="G592:G599"/>
    <mergeCell ref="M592:M599"/>
    <mergeCell ref="N592:N599"/>
    <mergeCell ref="C600:C603"/>
    <mergeCell ref="G600:G603"/>
    <mergeCell ref="M600:M603"/>
    <mergeCell ref="N600:N603"/>
    <mergeCell ref="B581:B610"/>
    <mergeCell ref="C582:C585"/>
    <mergeCell ref="G582:G585"/>
    <mergeCell ref="M582:M585"/>
    <mergeCell ref="N582:N585"/>
    <mergeCell ref="C586:C591"/>
    <mergeCell ref="G586:G591"/>
    <mergeCell ref="M586:M591"/>
    <mergeCell ref="N586:N591"/>
    <mergeCell ref="C592:C599"/>
    <mergeCell ref="M612:M613"/>
    <mergeCell ref="N612:N613"/>
    <mergeCell ref="C614:C616"/>
    <mergeCell ref="D614:D616"/>
    <mergeCell ref="G614:G616"/>
    <mergeCell ref="J614:J616"/>
    <mergeCell ref="K614:K616"/>
    <mergeCell ref="M614:M616"/>
    <mergeCell ref="N614:N616"/>
    <mergeCell ref="C604:C609"/>
    <mergeCell ref="G604:G609"/>
    <mergeCell ref="M604:M609"/>
    <mergeCell ref="N604:N609"/>
    <mergeCell ref="B611:B626"/>
    <mergeCell ref="C612:C613"/>
    <mergeCell ref="D612:D613"/>
    <mergeCell ref="G612:G613"/>
    <mergeCell ref="J612:J613"/>
    <mergeCell ref="K612:K613"/>
    <mergeCell ref="M620:M621"/>
    <mergeCell ref="N620:N621"/>
    <mergeCell ref="C622:C626"/>
    <mergeCell ref="D622:D626"/>
    <mergeCell ref="G622:G626"/>
    <mergeCell ref="J622:J626"/>
    <mergeCell ref="M622:M626"/>
    <mergeCell ref="N622:N626"/>
    <mergeCell ref="C617:C619"/>
    <mergeCell ref="D617:D619"/>
    <mergeCell ref="G617:G619"/>
    <mergeCell ref="M617:M619"/>
    <mergeCell ref="N617:N619"/>
    <mergeCell ref="C620:C621"/>
    <mergeCell ref="D620:D621"/>
    <mergeCell ref="G620:G621"/>
    <mergeCell ref="J620:J621"/>
    <mergeCell ref="K620:K621"/>
    <mergeCell ref="N635:N636"/>
    <mergeCell ref="C637:C640"/>
    <mergeCell ref="D637:D640"/>
    <mergeCell ref="G637:G640"/>
    <mergeCell ref="M637:M640"/>
    <mergeCell ref="N637:N640"/>
    <mergeCell ref="B635:B640"/>
    <mergeCell ref="C635:C636"/>
    <mergeCell ref="D635:D636"/>
    <mergeCell ref="G635:G636"/>
    <mergeCell ref="J635:J636"/>
    <mergeCell ref="M635:M636"/>
    <mergeCell ref="N630:N631"/>
    <mergeCell ref="C632:C634"/>
    <mergeCell ref="D632:D634"/>
    <mergeCell ref="G632:G634"/>
    <mergeCell ref="I632:I634"/>
    <mergeCell ref="J632:J634"/>
    <mergeCell ref="K632:K634"/>
    <mergeCell ref="M632:M634"/>
    <mergeCell ref="N632:N634"/>
    <mergeCell ref="B627:B631"/>
    <mergeCell ref="C627:C629"/>
    <mergeCell ref="D627:D629"/>
    <mergeCell ref="G627:G629"/>
    <mergeCell ref="M627:M629"/>
    <mergeCell ref="N627:N629"/>
    <mergeCell ref="C630:C631"/>
    <mergeCell ref="D630:D631"/>
    <mergeCell ref="G630:G631"/>
    <mergeCell ref="M630:M631"/>
    <mergeCell ref="D649:D652"/>
    <mergeCell ref="G649:G652"/>
    <mergeCell ref="M649:M652"/>
    <mergeCell ref="N649:N652"/>
    <mergeCell ref="B653:B659"/>
    <mergeCell ref="C653:C656"/>
    <mergeCell ref="D653:D656"/>
    <mergeCell ref="G653:G656"/>
    <mergeCell ref="M653:M656"/>
    <mergeCell ref="N653:N656"/>
    <mergeCell ref="B642:N642"/>
    <mergeCell ref="K644:L644"/>
    <mergeCell ref="B646:B652"/>
    <mergeCell ref="C647:C648"/>
    <mergeCell ref="D647:D648"/>
    <mergeCell ref="G647:G648"/>
    <mergeCell ref="J647:J648"/>
    <mergeCell ref="M647:M648"/>
    <mergeCell ref="N647:N648"/>
    <mergeCell ref="C649:C652"/>
    <mergeCell ref="N661:N664"/>
    <mergeCell ref="B666:B785"/>
    <mergeCell ref="C666:C667"/>
    <mergeCell ref="D666:D667"/>
    <mergeCell ref="G666:G667"/>
    <mergeCell ref="M666:M667"/>
    <mergeCell ref="N666:N667"/>
    <mergeCell ref="C668:C686"/>
    <mergeCell ref="D668:D686"/>
    <mergeCell ref="G668:G686"/>
    <mergeCell ref="C657:C659"/>
    <mergeCell ref="D657:D659"/>
    <mergeCell ref="G657:G659"/>
    <mergeCell ref="M657:M659"/>
    <mergeCell ref="N657:N659"/>
    <mergeCell ref="B660:B665"/>
    <mergeCell ref="C661:C664"/>
    <mergeCell ref="D661:D664"/>
    <mergeCell ref="G661:G664"/>
    <mergeCell ref="M661:M664"/>
    <mergeCell ref="C695:C706"/>
    <mergeCell ref="D695:D706"/>
    <mergeCell ref="G695:G706"/>
    <mergeCell ref="M695:M706"/>
    <mergeCell ref="N695:N706"/>
    <mergeCell ref="C707:C742"/>
    <mergeCell ref="D707:D720"/>
    <mergeCell ref="G707:G720"/>
    <mergeCell ref="M707:M720"/>
    <mergeCell ref="N707:N720"/>
    <mergeCell ref="M668:M686"/>
    <mergeCell ref="N668:N686"/>
    <mergeCell ref="C687:C694"/>
    <mergeCell ref="D687:D694"/>
    <mergeCell ref="G687:G694"/>
    <mergeCell ref="M687:M694"/>
    <mergeCell ref="N687:N694"/>
    <mergeCell ref="C743:C757"/>
    <mergeCell ref="D743:D757"/>
    <mergeCell ref="G743:G757"/>
    <mergeCell ref="M743:M757"/>
    <mergeCell ref="N743:N757"/>
    <mergeCell ref="C758:C772"/>
    <mergeCell ref="D758:D772"/>
    <mergeCell ref="G758:G772"/>
    <mergeCell ref="M758:M772"/>
    <mergeCell ref="N758:N772"/>
    <mergeCell ref="D721:D732"/>
    <mergeCell ref="G721:G732"/>
    <mergeCell ref="M721:M732"/>
    <mergeCell ref="N721:N732"/>
    <mergeCell ref="D733:D742"/>
    <mergeCell ref="G733:G742"/>
    <mergeCell ref="M733:M742"/>
    <mergeCell ref="N733:N742"/>
    <mergeCell ref="N786:N790"/>
    <mergeCell ref="C791:C795"/>
    <mergeCell ref="D791:D795"/>
    <mergeCell ref="G791:G795"/>
    <mergeCell ref="M791:M795"/>
    <mergeCell ref="N791:N795"/>
    <mergeCell ref="C778:C785"/>
    <mergeCell ref="D778:D785"/>
    <mergeCell ref="G778:G785"/>
    <mergeCell ref="M778:M785"/>
    <mergeCell ref="N778:N785"/>
    <mergeCell ref="B786:B820"/>
    <mergeCell ref="C786:C790"/>
    <mergeCell ref="D786:D790"/>
    <mergeCell ref="G786:G790"/>
    <mergeCell ref="M786:M790"/>
    <mergeCell ref="C773:C775"/>
    <mergeCell ref="D773:D775"/>
    <mergeCell ref="G773:G775"/>
    <mergeCell ref="M773:M775"/>
    <mergeCell ref="N773:N775"/>
    <mergeCell ref="C776:C777"/>
    <mergeCell ref="D776:D777"/>
    <mergeCell ref="G776:G777"/>
    <mergeCell ref="M776:M777"/>
    <mergeCell ref="N776:N777"/>
    <mergeCell ref="C810:C811"/>
    <mergeCell ref="D810:D811"/>
    <mergeCell ref="G810:G811"/>
    <mergeCell ref="M810:M811"/>
    <mergeCell ref="N810:N811"/>
    <mergeCell ref="C812:C815"/>
    <mergeCell ref="D812:D815"/>
    <mergeCell ref="G812:G815"/>
    <mergeCell ref="M812:M815"/>
    <mergeCell ref="N812:N815"/>
    <mergeCell ref="C796:C800"/>
    <mergeCell ref="D796:D800"/>
    <mergeCell ref="G796:G800"/>
    <mergeCell ref="M796:M800"/>
    <mergeCell ref="N796:N800"/>
    <mergeCell ref="C801:C809"/>
    <mergeCell ref="D801:D809"/>
    <mergeCell ref="G801:G809"/>
    <mergeCell ref="M801:M809"/>
    <mergeCell ref="N801:N809"/>
    <mergeCell ref="C825:C826"/>
    <mergeCell ref="D825:D826"/>
    <mergeCell ref="G825:G826"/>
    <mergeCell ref="M825:M826"/>
    <mergeCell ref="N825:N826"/>
    <mergeCell ref="C827:C828"/>
    <mergeCell ref="D827:D828"/>
    <mergeCell ref="G827:G828"/>
    <mergeCell ref="M827:M828"/>
    <mergeCell ref="N827:N828"/>
    <mergeCell ref="N821:N822"/>
    <mergeCell ref="C823:C824"/>
    <mergeCell ref="D823:D824"/>
    <mergeCell ref="G823:G824"/>
    <mergeCell ref="M823:M824"/>
    <mergeCell ref="N823:N824"/>
    <mergeCell ref="C816:C820"/>
    <mergeCell ref="D816:D820"/>
    <mergeCell ref="G816:G820"/>
    <mergeCell ref="M816:M820"/>
    <mergeCell ref="N816:N820"/>
    <mergeCell ref="C821:C822"/>
    <mergeCell ref="D821:D822"/>
    <mergeCell ref="G821:G822"/>
    <mergeCell ref="M821:M822"/>
    <mergeCell ref="C836:C837"/>
    <mergeCell ref="D836:D837"/>
    <mergeCell ref="G836:G837"/>
    <mergeCell ref="M836:M837"/>
    <mergeCell ref="N836:N837"/>
    <mergeCell ref="B838:B849"/>
    <mergeCell ref="C838:C849"/>
    <mergeCell ref="D838:D849"/>
    <mergeCell ref="G838:G849"/>
    <mergeCell ref="K838:K849"/>
    <mergeCell ref="C829:C833"/>
    <mergeCell ref="D829:D833"/>
    <mergeCell ref="G829:G833"/>
    <mergeCell ref="M829:M833"/>
    <mergeCell ref="N829:N833"/>
    <mergeCell ref="C834:C835"/>
    <mergeCell ref="D834:D835"/>
    <mergeCell ref="G834:G835"/>
    <mergeCell ref="M834:M835"/>
    <mergeCell ref="N834:N835"/>
    <mergeCell ref="B821:B837"/>
    <mergeCell ref="N850:N853"/>
    <mergeCell ref="C854:C860"/>
    <mergeCell ref="D854:D860"/>
    <mergeCell ref="G854:G860"/>
    <mergeCell ref="K854:K860"/>
    <mergeCell ref="L854:L860"/>
    <mergeCell ref="M854:M860"/>
    <mergeCell ref="N854:N860"/>
    <mergeCell ref="L838:L849"/>
    <mergeCell ref="M838:M849"/>
    <mergeCell ref="N838:N849"/>
    <mergeCell ref="B850:B874"/>
    <mergeCell ref="C850:C853"/>
    <mergeCell ref="D850:D853"/>
    <mergeCell ref="G850:G853"/>
    <mergeCell ref="K850:K853"/>
    <mergeCell ref="L850:L853"/>
    <mergeCell ref="M850:M853"/>
    <mergeCell ref="M875:M877"/>
    <mergeCell ref="N875:N877"/>
    <mergeCell ref="C881:C883"/>
    <mergeCell ref="D881:D883"/>
    <mergeCell ref="G881:G883"/>
    <mergeCell ref="K881:K883"/>
    <mergeCell ref="L881:L883"/>
    <mergeCell ref="M881:M883"/>
    <mergeCell ref="N881:N883"/>
    <mergeCell ref="B875:B884"/>
    <mergeCell ref="C875:C877"/>
    <mergeCell ref="D875:D877"/>
    <mergeCell ref="G875:G877"/>
    <mergeCell ref="K875:K877"/>
    <mergeCell ref="L875:L877"/>
    <mergeCell ref="N861:N862"/>
    <mergeCell ref="C863:C874"/>
    <mergeCell ref="D863:D874"/>
    <mergeCell ref="G863:G874"/>
    <mergeCell ref="K863:K874"/>
    <mergeCell ref="L863:L874"/>
    <mergeCell ref="M863:M874"/>
    <mergeCell ref="N863:N874"/>
    <mergeCell ref="C861:C862"/>
    <mergeCell ref="D861:D862"/>
    <mergeCell ref="G861:G862"/>
    <mergeCell ref="K861:K862"/>
    <mergeCell ref="L861:L862"/>
    <mergeCell ref="M861:M862"/>
    <mergeCell ref="L891:L893"/>
    <mergeCell ref="M891:M893"/>
    <mergeCell ref="N891:N893"/>
    <mergeCell ref="C894:C896"/>
    <mergeCell ref="D894:D896"/>
    <mergeCell ref="G894:G896"/>
    <mergeCell ref="K894:K896"/>
    <mergeCell ref="L894:L896"/>
    <mergeCell ref="M894:M896"/>
    <mergeCell ref="N894:N896"/>
    <mergeCell ref="M885:M887"/>
    <mergeCell ref="N885:N887"/>
    <mergeCell ref="C888:C890"/>
    <mergeCell ref="D888:D890"/>
    <mergeCell ref="G888:G890"/>
    <mergeCell ref="K888:K890"/>
    <mergeCell ref="L888:L890"/>
    <mergeCell ref="M888:M890"/>
    <mergeCell ref="N888:N890"/>
    <mergeCell ref="C885:C887"/>
    <mergeCell ref="D885:D887"/>
    <mergeCell ref="G885:G887"/>
    <mergeCell ref="K885:K887"/>
    <mergeCell ref="L885:L887"/>
    <mergeCell ref="C891:C893"/>
    <mergeCell ref="D891:D893"/>
    <mergeCell ref="G891:G893"/>
    <mergeCell ref="K891:K893"/>
    <mergeCell ref="N907:N909"/>
    <mergeCell ref="B911:B927"/>
    <mergeCell ref="C911:C913"/>
    <mergeCell ref="D911:D913"/>
    <mergeCell ref="G911:G913"/>
    <mergeCell ref="K911:K913"/>
    <mergeCell ref="L911:L913"/>
    <mergeCell ref="M911:M913"/>
    <mergeCell ref="N911:N913"/>
    <mergeCell ref="C914:C922"/>
    <mergeCell ref="C907:C909"/>
    <mergeCell ref="D907:D909"/>
    <mergeCell ref="G907:G909"/>
    <mergeCell ref="K907:K909"/>
    <mergeCell ref="L907:L909"/>
    <mergeCell ref="M907:M909"/>
    <mergeCell ref="N897:N899"/>
    <mergeCell ref="C901:C906"/>
    <mergeCell ref="D901:D906"/>
    <mergeCell ref="G901:G906"/>
    <mergeCell ref="K901:K906"/>
    <mergeCell ref="L901:L906"/>
    <mergeCell ref="M901:M906"/>
    <mergeCell ref="N901:N906"/>
    <mergeCell ref="C897:C899"/>
    <mergeCell ref="D897:D899"/>
    <mergeCell ref="G897:G899"/>
    <mergeCell ref="K897:K899"/>
    <mergeCell ref="L897:L899"/>
    <mergeCell ref="M897:M899"/>
    <mergeCell ref="B885:B910"/>
    <mergeCell ref="N923:N925"/>
    <mergeCell ref="C926:C927"/>
    <mergeCell ref="D926:D927"/>
    <mergeCell ref="G926:G927"/>
    <mergeCell ref="K926:K927"/>
    <mergeCell ref="L926:L927"/>
    <mergeCell ref="M926:M927"/>
    <mergeCell ref="N926:N927"/>
    <mergeCell ref="C923:C925"/>
    <mergeCell ref="D923:D925"/>
    <mergeCell ref="G923:G925"/>
    <mergeCell ref="K923:K925"/>
    <mergeCell ref="L923:L925"/>
    <mergeCell ref="M923:M925"/>
    <mergeCell ref="D914:D922"/>
    <mergeCell ref="G914:G922"/>
    <mergeCell ref="K914:K922"/>
    <mergeCell ref="L914:L922"/>
    <mergeCell ref="M914:M922"/>
    <mergeCell ref="N914:N922"/>
    <mergeCell ref="C943:C945"/>
    <mergeCell ref="D943:D945"/>
    <mergeCell ref="G943:G945"/>
    <mergeCell ref="M943:M945"/>
    <mergeCell ref="N943:N945"/>
    <mergeCell ref="C946:C955"/>
    <mergeCell ref="D946:D955"/>
    <mergeCell ref="G946:G955"/>
    <mergeCell ref="M946:M955"/>
    <mergeCell ref="N946:N955"/>
    <mergeCell ref="N931:N937"/>
    <mergeCell ref="C938:C942"/>
    <mergeCell ref="D938:D942"/>
    <mergeCell ref="G938:G942"/>
    <mergeCell ref="M938:M942"/>
    <mergeCell ref="N938:N942"/>
    <mergeCell ref="B928:B966"/>
    <mergeCell ref="C929:C930"/>
    <mergeCell ref="D929:D930"/>
    <mergeCell ref="G929:G930"/>
    <mergeCell ref="M929:M930"/>
    <mergeCell ref="N929:N930"/>
    <mergeCell ref="C931:C937"/>
    <mergeCell ref="D931:D937"/>
    <mergeCell ref="G931:G937"/>
    <mergeCell ref="M931:M937"/>
    <mergeCell ref="C975:C978"/>
    <mergeCell ref="D975:D978"/>
    <mergeCell ref="G975:G978"/>
    <mergeCell ref="M975:M978"/>
    <mergeCell ref="N975:N978"/>
    <mergeCell ref="C979:C983"/>
    <mergeCell ref="D979:D983"/>
    <mergeCell ref="G979:G983"/>
    <mergeCell ref="M979:M983"/>
    <mergeCell ref="N979:N983"/>
    <mergeCell ref="N967:N971"/>
    <mergeCell ref="C972:C974"/>
    <mergeCell ref="D972:D974"/>
    <mergeCell ref="G972:G974"/>
    <mergeCell ref="M972:M974"/>
    <mergeCell ref="N972:N974"/>
    <mergeCell ref="C956:C966"/>
    <mergeCell ref="D956:D966"/>
    <mergeCell ref="G956:G966"/>
    <mergeCell ref="M956:M966"/>
    <mergeCell ref="N956:N966"/>
    <mergeCell ref="C967:C971"/>
    <mergeCell ref="D967:D971"/>
    <mergeCell ref="G967:G971"/>
    <mergeCell ref="M967:M971"/>
    <mergeCell ref="C994:C997"/>
    <mergeCell ref="D994:D997"/>
    <mergeCell ref="G994:G997"/>
    <mergeCell ref="M994:M997"/>
    <mergeCell ref="N994:N997"/>
    <mergeCell ref="C998:C1003"/>
    <mergeCell ref="D998:D1003"/>
    <mergeCell ref="G998:G1003"/>
    <mergeCell ref="M998:M1003"/>
    <mergeCell ref="N998:N1003"/>
    <mergeCell ref="C984:C987"/>
    <mergeCell ref="D984:D987"/>
    <mergeCell ref="G984:G987"/>
    <mergeCell ref="M984:M987"/>
    <mergeCell ref="N984:N987"/>
    <mergeCell ref="C988:C993"/>
    <mergeCell ref="D988:D993"/>
    <mergeCell ref="G988:G993"/>
    <mergeCell ref="M988:M993"/>
    <mergeCell ref="N988:N993"/>
    <mergeCell ref="L1009:L1013"/>
    <mergeCell ref="M1009:M1013"/>
    <mergeCell ref="N1009:N1013"/>
    <mergeCell ref="C1014:C1015"/>
    <mergeCell ref="D1014:D1015"/>
    <mergeCell ref="G1014:G1015"/>
    <mergeCell ref="K1014:K1015"/>
    <mergeCell ref="L1014:L1015"/>
    <mergeCell ref="M1014:M1015"/>
    <mergeCell ref="N1014:N1015"/>
    <mergeCell ref="C1004:C1008"/>
    <mergeCell ref="D1004:D1008"/>
    <mergeCell ref="G1004:G1008"/>
    <mergeCell ref="M1004:M1008"/>
    <mergeCell ref="N1004:N1008"/>
    <mergeCell ref="B1009:B1019"/>
    <mergeCell ref="C1009:C1013"/>
    <mergeCell ref="D1009:D1013"/>
    <mergeCell ref="G1009:G1013"/>
    <mergeCell ref="K1009:K1013"/>
    <mergeCell ref="B967:B1008"/>
    <mergeCell ref="G1028:G1032"/>
    <mergeCell ref="M1028:M1032"/>
    <mergeCell ref="N1028:N1032"/>
    <mergeCell ref="C1033:C1037"/>
    <mergeCell ref="D1033:D1037"/>
    <mergeCell ref="G1033:G1037"/>
    <mergeCell ref="M1033:M1037"/>
    <mergeCell ref="N1033:N1037"/>
    <mergeCell ref="N1016:N1019"/>
    <mergeCell ref="B1021:N1021"/>
    <mergeCell ref="B1023:B1061"/>
    <mergeCell ref="C1023:C1027"/>
    <mergeCell ref="D1023:D1027"/>
    <mergeCell ref="G1023:G1027"/>
    <mergeCell ref="M1023:M1027"/>
    <mergeCell ref="N1023:N1027"/>
    <mergeCell ref="C1028:C1032"/>
    <mergeCell ref="D1028:D1032"/>
    <mergeCell ref="C1016:C1019"/>
    <mergeCell ref="D1016:D1019"/>
    <mergeCell ref="G1016:G1019"/>
    <mergeCell ref="K1016:K1019"/>
    <mergeCell ref="L1016:L1019"/>
    <mergeCell ref="M1016:M1019"/>
    <mergeCell ref="C1057:C1061"/>
    <mergeCell ref="D1057:D1061"/>
    <mergeCell ref="G1057:G1061"/>
    <mergeCell ref="M1057:M1061"/>
    <mergeCell ref="N1057:N1061"/>
    <mergeCell ref="C1062:C1065"/>
    <mergeCell ref="D1062:D1065"/>
    <mergeCell ref="G1062:G1065"/>
    <mergeCell ref="M1062:M1065"/>
    <mergeCell ref="N1062:N1065"/>
    <mergeCell ref="C1038:C1046"/>
    <mergeCell ref="D1038:D1046"/>
    <mergeCell ref="G1038:G1046"/>
    <mergeCell ref="M1038:M1046"/>
    <mergeCell ref="N1038:N1046"/>
    <mergeCell ref="C1047:C1056"/>
    <mergeCell ref="D1047:D1056"/>
    <mergeCell ref="G1047:G1056"/>
    <mergeCell ref="M1047:M1056"/>
    <mergeCell ref="N1047:N1056"/>
    <mergeCell ref="G1076:G1080"/>
    <mergeCell ref="M1076:M1080"/>
    <mergeCell ref="N1076:N1080"/>
    <mergeCell ref="C1081:C1085"/>
    <mergeCell ref="G1081:G1085"/>
    <mergeCell ref="M1081:M1085"/>
    <mergeCell ref="N1081:N1085"/>
    <mergeCell ref="B1066:B1096"/>
    <mergeCell ref="C1066:C1070"/>
    <mergeCell ref="G1066:G1070"/>
    <mergeCell ref="M1066:M1070"/>
    <mergeCell ref="N1066:N1070"/>
    <mergeCell ref="C1072:C1075"/>
    <mergeCell ref="G1072:G1075"/>
    <mergeCell ref="M1072:M1075"/>
    <mergeCell ref="N1072:N1075"/>
    <mergeCell ref="C1076:C1080"/>
    <mergeCell ref="N1119:N1124"/>
    <mergeCell ref="C1125:C1127"/>
    <mergeCell ref="D1125:D1127"/>
    <mergeCell ref="G1125:G1127"/>
    <mergeCell ref="M1125:M1127"/>
    <mergeCell ref="N1125:N1127"/>
    <mergeCell ref="B1097:B1160"/>
    <mergeCell ref="C1097:C1118"/>
    <mergeCell ref="D1097:D1118"/>
    <mergeCell ref="G1097:G1118"/>
    <mergeCell ref="M1097:M1118"/>
    <mergeCell ref="N1097:N1118"/>
    <mergeCell ref="C1119:C1124"/>
    <mergeCell ref="D1119:D1124"/>
    <mergeCell ref="G1119:G1124"/>
    <mergeCell ref="M1119:M1124"/>
    <mergeCell ref="C1086:C1090"/>
    <mergeCell ref="G1086:G1090"/>
    <mergeCell ref="M1086:M1090"/>
    <mergeCell ref="N1086:N1090"/>
    <mergeCell ref="C1091:C1096"/>
    <mergeCell ref="G1091:G1096"/>
    <mergeCell ref="M1091:M1096"/>
    <mergeCell ref="N1091:N1096"/>
    <mergeCell ref="C1146:C1160"/>
    <mergeCell ref="D1146:D1160"/>
    <mergeCell ref="G1146:G1160"/>
    <mergeCell ref="M1146:M1160"/>
    <mergeCell ref="N1146:N1160"/>
    <mergeCell ref="A1161:A1173"/>
    <mergeCell ref="B1161:B1186"/>
    <mergeCell ref="C1161:C1165"/>
    <mergeCell ref="D1161:D1165"/>
    <mergeCell ref="G1161:G1165"/>
    <mergeCell ref="C1129:C1133"/>
    <mergeCell ref="D1129:D1133"/>
    <mergeCell ref="G1129:G1133"/>
    <mergeCell ref="M1129:M1133"/>
    <mergeCell ref="N1129:N1133"/>
    <mergeCell ref="C1134:C1145"/>
    <mergeCell ref="D1134:D1145"/>
    <mergeCell ref="G1134:G1145"/>
    <mergeCell ref="M1134:M1145"/>
    <mergeCell ref="N1134:N1145"/>
    <mergeCell ref="C1170:C1171"/>
    <mergeCell ref="D1170:D1171"/>
    <mergeCell ref="G1170:G1171"/>
    <mergeCell ref="M1170:M1171"/>
    <mergeCell ref="N1170:N1171"/>
    <mergeCell ref="C1172:C1173"/>
    <mergeCell ref="D1172:D1173"/>
    <mergeCell ref="G1172:G1173"/>
    <mergeCell ref="M1172:M1173"/>
    <mergeCell ref="N1172:N1173"/>
    <mergeCell ref="M1161:M1165"/>
    <mergeCell ref="N1161:N1165"/>
    <mergeCell ref="C1167:C1169"/>
    <mergeCell ref="D1167:D1169"/>
    <mergeCell ref="G1167:G1169"/>
    <mergeCell ref="M1167:M1169"/>
    <mergeCell ref="N1167:N1169"/>
    <mergeCell ref="C1181:C1185"/>
    <mergeCell ref="D1181:D1185"/>
    <mergeCell ref="G1181:G1185"/>
    <mergeCell ref="M1181:M1185"/>
    <mergeCell ref="N1181:N1185"/>
    <mergeCell ref="C1187:C1191"/>
    <mergeCell ref="D1187:D1191"/>
    <mergeCell ref="G1187:G1191"/>
    <mergeCell ref="M1187:M1191"/>
    <mergeCell ref="N1187:N1191"/>
    <mergeCell ref="C1174:C1175"/>
    <mergeCell ref="D1174:D1175"/>
    <mergeCell ref="G1174:G1175"/>
    <mergeCell ref="M1174:M1175"/>
    <mergeCell ref="N1174:N1175"/>
    <mergeCell ref="C1176:C1180"/>
    <mergeCell ref="D1176:D1180"/>
    <mergeCell ref="G1176:G1180"/>
    <mergeCell ref="M1176:M1180"/>
    <mergeCell ref="N1176:N1180"/>
    <mergeCell ref="B1212:B1243"/>
    <mergeCell ref="C1212:C1232"/>
    <mergeCell ref="D1212:D1232"/>
    <mergeCell ref="G1212:G1232"/>
    <mergeCell ref="K1212:K1232"/>
    <mergeCell ref="L1212:L1232"/>
    <mergeCell ref="C1235:C1239"/>
    <mergeCell ref="D1235:D1239"/>
    <mergeCell ref="G1235:G1239"/>
    <mergeCell ref="K1235:K1239"/>
    <mergeCell ref="M1192:M1208"/>
    <mergeCell ref="N1192:N1208"/>
    <mergeCell ref="C1209:C1210"/>
    <mergeCell ref="D1209:D1210"/>
    <mergeCell ref="G1209:G1210"/>
    <mergeCell ref="K1209:K1210"/>
    <mergeCell ref="L1209:L1210"/>
    <mergeCell ref="M1209:M1210"/>
    <mergeCell ref="N1209:N1210"/>
    <mergeCell ref="B1192:B1211"/>
    <mergeCell ref="C1192:C1208"/>
    <mergeCell ref="D1192:D1208"/>
    <mergeCell ref="G1192:G1208"/>
    <mergeCell ref="K1192:K1208"/>
    <mergeCell ref="L1192:L1208"/>
    <mergeCell ref="L1235:L1239"/>
    <mergeCell ref="M1235:M1239"/>
    <mergeCell ref="N1235:N1239"/>
    <mergeCell ref="C1240:C1243"/>
    <mergeCell ref="D1240:D1243"/>
    <mergeCell ref="G1240:G1243"/>
    <mergeCell ref="K1240:K1243"/>
    <mergeCell ref="L1240:L1243"/>
    <mergeCell ref="M1240:M1243"/>
    <mergeCell ref="N1240:N1243"/>
    <mergeCell ref="M1212:M1232"/>
    <mergeCell ref="N1212:N1232"/>
    <mergeCell ref="C1233:C1234"/>
    <mergeCell ref="D1233:D1234"/>
    <mergeCell ref="G1233:G1234"/>
    <mergeCell ref="K1233:K1234"/>
    <mergeCell ref="L1233:L1234"/>
    <mergeCell ref="M1233:M1234"/>
    <mergeCell ref="N1233:N1234"/>
    <mergeCell ref="M1244:M1245"/>
    <mergeCell ref="N1244:N1245"/>
    <mergeCell ref="C1246:C1250"/>
    <mergeCell ref="D1246:D1250"/>
    <mergeCell ref="G1246:G1250"/>
    <mergeCell ref="K1246:K1250"/>
    <mergeCell ref="L1246:L1250"/>
    <mergeCell ref="M1246:M1250"/>
    <mergeCell ref="N1246:N1250"/>
    <mergeCell ref="B1244:B1279"/>
    <mergeCell ref="C1244:C1245"/>
    <mergeCell ref="D1244:D1245"/>
    <mergeCell ref="G1244:G1245"/>
    <mergeCell ref="K1244:K1245"/>
    <mergeCell ref="L1244:L1245"/>
    <mergeCell ref="C1251:C1265"/>
    <mergeCell ref="D1251:D1265"/>
    <mergeCell ref="G1251:G1265"/>
    <mergeCell ref="K1251:K1265"/>
    <mergeCell ref="N1268:N1269"/>
    <mergeCell ref="C1270:C1271"/>
    <mergeCell ref="D1270:D1271"/>
    <mergeCell ref="G1270:G1271"/>
    <mergeCell ref="K1270:K1271"/>
    <mergeCell ref="L1270:L1271"/>
    <mergeCell ref="M1270:M1271"/>
    <mergeCell ref="N1270:N1271"/>
    <mergeCell ref="C1268:C1269"/>
    <mergeCell ref="D1268:D1269"/>
    <mergeCell ref="G1268:G1269"/>
    <mergeCell ref="K1268:K1269"/>
    <mergeCell ref="L1268:L1269"/>
    <mergeCell ref="M1268:M1269"/>
    <mergeCell ref="L1251:L1265"/>
    <mergeCell ref="M1251:M1265"/>
    <mergeCell ref="N1251:N1265"/>
    <mergeCell ref="C1266:C1267"/>
    <mergeCell ref="D1266:D1267"/>
    <mergeCell ref="G1266:G1267"/>
    <mergeCell ref="K1266:K1267"/>
    <mergeCell ref="L1266:L1267"/>
    <mergeCell ref="M1266:M1267"/>
    <mergeCell ref="N1266:N1267"/>
    <mergeCell ref="B1280:B1311"/>
    <mergeCell ref="C1280:C1282"/>
    <mergeCell ref="D1280:D1282"/>
    <mergeCell ref="G1280:G1282"/>
    <mergeCell ref="K1280:K1282"/>
    <mergeCell ref="L1280:L1282"/>
    <mergeCell ref="C1286:C1288"/>
    <mergeCell ref="D1286:D1288"/>
    <mergeCell ref="G1286:G1288"/>
    <mergeCell ref="K1286:K1288"/>
    <mergeCell ref="N1272:N1273"/>
    <mergeCell ref="C1276:C1278"/>
    <mergeCell ref="D1276:D1278"/>
    <mergeCell ref="G1276:G1278"/>
    <mergeCell ref="K1276:K1278"/>
    <mergeCell ref="L1276:L1278"/>
    <mergeCell ref="M1276:M1278"/>
    <mergeCell ref="N1276:N1278"/>
    <mergeCell ref="C1272:C1273"/>
    <mergeCell ref="D1272:D1273"/>
    <mergeCell ref="G1272:G1273"/>
    <mergeCell ref="K1272:K1273"/>
    <mergeCell ref="L1272:L1273"/>
    <mergeCell ref="M1272:M1273"/>
    <mergeCell ref="L1286:L1288"/>
    <mergeCell ref="M1286:M1288"/>
    <mergeCell ref="N1286:N1288"/>
    <mergeCell ref="C1290:C1292"/>
    <mergeCell ref="D1290:D1292"/>
    <mergeCell ref="G1290:G1292"/>
    <mergeCell ref="K1290:K1292"/>
    <mergeCell ref="L1290:L1292"/>
    <mergeCell ref="M1290:M1292"/>
    <mergeCell ref="N1290:N1292"/>
    <mergeCell ref="M1280:M1282"/>
    <mergeCell ref="N1280:N1282"/>
    <mergeCell ref="C1283:C1285"/>
    <mergeCell ref="D1283:D1285"/>
    <mergeCell ref="G1283:G1285"/>
    <mergeCell ref="K1283:K1285"/>
    <mergeCell ref="L1283:L1285"/>
    <mergeCell ref="M1283:M1285"/>
    <mergeCell ref="N1283:N1285"/>
    <mergeCell ref="N1303:N1304"/>
    <mergeCell ref="C1305:C1308"/>
    <mergeCell ref="D1305:D1308"/>
    <mergeCell ref="G1305:G1308"/>
    <mergeCell ref="K1305:K1308"/>
    <mergeCell ref="L1305:L1308"/>
    <mergeCell ref="M1305:M1308"/>
    <mergeCell ref="N1305:N1308"/>
    <mergeCell ref="C1303:C1304"/>
    <mergeCell ref="D1303:D1304"/>
    <mergeCell ref="G1303:G1304"/>
    <mergeCell ref="K1303:K1304"/>
    <mergeCell ref="L1303:L1304"/>
    <mergeCell ref="M1303:M1304"/>
    <mergeCell ref="N1293:N1295"/>
    <mergeCell ref="C1297:C1302"/>
    <mergeCell ref="D1297:D1302"/>
    <mergeCell ref="G1297:G1302"/>
    <mergeCell ref="K1297:K1302"/>
    <mergeCell ref="L1297:L1302"/>
    <mergeCell ref="M1297:M1302"/>
    <mergeCell ref="N1297:N1302"/>
    <mergeCell ref="C1293:C1295"/>
    <mergeCell ref="D1293:D1295"/>
    <mergeCell ref="G1293:G1295"/>
    <mergeCell ref="K1293:K1295"/>
    <mergeCell ref="L1293:L1295"/>
    <mergeCell ref="M1293:M1295"/>
    <mergeCell ref="C1337:C1338"/>
    <mergeCell ref="G1337:G1338"/>
    <mergeCell ref="M1337:M1338"/>
    <mergeCell ref="N1337:N1338"/>
    <mergeCell ref="C1339:C1343"/>
    <mergeCell ref="G1339:G1343"/>
    <mergeCell ref="M1339:M1343"/>
    <mergeCell ref="N1339:N1343"/>
    <mergeCell ref="C1321:C1331"/>
    <mergeCell ref="G1321:G1331"/>
    <mergeCell ref="M1321:M1331"/>
    <mergeCell ref="N1321:N1331"/>
    <mergeCell ref="C1332:C1336"/>
    <mergeCell ref="G1332:G1336"/>
    <mergeCell ref="M1332:M1336"/>
    <mergeCell ref="N1332:N1336"/>
    <mergeCell ref="N1309:N1311"/>
    <mergeCell ref="C1312:C1314"/>
    <mergeCell ref="G1312:G1314"/>
    <mergeCell ref="M1312:M1314"/>
    <mergeCell ref="N1312:N1314"/>
    <mergeCell ref="C1315:C1320"/>
    <mergeCell ref="G1315:G1320"/>
    <mergeCell ref="M1315:M1320"/>
    <mergeCell ref="N1315:N1320"/>
    <mergeCell ref="C1309:C1311"/>
    <mergeCell ref="D1309:D1311"/>
    <mergeCell ref="G1309:G1311"/>
    <mergeCell ref="K1309:K1311"/>
    <mergeCell ref="L1309:L1311"/>
    <mergeCell ref="M1309:M1311"/>
    <mergeCell ref="C1354:C1364"/>
    <mergeCell ref="G1354:G1364"/>
    <mergeCell ref="M1354:M1364"/>
    <mergeCell ref="N1354:N1364"/>
    <mergeCell ref="B1365:B1380"/>
    <mergeCell ref="C1365:C1367"/>
    <mergeCell ref="D1365:D1367"/>
    <mergeCell ref="G1365:G1367"/>
    <mergeCell ref="M1365:M1367"/>
    <mergeCell ref="N1365:N1367"/>
    <mergeCell ref="C1344:C1349"/>
    <mergeCell ref="G1344:G1349"/>
    <mergeCell ref="M1344:M1349"/>
    <mergeCell ref="N1344:N1349"/>
    <mergeCell ref="C1350:C1353"/>
    <mergeCell ref="G1350:G1353"/>
    <mergeCell ref="M1350:M1353"/>
    <mergeCell ref="N1350:N1353"/>
    <mergeCell ref="B1312:B1364"/>
    <mergeCell ref="C1375:C1379"/>
    <mergeCell ref="D1375:D1379"/>
    <mergeCell ref="G1375:G1379"/>
    <mergeCell ref="M1375:M1379"/>
    <mergeCell ref="N1375:N1379"/>
    <mergeCell ref="B1381:B1389"/>
    <mergeCell ref="C1381:C1383"/>
    <mergeCell ref="D1381:D1383"/>
    <mergeCell ref="G1381:G1383"/>
    <mergeCell ref="M1381:M1383"/>
    <mergeCell ref="C1368:C1371"/>
    <mergeCell ref="D1368:D1371"/>
    <mergeCell ref="G1368:G1371"/>
    <mergeCell ref="M1368:M1371"/>
    <mergeCell ref="N1368:N1371"/>
    <mergeCell ref="C1372:C1374"/>
    <mergeCell ref="D1372:D1374"/>
    <mergeCell ref="G1372:G1374"/>
    <mergeCell ref="M1372:M1374"/>
    <mergeCell ref="N1372:N1374"/>
    <mergeCell ref="N1390:N1393"/>
    <mergeCell ref="C1394:C1395"/>
    <mergeCell ref="D1394:D1395"/>
    <mergeCell ref="G1394:G1395"/>
    <mergeCell ref="M1394:M1395"/>
    <mergeCell ref="N1394:N1395"/>
    <mergeCell ref="C1387:C1389"/>
    <mergeCell ref="D1387:D1389"/>
    <mergeCell ref="G1387:G1389"/>
    <mergeCell ref="M1387:M1389"/>
    <mergeCell ref="N1387:N1389"/>
    <mergeCell ref="B1390:B1395"/>
    <mergeCell ref="C1390:C1393"/>
    <mergeCell ref="D1390:D1393"/>
    <mergeCell ref="G1390:G1393"/>
    <mergeCell ref="M1390:M1393"/>
    <mergeCell ref="N1381:N1383"/>
    <mergeCell ref="C1384:C1386"/>
    <mergeCell ref="D1384:D1386"/>
    <mergeCell ref="G1384:G1386"/>
    <mergeCell ref="M1384:M1386"/>
    <mergeCell ref="N1384:N1386"/>
    <mergeCell ref="M1397:M1400"/>
    <mergeCell ref="N1397:N1400"/>
    <mergeCell ref="C1401:C1402"/>
    <mergeCell ref="D1401:D1402"/>
    <mergeCell ref="G1401:G1402"/>
    <mergeCell ref="K1401:K1402"/>
    <mergeCell ref="L1401:L1402"/>
    <mergeCell ref="M1401:M1402"/>
    <mergeCell ref="N1401:N1402"/>
    <mergeCell ref="B1396:B1407"/>
    <mergeCell ref="D1396:D1400"/>
    <mergeCell ref="C1397:C1400"/>
    <mergeCell ref="G1397:G1400"/>
    <mergeCell ref="K1397:K1400"/>
    <mergeCell ref="L1397:L1400"/>
    <mergeCell ref="C1403:C1407"/>
    <mergeCell ref="D1403:D1407"/>
    <mergeCell ref="G1403:G1407"/>
    <mergeCell ref="K1403:K1407"/>
    <mergeCell ref="N1408:N1413"/>
    <mergeCell ref="C1414:C1417"/>
    <mergeCell ref="D1414:D1417"/>
    <mergeCell ref="G1414:G1417"/>
    <mergeCell ref="K1414:K1417"/>
    <mergeCell ref="L1414:L1417"/>
    <mergeCell ref="M1414:M1417"/>
    <mergeCell ref="N1414:N1417"/>
    <mergeCell ref="L1403:L1407"/>
    <mergeCell ref="M1403:M1407"/>
    <mergeCell ref="N1403:N1407"/>
    <mergeCell ref="B1408:B1422"/>
    <mergeCell ref="C1408:C1413"/>
    <mergeCell ref="D1408:D1413"/>
    <mergeCell ref="G1408:G1413"/>
    <mergeCell ref="K1408:K1413"/>
    <mergeCell ref="L1408:L1413"/>
    <mergeCell ref="M1408:M1413"/>
    <mergeCell ref="G1445:G1454"/>
    <mergeCell ref="M1445:M1454"/>
    <mergeCell ref="N1445:N1454"/>
    <mergeCell ref="C1455:C1463"/>
    <mergeCell ref="D1455:D1463"/>
    <mergeCell ref="G1455:G1463"/>
    <mergeCell ref="M1455:M1463"/>
    <mergeCell ref="N1455:N1463"/>
    <mergeCell ref="N1418:N1422"/>
    <mergeCell ref="B1424:N1424"/>
    <mergeCell ref="B1426:B1542"/>
    <mergeCell ref="C1426:C1444"/>
    <mergeCell ref="D1426:D1444"/>
    <mergeCell ref="G1426:G1444"/>
    <mergeCell ref="M1426:M1444"/>
    <mergeCell ref="N1426:N1444"/>
    <mergeCell ref="C1445:C1454"/>
    <mergeCell ref="D1445:D1454"/>
    <mergeCell ref="C1418:C1422"/>
    <mergeCell ref="D1418:D1422"/>
    <mergeCell ref="G1418:G1422"/>
    <mergeCell ref="K1418:K1422"/>
    <mergeCell ref="L1418:L1422"/>
    <mergeCell ref="M1418:M1422"/>
    <mergeCell ref="G1490:G1499"/>
    <mergeCell ref="M1490:M1499"/>
    <mergeCell ref="N1490:N1499"/>
    <mergeCell ref="C1500:C1514"/>
    <mergeCell ref="D1500:D1514"/>
    <mergeCell ref="G1500:G1514"/>
    <mergeCell ref="M1500:M1514"/>
    <mergeCell ref="N1500:N1514"/>
    <mergeCell ref="C1464:C1499"/>
    <mergeCell ref="D1464:D1477"/>
    <mergeCell ref="G1464:G1477"/>
    <mergeCell ref="M1464:M1477"/>
    <mergeCell ref="N1464:N1477"/>
    <mergeCell ref="D1478:D1489"/>
    <mergeCell ref="G1478:G1489"/>
    <mergeCell ref="M1478:M1489"/>
    <mergeCell ref="N1478:N1489"/>
    <mergeCell ref="D1490:D1499"/>
    <mergeCell ref="C1533:C1534"/>
    <mergeCell ref="D1533:D1534"/>
    <mergeCell ref="G1533:G1534"/>
    <mergeCell ref="M1533:M1534"/>
    <mergeCell ref="N1533:N1534"/>
    <mergeCell ref="C1535:C1542"/>
    <mergeCell ref="D1535:D1542"/>
    <mergeCell ref="G1535:G1542"/>
    <mergeCell ref="M1535:M1542"/>
    <mergeCell ref="N1535:N1542"/>
    <mergeCell ref="C1515:C1529"/>
    <mergeCell ref="D1515:D1529"/>
    <mergeCell ref="G1515:G1529"/>
    <mergeCell ref="M1515:M1529"/>
    <mergeCell ref="N1515:N1529"/>
    <mergeCell ref="C1530:C1532"/>
    <mergeCell ref="D1530:D1532"/>
    <mergeCell ref="G1530:G1532"/>
    <mergeCell ref="M1530:M1532"/>
    <mergeCell ref="N1530:N1532"/>
    <mergeCell ref="N1557:N1559"/>
    <mergeCell ref="C1560:C1562"/>
    <mergeCell ref="D1560:D1562"/>
    <mergeCell ref="G1560:G1562"/>
    <mergeCell ref="M1560:M1562"/>
    <mergeCell ref="N1560:N1562"/>
    <mergeCell ref="C1554:C1556"/>
    <mergeCell ref="D1554:D1556"/>
    <mergeCell ref="G1554:G1556"/>
    <mergeCell ref="M1554:M1556"/>
    <mergeCell ref="N1554:N1556"/>
    <mergeCell ref="B1557:B1559"/>
    <mergeCell ref="C1557:C1559"/>
    <mergeCell ref="D1557:D1559"/>
    <mergeCell ref="G1557:G1559"/>
    <mergeCell ref="M1557:M1559"/>
    <mergeCell ref="N1546:N1550"/>
    <mergeCell ref="C1551:C1553"/>
    <mergeCell ref="D1551:D1553"/>
    <mergeCell ref="G1551:G1553"/>
    <mergeCell ref="M1551:M1553"/>
    <mergeCell ref="N1551:N1553"/>
    <mergeCell ref="B1543:B1553"/>
    <mergeCell ref="C1543:C1545"/>
    <mergeCell ref="D1543:D1545"/>
    <mergeCell ref="G1543:G1545"/>
    <mergeCell ref="M1543:M1545"/>
    <mergeCell ref="N1543:N1545"/>
    <mergeCell ref="C1546:C1550"/>
    <mergeCell ref="D1546:D1550"/>
    <mergeCell ref="G1546:G1550"/>
    <mergeCell ref="M1546:M1550"/>
    <mergeCell ref="D1576:D1578"/>
    <mergeCell ref="G1576:G1578"/>
    <mergeCell ref="K1576:K1578"/>
    <mergeCell ref="L1576:L1578"/>
    <mergeCell ref="M1576:M1578"/>
    <mergeCell ref="N1576:N1578"/>
    <mergeCell ref="N1569:N1572"/>
    <mergeCell ref="B1573:B1578"/>
    <mergeCell ref="C1573:C1575"/>
    <mergeCell ref="D1573:D1575"/>
    <mergeCell ref="G1573:G1575"/>
    <mergeCell ref="K1573:K1575"/>
    <mergeCell ref="L1573:L1575"/>
    <mergeCell ref="M1573:M1575"/>
    <mergeCell ref="N1573:N1575"/>
    <mergeCell ref="C1576:C1578"/>
    <mergeCell ref="B1567:B1572"/>
    <mergeCell ref="C1567:C1568"/>
    <mergeCell ref="D1567:D1568"/>
    <mergeCell ref="G1567:G1568"/>
    <mergeCell ref="M1567:M1568"/>
    <mergeCell ref="N1567:N1568"/>
    <mergeCell ref="C1569:C1572"/>
    <mergeCell ref="D1569:D1572"/>
    <mergeCell ref="G1569:G1572"/>
    <mergeCell ref="M1569:M1572"/>
    <mergeCell ref="M1579:M1583"/>
    <mergeCell ref="N1579:N1583"/>
    <mergeCell ref="C1584:C1587"/>
    <mergeCell ref="D1584:D1587"/>
    <mergeCell ref="G1584:G1587"/>
    <mergeCell ref="K1584:K1587"/>
    <mergeCell ref="L1584:L1587"/>
    <mergeCell ref="M1584:M1587"/>
    <mergeCell ref="N1584:N1587"/>
    <mergeCell ref="B1579:B1593"/>
    <mergeCell ref="C1579:C1583"/>
    <mergeCell ref="D1579:D1583"/>
    <mergeCell ref="G1579:G1583"/>
    <mergeCell ref="K1579:K1583"/>
    <mergeCell ref="L1579:L1583"/>
    <mergeCell ref="C1588:C1593"/>
    <mergeCell ref="D1588:D1593"/>
    <mergeCell ref="G1588:G1593"/>
    <mergeCell ref="K1588:K1593"/>
    <mergeCell ref="N1594:N1595"/>
    <mergeCell ref="C1600:C1602"/>
    <mergeCell ref="D1600:D1602"/>
    <mergeCell ref="G1600:G1602"/>
    <mergeCell ref="K1600:K1602"/>
    <mergeCell ref="L1600:L1602"/>
    <mergeCell ref="M1600:M1602"/>
    <mergeCell ref="N1600:N1602"/>
    <mergeCell ref="L1588:L1593"/>
    <mergeCell ref="M1588:M1593"/>
    <mergeCell ref="N1588:N1593"/>
    <mergeCell ref="B1594:B1602"/>
    <mergeCell ref="C1594:C1595"/>
    <mergeCell ref="D1594:D1595"/>
    <mergeCell ref="G1594:G1595"/>
    <mergeCell ref="K1594:K1595"/>
    <mergeCell ref="L1594:L1595"/>
    <mergeCell ref="M1594:M1595"/>
    <mergeCell ref="L1609:L1611"/>
    <mergeCell ref="M1609:M1611"/>
    <mergeCell ref="N1609:N1611"/>
    <mergeCell ref="C1613:C1619"/>
    <mergeCell ref="D1613:D1619"/>
    <mergeCell ref="G1613:G1619"/>
    <mergeCell ref="K1613:K1619"/>
    <mergeCell ref="L1613:L1619"/>
    <mergeCell ref="M1613:M1619"/>
    <mergeCell ref="N1613:N1619"/>
    <mergeCell ref="M1603:M1605"/>
    <mergeCell ref="N1603:N1605"/>
    <mergeCell ref="C1606:C1608"/>
    <mergeCell ref="D1606:D1608"/>
    <mergeCell ref="G1606:G1608"/>
    <mergeCell ref="K1606:K1608"/>
    <mergeCell ref="L1606:L1608"/>
    <mergeCell ref="M1606:M1608"/>
    <mergeCell ref="N1606:N1608"/>
    <mergeCell ref="C1603:C1605"/>
    <mergeCell ref="D1603:D1605"/>
    <mergeCell ref="G1603:G1605"/>
    <mergeCell ref="K1603:K1605"/>
    <mergeCell ref="L1603:L1605"/>
    <mergeCell ref="C1609:C1611"/>
    <mergeCell ref="D1609:D1611"/>
    <mergeCell ref="G1609:G1611"/>
    <mergeCell ref="K1609:K1611"/>
    <mergeCell ref="N1628:N1630"/>
    <mergeCell ref="B1631:B1661"/>
    <mergeCell ref="C1631:C1637"/>
    <mergeCell ref="D1631:D1637"/>
    <mergeCell ref="G1631:G1637"/>
    <mergeCell ref="M1631:M1637"/>
    <mergeCell ref="N1631:N1637"/>
    <mergeCell ref="C1638:C1645"/>
    <mergeCell ref="D1638:D1645"/>
    <mergeCell ref="G1638:G1645"/>
    <mergeCell ref="C1628:C1630"/>
    <mergeCell ref="D1628:D1630"/>
    <mergeCell ref="G1628:G1630"/>
    <mergeCell ref="K1628:K1630"/>
    <mergeCell ref="L1628:L1630"/>
    <mergeCell ref="M1628:M1630"/>
    <mergeCell ref="N1620:N1624"/>
    <mergeCell ref="C1625:C1627"/>
    <mergeCell ref="D1625:D1627"/>
    <mergeCell ref="G1625:G1627"/>
    <mergeCell ref="K1625:K1627"/>
    <mergeCell ref="L1625:L1627"/>
    <mergeCell ref="M1625:M1627"/>
    <mergeCell ref="N1625:N1627"/>
    <mergeCell ref="C1620:C1624"/>
    <mergeCell ref="D1620:D1624"/>
    <mergeCell ref="G1620:G1624"/>
    <mergeCell ref="K1620:K1624"/>
    <mergeCell ref="L1620:L1624"/>
    <mergeCell ref="M1620:M1624"/>
    <mergeCell ref="B1603:B1630"/>
    <mergeCell ref="C1650:C1657"/>
    <mergeCell ref="D1650:D1657"/>
    <mergeCell ref="G1650:G1657"/>
    <mergeCell ref="M1650:M1657"/>
    <mergeCell ref="N1650:N1657"/>
    <mergeCell ref="C1658:C1661"/>
    <mergeCell ref="D1658:D1661"/>
    <mergeCell ref="G1658:G1661"/>
    <mergeCell ref="M1658:M1661"/>
    <mergeCell ref="N1658:N1661"/>
    <mergeCell ref="M1638:M1645"/>
    <mergeCell ref="N1638:N1645"/>
    <mergeCell ref="C1646:C1649"/>
    <mergeCell ref="D1646:D1649"/>
    <mergeCell ref="G1646:G1649"/>
    <mergeCell ref="M1646:M1649"/>
    <mergeCell ref="N1646:N1649"/>
    <mergeCell ref="C1677:C1679"/>
    <mergeCell ref="D1677:D1679"/>
    <mergeCell ref="G1677:G1679"/>
    <mergeCell ref="M1677:M1679"/>
    <mergeCell ref="N1677:N1679"/>
    <mergeCell ref="C1680:C1684"/>
    <mergeCell ref="D1680:D1684"/>
    <mergeCell ref="G1680:G1684"/>
    <mergeCell ref="M1680:M1684"/>
    <mergeCell ref="N1680:N1684"/>
    <mergeCell ref="N1668:N1670"/>
    <mergeCell ref="C1671:C1676"/>
    <mergeCell ref="D1671:D1676"/>
    <mergeCell ref="G1671:G1676"/>
    <mergeCell ref="M1671:M1676"/>
    <mergeCell ref="N1671:N1676"/>
    <mergeCell ref="B1662:B1694"/>
    <mergeCell ref="C1662:C1666"/>
    <mergeCell ref="D1662:D1666"/>
    <mergeCell ref="G1662:G1666"/>
    <mergeCell ref="M1662:M1666"/>
    <mergeCell ref="N1662:N1666"/>
    <mergeCell ref="C1668:C1670"/>
    <mergeCell ref="D1668:D1670"/>
    <mergeCell ref="G1668:G1670"/>
    <mergeCell ref="M1668:M1670"/>
    <mergeCell ref="N1700:N1704"/>
    <mergeCell ref="C1705:C1709"/>
    <mergeCell ref="D1705:D1709"/>
    <mergeCell ref="G1705:G1709"/>
    <mergeCell ref="M1705:M1709"/>
    <mergeCell ref="N1705:N1709"/>
    <mergeCell ref="B1695:B1729"/>
    <mergeCell ref="C1695:C1699"/>
    <mergeCell ref="D1695:D1699"/>
    <mergeCell ref="G1695:G1699"/>
    <mergeCell ref="M1695:M1699"/>
    <mergeCell ref="N1695:N1699"/>
    <mergeCell ref="C1700:C1704"/>
    <mergeCell ref="D1700:D1704"/>
    <mergeCell ref="G1700:G1704"/>
    <mergeCell ref="M1700:M1704"/>
    <mergeCell ref="C1685:C1689"/>
    <mergeCell ref="D1685:D1689"/>
    <mergeCell ref="G1685:G1689"/>
    <mergeCell ref="M1685:M1689"/>
    <mergeCell ref="N1685:N1689"/>
    <mergeCell ref="C1690:C1694"/>
    <mergeCell ref="D1690:D1694"/>
    <mergeCell ref="G1690:G1694"/>
    <mergeCell ref="M1690:M1694"/>
    <mergeCell ref="N1690:N1694"/>
    <mergeCell ref="N1730:N1731"/>
    <mergeCell ref="C1732:C1733"/>
    <mergeCell ref="D1732:D1733"/>
    <mergeCell ref="G1732:G1733"/>
    <mergeCell ref="M1732:M1733"/>
    <mergeCell ref="N1732:N1733"/>
    <mergeCell ref="C1721:C1729"/>
    <mergeCell ref="D1721:D1729"/>
    <mergeCell ref="G1721:G1729"/>
    <mergeCell ref="M1721:M1729"/>
    <mergeCell ref="N1721:N1729"/>
    <mergeCell ref="B1730:B1761"/>
    <mergeCell ref="C1730:C1731"/>
    <mergeCell ref="D1730:D1731"/>
    <mergeCell ref="G1730:G1731"/>
    <mergeCell ref="M1730:M1731"/>
    <mergeCell ref="C1710:C1714"/>
    <mergeCell ref="D1710:D1714"/>
    <mergeCell ref="G1710:G1714"/>
    <mergeCell ref="M1710:M1714"/>
    <mergeCell ref="N1710:N1714"/>
    <mergeCell ref="C1715:C1720"/>
    <mergeCell ref="D1715:D1720"/>
    <mergeCell ref="G1715:G1720"/>
    <mergeCell ref="M1715:M1720"/>
    <mergeCell ref="N1715:N1720"/>
    <mergeCell ref="C1742:C1756"/>
    <mergeCell ref="D1742:D1756"/>
    <mergeCell ref="G1742:G1756"/>
    <mergeCell ref="M1742:M1756"/>
    <mergeCell ref="N1742:N1756"/>
    <mergeCell ref="C1757:C1761"/>
    <mergeCell ref="D1757:D1761"/>
    <mergeCell ref="G1757:G1761"/>
    <mergeCell ref="M1757:M1761"/>
    <mergeCell ref="N1757:N1761"/>
    <mergeCell ref="C1734:C1735"/>
    <mergeCell ref="D1734:D1735"/>
    <mergeCell ref="G1734:G1735"/>
    <mergeCell ref="M1734:M1735"/>
    <mergeCell ref="N1734:N1735"/>
    <mergeCell ref="C1737:C1741"/>
    <mergeCell ref="D1737:D1741"/>
    <mergeCell ref="G1737:G1741"/>
    <mergeCell ref="M1737:M1741"/>
    <mergeCell ref="N1737:N1741"/>
    <mergeCell ref="M1762:M1764"/>
    <mergeCell ref="N1762:N1764"/>
    <mergeCell ref="C1765:C1766"/>
    <mergeCell ref="D1765:D1770"/>
    <mergeCell ref="G1765:G1766"/>
    <mergeCell ref="K1765:K1766"/>
    <mergeCell ref="L1765:L1766"/>
    <mergeCell ref="M1765:M1766"/>
    <mergeCell ref="N1765:N1766"/>
    <mergeCell ref="C1767:C1770"/>
    <mergeCell ref="B1762:B1774"/>
    <mergeCell ref="C1762:C1764"/>
    <mergeCell ref="D1762:D1764"/>
    <mergeCell ref="G1762:G1764"/>
    <mergeCell ref="K1762:K1764"/>
    <mergeCell ref="L1762:L1764"/>
    <mergeCell ref="G1767:G1770"/>
    <mergeCell ref="K1767:K1770"/>
    <mergeCell ref="L1767:L1770"/>
    <mergeCell ref="M1775:M1785"/>
    <mergeCell ref="N1775:N1785"/>
    <mergeCell ref="B1787:N1787"/>
    <mergeCell ref="B1789:B1835"/>
    <mergeCell ref="D1789:D1798"/>
    <mergeCell ref="C1790:C1798"/>
    <mergeCell ref="G1790:G1798"/>
    <mergeCell ref="K1790:K1798"/>
    <mergeCell ref="L1790:L1798"/>
    <mergeCell ref="M1790:M1798"/>
    <mergeCell ref="B1775:B1785"/>
    <mergeCell ref="C1775:C1785"/>
    <mergeCell ref="D1775:D1785"/>
    <mergeCell ref="G1775:G1785"/>
    <mergeCell ref="K1775:K1785"/>
    <mergeCell ref="L1775:L1785"/>
    <mergeCell ref="M1767:M1770"/>
    <mergeCell ref="N1767:N1770"/>
    <mergeCell ref="C1771:C1774"/>
    <mergeCell ref="D1771:D1774"/>
    <mergeCell ref="G1771:G1774"/>
    <mergeCell ref="K1771:K1774"/>
    <mergeCell ref="L1771:L1774"/>
    <mergeCell ref="M1771:M1774"/>
    <mergeCell ref="N1771:N1774"/>
    <mergeCell ref="N1803:N1827"/>
    <mergeCell ref="C1828:C1835"/>
    <mergeCell ref="D1828:D1835"/>
    <mergeCell ref="G1828:G1835"/>
    <mergeCell ref="K1828:K1835"/>
    <mergeCell ref="L1828:L1835"/>
    <mergeCell ref="M1828:M1835"/>
    <mergeCell ref="N1828:N1835"/>
    <mergeCell ref="C1803:C1827"/>
    <mergeCell ref="D1803:D1827"/>
    <mergeCell ref="G1803:G1827"/>
    <mergeCell ref="K1803:K1827"/>
    <mergeCell ref="L1803:L1827"/>
    <mergeCell ref="M1803:M1827"/>
    <mergeCell ref="N1790:N1798"/>
    <mergeCell ref="C1799:C1802"/>
    <mergeCell ref="D1799:D1802"/>
    <mergeCell ref="G1799:G1802"/>
    <mergeCell ref="K1799:K1802"/>
    <mergeCell ref="L1799:L1802"/>
    <mergeCell ref="M1799:M1802"/>
    <mergeCell ref="N1799:N1802"/>
    <mergeCell ref="M1848:M1849"/>
    <mergeCell ref="N1848:N1849"/>
    <mergeCell ref="C1850:C1858"/>
    <mergeCell ref="D1850:D1858"/>
    <mergeCell ref="G1850:G1858"/>
    <mergeCell ref="K1850:K1858"/>
    <mergeCell ref="L1850:L1858"/>
    <mergeCell ref="M1850:M1858"/>
    <mergeCell ref="N1850:N1858"/>
    <mergeCell ref="B1848:B1858"/>
    <mergeCell ref="C1848:C1849"/>
    <mergeCell ref="D1848:D1849"/>
    <mergeCell ref="G1848:G1849"/>
    <mergeCell ref="K1848:K1849"/>
    <mergeCell ref="L1848:L1849"/>
    <mergeCell ref="M1836:M1842"/>
    <mergeCell ref="N1836:N1842"/>
    <mergeCell ref="C1843:C1847"/>
    <mergeCell ref="D1843:D1847"/>
    <mergeCell ref="G1843:G1847"/>
    <mergeCell ref="K1843:K1847"/>
    <mergeCell ref="L1843:L1847"/>
    <mergeCell ref="M1843:M1847"/>
    <mergeCell ref="N1843:N1847"/>
    <mergeCell ref="B1836:B1847"/>
    <mergeCell ref="C1836:C1842"/>
    <mergeCell ref="D1836:D1842"/>
    <mergeCell ref="G1836:G1842"/>
    <mergeCell ref="K1836:K1842"/>
    <mergeCell ref="L1836:L1842"/>
    <mergeCell ref="L1864:L1866"/>
    <mergeCell ref="M1864:M1866"/>
    <mergeCell ref="N1864:N1866"/>
    <mergeCell ref="B1867:B1888"/>
    <mergeCell ref="C1867:C1869"/>
    <mergeCell ref="D1867:D1869"/>
    <mergeCell ref="G1867:G1869"/>
    <mergeCell ref="K1867:K1869"/>
    <mergeCell ref="L1867:L1869"/>
    <mergeCell ref="M1867:M1869"/>
    <mergeCell ref="M1859:M1860"/>
    <mergeCell ref="N1859:N1860"/>
    <mergeCell ref="C1862:C1863"/>
    <mergeCell ref="D1862:D1863"/>
    <mergeCell ref="G1862:G1863"/>
    <mergeCell ref="K1862:K1863"/>
    <mergeCell ref="L1862:L1863"/>
    <mergeCell ref="M1862:M1863"/>
    <mergeCell ref="N1862:N1863"/>
    <mergeCell ref="B1859:B1866"/>
    <mergeCell ref="C1859:C1860"/>
    <mergeCell ref="D1859:D1860"/>
    <mergeCell ref="G1859:G1860"/>
    <mergeCell ref="K1859:K1860"/>
    <mergeCell ref="L1859:L1860"/>
    <mergeCell ref="C1864:C1866"/>
    <mergeCell ref="D1864:D1866"/>
    <mergeCell ref="G1864:G1866"/>
    <mergeCell ref="K1864:K1866"/>
    <mergeCell ref="N1873:N1875"/>
    <mergeCell ref="C1876:C1880"/>
    <mergeCell ref="D1876:D1880"/>
    <mergeCell ref="G1876:G1880"/>
    <mergeCell ref="K1876:K1880"/>
    <mergeCell ref="L1876:L1880"/>
    <mergeCell ref="M1876:M1880"/>
    <mergeCell ref="N1876:N1880"/>
    <mergeCell ref="C1873:C1875"/>
    <mergeCell ref="D1873:D1875"/>
    <mergeCell ref="G1873:G1875"/>
    <mergeCell ref="K1873:K1875"/>
    <mergeCell ref="L1873:L1875"/>
    <mergeCell ref="M1873:M1875"/>
    <mergeCell ref="N1867:N1869"/>
    <mergeCell ref="C1870:C1872"/>
    <mergeCell ref="D1870:D1872"/>
    <mergeCell ref="G1870:G1872"/>
    <mergeCell ref="K1870:K1872"/>
    <mergeCell ref="L1870:L1872"/>
    <mergeCell ref="M1870:M1872"/>
    <mergeCell ref="N1870:N1872"/>
    <mergeCell ref="N1886:N1888"/>
    <mergeCell ref="B1889:B1896"/>
    <mergeCell ref="C1889:C1890"/>
    <mergeCell ref="D1889:D1890"/>
    <mergeCell ref="G1889:G1890"/>
    <mergeCell ref="M1889:M1890"/>
    <mergeCell ref="N1889:N1890"/>
    <mergeCell ref="C1891:C1894"/>
    <mergeCell ref="D1891:D1894"/>
    <mergeCell ref="G1891:G1894"/>
    <mergeCell ref="C1886:C1888"/>
    <mergeCell ref="D1886:D1888"/>
    <mergeCell ref="G1886:G1888"/>
    <mergeCell ref="K1886:K1888"/>
    <mergeCell ref="L1886:L1888"/>
    <mergeCell ref="M1886:M1888"/>
    <mergeCell ref="N1881:N1883"/>
    <mergeCell ref="C1884:C1885"/>
    <mergeCell ref="D1884:D1885"/>
    <mergeCell ref="G1884:G1885"/>
    <mergeCell ref="K1884:K1885"/>
    <mergeCell ref="L1884:L1885"/>
    <mergeCell ref="M1884:M1885"/>
    <mergeCell ref="N1884:N1885"/>
    <mergeCell ref="C1881:C1883"/>
    <mergeCell ref="D1881:D1883"/>
    <mergeCell ref="G1881:G1883"/>
    <mergeCell ref="K1881:K1883"/>
    <mergeCell ref="L1881:L1883"/>
    <mergeCell ref="M1881:M1883"/>
    <mergeCell ref="N1900:N1904"/>
    <mergeCell ref="C1905:C1907"/>
    <mergeCell ref="D1905:D1907"/>
    <mergeCell ref="G1905:G1907"/>
    <mergeCell ref="M1905:M1907"/>
    <mergeCell ref="N1905:N1907"/>
    <mergeCell ref="B1897:B1907"/>
    <mergeCell ref="C1897:C1899"/>
    <mergeCell ref="D1897:D1899"/>
    <mergeCell ref="G1897:G1899"/>
    <mergeCell ref="M1897:M1899"/>
    <mergeCell ref="N1897:N1899"/>
    <mergeCell ref="C1900:C1904"/>
    <mergeCell ref="D1900:D1904"/>
    <mergeCell ref="G1900:G1904"/>
    <mergeCell ref="M1900:M1904"/>
    <mergeCell ref="M1891:M1894"/>
    <mergeCell ref="N1891:N1894"/>
    <mergeCell ref="C1895:C1896"/>
    <mergeCell ref="D1895:D1896"/>
    <mergeCell ref="G1895:G1896"/>
    <mergeCell ref="M1895:M1896"/>
    <mergeCell ref="N1895:N1896"/>
    <mergeCell ref="M1935:M1940"/>
    <mergeCell ref="N1935:N1940"/>
    <mergeCell ref="C1941:C1943"/>
    <mergeCell ref="D1941:D1943"/>
    <mergeCell ref="G1941:G1943"/>
    <mergeCell ref="M1941:M1943"/>
    <mergeCell ref="N1941:N1943"/>
    <mergeCell ref="N1910:N1912"/>
    <mergeCell ref="B1913:B1976"/>
    <mergeCell ref="C1913:C1934"/>
    <mergeCell ref="D1913:D1934"/>
    <mergeCell ref="G1913:G1934"/>
    <mergeCell ref="M1913:M1934"/>
    <mergeCell ref="N1913:N1934"/>
    <mergeCell ref="C1935:C1940"/>
    <mergeCell ref="D1935:D1940"/>
    <mergeCell ref="G1935:G1940"/>
    <mergeCell ref="B1908:B1912"/>
    <mergeCell ref="C1908:C1909"/>
    <mergeCell ref="D1908:D1909"/>
    <mergeCell ref="G1908:G1909"/>
    <mergeCell ref="M1908:M1909"/>
    <mergeCell ref="N1908:N1909"/>
    <mergeCell ref="C1910:C1912"/>
    <mergeCell ref="D1910:D1912"/>
    <mergeCell ref="G1910:G1912"/>
    <mergeCell ref="M1910:M1912"/>
    <mergeCell ref="C1962:C1976"/>
    <mergeCell ref="D1962:D1976"/>
    <mergeCell ref="G1962:G1976"/>
    <mergeCell ref="M1962:M1976"/>
    <mergeCell ref="N1962:N1976"/>
    <mergeCell ref="B1977:B1998"/>
    <mergeCell ref="C1977:C1981"/>
    <mergeCell ref="D1977:D1981"/>
    <mergeCell ref="G1977:G1981"/>
    <mergeCell ref="M1977:M1981"/>
    <mergeCell ref="C1945:C1949"/>
    <mergeCell ref="D1945:D1949"/>
    <mergeCell ref="G1945:G1949"/>
    <mergeCell ref="M1945:M1949"/>
    <mergeCell ref="N1945:N1949"/>
    <mergeCell ref="C1950:C1961"/>
    <mergeCell ref="D1950:D1961"/>
    <mergeCell ref="G1950:G1961"/>
    <mergeCell ref="M1950:M1961"/>
    <mergeCell ref="N1950:N1961"/>
    <mergeCell ref="B1999:B2019"/>
    <mergeCell ref="C1999:C2007"/>
    <mergeCell ref="D1999:D2007"/>
    <mergeCell ref="G1999:G2007"/>
    <mergeCell ref="M1999:M2007"/>
    <mergeCell ref="C1987:C1991"/>
    <mergeCell ref="D1987:D1991"/>
    <mergeCell ref="G1987:G1991"/>
    <mergeCell ref="M1987:M1991"/>
    <mergeCell ref="N1987:N1991"/>
    <mergeCell ref="C1992:C1996"/>
    <mergeCell ref="D1992:D1996"/>
    <mergeCell ref="G1992:G1996"/>
    <mergeCell ref="M1992:M1996"/>
    <mergeCell ref="N1992:N1996"/>
    <mergeCell ref="N1977:N1981"/>
    <mergeCell ref="C1982:C1986"/>
    <mergeCell ref="D1982:D1986"/>
    <mergeCell ref="G1982:G1986"/>
    <mergeCell ref="M1982:M1986"/>
    <mergeCell ref="N1982:N1986"/>
    <mergeCell ref="C2010:C2011"/>
    <mergeCell ref="D2010:D2011"/>
    <mergeCell ref="G2010:G2011"/>
    <mergeCell ref="M2010:M2011"/>
    <mergeCell ref="N2010:N2011"/>
    <mergeCell ref="C2012:C2013"/>
    <mergeCell ref="D2012:D2013"/>
    <mergeCell ref="G2012:G2013"/>
    <mergeCell ref="M2012:M2013"/>
    <mergeCell ref="N2012:N2013"/>
    <mergeCell ref="N1999:N2007"/>
    <mergeCell ref="C2008:C2009"/>
    <mergeCell ref="D2008:D2009"/>
    <mergeCell ref="G2008:G2009"/>
    <mergeCell ref="M2008:M2009"/>
    <mergeCell ref="N2008:N2009"/>
    <mergeCell ref="C1997:C1998"/>
    <mergeCell ref="D1997:D1998"/>
    <mergeCell ref="G1997:G1998"/>
    <mergeCell ref="M1997:M1998"/>
    <mergeCell ref="N1997:N1998"/>
    <mergeCell ref="C2030:C2041"/>
    <mergeCell ref="D2030:D2041"/>
    <mergeCell ref="G2030:G2041"/>
    <mergeCell ref="M2030:M2041"/>
    <mergeCell ref="N2030:N2041"/>
    <mergeCell ref="C2042:C2045"/>
    <mergeCell ref="D2042:D2045"/>
    <mergeCell ref="G2042:G2045"/>
    <mergeCell ref="M2042:M2045"/>
    <mergeCell ref="N2042:N2045"/>
    <mergeCell ref="N2020:N2024"/>
    <mergeCell ref="C2025:C2029"/>
    <mergeCell ref="D2025:D2029"/>
    <mergeCell ref="G2025:G2029"/>
    <mergeCell ref="M2025:M2029"/>
    <mergeCell ref="N2025:N2029"/>
    <mergeCell ref="C2015:C2019"/>
    <mergeCell ref="D2015:D2019"/>
    <mergeCell ref="G2015:G2019"/>
    <mergeCell ref="M2015:M2019"/>
    <mergeCell ref="N2015:N2019"/>
    <mergeCell ref="C2020:C2024"/>
    <mergeCell ref="D2020:D2024"/>
    <mergeCell ref="G2020:G2024"/>
    <mergeCell ref="M2020:M2024"/>
    <mergeCell ref="N2062:N2064"/>
    <mergeCell ref="C2065:C2070"/>
    <mergeCell ref="D2065:D2070"/>
    <mergeCell ref="G2065:G2070"/>
    <mergeCell ref="M2065:M2070"/>
    <mergeCell ref="N2065:N2070"/>
    <mergeCell ref="C2055:C2061"/>
    <mergeCell ref="D2055:D2061"/>
    <mergeCell ref="G2055:G2061"/>
    <mergeCell ref="M2055:M2061"/>
    <mergeCell ref="N2055:N2061"/>
    <mergeCell ref="B2062:B2076"/>
    <mergeCell ref="C2062:C2064"/>
    <mergeCell ref="D2062:D2064"/>
    <mergeCell ref="G2062:G2064"/>
    <mergeCell ref="M2062:M2064"/>
    <mergeCell ref="C2046:C2050"/>
    <mergeCell ref="D2046:D2050"/>
    <mergeCell ref="G2046:G2050"/>
    <mergeCell ref="M2046:M2050"/>
    <mergeCell ref="N2046:N2050"/>
    <mergeCell ref="C2051:C2054"/>
    <mergeCell ref="D2051:D2054"/>
    <mergeCell ref="G2051:G2054"/>
    <mergeCell ref="M2051:M2054"/>
    <mergeCell ref="N2051:N2054"/>
    <mergeCell ref="B2020:B2061"/>
    <mergeCell ref="D2100:D2102"/>
    <mergeCell ref="G2100:G2102"/>
    <mergeCell ref="K2100:K2102"/>
    <mergeCell ref="L2100:L2102"/>
    <mergeCell ref="M2100:M2102"/>
    <mergeCell ref="N2100:N2102"/>
    <mergeCell ref="B2077:N2077"/>
    <mergeCell ref="B2080:B2102"/>
    <mergeCell ref="C2080:C2099"/>
    <mergeCell ref="D2080:D2099"/>
    <mergeCell ref="G2080:G2099"/>
    <mergeCell ref="K2080:K2099"/>
    <mergeCell ref="L2080:L2099"/>
    <mergeCell ref="M2080:M2099"/>
    <mergeCell ref="N2080:N2099"/>
    <mergeCell ref="C2100:C2102"/>
    <mergeCell ref="C2071:C2074"/>
    <mergeCell ref="D2071:D2074"/>
    <mergeCell ref="G2071:G2074"/>
    <mergeCell ref="M2071:M2074"/>
    <mergeCell ref="N2071:N2074"/>
    <mergeCell ref="C2075:C2076"/>
    <mergeCell ref="D2075:D2076"/>
    <mergeCell ref="G2075:G2076"/>
    <mergeCell ref="M2075:M2076"/>
    <mergeCell ref="N2075:N2076"/>
    <mergeCell ref="N2118:N2119"/>
    <mergeCell ref="C2120:C2123"/>
    <mergeCell ref="D2120:D2123"/>
    <mergeCell ref="G2120:G2123"/>
    <mergeCell ref="M2120:M2123"/>
    <mergeCell ref="N2120:N2123"/>
    <mergeCell ref="B2114:B2124"/>
    <mergeCell ref="C2114:C2117"/>
    <mergeCell ref="D2114:D2117"/>
    <mergeCell ref="G2114:G2117"/>
    <mergeCell ref="M2114:M2117"/>
    <mergeCell ref="N2114:N2117"/>
    <mergeCell ref="C2118:C2119"/>
    <mergeCell ref="D2118:D2119"/>
    <mergeCell ref="G2118:G2119"/>
    <mergeCell ref="M2118:M2119"/>
    <mergeCell ref="N2105:N2109"/>
    <mergeCell ref="C2111:C2113"/>
    <mergeCell ref="D2111:D2113"/>
    <mergeCell ref="G2111:G2113"/>
    <mergeCell ref="M2111:M2113"/>
    <mergeCell ref="N2111:N2113"/>
    <mergeCell ref="B2103:B2113"/>
    <mergeCell ref="C2103:C2104"/>
    <mergeCell ref="D2103:D2104"/>
    <mergeCell ref="G2103:G2104"/>
    <mergeCell ref="M2103:M2104"/>
    <mergeCell ref="N2103:N2104"/>
    <mergeCell ref="C2105:C2109"/>
    <mergeCell ref="D2105:D2109"/>
    <mergeCell ref="G2105:G2109"/>
    <mergeCell ref="M2105:M2109"/>
    <mergeCell ref="N2128:N2129"/>
    <mergeCell ref="B2130:B2151"/>
    <mergeCell ref="C2130:C2135"/>
    <mergeCell ref="D2130:D2135"/>
    <mergeCell ref="G2130:G2135"/>
    <mergeCell ref="M2130:M2135"/>
    <mergeCell ref="N2130:N2135"/>
    <mergeCell ref="C2136:C2140"/>
    <mergeCell ref="D2136:D2140"/>
    <mergeCell ref="G2136:G2140"/>
    <mergeCell ref="B2125:B2129"/>
    <mergeCell ref="C2126:C2127"/>
    <mergeCell ref="D2126:D2127"/>
    <mergeCell ref="G2126:G2127"/>
    <mergeCell ref="M2126:M2127"/>
    <mergeCell ref="N2126:N2127"/>
    <mergeCell ref="C2128:C2129"/>
    <mergeCell ref="D2128:D2129"/>
    <mergeCell ref="G2128:G2129"/>
    <mergeCell ref="M2128:M2129"/>
    <mergeCell ref="N2152:N2156"/>
    <mergeCell ref="C2158:C2162"/>
    <mergeCell ref="D2158:D2162"/>
    <mergeCell ref="G2158:G2162"/>
    <mergeCell ref="M2158:M2162"/>
    <mergeCell ref="N2158:N2162"/>
    <mergeCell ref="C2147:C2151"/>
    <mergeCell ref="D2147:D2151"/>
    <mergeCell ref="G2147:G2151"/>
    <mergeCell ref="M2147:M2151"/>
    <mergeCell ref="N2147:N2151"/>
    <mergeCell ref="B2152:B2189"/>
    <mergeCell ref="C2152:C2156"/>
    <mergeCell ref="D2152:D2156"/>
    <mergeCell ref="G2152:G2156"/>
    <mergeCell ref="M2152:M2156"/>
    <mergeCell ref="M2136:M2140"/>
    <mergeCell ref="N2136:N2140"/>
    <mergeCell ref="C2141:C2145"/>
    <mergeCell ref="D2141:D2145"/>
    <mergeCell ref="G2141:G2145"/>
    <mergeCell ref="M2141:M2145"/>
    <mergeCell ref="N2141:N2145"/>
    <mergeCell ref="C2171:C2173"/>
    <mergeCell ref="D2171:D2173"/>
    <mergeCell ref="G2171:G2173"/>
    <mergeCell ref="M2171:M2173"/>
    <mergeCell ref="N2171:N2173"/>
    <mergeCell ref="C2174:C2175"/>
    <mergeCell ref="D2174:D2175"/>
    <mergeCell ref="G2174:G2175"/>
    <mergeCell ref="M2174:M2175"/>
    <mergeCell ref="N2174:N2175"/>
    <mergeCell ref="C2163:C2165"/>
    <mergeCell ref="D2163:D2165"/>
    <mergeCell ref="G2163:G2165"/>
    <mergeCell ref="M2163:M2165"/>
    <mergeCell ref="N2163:N2165"/>
    <mergeCell ref="C2166:C2170"/>
    <mergeCell ref="D2166:D2170"/>
    <mergeCell ref="G2166:G2170"/>
    <mergeCell ref="M2166:M2170"/>
    <mergeCell ref="N2166:N2170"/>
    <mergeCell ref="C2180:C2181"/>
    <mergeCell ref="D2180:D2181"/>
    <mergeCell ref="G2180:G2181"/>
    <mergeCell ref="M2180:M2181"/>
    <mergeCell ref="N2180:N2181"/>
    <mergeCell ref="C2182:C2186"/>
    <mergeCell ref="D2182:D2186"/>
    <mergeCell ref="G2182:G2186"/>
    <mergeCell ref="M2182:M2186"/>
    <mergeCell ref="N2182:N2186"/>
    <mergeCell ref="C2176:C2177"/>
    <mergeCell ref="D2176:D2177"/>
    <mergeCell ref="G2176:G2177"/>
    <mergeCell ref="M2176:M2177"/>
    <mergeCell ref="N2176:N2177"/>
    <mergeCell ref="C2178:C2179"/>
    <mergeCell ref="D2178:D2179"/>
    <mergeCell ref="G2178:G2179"/>
    <mergeCell ref="M2178:M2179"/>
    <mergeCell ref="N2178:N2179"/>
    <mergeCell ref="N2190:N2195"/>
    <mergeCell ref="D2196:D2214"/>
    <mergeCell ref="G2196:G2214"/>
    <mergeCell ref="M2196:M2214"/>
    <mergeCell ref="N2196:N2214"/>
    <mergeCell ref="C2215:C2224"/>
    <mergeCell ref="D2215:D2224"/>
    <mergeCell ref="G2215:G2224"/>
    <mergeCell ref="M2215:M2224"/>
    <mergeCell ref="N2215:N2224"/>
    <mergeCell ref="C2187:C2189"/>
    <mergeCell ref="D2187:D2189"/>
    <mergeCell ref="G2187:G2189"/>
    <mergeCell ref="M2187:M2189"/>
    <mergeCell ref="N2187:N2189"/>
    <mergeCell ref="B2190:B2312"/>
    <mergeCell ref="C2190:C2195"/>
    <mergeCell ref="D2190:D2195"/>
    <mergeCell ref="G2190:G2195"/>
    <mergeCell ref="M2190:M2195"/>
    <mergeCell ref="D2248:D2259"/>
    <mergeCell ref="G2248:G2259"/>
    <mergeCell ref="M2248:M2259"/>
    <mergeCell ref="N2248:N2259"/>
    <mergeCell ref="D2260:D2269"/>
    <mergeCell ref="G2260:G2269"/>
    <mergeCell ref="M2260:M2269"/>
    <mergeCell ref="N2260:N2269"/>
    <mergeCell ref="C2225:C2233"/>
    <mergeCell ref="D2225:D2233"/>
    <mergeCell ref="G2225:G2233"/>
    <mergeCell ref="M2225:M2233"/>
    <mergeCell ref="N2225:N2233"/>
    <mergeCell ref="C2234:C2269"/>
    <mergeCell ref="D2234:D2247"/>
    <mergeCell ref="G2234:G2247"/>
    <mergeCell ref="M2234:M2247"/>
    <mergeCell ref="N2234:N2247"/>
    <mergeCell ref="C2300:C2302"/>
    <mergeCell ref="D2300:D2302"/>
    <mergeCell ref="G2300:G2302"/>
    <mergeCell ref="M2300:M2302"/>
    <mergeCell ref="N2300:N2302"/>
    <mergeCell ref="C2303:C2304"/>
    <mergeCell ref="D2303:D2304"/>
    <mergeCell ref="G2303:G2304"/>
    <mergeCell ref="M2303:M2304"/>
    <mergeCell ref="N2303:N2304"/>
    <mergeCell ref="C2270:C2284"/>
    <mergeCell ref="D2270:D2284"/>
    <mergeCell ref="G2270:G2284"/>
    <mergeCell ref="M2270:M2284"/>
    <mergeCell ref="N2270:N2284"/>
    <mergeCell ref="C2285:C2299"/>
    <mergeCell ref="D2285:D2299"/>
    <mergeCell ref="G2285:G2299"/>
    <mergeCell ref="M2285:M2299"/>
    <mergeCell ref="N2285:N2299"/>
    <mergeCell ref="L2313:L2315"/>
    <mergeCell ref="M2313:M2315"/>
    <mergeCell ref="N2313:N2315"/>
    <mergeCell ref="C2316:C2347"/>
    <mergeCell ref="D2316:D2347"/>
    <mergeCell ref="G2316:G2347"/>
    <mergeCell ref="K2316:K2347"/>
    <mergeCell ref="L2316:L2347"/>
    <mergeCell ref="M2316:M2347"/>
    <mergeCell ref="N2316:N2347"/>
    <mergeCell ref="C2305:C2312"/>
    <mergeCell ref="D2305:D2312"/>
    <mergeCell ref="G2305:G2312"/>
    <mergeCell ref="M2305:M2312"/>
    <mergeCell ref="N2305:N2312"/>
    <mergeCell ref="B2313:B2365"/>
    <mergeCell ref="C2313:C2315"/>
    <mergeCell ref="D2313:D2315"/>
    <mergeCell ref="G2313:G2315"/>
    <mergeCell ref="K2313:K2315"/>
    <mergeCell ref="N2356:N2365"/>
    <mergeCell ref="B2366:B2387"/>
    <mergeCell ref="C2366:C2375"/>
    <mergeCell ref="D2366:D2375"/>
    <mergeCell ref="G2366:G2375"/>
    <mergeCell ref="K2366:K2375"/>
    <mergeCell ref="L2366:L2375"/>
    <mergeCell ref="M2366:M2375"/>
    <mergeCell ref="N2366:N2375"/>
    <mergeCell ref="C2376:C2377"/>
    <mergeCell ref="C2356:C2365"/>
    <mergeCell ref="D2356:D2365"/>
    <mergeCell ref="G2356:G2365"/>
    <mergeCell ref="K2356:K2365"/>
    <mergeCell ref="L2356:L2365"/>
    <mergeCell ref="M2356:M2365"/>
    <mergeCell ref="N2348:N2351"/>
    <mergeCell ref="C2352:C2354"/>
    <mergeCell ref="D2352:D2354"/>
    <mergeCell ref="G2352:G2354"/>
    <mergeCell ref="K2352:K2354"/>
    <mergeCell ref="L2352:L2354"/>
    <mergeCell ref="M2352:M2354"/>
    <mergeCell ref="N2352:N2354"/>
    <mergeCell ref="C2348:C2351"/>
    <mergeCell ref="D2348:D2351"/>
    <mergeCell ref="G2348:G2351"/>
    <mergeCell ref="K2348:K2351"/>
    <mergeCell ref="L2348:L2351"/>
    <mergeCell ref="M2348:M2351"/>
    <mergeCell ref="N2381:N2387"/>
    <mergeCell ref="B2388:B2415"/>
    <mergeCell ref="C2388:C2390"/>
    <mergeCell ref="D2388:D2390"/>
    <mergeCell ref="G2388:G2390"/>
    <mergeCell ref="K2388:K2390"/>
    <mergeCell ref="L2388:L2390"/>
    <mergeCell ref="M2388:M2390"/>
    <mergeCell ref="N2388:N2390"/>
    <mergeCell ref="C2391:C2393"/>
    <mergeCell ref="C2381:C2387"/>
    <mergeCell ref="D2381:D2387"/>
    <mergeCell ref="G2381:G2387"/>
    <mergeCell ref="K2381:K2387"/>
    <mergeCell ref="L2381:L2387"/>
    <mergeCell ref="M2381:M2387"/>
    <mergeCell ref="D2376:D2377"/>
    <mergeCell ref="G2376:G2377"/>
    <mergeCell ref="K2376:K2377"/>
    <mergeCell ref="L2376:L2377"/>
    <mergeCell ref="M2376:M2377"/>
    <mergeCell ref="N2376:N2377"/>
    <mergeCell ref="N2394:N2396"/>
    <mergeCell ref="C2397:C2399"/>
    <mergeCell ref="D2397:D2399"/>
    <mergeCell ref="G2397:G2399"/>
    <mergeCell ref="K2397:K2399"/>
    <mergeCell ref="L2397:L2399"/>
    <mergeCell ref="M2397:M2399"/>
    <mergeCell ref="N2397:N2399"/>
    <mergeCell ref="C2394:C2396"/>
    <mergeCell ref="D2394:D2396"/>
    <mergeCell ref="G2394:G2396"/>
    <mergeCell ref="K2394:K2396"/>
    <mergeCell ref="L2394:L2396"/>
    <mergeCell ref="M2394:M2396"/>
    <mergeCell ref="D2391:D2393"/>
    <mergeCell ref="G2391:G2393"/>
    <mergeCell ref="K2391:K2393"/>
    <mergeCell ref="L2391:L2393"/>
    <mergeCell ref="M2391:M2393"/>
    <mergeCell ref="N2391:N2393"/>
    <mergeCell ref="N2411:N2415"/>
    <mergeCell ref="B2416:B2435"/>
    <mergeCell ref="C2416:C2419"/>
    <mergeCell ref="D2416:D2419"/>
    <mergeCell ref="G2416:G2419"/>
    <mergeCell ref="M2416:M2419"/>
    <mergeCell ref="N2416:N2419"/>
    <mergeCell ref="C2420:C2423"/>
    <mergeCell ref="D2420:D2423"/>
    <mergeCell ref="G2420:G2423"/>
    <mergeCell ref="C2411:C2415"/>
    <mergeCell ref="D2411:D2415"/>
    <mergeCell ref="G2411:G2415"/>
    <mergeCell ref="K2411:K2415"/>
    <mergeCell ref="L2411:L2415"/>
    <mergeCell ref="M2411:M2415"/>
    <mergeCell ref="N2400:N2402"/>
    <mergeCell ref="C2404:C2410"/>
    <mergeCell ref="D2404:D2410"/>
    <mergeCell ref="G2404:G2410"/>
    <mergeCell ref="K2404:K2410"/>
    <mergeCell ref="L2404:L2410"/>
    <mergeCell ref="M2404:M2410"/>
    <mergeCell ref="N2404:N2410"/>
    <mergeCell ref="C2400:C2402"/>
    <mergeCell ref="D2400:D2402"/>
    <mergeCell ref="G2400:G2402"/>
    <mergeCell ref="K2400:K2402"/>
    <mergeCell ref="L2400:L2402"/>
    <mergeCell ref="M2400:M2402"/>
    <mergeCell ref="C2429:C2431"/>
    <mergeCell ref="D2429:D2431"/>
    <mergeCell ref="G2429:G2431"/>
    <mergeCell ref="M2429:M2431"/>
    <mergeCell ref="N2429:N2431"/>
    <mergeCell ref="C2432:C2435"/>
    <mergeCell ref="D2432:D2435"/>
    <mergeCell ref="G2432:G2435"/>
    <mergeCell ref="M2432:M2435"/>
    <mergeCell ref="N2432:N2435"/>
    <mergeCell ref="M2420:M2423"/>
    <mergeCell ref="N2420:N2423"/>
    <mergeCell ref="C2424:C2428"/>
    <mergeCell ref="D2424:D2428"/>
    <mergeCell ref="G2424:G2428"/>
    <mergeCell ref="M2424:M2428"/>
    <mergeCell ref="N2424:N2428"/>
    <mergeCell ref="C2452:C2456"/>
    <mergeCell ref="D2452:D2456"/>
    <mergeCell ref="G2452:G2456"/>
    <mergeCell ref="M2452:M2456"/>
    <mergeCell ref="N2452:N2456"/>
    <mergeCell ref="C2457:C2466"/>
    <mergeCell ref="D2457:D2466"/>
    <mergeCell ref="G2457:G2466"/>
    <mergeCell ref="M2457:M2466"/>
    <mergeCell ref="N2457:N2466"/>
    <mergeCell ref="N2442:N2445"/>
    <mergeCell ref="C2446:C2451"/>
    <mergeCell ref="D2446:D2451"/>
    <mergeCell ref="G2446:G2451"/>
    <mergeCell ref="M2446:M2451"/>
    <mergeCell ref="N2446:N2451"/>
    <mergeCell ref="B2436:B2471"/>
    <mergeCell ref="C2436:C2441"/>
    <mergeCell ref="D2436:D2441"/>
    <mergeCell ref="G2436:G2441"/>
    <mergeCell ref="M2436:M2441"/>
    <mergeCell ref="N2436:N2441"/>
    <mergeCell ref="C2442:C2445"/>
    <mergeCell ref="D2442:D2445"/>
    <mergeCell ref="G2442:G2445"/>
    <mergeCell ref="M2442:M2445"/>
    <mergeCell ref="L2472:L2475"/>
    <mergeCell ref="M2472:M2475"/>
    <mergeCell ref="N2472:N2475"/>
    <mergeCell ref="C2476:C2480"/>
    <mergeCell ref="D2476:D2480"/>
    <mergeCell ref="G2476:G2480"/>
    <mergeCell ref="K2476:K2480"/>
    <mergeCell ref="L2476:L2480"/>
    <mergeCell ref="M2476:M2480"/>
    <mergeCell ref="N2476:N2480"/>
    <mergeCell ref="C2467:C2471"/>
    <mergeCell ref="D2467:D2471"/>
    <mergeCell ref="G2467:G2471"/>
    <mergeCell ref="M2467:M2471"/>
    <mergeCell ref="N2467:N2471"/>
    <mergeCell ref="B2472:B2486"/>
    <mergeCell ref="C2472:C2475"/>
    <mergeCell ref="D2472:D2475"/>
    <mergeCell ref="G2472:G2475"/>
    <mergeCell ref="K2472:K2475"/>
    <mergeCell ref="D2490:D2492"/>
    <mergeCell ref="G2490:G2492"/>
    <mergeCell ref="K2490:K2492"/>
    <mergeCell ref="L2490:L2492"/>
    <mergeCell ref="M2490:M2492"/>
    <mergeCell ref="N2490:N2492"/>
    <mergeCell ref="N2481:N2486"/>
    <mergeCell ref="B2487:B2492"/>
    <mergeCell ref="C2487:C2489"/>
    <mergeCell ref="D2487:D2489"/>
    <mergeCell ref="G2487:G2489"/>
    <mergeCell ref="K2487:K2489"/>
    <mergeCell ref="L2487:L2489"/>
    <mergeCell ref="M2487:M2489"/>
    <mergeCell ref="N2487:N2489"/>
    <mergeCell ref="C2490:C2492"/>
    <mergeCell ref="C2481:C2486"/>
    <mergeCell ref="D2481:D2486"/>
    <mergeCell ref="G2481:G2486"/>
    <mergeCell ref="K2481:K2486"/>
    <mergeCell ref="L2481:L2486"/>
    <mergeCell ref="M2481:M2486"/>
    <mergeCell ref="M2499:M2503"/>
    <mergeCell ref="N2499:N2503"/>
    <mergeCell ref="C2504:C2505"/>
    <mergeCell ref="D2504:D2505"/>
    <mergeCell ref="G2504:G2505"/>
    <mergeCell ref="M2504:M2505"/>
    <mergeCell ref="N2504:N2505"/>
    <mergeCell ref="B2494:N2494"/>
    <mergeCell ref="B2496:B2508"/>
    <mergeCell ref="C2497:C2498"/>
    <mergeCell ref="D2497:D2498"/>
    <mergeCell ref="G2497:G2498"/>
    <mergeCell ref="M2497:M2498"/>
    <mergeCell ref="N2497:N2498"/>
    <mergeCell ref="C2499:C2503"/>
    <mergeCell ref="D2499:D2503"/>
    <mergeCell ref="G2499:G2503"/>
    <mergeCell ref="N2514:N2518"/>
    <mergeCell ref="B2519:B2521"/>
    <mergeCell ref="C2519:C2520"/>
    <mergeCell ref="D2519:D2520"/>
    <mergeCell ref="G2519:G2520"/>
    <mergeCell ref="M2519:M2520"/>
    <mergeCell ref="N2519:N2520"/>
    <mergeCell ref="C2506:C2508"/>
    <mergeCell ref="D2506:D2508"/>
    <mergeCell ref="G2506:G2508"/>
    <mergeCell ref="M2506:M2508"/>
    <mergeCell ref="N2506:N2508"/>
    <mergeCell ref="B2509:B2518"/>
    <mergeCell ref="C2514:C2518"/>
    <mergeCell ref="D2514:D2518"/>
    <mergeCell ref="G2514:G2518"/>
    <mergeCell ref="M2514:M2518"/>
    <mergeCell ref="G2548:G2553"/>
    <mergeCell ref="M2548:M2553"/>
    <mergeCell ref="N2548:N2553"/>
    <mergeCell ref="C2554:C2556"/>
    <mergeCell ref="D2554:D2556"/>
    <mergeCell ref="G2554:G2556"/>
    <mergeCell ref="M2554:M2556"/>
    <mergeCell ref="N2554:N2556"/>
    <mergeCell ref="M2522:M2525"/>
    <mergeCell ref="N2522:N2525"/>
    <mergeCell ref="B2526:B2586"/>
    <mergeCell ref="C2526:C2547"/>
    <mergeCell ref="D2526:D2547"/>
    <mergeCell ref="G2526:G2547"/>
    <mergeCell ref="M2526:M2547"/>
    <mergeCell ref="N2526:N2547"/>
    <mergeCell ref="C2548:C2553"/>
    <mergeCell ref="D2548:D2553"/>
    <mergeCell ref="B2522:B2525"/>
    <mergeCell ref="C2522:C2525"/>
    <mergeCell ref="D2522:D2525"/>
    <mergeCell ref="G2522:G2525"/>
    <mergeCell ref="K2522:K2525"/>
    <mergeCell ref="L2522:L2525"/>
    <mergeCell ref="C2572:C2586"/>
    <mergeCell ref="D2572:D2586"/>
    <mergeCell ref="G2572:G2586"/>
    <mergeCell ref="M2572:M2586"/>
    <mergeCell ref="N2572:N2586"/>
    <mergeCell ref="B2587:B2611"/>
    <mergeCell ref="C2587:C2591"/>
    <mergeCell ref="D2587:D2591"/>
    <mergeCell ref="G2587:G2591"/>
    <mergeCell ref="M2587:M2591"/>
    <mergeCell ref="C2558:C2562"/>
    <mergeCell ref="D2558:D2562"/>
    <mergeCell ref="G2558:G2562"/>
    <mergeCell ref="M2558:M2562"/>
    <mergeCell ref="N2558:N2562"/>
    <mergeCell ref="C2563:C2571"/>
    <mergeCell ref="D2563:D2571"/>
    <mergeCell ref="G2563:G2571"/>
    <mergeCell ref="M2563:M2571"/>
    <mergeCell ref="N2563:N2571"/>
    <mergeCell ref="B2612:B2631"/>
    <mergeCell ref="C2614:C2618"/>
    <mergeCell ref="D2614:D2618"/>
    <mergeCell ref="G2614:G2618"/>
    <mergeCell ref="M2614:M2618"/>
    <mergeCell ref="C2597:C2601"/>
    <mergeCell ref="D2597:D2601"/>
    <mergeCell ref="G2597:G2601"/>
    <mergeCell ref="M2597:M2601"/>
    <mergeCell ref="N2597:N2601"/>
    <mergeCell ref="C2602:C2606"/>
    <mergeCell ref="D2602:D2606"/>
    <mergeCell ref="G2602:G2606"/>
    <mergeCell ref="M2602:M2606"/>
    <mergeCell ref="N2602:N2606"/>
    <mergeCell ref="N2587:N2591"/>
    <mergeCell ref="C2592:C2596"/>
    <mergeCell ref="D2592:D2596"/>
    <mergeCell ref="G2592:G2596"/>
    <mergeCell ref="M2592:M2596"/>
    <mergeCell ref="N2592:N2596"/>
    <mergeCell ref="C2624:C2627"/>
    <mergeCell ref="D2624:D2627"/>
    <mergeCell ref="G2624:G2627"/>
    <mergeCell ref="M2624:M2627"/>
    <mergeCell ref="N2624:N2627"/>
    <mergeCell ref="C2628:C2631"/>
    <mergeCell ref="D2628:D2631"/>
    <mergeCell ref="G2628:G2631"/>
    <mergeCell ref="M2628:M2631"/>
    <mergeCell ref="N2628:N2631"/>
    <mergeCell ref="N2614:N2618"/>
    <mergeCell ref="C2619:C2623"/>
    <mergeCell ref="D2619:D2623"/>
    <mergeCell ref="G2619:G2623"/>
    <mergeCell ref="M2619:M2623"/>
    <mergeCell ref="N2619:N2623"/>
    <mergeCell ref="C2607:C2611"/>
    <mergeCell ref="D2607:D2611"/>
    <mergeCell ref="G2607:G2611"/>
    <mergeCell ref="M2607:M2611"/>
    <mergeCell ref="N2607:N2611"/>
    <mergeCell ref="M2632:M2633"/>
    <mergeCell ref="N2632:N2633"/>
    <mergeCell ref="C2634:C2636"/>
    <mergeCell ref="D2634:D2636"/>
    <mergeCell ref="G2634:G2636"/>
    <mergeCell ref="K2634:K2636"/>
    <mergeCell ref="L2634:L2636"/>
    <mergeCell ref="M2634:M2636"/>
    <mergeCell ref="N2634:N2636"/>
    <mergeCell ref="B2632:B2646"/>
    <mergeCell ref="C2632:C2633"/>
    <mergeCell ref="D2632:D2633"/>
    <mergeCell ref="G2632:G2633"/>
    <mergeCell ref="K2632:K2633"/>
    <mergeCell ref="L2632:L2633"/>
    <mergeCell ref="C2637:C2639"/>
    <mergeCell ref="D2637:D2639"/>
    <mergeCell ref="G2637:G2639"/>
    <mergeCell ref="K2637:K2639"/>
    <mergeCell ref="N2642:N2644"/>
    <mergeCell ref="C2645:C2646"/>
    <mergeCell ref="D2645:D2646"/>
    <mergeCell ref="G2645:G2646"/>
    <mergeCell ref="K2645:K2646"/>
    <mergeCell ref="L2645:L2646"/>
    <mergeCell ref="M2645:M2646"/>
    <mergeCell ref="N2645:N2646"/>
    <mergeCell ref="C2642:C2644"/>
    <mergeCell ref="D2642:D2644"/>
    <mergeCell ref="G2642:G2644"/>
    <mergeCell ref="K2642:K2644"/>
    <mergeCell ref="L2642:L2644"/>
    <mergeCell ref="M2642:M2644"/>
    <mergeCell ref="L2637:L2639"/>
    <mergeCell ref="M2637:M2639"/>
    <mergeCell ref="N2637:N2639"/>
    <mergeCell ref="C2640:C2641"/>
    <mergeCell ref="D2640:D2641"/>
    <mergeCell ref="G2640:G2641"/>
    <mergeCell ref="K2640:K2641"/>
    <mergeCell ref="L2640:L2641"/>
    <mergeCell ref="M2640:M2641"/>
    <mergeCell ref="N2640:N2641"/>
    <mergeCell ref="M2647:M2650"/>
    <mergeCell ref="N2647:N2650"/>
    <mergeCell ref="C2652:C2654"/>
    <mergeCell ref="D2652:D2654"/>
    <mergeCell ref="G2652:G2654"/>
    <mergeCell ref="K2652:K2654"/>
    <mergeCell ref="L2652:L2654"/>
    <mergeCell ref="M2652:M2654"/>
    <mergeCell ref="N2652:N2654"/>
    <mergeCell ref="B2647:B2682"/>
    <mergeCell ref="C2647:C2650"/>
    <mergeCell ref="D2647:D2650"/>
    <mergeCell ref="G2647:G2650"/>
    <mergeCell ref="K2647:K2650"/>
    <mergeCell ref="L2647:L2650"/>
    <mergeCell ref="C2655:C2661"/>
    <mergeCell ref="D2655:D2661"/>
    <mergeCell ref="G2655:G2661"/>
    <mergeCell ref="K2655:K2661"/>
    <mergeCell ref="N2665:N2669"/>
    <mergeCell ref="C2670:C2672"/>
    <mergeCell ref="D2670:D2672"/>
    <mergeCell ref="G2670:G2672"/>
    <mergeCell ref="K2670:K2672"/>
    <mergeCell ref="L2670:L2672"/>
    <mergeCell ref="M2670:M2672"/>
    <mergeCell ref="N2670:N2672"/>
    <mergeCell ref="C2665:C2669"/>
    <mergeCell ref="D2665:D2669"/>
    <mergeCell ref="G2665:G2669"/>
    <mergeCell ref="K2665:K2669"/>
    <mergeCell ref="L2665:L2669"/>
    <mergeCell ref="M2665:M2669"/>
    <mergeCell ref="L2655:L2661"/>
    <mergeCell ref="M2655:M2661"/>
    <mergeCell ref="N2655:N2661"/>
    <mergeCell ref="C2662:C2664"/>
    <mergeCell ref="D2662:D2664"/>
    <mergeCell ref="G2662:G2664"/>
    <mergeCell ref="K2662:K2664"/>
    <mergeCell ref="L2662:L2664"/>
    <mergeCell ref="M2662:M2664"/>
    <mergeCell ref="N2662:N2664"/>
    <mergeCell ref="N2678:N2682"/>
    <mergeCell ref="B2683:B2684"/>
    <mergeCell ref="C2683:C2684"/>
    <mergeCell ref="D2683:D2684"/>
    <mergeCell ref="G2683:G2684"/>
    <mergeCell ref="K2683:K2684"/>
    <mergeCell ref="L2683:L2684"/>
    <mergeCell ref="M2683:M2684"/>
    <mergeCell ref="N2683:N2684"/>
    <mergeCell ref="C2678:C2682"/>
    <mergeCell ref="D2678:D2682"/>
    <mergeCell ref="G2678:G2682"/>
    <mergeCell ref="K2678:K2682"/>
    <mergeCell ref="L2678:L2682"/>
    <mergeCell ref="M2678:M2682"/>
    <mergeCell ref="N2673:N2675"/>
    <mergeCell ref="C2676:C2677"/>
    <mergeCell ref="D2676:D2677"/>
    <mergeCell ref="G2676:G2677"/>
    <mergeCell ref="K2676:K2677"/>
    <mergeCell ref="L2676:L2677"/>
    <mergeCell ref="M2676:M2677"/>
    <mergeCell ref="N2676:N2677"/>
    <mergeCell ref="C2673:C2675"/>
    <mergeCell ref="D2673:D2675"/>
    <mergeCell ref="G2673:G2675"/>
    <mergeCell ref="K2673:K2675"/>
    <mergeCell ref="L2673:L2675"/>
    <mergeCell ref="M2673:M2675"/>
    <mergeCell ref="L2693:L2728"/>
    <mergeCell ref="M2693:M2728"/>
    <mergeCell ref="N2693:N2728"/>
    <mergeCell ref="B2729:B2770"/>
    <mergeCell ref="C2729:C2731"/>
    <mergeCell ref="D2729:D2731"/>
    <mergeCell ref="G2729:G2731"/>
    <mergeCell ref="M2729:M2731"/>
    <mergeCell ref="N2729:N2731"/>
    <mergeCell ref="C2732:C2735"/>
    <mergeCell ref="M2685:M2688"/>
    <mergeCell ref="N2685:N2688"/>
    <mergeCell ref="C2689:C2692"/>
    <mergeCell ref="D2689:D2692"/>
    <mergeCell ref="G2689:G2692"/>
    <mergeCell ref="K2689:K2692"/>
    <mergeCell ref="L2689:L2692"/>
    <mergeCell ref="M2689:M2692"/>
    <mergeCell ref="N2689:N2692"/>
    <mergeCell ref="B2685:B2728"/>
    <mergeCell ref="C2685:C2688"/>
    <mergeCell ref="D2685:D2688"/>
    <mergeCell ref="G2685:G2687"/>
    <mergeCell ref="K2685:K2688"/>
    <mergeCell ref="L2685:L2688"/>
    <mergeCell ref="C2693:C2728"/>
    <mergeCell ref="D2693:D2728"/>
    <mergeCell ref="G2693:G2728"/>
    <mergeCell ref="K2693:K2728"/>
    <mergeCell ref="C2742:C2752"/>
    <mergeCell ref="D2742:D2752"/>
    <mergeCell ref="G2742:G2752"/>
    <mergeCell ref="M2742:M2752"/>
    <mergeCell ref="N2742:N2752"/>
    <mergeCell ref="C2753:C2759"/>
    <mergeCell ref="D2753:D2759"/>
    <mergeCell ref="G2753:G2759"/>
    <mergeCell ref="M2753:M2759"/>
    <mergeCell ref="N2753:N2759"/>
    <mergeCell ref="D2732:D2735"/>
    <mergeCell ref="G2732:G2735"/>
    <mergeCell ref="M2732:M2735"/>
    <mergeCell ref="N2732:N2735"/>
    <mergeCell ref="C2736:C2741"/>
    <mergeCell ref="D2736:D2741"/>
    <mergeCell ref="G2736:G2741"/>
    <mergeCell ref="M2736:M2741"/>
    <mergeCell ref="N2736:N2741"/>
    <mergeCell ref="N2777:N2781"/>
    <mergeCell ref="C2782:C2785"/>
    <mergeCell ref="D2782:D2785"/>
    <mergeCell ref="G2782:G2785"/>
    <mergeCell ref="M2782:M2785"/>
    <mergeCell ref="N2782:N2785"/>
    <mergeCell ref="B2771:B2797"/>
    <mergeCell ref="C2771:C2775"/>
    <mergeCell ref="D2771:D2775"/>
    <mergeCell ref="G2771:G2775"/>
    <mergeCell ref="M2771:M2775"/>
    <mergeCell ref="N2771:N2775"/>
    <mergeCell ref="C2777:C2781"/>
    <mergeCell ref="D2777:D2781"/>
    <mergeCell ref="G2777:G2781"/>
    <mergeCell ref="M2777:M2781"/>
    <mergeCell ref="C2760:C2763"/>
    <mergeCell ref="D2760:D2763"/>
    <mergeCell ref="G2760:G2763"/>
    <mergeCell ref="M2760:M2763"/>
    <mergeCell ref="N2760:N2763"/>
    <mergeCell ref="C2764:C2769"/>
    <mergeCell ref="D2764:D2769"/>
    <mergeCell ref="G2764:G2769"/>
    <mergeCell ref="M2764:M2769"/>
    <mergeCell ref="N2764:N2769"/>
    <mergeCell ref="C2790:C2791"/>
    <mergeCell ref="D2790:D2791"/>
    <mergeCell ref="G2790:G2791"/>
    <mergeCell ref="M2790:M2791"/>
    <mergeCell ref="N2790:N2791"/>
    <mergeCell ref="C2792:C2797"/>
    <mergeCell ref="D2792:D2797"/>
    <mergeCell ref="G2792:G2797"/>
    <mergeCell ref="M2792:M2797"/>
    <mergeCell ref="N2792:N2797"/>
    <mergeCell ref="C2786:C2787"/>
    <mergeCell ref="D2786:D2787"/>
    <mergeCell ref="G2786:G2787"/>
    <mergeCell ref="M2786:M2787"/>
    <mergeCell ref="N2786:N2787"/>
    <mergeCell ref="C2788:C2789"/>
    <mergeCell ref="D2788:D2789"/>
    <mergeCell ref="G2788:G2789"/>
    <mergeCell ref="M2788:M2789"/>
    <mergeCell ref="N2788:N2789"/>
    <mergeCell ref="L2809:L2811"/>
    <mergeCell ref="M2809:M2811"/>
    <mergeCell ref="N2809:N2811"/>
    <mergeCell ref="B2812:B2815"/>
    <mergeCell ref="C2813:C2815"/>
    <mergeCell ref="D2813:D2815"/>
    <mergeCell ref="G2813:G2815"/>
    <mergeCell ref="K2813:K2815"/>
    <mergeCell ref="L2813:L2815"/>
    <mergeCell ref="M2813:M2815"/>
    <mergeCell ref="M2798:M2803"/>
    <mergeCell ref="N2798:N2803"/>
    <mergeCell ref="C2804:C2808"/>
    <mergeCell ref="D2804:D2808"/>
    <mergeCell ref="G2804:G2808"/>
    <mergeCell ref="K2804:K2808"/>
    <mergeCell ref="L2804:L2808"/>
    <mergeCell ref="M2804:M2808"/>
    <mergeCell ref="N2804:N2808"/>
    <mergeCell ref="B2798:B2811"/>
    <mergeCell ref="C2798:C2803"/>
    <mergeCell ref="D2798:D2803"/>
    <mergeCell ref="G2798:G2803"/>
    <mergeCell ref="K2798:K2803"/>
    <mergeCell ref="L2798:L2803"/>
    <mergeCell ref="C2809:C2811"/>
    <mergeCell ref="D2809:D2811"/>
    <mergeCell ref="G2809:G2811"/>
    <mergeCell ref="K2809:K2811"/>
    <mergeCell ref="G2825:G2829"/>
    <mergeCell ref="M2825:M2829"/>
    <mergeCell ref="N2825:N2829"/>
    <mergeCell ref="C2830:C2835"/>
    <mergeCell ref="D2830:D2835"/>
    <mergeCell ref="G2830:G2835"/>
    <mergeCell ref="M2830:M2835"/>
    <mergeCell ref="N2830:N2835"/>
    <mergeCell ref="N2813:N2815"/>
    <mergeCell ref="B2817:N2817"/>
    <mergeCell ref="B2819:B2952"/>
    <mergeCell ref="C2819:C2823"/>
    <mergeCell ref="D2819:D2823"/>
    <mergeCell ref="G2819:G2823"/>
    <mergeCell ref="M2819:M2823"/>
    <mergeCell ref="N2819:N2823"/>
    <mergeCell ref="C2825:C2829"/>
    <mergeCell ref="D2825:D2829"/>
    <mergeCell ref="C2865:C2873"/>
    <mergeCell ref="D2865:D2873"/>
    <mergeCell ref="G2865:G2873"/>
    <mergeCell ref="M2865:M2873"/>
    <mergeCell ref="N2865:N2873"/>
    <mergeCell ref="C2874:C2909"/>
    <mergeCell ref="D2874:D2887"/>
    <mergeCell ref="G2874:G2887"/>
    <mergeCell ref="M2874:M2887"/>
    <mergeCell ref="N2874:N2887"/>
    <mergeCell ref="C2836:C2854"/>
    <mergeCell ref="D2836:D2854"/>
    <mergeCell ref="G2836:G2854"/>
    <mergeCell ref="M2836:M2854"/>
    <mergeCell ref="N2836:N2854"/>
    <mergeCell ref="C2855:C2864"/>
    <mergeCell ref="D2855:D2864"/>
    <mergeCell ref="G2855:G2864"/>
    <mergeCell ref="M2855:M2864"/>
    <mergeCell ref="N2855:N2864"/>
    <mergeCell ref="C2910:C2924"/>
    <mergeCell ref="D2910:D2924"/>
    <mergeCell ref="G2910:G2924"/>
    <mergeCell ref="M2910:M2924"/>
    <mergeCell ref="N2910:N2924"/>
    <mergeCell ref="C2925:C2939"/>
    <mergeCell ref="D2925:D2939"/>
    <mergeCell ref="G2925:G2939"/>
    <mergeCell ref="M2925:M2939"/>
    <mergeCell ref="N2925:N2939"/>
    <mergeCell ref="D2888:D2899"/>
    <mergeCell ref="G2888:G2899"/>
    <mergeCell ref="M2888:M2899"/>
    <mergeCell ref="N2888:N2899"/>
    <mergeCell ref="D2900:D2909"/>
    <mergeCell ref="G2900:G2909"/>
    <mergeCell ref="M2900:M2909"/>
    <mergeCell ref="N2900:N2909"/>
    <mergeCell ref="N2953:N2961"/>
    <mergeCell ref="C2965:C2967"/>
    <mergeCell ref="D2965:D2967"/>
    <mergeCell ref="G2965:G2967"/>
    <mergeCell ref="M2965:M2967"/>
    <mergeCell ref="N2965:N2967"/>
    <mergeCell ref="C2945:C2952"/>
    <mergeCell ref="D2945:D2952"/>
    <mergeCell ref="G2945:G2952"/>
    <mergeCell ref="M2945:M2952"/>
    <mergeCell ref="N2945:N2952"/>
    <mergeCell ref="B2953:B2967"/>
    <mergeCell ref="C2953:C2962"/>
    <mergeCell ref="D2953:D2962"/>
    <mergeCell ref="G2953:G2961"/>
    <mergeCell ref="M2953:M2961"/>
    <mergeCell ref="C2940:C2942"/>
    <mergeCell ref="D2940:D2942"/>
    <mergeCell ref="G2940:G2942"/>
    <mergeCell ref="M2940:M2942"/>
    <mergeCell ref="N2940:N2942"/>
    <mergeCell ref="C2943:C2944"/>
    <mergeCell ref="D2943:D2944"/>
    <mergeCell ref="G2943:G2944"/>
    <mergeCell ref="M2943:M2944"/>
    <mergeCell ref="N2943:N2944"/>
    <mergeCell ref="B2978:B3020"/>
    <mergeCell ref="C2978:C2981"/>
    <mergeCell ref="D2978:D2981"/>
    <mergeCell ref="G2978:G2981"/>
    <mergeCell ref="K2978:K2981"/>
    <mergeCell ref="L2978:L2981"/>
    <mergeCell ref="C2987:C3018"/>
    <mergeCell ref="D2987:D3018"/>
    <mergeCell ref="G2987:G3018"/>
    <mergeCell ref="K2987:K3018"/>
    <mergeCell ref="M2968:M2971"/>
    <mergeCell ref="N2968:N2971"/>
    <mergeCell ref="C2972:C2977"/>
    <mergeCell ref="D2972:D2977"/>
    <mergeCell ref="G2972:G2977"/>
    <mergeCell ref="K2972:K2977"/>
    <mergeCell ref="L2972:L2977"/>
    <mergeCell ref="M2972:M2977"/>
    <mergeCell ref="N2972:N2977"/>
    <mergeCell ref="B2968:B2977"/>
    <mergeCell ref="C2968:C2971"/>
    <mergeCell ref="D2968:D2971"/>
    <mergeCell ref="G2968:G2971"/>
    <mergeCell ref="K2968:K2971"/>
    <mergeCell ref="L2968:L2971"/>
    <mergeCell ref="L2987:L3018"/>
    <mergeCell ref="M2987:M3018"/>
    <mergeCell ref="N2987:N3018"/>
    <mergeCell ref="C3019:C3020"/>
    <mergeCell ref="D3019:D3020"/>
    <mergeCell ref="G3019:G3020"/>
    <mergeCell ref="K3019:K3020"/>
    <mergeCell ref="L3019:L3020"/>
    <mergeCell ref="M3019:M3020"/>
    <mergeCell ref="N3019:N3020"/>
    <mergeCell ref="M2978:M2981"/>
    <mergeCell ref="N2978:N2981"/>
    <mergeCell ref="C2982:C2985"/>
    <mergeCell ref="D2982:D2985"/>
    <mergeCell ref="G2982:G2985"/>
    <mergeCell ref="K2982:K2985"/>
    <mergeCell ref="L2982:L2985"/>
    <mergeCell ref="M2982:M2985"/>
    <mergeCell ref="N2982:N2985"/>
    <mergeCell ref="C3025:C3026"/>
    <mergeCell ref="D3025:D3026"/>
    <mergeCell ref="G3025:G3026"/>
    <mergeCell ref="M3025:M3026"/>
    <mergeCell ref="N3025:N3026"/>
    <mergeCell ref="C3027:C3030"/>
    <mergeCell ref="D3027:D3030"/>
    <mergeCell ref="G3027:G3030"/>
    <mergeCell ref="M3027:M3030"/>
    <mergeCell ref="N3027:N3030"/>
    <mergeCell ref="B3021:B3065"/>
    <mergeCell ref="C3021:C3022"/>
    <mergeCell ref="G3021:G3022"/>
    <mergeCell ref="M3021:M3022"/>
    <mergeCell ref="N3021:N3022"/>
    <mergeCell ref="C3023:C3024"/>
    <mergeCell ref="D3023:D3024"/>
    <mergeCell ref="G3023:G3024"/>
    <mergeCell ref="M3023:M3024"/>
    <mergeCell ref="N3023:N3024"/>
    <mergeCell ref="C3042:C3045"/>
    <mergeCell ref="D3042:D3045"/>
    <mergeCell ref="G3042:G3045"/>
    <mergeCell ref="M3042:M3045"/>
    <mergeCell ref="N3042:N3045"/>
    <mergeCell ref="C3046:C3051"/>
    <mergeCell ref="D3046:D3051"/>
    <mergeCell ref="G3046:G3051"/>
    <mergeCell ref="M3046:M3051"/>
    <mergeCell ref="N3046:N3051"/>
    <mergeCell ref="C3031:C3036"/>
    <mergeCell ref="D3031:D3036"/>
    <mergeCell ref="G3031:G3036"/>
    <mergeCell ref="M3031:M3036"/>
    <mergeCell ref="N3031:N3036"/>
    <mergeCell ref="C3037:C3041"/>
    <mergeCell ref="D3037:D3041"/>
    <mergeCell ref="G3037:G3041"/>
    <mergeCell ref="M3037:M3041"/>
    <mergeCell ref="N3037:N3041"/>
    <mergeCell ref="N3066:N3070"/>
    <mergeCell ref="C3072:C3074"/>
    <mergeCell ref="D3072:D3074"/>
    <mergeCell ref="G3072:G3074"/>
    <mergeCell ref="M3072:M3074"/>
    <mergeCell ref="N3072:N3074"/>
    <mergeCell ref="C3061:C3065"/>
    <mergeCell ref="D3061:D3065"/>
    <mergeCell ref="G3061:G3065"/>
    <mergeCell ref="M3061:M3065"/>
    <mergeCell ref="N3061:N3065"/>
    <mergeCell ref="B3066:B3099"/>
    <mergeCell ref="C3066:C3070"/>
    <mergeCell ref="D3066:D3070"/>
    <mergeCell ref="G3066:G3070"/>
    <mergeCell ref="M3066:M3070"/>
    <mergeCell ref="C3052:C3056"/>
    <mergeCell ref="D3052:D3056"/>
    <mergeCell ref="G3052:G3056"/>
    <mergeCell ref="M3052:M3056"/>
    <mergeCell ref="N3052:N3056"/>
    <mergeCell ref="C3057:C3060"/>
    <mergeCell ref="D3057:D3060"/>
    <mergeCell ref="G3057:G3060"/>
    <mergeCell ref="M3057:M3060"/>
    <mergeCell ref="N3057:N3060"/>
    <mergeCell ref="C3085:C3088"/>
    <mergeCell ref="D3085:D3088"/>
    <mergeCell ref="G3085:G3088"/>
    <mergeCell ref="M3085:M3088"/>
    <mergeCell ref="N3085:N3088"/>
    <mergeCell ref="C3089:C3093"/>
    <mergeCell ref="D3089:D3093"/>
    <mergeCell ref="G3089:G3093"/>
    <mergeCell ref="M3089:M3093"/>
    <mergeCell ref="N3089:N3093"/>
    <mergeCell ref="C3075:C3078"/>
    <mergeCell ref="D3075:D3078"/>
    <mergeCell ref="G3075:G3078"/>
    <mergeCell ref="M3075:M3078"/>
    <mergeCell ref="N3075:N3078"/>
    <mergeCell ref="C3079:C3084"/>
    <mergeCell ref="D3079:D3084"/>
    <mergeCell ref="G3079:G3084"/>
    <mergeCell ref="M3079:M3084"/>
    <mergeCell ref="N3079:N3084"/>
    <mergeCell ref="L3101:L3102"/>
    <mergeCell ref="M3101:M3102"/>
    <mergeCell ref="N3101:N3102"/>
    <mergeCell ref="C3103:C3109"/>
    <mergeCell ref="D3103:D3109"/>
    <mergeCell ref="G3103:G3109"/>
    <mergeCell ref="K3103:K3109"/>
    <mergeCell ref="L3103:L3109"/>
    <mergeCell ref="M3103:M3109"/>
    <mergeCell ref="N3103:N3109"/>
    <mergeCell ref="C3094:C3098"/>
    <mergeCell ref="D3094:D3098"/>
    <mergeCell ref="G3094:G3098"/>
    <mergeCell ref="M3094:M3098"/>
    <mergeCell ref="N3094:N3098"/>
    <mergeCell ref="B3100:B3111"/>
    <mergeCell ref="C3101:C3102"/>
    <mergeCell ref="D3101:D3102"/>
    <mergeCell ref="G3101:G3102"/>
    <mergeCell ref="K3101:K3102"/>
    <mergeCell ref="M3112:M3114"/>
    <mergeCell ref="N3112:N3114"/>
    <mergeCell ref="C3115:C3116"/>
    <mergeCell ref="D3115:D3116"/>
    <mergeCell ref="G3115:G3116"/>
    <mergeCell ref="K3115:K3116"/>
    <mergeCell ref="L3115:L3116"/>
    <mergeCell ref="M3115:M3116"/>
    <mergeCell ref="N3115:N3116"/>
    <mergeCell ref="B3112:B3141"/>
    <mergeCell ref="C3112:C3114"/>
    <mergeCell ref="D3112:D3114"/>
    <mergeCell ref="G3112:G3114"/>
    <mergeCell ref="K3112:K3114"/>
    <mergeCell ref="L3112:L3114"/>
    <mergeCell ref="C3117:C3119"/>
    <mergeCell ref="D3117:D3119"/>
    <mergeCell ref="G3117:G3119"/>
    <mergeCell ref="K3117:K3119"/>
    <mergeCell ref="N3123:N3125"/>
    <mergeCell ref="C3127:C3131"/>
    <mergeCell ref="D3127:D3131"/>
    <mergeCell ref="G3127:G3131"/>
    <mergeCell ref="K3127:K3131"/>
    <mergeCell ref="L3127:L3131"/>
    <mergeCell ref="M3127:M3131"/>
    <mergeCell ref="N3127:N3131"/>
    <mergeCell ref="C3123:C3125"/>
    <mergeCell ref="D3123:D3125"/>
    <mergeCell ref="G3123:G3125"/>
    <mergeCell ref="K3123:K3125"/>
    <mergeCell ref="L3123:L3125"/>
    <mergeCell ref="M3123:M3125"/>
    <mergeCell ref="L3117:L3119"/>
    <mergeCell ref="M3117:M3119"/>
    <mergeCell ref="N3117:N3119"/>
    <mergeCell ref="C3120:C3122"/>
    <mergeCell ref="D3120:D3122"/>
    <mergeCell ref="G3120:G3122"/>
    <mergeCell ref="K3120:K3122"/>
    <mergeCell ref="L3120:L3122"/>
    <mergeCell ref="M3120:M3122"/>
    <mergeCell ref="N3120:N3122"/>
    <mergeCell ref="B3142:B3152"/>
    <mergeCell ref="C3142:C3144"/>
    <mergeCell ref="D3142:D3144"/>
    <mergeCell ref="G3142:G3144"/>
    <mergeCell ref="C3145:C3147"/>
    <mergeCell ref="D3145:D3147"/>
    <mergeCell ref="G3145:G3147"/>
    <mergeCell ref="C3148:C3152"/>
    <mergeCell ref="D3148:D3152"/>
    <mergeCell ref="G3148:G3152"/>
    <mergeCell ref="N3132:N3134"/>
    <mergeCell ref="C3135:C3141"/>
    <mergeCell ref="D3135:D3141"/>
    <mergeCell ref="G3135:G3141"/>
    <mergeCell ref="K3135:K3141"/>
    <mergeCell ref="L3135:L3141"/>
    <mergeCell ref="M3135:M3141"/>
    <mergeCell ref="N3135:N3141"/>
    <mergeCell ref="C3132:C3134"/>
    <mergeCell ref="D3132:D3134"/>
    <mergeCell ref="G3132:G3134"/>
    <mergeCell ref="K3132:K3134"/>
    <mergeCell ref="L3132:L3134"/>
    <mergeCell ref="M3132:M3134"/>
    <mergeCell ref="C3167:C3171"/>
    <mergeCell ref="D3167:D3171"/>
    <mergeCell ref="G3167:G3171"/>
    <mergeCell ref="M3167:M3171"/>
    <mergeCell ref="N3167:N3171"/>
    <mergeCell ref="C3172:C3176"/>
    <mergeCell ref="D3172:D3176"/>
    <mergeCell ref="G3172:G3176"/>
    <mergeCell ref="M3172:M3176"/>
    <mergeCell ref="N3172:N3176"/>
    <mergeCell ref="N3157:N3161"/>
    <mergeCell ref="C3162:C3166"/>
    <mergeCell ref="D3162:D3166"/>
    <mergeCell ref="G3162:G3166"/>
    <mergeCell ref="M3162:M3166"/>
    <mergeCell ref="N3162:N3166"/>
    <mergeCell ref="B3153:B3181"/>
    <mergeCell ref="C3153:C3156"/>
    <mergeCell ref="D3153:D3156"/>
    <mergeCell ref="G3153:G3156"/>
    <mergeCell ref="M3153:M3156"/>
    <mergeCell ref="N3153:N3156"/>
    <mergeCell ref="C3157:C3161"/>
    <mergeCell ref="D3157:D3161"/>
    <mergeCell ref="G3157:G3161"/>
    <mergeCell ref="M3157:M3161"/>
    <mergeCell ref="C3190:C3191"/>
    <mergeCell ref="D3190:D3191"/>
    <mergeCell ref="G3190:G3191"/>
    <mergeCell ref="M3190:M3191"/>
    <mergeCell ref="N3190:N3191"/>
    <mergeCell ref="C3192:C3193"/>
    <mergeCell ref="D3192:D3193"/>
    <mergeCell ref="G3192:G3193"/>
    <mergeCell ref="M3192:M3193"/>
    <mergeCell ref="N3192:N3193"/>
    <mergeCell ref="N3183:N3187"/>
    <mergeCell ref="C3188:C3189"/>
    <mergeCell ref="D3188:D3189"/>
    <mergeCell ref="G3188:G3189"/>
    <mergeCell ref="M3188:M3189"/>
    <mergeCell ref="N3188:N3189"/>
    <mergeCell ref="C3177:C3181"/>
    <mergeCell ref="D3177:D3181"/>
    <mergeCell ref="G3177:G3181"/>
    <mergeCell ref="M3177:M3181"/>
    <mergeCell ref="N3177:N3181"/>
    <mergeCell ref="C3183:C3187"/>
    <mergeCell ref="D3183:D3187"/>
    <mergeCell ref="G3183:G3187"/>
    <mergeCell ref="M3183:M3187"/>
    <mergeCell ref="B3210:N3210"/>
    <mergeCell ref="C3200:C3203"/>
    <mergeCell ref="D3200:D3203"/>
    <mergeCell ref="G3200:G3203"/>
    <mergeCell ref="M3200:M3203"/>
    <mergeCell ref="N3200:N3203"/>
    <mergeCell ref="C3204:C3208"/>
    <mergeCell ref="D3204:D3208"/>
    <mergeCell ref="G3204:G3208"/>
    <mergeCell ref="M3204:M3208"/>
    <mergeCell ref="N3204:N3208"/>
    <mergeCell ref="C3194:C3195"/>
    <mergeCell ref="D3194:D3195"/>
    <mergeCell ref="G3194:G3195"/>
    <mergeCell ref="M3194:M3195"/>
    <mergeCell ref="N3194:N3195"/>
    <mergeCell ref="C3196:C3199"/>
    <mergeCell ref="D3196:D3199"/>
    <mergeCell ref="G3196:G3199"/>
    <mergeCell ref="M3196:M3199"/>
    <mergeCell ref="N3196:N3199"/>
    <mergeCell ref="B3182:B3208"/>
  </mergeCells>
  <phoneticPr fontId="4" type="noConversion"/>
  <conditionalFormatting sqref="B3">
    <cfRule type="containsText" dxfId="1" priority="2" operator="containsText" text="주차">
      <formula>NOT(ISERROR(SEARCH("주차",B3)))</formula>
    </cfRule>
  </conditionalFormatting>
  <conditionalFormatting sqref="H145:H153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74094-A53B-431D-A78B-891E7A90651A}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Notice</vt:lpstr>
      <vt:lpstr>브랜드데이</vt:lpstr>
      <vt:lpstr>오늘특가</vt:lpstr>
      <vt:lpstr>온라인행사</vt:lpstr>
      <vt:lpstr>공구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조선호(커머스웨어)</dc:creator>
  <cp:lastModifiedBy>영웅 김</cp:lastModifiedBy>
  <dcterms:created xsi:type="dcterms:W3CDTF">2025-02-26T04:17:11Z</dcterms:created>
  <dcterms:modified xsi:type="dcterms:W3CDTF">2025-03-28T07:53:30Z</dcterms:modified>
</cp:coreProperties>
</file>